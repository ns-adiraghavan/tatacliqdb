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Bidyut.Ghosh\Downloads\"/>
    </mc:Choice>
  </mc:AlternateContent>
  <xr:revisionPtr revIDLastSave="0" documentId="13_ncr:1_{6A245595-06CA-40EA-A239-E592DDEF2D51}" xr6:coauthVersionLast="47" xr6:coauthVersionMax="47" xr10:uidLastSave="{00000000-0000-0000-0000-000000000000}"/>
  <bookViews>
    <workbookView xWindow="-120" yWindow="-120" windowWidth="20730" windowHeight="11040" firstSheet="1" activeTab="2" xr2:uid="{00000000-000D-0000-FFFF-FFFF00000000}"/>
  </bookViews>
  <sheets>
    <sheet name="About" sheetId="2" state="hidden" r:id="rId1"/>
    <sheet name="Your Jira Issues" sheetId="1" r:id="rId2"/>
    <sheet name="Esclations" sheetId="22" r:id="rId3"/>
    <sheet name="Data Dump" sheetId="19" state="hidden" r:id="rId4"/>
    <sheet name="Sheet1" sheetId="18" state="hidden" r:id="rId5"/>
    <sheet name="WoW Dashboard" sheetId="20" r:id="rId6"/>
    <sheet name="EOD Dashboard" sheetId="21" r:id="rId7"/>
  </sheets>
  <definedNames>
    <definedName name="_xlnm._FilterDatabase" localSheetId="1" hidden="1">'Your Jira Issues'!$A$1:$W$1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D32" i="20" l="1"/>
  <c r="C32" i="20"/>
  <c r="C7" i="20"/>
  <c r="F7" i="20"/>
  <c r="G7" i="20"/>
  <c r="I60" i="20"/>
  <c r="I58" i="20"/>
  <c r="I57" i="20"/>
  <c r="L51" i="20"/>
  <c r="L52" i="20"/>
  <c r="L53" i="20"/>
  <c r="K49" i="20"/>
  <c r="K50" i="20"/>
  <c r="K51" i="20"/>
  <c r="K52" i="20"/>
  <c r="K53" i="20"/>
  <c r="J49" i="20"/>
  <c r="J50" i="20"/>
  <c r="J51" i="20"/>
  <c r="J52" i="20"/>
  <c r="N52" i="20" s="1"/>
  <c r="J53" i="20"/>
  <c r="K43" i="20"/>
  <c r="J43" i="20"/>
  <c r="K42" i="20"/>
  <c r="J42" i="20"/>
  <c r="K41" i="20"/>
  <c r="J41" i="20"/>
  <c r="J36" i="20"/>
  <c r="I36" i="20"/>
  <c r="J35" i="20"/>
  <c r="I35" i="20"/>
  <c r="J34" i="20"/>
  <c r="I34" i="20"/>
  <c r="J33" i="20"/>
  <c r="I33" i="20"/>
  <c r="J32" i="20"/>
  <c r="I32" i="20"/>
  <c r="J31" i="20"/>
  <c r="I31" i="20"/>
  <c r="F31" i="20"/>
  <c r="C31" i="20"/>
  <c r="E26" i="20"/>
  <c r="C26" i="20"/>
  <c r="F26" i="20" s="1"/>
  <c r="E25" i="20"/>
  <c r="C25" i="20"/>
  <c r="F25" i="20" s="1"/>
  <c r="C24" i="20"/>
  <c r="C23" i="20"/>
  <c r="C22" i="20"/>
  <c r="D12" i="20"/>
  <c r="C12" i="20"/>
  <c r="C13" i="20"/>
  <c r="C14" i="20"/>
  <c r="C15" i="20"/>
  <c r="D15" i="20" s="1"/>
  <c r="C16" i="20"/>
  <c r="D16" i="20" s="1"/>
  <c r="B7" i="20"/>
  <c r="N53" i="20" l="1"/>
  <c r="N49" i="20"/>
  <c r="N50" i="20"/>
  <c r="N51" i="20"/>
  <c r="I26" i="20"/>
  <c r="L25" i="20"/>
  <c r="I25" i="20"/>
  <c r="L24" i="20"/>
  <c r="K24" i="20"/>
  <c r="I24" i="20"/>
  <c r="L23" i="20"/>
  <c r="I23" i="20"/>
  <c r="J23" i="20" s="1"/>
  <c r="L22" i="20"/>
  <c r="I22" i="20"/>
  <c r="F24" i="20"/>
  <c r="F23" i="20"/>
  <c r="F22" i="20"/>
  <c r="L27" i="20"/>
  <c r="K27" i="20"/>
  <c r="I27" i="20"/>
  <c r="C59" i="20"/>
  <c r="L26" i="20"/>
  <c r="K36" i="20"/>
  <c r="K33" i="20"/>
  <c r="K34" i="20"/>
  <c r="L42" i="20"/>
  <c r="D7" i="20"/>
  <c r="D31" i="20"/>
  <c r="E12" i="20"/>
  <c r="M12" i="20" s="1"/>
  <c r="D13" i="20"/>
  <c r="E13" i="20" s="1"/>
  <c r="I16" i="20"/>
  <c r="K13" i="20"/>
  <c r="G16" i="20"/>
  <c r="F13" i="20"/>
  <c r="I15" i="20"/>
  <c r="K12" i="20"/>
  <c r="G15" i="20"/>
  <c r="F12" i="20"/>
  <c r="J16" i="20"/>
  <c r="G13" i="20"/>
  <c r="J15" i="20"/>
  <c r="E15" i="20"/>
  <c r="I12" i="20"/>
  <c r="G12" i="20"/>
  <c r="E16" i="20"/>
  <c r="I13" i="20"/>
  <c r="E14" i="20"/>
  <c r="K16" i="20"/>
  <c r="F16" i="20"/>
  <c r="J13" i="20"/>
  <c r="K15" i="20"/>
  <c r="F15" i="20"/>
  <c r="J12" i="20"/>
  <c r="D14" i="20"/>
  <c r="F14" i="20" s="1"/>
  <c r="K14" i="20"/>
  <c r="K25" i="20"/>
  <c r="D25" i="20"/>
  <c r="D26" i="20"/>
  <c r="D24" i="20"/>
  <c r="D23" i="20"/>
  <c r="D22" i="20"/>
  <c r="J25" i="20" l="1"/>
  <c r="J27" i="20"/>
  <c r="J24" i="20"/>
  <c r="J22" i="20"/>
  <c r="J26" i="20"/>
  <c r="K32" i="20"/>
  <c r="L50" i="20"/>
  <c r="L49" i="20"/>
  <c r="L43" i="20"/>
  <c r="K35" i="20"/>
  <c r="K31" i="20"/>
  <c r="F32" i="20"/>
  <c r="L41" i="20"/>
  <c r="I59" i="20"/>
  <c r="C60" i="20"/>
  <c r="E32" i="20"/>
  <c r="N12" i="20"/>
  <c r="N13" i="20" s="1"/>
  <c r="N14" i="20" s="1"/>
  <c r="N15" i="20" s="1"/>
  <c r="N16" i="20" s="1"/>
  <c r="N17" i="20" s="1"/>
  <c r="M13" i="20"/>
  <c r="L14" i="20"/>
  <c r="L12" i="20"/>
  <c r="M14" i="20"/>
  <c r="M16" i="20"/>
  <c r="L16" i="20"/>
  <c r="F17" i="20"/>
  <c r="G14" i="20"/>
  <c r="G17" i="20" s="1"/>
  <c r="L13" i="20"/>
  <c r="K17" i="20"/>
  <c r="J14" i="20"/>
  <c r="J17" i="20" s="1"/>
  <c r="I14" i="20"/>
  <c r="I17" i="20" s="1"/>
  <c r="M15" i="20"/>
  <c r="L15" i="20"/>
  <c r="E17" i="20"/>
  <c r="C57" i="20"/>
  <c r="E23" i="20"/>
  <c r="M51" i="20"/>
  <c r="L36" i="20"/>
  <c r="K23" i="20"/>
  <c r="H16" i="20"/>
  <c r="K26" i="20"/>
  <c r="E31" i="20"/>
  <c r="M49" i="20"/>
  <c r="C52" i="20"/>
  <c r="E22" i="20"/>
  <c r="L32" i="20"/>
  <c r="M43" i="20"/>
  <c r="L33" i="20"/>
  <c r="H14" i="20"/>
  <c r="C51" i="20"/>
  <c r="H13" i="20"/>
  <c r="E7" i="20"/>
  <c r="M50" i="20"/>
  <c r="H15" i="20"/>
  <c r="L35" i="20"/>
  <c r="F49" i="20"/>
  <c r="G49" i="20" s="1"/>
  <c r="H12" i="20"/>
  <c r="M41" i="20"/>
  <c r="K22" i="20"/>
  <c r="M42" i="20"/>
  <c r="L31" i="20"/>
  <c r="M53" i="20"/>
  <c r="C49" i="20"/>
  <c r="F51" i="20"/>
  <c r="G51" i="20" s="1"/>
  <c r="E24" i="20"/>
  <c r="L34" i="20"/>
  <c r="M52" i="20"/>
  <c r="F50" i="20"/>
  <c r="G50" i="20" s="1"/>
  <c r="F52" i="20"/>
  <c r="G52" i="20" s="1"/>
  <c r="C50" i="20"/>
  <c r="L17" i="20" l="1"/>
  <c r="H17" i="20"/>
</calcChain>
</file>

<file path=xl/sharedStrings.xml><?xml version="1.0" encoding="utf-8"?>
<sst xmlns="http://schemas.openxmlformats.org/spreadsheetml/2006/main" count="45732" uniqueCount="10896">
  <si>
    <t>Created on:</t>
  </si>
  <si>
    <t>12 Apr 25 09:09 UTC</t>
  </si>
  <si>
    <t>Jira Site:</t>
  </si>
  <si>
    <t>https://tataunistore.atlassian.net</t>
  </si>
  <si>
    <t>Jira Query:</t>
  </si>
  <si>
    <t>project = "UCW" AND "agency[dropdown]" = Netscribes ORDER BY created DESC</t>
  </si>
  <si>
    <t>Key</t>
  </si>
  <si>
    <t>Summary</t>
  </si>
  <si>
    <t>Status</t>
  </si>
  <si>
    <t>Priority</t>
  </si>
  <si>
    <t>Assignee</t>
  </si>
  <si>
    <t>Reporter</t>
  </si>
  <si>
    <t>Created</t>
  </si>
  <si>
    <t>Updated</t>
  </si>
  <si>
    <t>Total SKU Count</t>
  </si>
  <si>
    <t>Listing Type</t>
  </si>
  <si>
    <t>L1 for UCW</t>
  </si>
  <si>
    <t>Medium</t>
  </si>
  <si>
    <t>Chirag Dubal</t>
  </si>
  <si>
    <t>netscribes</t>
  </si>
  <si>
    <t>Footwear</t>
  </si>
  <si>
    <t>Mohd Tahir Shaikh</t>
  </si>
  <si>
    <t>Highest</t>
  </si>
  <si>
    <t>Sushma Ram</t>
  </si>
  <si>
    <t>Reagan D’souza</t>
  </si>
  <si>
    <t>Apparel</t>
  </si>
  <si>
    <t>Kids</t>
  </si>
  <si>
    <t>Men's Apparel</t>
  </si>
  <si>
    <t>Shloka Chakre</t>
  </si>
  <si>
    <t>Accessories</t>
  </si>
  <si>
    <t>Agency Production QC</t>
  </si>
  <si>
    <t>Multi Category</t>
  </si>
  <si>
    <t>Simi Raichel Zachariah</t>
  </si>
  <si>
    <t>Beauty &amp; Grooming</t>
  </si>
  <si>
    <t>High</t>
  </si>
  <si>
    <t>Brand to Resolve Queries</t>
  </si>
  <si>
    <t>Jewellery</t>
  </si>
  <si>
    <t>HOME</t>
  </si>
  <si>
    <t>CLOSED</t>
  </si>
  <si>
    <t>CLOSED Due to Inactive/Insufficient Information</t>
  </si>
  <si>
    <t>Ataur Rahman</t>
  </si>
  <si>
    <t>Jaibharathi Jagannathan</t>
  </si>
  <si>
    <t>Shraddha Dighe</t>
  </si>
  <si>
    <t>Closed SKU Count</t>
  </si>
  <si>
    <t>Health &amp; Wellness</t>
  </si>
  <si>
    <t>UCW-23066</t>
  </si>
  <si>
    <t>UCW-23065</t>
  </si>
  <si>
    <t>UCW-23064</t>
  </si>
  <si>
    <t>UCW-23063</t>
  </si>
  <si>
    <t>UCW-23061</t>
  </si>
  <si>
    <t>UCW-23059</t>
  </si>
  <si>
    <t>UCW-23055</t>
  </si>
  <si>
    <t>UCW-23054</t>
  </si>
  <si>
    <t>UCW-23047</t>
  </si>
  <si>
    <t>UCW-23042</t>
  </si>
  <si>
    <t>UCW-23040</t>
  </si>
  <si>
    <t>UCW-23039</t>
  </si>
  <si>
    <t>UCW-23036</t>
  </si>
  <si>
    <t>UCW-23031</t>
  </si>
  <si>
    <t>UCW-23030</t>
  </si>
  <si>
    <t>UCW-23082</t>
  </si>
  <si>
    <t>UCW-23080</t>
  </si>
  <si>
    <t>UCW-23107</t>
  </si>
  <si>
    <t>UCW-23106</t>
  </si>
  <si>
    <t>UCW-23105</t>
  </si>
  <si>
    <t>UCW-23103</t>
  </si>
  <si>
    <t>UCW-23099</t>
  </si>
  <si>
    <t>UCW-23096</t>
  </si>
  <si>
    <t>UCW-23093</t>
  </si>
  <si>
    <t>UCW-23090</t>
  </si>
  <si>
    <t>UCW-23087</t>
  </si>
  <si>
    <t>UCW-23137</t>
  </si>
  <si>
    <t>UCW-23124</t>
  </si>
  <si>
    <t>UCW-23117</t>
  </si>
  <si>
    <t>UCW-23141</t>
  </si>
  <si>
    <t>UCW-23162</t>
  </si>
  <si>
    <t>UCW-23150</t>
  </si>
  <si>
    <t>UCW-23145</t>
  </si>
  <si>
    <t>UCW-23144</t>
  </si>
  <si>
    <t>UCW-23168</t>
  </si>
  <si>
    <t>UCW-23195</t>
  </si>
  <si>
    <t>UCW-23193</t>
  </si>
  <si>
    <t>UCW-23185</t>
  </si>
  <si>
    <t>UCW-23183</t>
  </si>
  <si>
    <t>UCW-23180</t>
  </si>
  <si>
    <t>UCW-23178</t>
  </si>
  <si>
    <t>UCW-23176</t>
  </si>
  <si>
    <t>UCW-23211</t>
  </si>
  <si>
    <t>UCW-23206</t>
  </si>
  <si>
    <t>UCW-23203</t>
  </si>
  <si>
    <t>UCW-23202</t>
  </si>
  <si>
    <t>UCW-23201</t>
  </si>
  <si>
    <t>UCW-23221</t>
  </si>
  <si>
    <t>UCW-23217</t>
  </si>
  <si>
    <t>UCW-23192</t>
  </si>
  <si>
    <t>UCW-23152</t>
  </si>
  <si>
    <t>UCW-23140</t>
  </si>
  <si>
    <t>UCW-23266</t>
  </si>
  <si>
    <t>UCW-23265</t>
  </si>
  <si>
    <t>UCW-23245</t>
  </si>
  <si>
    <t>UCW-23241</t>
  </si>
  <si>
    <t>UCW-23235</t>
  </si>
  <si>
    <t>UCW-23232</t>
  </si>
  <si>
    <t>UCW-23230</t>
  </si>
  <si>
    <t>UCW-23229</t>
  </si>
  <si>
    <t>UCW-23228</t>
  </si>
  <si>
    <t>UCW-23226</t>
  </si>
  <si>
    <t>UCW-23224</t>
  </si>
  <si>
    <t>UCW-23273</t>
  </si>
  <si>
    <t>UCW-23272</t>
  </si>
  <si>
    <t>UCW-23271</t>
  </si>
  <si>
    <t>UCW-23269</t>
  </si>
  <si>
    <t>UCW-23146</t>
  </si>
  <si>
    <t>UCW-23274</t>
  </si>
  <si>
    <t>UCW-23314</t>
  </si>
  <si>
    <t>UCW-23308</t>
  </si>
  <si>
    <t>UCW-23303</t>
  </si>
  <si>
    <t>UCW-23294</t>
  </si>
  <si>
    <t>UCW-23293</t>
  </si>
  <si>
    <t>UCW-23291</t>
  </si>
  <si>
    <t>UCW-23288</t>
  </si>
  <si>
    <t>UCW-23283</t>
  </si>
  <si>
    <t>UCW-23374</t>
  </si>
  <si>
    <t>UCW-23371</t>
  </si>
  <si>
    <t>UCW-23368</t>
  </si>
  <si>
    <t>UCW-23363</t>
  </si>
  <si>
    <t>UCW-23344</t>
  </si>
  <si>
    <t>UCW-23343</t>
  </si>
  <si>
    <t>UCW-23342</t>
  </si>
  <si>
    <t>UCW-23341</t>
  </si>
  <si>
    <t>UCW-23340</t>
  </si>
  <si>
    <t>UCW-23339</t>
  </si>
  <si>
    <t>UCW-23334</t>
  </si>
  <si>
    <t>UCW-23333</t>
  </si>
  <si>
    <t>UCW-23332</t>
  </si>
  <si>
    <t>UCW-23331</t>
  </si>
  <si>
    <t>UCW-23326</t>
  </si>
  <si>
    <t>UCW-23323</t>
  </si>
  <si>
    <t>UCW-23322</t>
  </si>
  <si>
    <t>UCW-23379</t>
  </si>
  <si>
    <t>UCW-23423</t>
  </si>
  <si>
    <t>UCW-23422</t>
  </si>
  <si>
    <t>UCW-23420</t>
  </si>
  <si>
    <t>UCW-23419</t>
  </si>
  <si>
    <t>UCW-23412</t>
  </si>
  <si>
    <t>UCW-23408</t>
  </si>
  <si>
    <t>UCW-23401</t>
  </si>
  <si>
    <t>UCW-23399</t>
  </si>
  <si>
    <t>UCW-23398</t>
  </si>
  <si>
    <t>UCW-23397</t>
  </si>
  <si>
    <t>UCW-23396</t>
  </si>
  <si>
    <t>UCW-23394</t>
  </si>
  <si>
    <t>UCW-23383</t>
  </si>
  <si>
    <t>UCW-23440</t>
  </si>
  <si>
    <t>UCW-23437</t>
  </si>
  <si>
    <t>UCW-23436</t>
  </si>
  <si>
    <t>UCW-23435</t>
  </si>
  <si>
    <t>UCW-23432</t>
  </si>
  <si>
    <t>UCW-23427</t>
  </si>
  <si>
    <t>UCW-23444</t>
  </si>
  <si>
    <t>UCW-23443</t>
  </si>
  <si>
    <t>UCW-23442</t>
  </si>
  <si>
    <t>UCW-23441</t>
  </si>
  <si>
    <t>UCW-23485</t>
  </si>
  <si>
    <t>UCW-23480</t>
  </si>
  <si>
    <t>UCW-23474</t>
  </si>
  <si>
    <t>UCW-23473</t>
  </si>
  <si>
    <t>UCW-23472</t>
  </si>
  <si>
    <t>UCW-23471</t>
  </si>
  <si>
    <t>UCW-23462</t>
  </si>
  <si>
    <t>UCW-23461</t>
  </si>
  <si>
    <t>UCW-23458</t>
  </si>
  <si>
    <t>UCW-23457</t>
  </si>
  <si>
    <t>UCW-23454</t>
  </si>
  <si>
    <t>UCW-23447</t>
  </si>
  <si>
    <t>UCW-23486</t>
  </si>
  <si>
    <t>UCW-23510</t>
  </si>
  <si>
    <t>UCW-23497</t>
  </si>
  <si>
    <t>UCW-23494</t>
  </si>
  <si>
    <t>UCW-23489</t>
  </si>
  <si>
    <t>UCW-23520</t>
  </si>
  <si>
    <t>UCW-23516</t>
  </si>
  <si>
    <t>UCW-23555</t>
  </si>
  <si>
    <t>UCW-23554</t>
  </si>
  <si>
    <t>UCW-23553</t>
  </si>
  <si>
    <t>UCW-23549</t>
  </si>
  <si>
    <t>UCW-23548</t>
  </si>
  <si>
    <t>UCW-23546</t>
  </si>
  <si>
    <t>UCW-23536</t>
  </si>
  <si>
    <t>UCW-23578</t>
  </si>
  <si>
    <t>UCW-23573</t>
  </si>
  <si>
    <t>UCW-23570</t>
  </si>
  <si>
    <t>UCW-23567</t>
  </si>
  <si>
    <t>UCW-23563</t>
  </si>
  <si>
    <t>UCW-23558</t>
  </si>
  <si>
    <t>UCW-23688</t>
  </si>
  <si>
    <t>UCW-23687</t>
  </si>
  <si>
    <t>UCW-23686</t>
  </si>
  <si>
    <t>UCW-23660</t>
  </si>
  <si>
    <t>UCW-23657</t>
  </si>
  <si>
    <t>UCW-23655</t>
  </si>
  <si>
    <t>UCW-23637</t>
  </si>
  <si>
    <t>UCW-23616</t>
  </si>
  <si>
    <t>UCW-23613</t>
  </si>
  <si>
    <t>UCW-23609</t>
  </si>
  <si>
    <t>UCW-23606</t>
  </si>
  <si>
    <t>UCW-23605</t>
  </si>
  <si>
    <t>UCW-23701</t>
  </si>
  <si>
    <t>UCW-23699</t>
  </si>
  <si>
    <t>UCW-23712</t>
  </si>
  <si>
    <t>UCW-23710</t>
  </si>
  <si>
    <t>UCW-23707</t>
  </si>
  <si>
    <t>UCW-23706</t>
  </si>
  <si>
    <t>UCW-23742</t>
  </si>
  <si>
    <t>UCW-23735</t>
  </si>
  <si>
    <t>UCW-23732</t>
  </si>
  <si>
    <t>UCW-23729</t>
  </si>
  <si>
    <t>UCW-23725</t>
  </si>
  <si>
    <t>UCW-23721</t>
  </si>
  <si>
    <t>UCW-23673</t>
  </si>
  <si>
    <t>UCW-23645</t>
  </si>
  <si>
    <t>UCW-23641</t>
  </si>
  <si>
    <t>UCW-23639</t>
  </si>
  <si>
    <t>UCW-23767</t>
  </si>
  <si>
    <t>UCW-23761</t>
  </si>
  <si>
    <t>UCW-23752</t>
  </si>
  <si>
    <t>UCW-23750</t>
  </si>
  <si>
    <t>UCW-23749</t>
  </si>
  <si>
    <t>UCW-23654</t>
  </si>
  <si>
    <t>UCW-23813</t>
  </si>
  <si>
    <t>UCW-23812</t>
  </si>
  <si>
    <t>UCW-23811</t>
  </si>
  <si>
    <t>UCW-23802</t>
  </si>
  <si>
    <t>UCW-23797</t>
  </si>
  <si>
    <t>UCW-23788</t>
  </si>
  <si>
    <t>UCW-23786</t>
  </si>
  <si>
    <t>UCW-23771</t>
  </si>
  <si>
    <t>UCW-23770</t>
  </si>
  <si>
    <t>UCW-23763</t>
  </si>
  <si>
    <t>UCW-23827</t>
  </si>
  <si>
    <t>UCW-23823</t>
  </si>
  <si>
    <t>UCW-23822</t>
  </si>
  <si>
    <t>UCW-23821</t>
  </si>
  <si>
    <t>UCW-23718</t>
  </si>
  <si>
    <t>UCW-23833</t>
  </si>
  <si>
    <t>UCW-23854</t>
  </si>
  <si>
    <t>UCW-23852</t>
  </si>
  <si>
    <t>UCW-23850</t>
  </si>
  <si>
    <t>UCW-23849</t>
  </si>
  <si>
    <t>UCW-23847</t>
  </si>
  <si>
    <t>UCW-23873</t>
  </si>
  <si>
    <t>UCW-23870</t>
  </si>
  <si>
    <t>UCW-23866</t>
  </si>
  <si>
    <t>UCW-23863</t>
  </si>
  <si>
    <t>UCW-23862</t>
  </si>
  <si>
    <t>UCW-23861</t>
  </si>
  <si>
    <t>UCW-23857</t>
  </si>
  <si>
    <t>UCW-23936</t>
  </si>
  <si>
    <t>UCW-23927</t>
  </si>
  <si>
    <t>UCW-23924</t>
  </si>
  <si>
    <t>UCW-23923</t>
  </si>
  <si>
    <t>UCW-23917</t>
  </si>
  <si>
    <t>UCW-23916</t>
  </si>
  <si>
    <t>UCW-23901</t>
  </si>
  <si>
    <t>UCW-23899</t>
  </si>
  <si>
    <t>UCW-23892</t>
  </si>
  <si>
    <t>UCW-23885</t>
  </si>
  <si>
    <t>UCW-23878</t>
  </si>
  <si>
    <t>UCW-23964</t>
  </si>
  <si>
    <t>UCW-23957</t>
  </si>
  <si>
    <t>UCW-23954</t>
  </si>
  <si>
    <t>UCW-23950</t>
  </si>
  <si>
    <t>UCW-23949</t>
  </si>
  <si>
    <t>UCW-23974</t>
  </si>
  <si>
    <t>UCW-23967</t>
  </si>
  <si>
    <t>UCW-23966</t>
  </si>
  <si>
    <t>UCW-23965</t>
  </si>
  <si>
    <t>UCW-23922</t>
  </si>
  <si>
    <t>UCW-23991</t>
  </si>
  <si>
    <t>UCW-23989</t>
  </si>
  <si>
    <t>UCW-23985</t>
  </si>
  <si>
    <t>UCW-23983</t>
  </si>
  <si>
    <t>UCW-24011</t>
  </si>
  <si>
    <t>UCW-24010</t>
  </si>
  <si>
    <t>UCW-24007</t>
  </si>
  <si>
    <t>UCW-24001</t>
  </si>
  <si>
    <t>UCW-24016</t>
  </si>
  <si>
    <t>UCW-24015</t>
  </si>
  <si>
    <t>UCW-24043</t>
  </si>
  <si>
    <t>UCW-24035</t>
  </si>
  <si>
    <t>UCW-24034</t>
  </si>
  <si>
    <t>UCW-24033</t>
  </si>
  <si>
    <t>UCW-24026</t>
  </si>
  <si>
    <t>UCW-24023</t>
  </si>
  <si>
    <t>UCW-24022</t>
  </si>
  <si>
    <t>UCW-24060</t>
  </si>
  <si>
    <t>UCW-24058</t>
  </si>
  <si>
    <t>UCW-24076</t>
  </si>
  <si>
    <t>UCW-24075</t>
  </si>
  <si>
    <t>UCW-24073</t>
  </si>
  <si>
    <t>UCW-24066</t>
  </si>
  <si>
    <t>UCW-24166</t>
  </si>
  <si>
    <t>UCW-24165</t>
  </si>
  <si>
    <t>UCW-24164</t>
  </si>
  <si>
    <t>UCW-24163</t>
  </si>
  <si>
    <t>UCW-24156</t>
  </si>
  <si>
    <t>UCW-24129</t>
  </si>
  <si>
    <t>UCW-24116</t>
  </si>
  <si>
    <t>UCW-24106</t>
  </si>
  <si>
    <t>UCW-24103</t>
  </si>
  <si>
    <t>UCW-24102</t>
  </si>
  <si>
    <t>UCW-24091</t>
  </si>
  <si>
    <t>UCW-24214</t>
  </si>
  <si>
    <t>UCW-24200</t>
  </si>
  <si>
    <t>UCW-24199</t>
  </si>
  <si>
    <t>UCW-24185</t>
  </si>
  <si>
    <t>UCW-24180</t>
  </si>
  <si>
    <t>UCW-24175</t>
  </si>
  <si>
    <t>UCW-24172</t>
  </si>
  <si>
    <t>UCW-24220</t>
  </si>
  <si>
    <t>UCW-24229</t>
  </si>
  <si>
    <t>UCW-24226</t>
  </si>
  <si>
    <t>UCW-24224</t>
  </si>
  <si>
    <t>UCW-24222</t>
  </si>
  <si>
    <t>UCW-24221</t>
  </si>
  <si>
    <t>UCW-24239</t>
  </si>
  <si>
    <t>UCW-24236</t>
  </si>
  <si>
    <t>UCW-24235</t>
  </si>
  <si>
    <t>UCW-24243</t>
  </si>
  <si>
    <t>UCW-24269</t>
  </si>
  <si>
    <t>UCW-24264</t>
  </si>
  <si>
    <t>UCW-24262</t>
  </si>
  <si>
    <t>UCW-24256</t>
  </si>
  <si>
    <t>UCW-24254</t>
  </si>
  <si>
    <t>UCW-24252</t>
  </si>
  <si>
    <t>UCW-24143</t>
  </si>
  <si>
    <t>UCW-23659</t>
  </si>
  <si>
    <t>UCW-24301</t>
  </si>
  <si>
    <t>UCW-24300</t>
  </si>
  <si>
    <t>UCW-24311</t>
  </si>
  <si>
    <t>UCW-24339</t>
  </si>
  <si>
    <t>UCW-24379</t>
  </si>
  <si>
    <t>UCW-24378</t>
  </si>
  <si>
    <t>UCW-24377</t>
  </si>
  <si>
    <t>UCW-24375</t>
  </si>
  <si>
    <t>UCW-24369</t>
  </si>
  <si>
    <t>UCW-24368</t>
  </si>
  <si>
    <t>UCW-24361</t>
  </si>
  <si>
    <t>UCW-24355</t>
  </si>
  <si>
    <t>UCW-24354</t>
  </si>
  <si>
    <t>UCW-24346</t>
  </si>
  <si>
    <t>UCW-24403</t>
  </si>
  <si>
    <t>UCW-24393</t>
  </si>
  <si>
    <t>UCW-24386</t>
  </si>
  <si>
    <t>UCW-24446</t>
  </si>
  <si>
    <t>UCW-24443</t>
  </si>
  <si>
    <t>UCW-24441</t>
  </si>
  <si>
    <t>UCW-24439</t>
  </si>
  <si>
    <t>UCW-24437</t>
  </si>
  <si>
    <t>UCW-24435</t>
  </si>
  <si>
    <t>UCW-24431</t>
  </si>
  <si>
    <t>UCW-24427</t>
  </si>
  <si>
    <t>UCW-24424</t>
  </si>
  <si>
    <t>UCW-24422</t>
  </si>
  <si>
    <t>UCW-24421</t>
  </si>
  <si>
    <t>UCW-24420</t>
  </si>
  <si>
    <t>UCW-24461</t>
  </si>
  <si>
    <t>UCW-24458</t>
  </si>
  <si>
    <t>UCW-24455</t>
  </si>
  <si>
    <t>UCW-24452</t>
  </si>
  <si>
    <t>UCW-24448</t>
  </si>
  <si>
    <t>UCW-24447</t>
  </si>
  <si>
    <t>UCW-24477</t>
  </si>
  <si>
    <t>UCW-24471</t>
  </si>
  <si>
    <t>UCW-24467</t>
  </si>
  <si>
    <t>UCW-24499</t>
  </si>
  <si>
    <t>UCW-24498</t>
  </si>
  <si>
    <t>UCW-24497</t>
  </si>
  <si>
    <t>UCW-24494</t>
  </si>
  <si>
    <t>UCW-24535</t>
  </si>
  <si>
    <t>UCW-24534</t>
  </si>
  <si>
    <t>UCW-24533</t>
  </si>
  <si>
    <t>UCW-24520</t>
  </si>
  <si>
    <t>UCW-24518</t>
  </si>
  <si>
    <t>UCW-24515</t>
  </si>
  <si>
    <t>UCW-24513</t>
  </si>
  <si>
    <t>UCW-24570</t>
  </si>
  <si>
    <t>UCW-24540</t>
  </si>
  <si>
    <t>UCW-24585</t>
  </si>
  <si>
    <t>UCW-24576</t>
  </si>
  <si>
    <t>UCW-24597</t>
  </si>
  <si>
    <t>UCW-24592</t>
  </si>
  <si>
    <t>UCW-24610</t>
  </si>
  <si>
    <t>UCW-24621</t>
  </si>
  <si>
    <t>UCW-24614</t>
  </si>
  <si>
    <t>UCW-24612</t>
  </si>
  <si>
    <t>UCW-24698</t>
  </si>
  <si>
    <t>UCW-24696</t>
  </si>
  <si>
    <t>UCW-24692</t>
  </si>
  <si>
    <t>UCW-24691</t>
  </si>
  <si>
    <t>UCW-24690</t>
  </si>
  <si>
    <t>UCW-24686</t>
  </si>
  <si>
    <t>UCW-24683</t>
  </si>
  <si>
    <t>UCW-24682</t>
  </si>
  <si>
    <t>UCW-24678</t>
  </si>
  <si>
    <t>UCW-24670</t>
  </si>
  <si>
    <t>UCW-24668</t>
  </si>
  <si>
    <t>UCW-24664</t>
  </si>
  <si>
    <t>UCW-24660</t>
  </si>
  <si>
    <t>UCW-24653</t>
  </si>
  <si>
    <t>UCW-24651</t>
  </si>
  <si>
    <t>UCW-24631</t>
  </si>
  <si>
    <t>UCW-24630</t>
  </si>
  <si>
    <t>UCW-24628</t>
  </si>
  <si>
    <t>UCW-24549</t>
  </si>
  <si>
    <t>UCW-24710</t>
  </si>
  <si>
    <t>UCW-24707</t>
  </si>
  <si>
    <t>UCW-24706</t>
  </si>
  <si>
    <t>UCW-24705</t>
  </si>
  <si>
    <t>UCW-24704</t>
  </si>
  <si>
    <t>UCW-24703</t>
  </si>
  <si>
    <t>UCW-24702</t>
  </si>
  <si>
    <t>UCW-24701</t>
  </si>
  <si>
    <t>UCW-24700</t>
  </si>
  <si>
    <t>UCW-24721</t>
  </si>
  <si>
    <t>UCW-24720</t>
  </si>
  <si>
    <t>UCW-24717</t>
  </si>
  <si>
    <t>UCW-24752</t>
  </si>
  <si>
    <t>UCW-24749</t>
  </si>
  <si>
    <t>UCW-24744</t>
  </si>
  <si>
    <t>UCW-24739</t>
  </si>
  <si>
    <t>UCW-24784</t>
  </si>
  <si>
    <t>UCW-24783</t>
  </si>
  <si>
    <t>UCW-24778</t>
  </si>
  <si>
    <t>UCW-24776</t>
  </si>
  <si>
    <t>UCW-24775</t>
  </si>
  <si>
    <t>UCW-24769</t>
  </si>
  <si>
    <t>UCW-24835</t>
  </si>
  <si>
    <t>UCW-24834</t>
  </si>
  <si>
    <t>UCW-24831</t>
  </si>
  <si>
    <t>UCW-24828</t>
  </si>
  <si>
    <t>UCW-24825</t>
  </si>
  <si>
    <t>UCW-24821</t>
  </si>
  <si>
    <t>UCW-24818</t>
  </si>
  <si>
    <t>UCW-24817</t>
  </si>
  <si>
    <t>UCW-24812</t>
  </si>
  <si>
    <t>UCW-24811</t>
  </si>
  <si>
    <t>UCW-24809</t>
  </si>
  <si>
    <t>UCW-24807</t>
  </si>
  <si>
    <t>UCW-24804</t>
  </si>
  <si>
    <t>UCW-24787</t>
  </si>
  <si>
    <t>UCW-24858</t>
  </si>
  <si>
    <t>UCW-24856</t>
  </si>
  <si>
    <t>UCW-24892</t>
  </si>
  <si>
    <t>UCW-24861</t>
  </si>
  <si>
    <t>UCW-24930</t>
  </si>
  <si>
    <t>UCW-24928</t>
  </si>
  <si>
    <t>UCW-24924</t>
  </si>
  <si>
    <t>UCW-24906</t>
  </si>
  <si>
    <t>UCW-24967</t>
  </si>
  <si>
    <t>UCW-24965</t>
  </si>
  <si>
    <t>UCW-24964</t>
  </si>
  <si>
    <t>UCW-24963</t>
  </si>
  <si>
    <t>UCW-24960</t>
  </si>
  <si>
    <t>UCW-24959</t>
  </si>
  <si>
    <t>UCW-24996</t>
  </si>
  <si>
    <t>UCW-24995</t>
  </si>
  <si>
    <t>UCW-24994</t>
  </si>
  <si>
    <t>UCW-24989</t>
  </si>
  <si>
    <t>UCW-25000</t>
  </si>
  <si>
    <t>UCW-25040</t>
  </si>
  <si>
    <t>UCW-25035</t>
  </si>
  <si>
    <t>UCW-25034</t>
  </si>
  <si>
    <t>UCW-25032</t>
  </si>
  <si>
    <t>UCW-25027</t>
  </si>
  <si>
    <t>UCW-25026</t>
  </si>
  <si>
    <t>UCW-25025</t>
  </si>
  <si>
    <t>UCW-25020</t>
  </si>
  <si>
    <t>UCW-25019</t>
  </si>
  <si>
    <t>UCW-25018</t>
  </si>
  <si>
    <t>UCW-25017</t>
  </si>
  <si>
    <t>UCW-25016</t>
  </si>
  <si>
    <t>UCW-25015</t>
  </si>
  <si>
    <t>UCW-25013</t>
  </si>
  <si>
    <t>UCW-25009</t>
  </si>
  <si>
    <t>UCW-25007</t>
  </si>
  <si>
    <t>UCW-25048</t>
  </si>
  <si>
    <t>UCW-25045</t>
  </si>
  <si>
    <t>UCW-25030</t>
  </si>
  <si>
    <t>UCW-25154</t>
  </si>
  <si>
    <t>UCW-25150</t>
  </si>
  <si>
    <t>UCW-25148</t>
  </si>
  <si>
    <t>UCW-25142</t>
  </si>
  <si>
    <t>UCW-25137</t>
  </si>
  <si>
    <t>UCW-25136</t>
  </si>
  <si>
    <t>UCW-25135</t>
  </si>
  <si>
    <t>UCW-25132</t>
  </si>
  <si>
    <t>UCW-25131</t>
  </si>
  <si>
    <t>UCW-25129</t>
  </si>
  <si>
    <t>UCW-25124</t>
  </si>
  <si>
    <t>UCW-25123</t>
  </si>
  <si>
    <t>UCW-25118</t>
  </si>
  <si>
    <t>UCW-25117</t>
  </si>
  <si>
    <t>UCW-25116</t>
  </si>
  <si>
    <t>UCW-25115</t>
  </si>
  <si>
    <t>UCW-25110</t>
  </si>
  <si>
    <t>UCW-25081</t>
  </si>
  <si>
    <t>UCW-25079</t>
  </si>
  <si>
    <t>UCW-25072</t>
  </si>
  <si>
    <t>UCW-25071</t>
  </si>
  <si>
    <t>UCW-25070</t>
  </si>
  <si>
    <t>UCW-25170</t>
  </si>
  <si>
    <t>UCW-25167</t>
  </si>
  <si>
    <t>UCW-25165</t>
  </si>
  <si>
    <t>UCW-25119</t>
  </si>
  <si>
    <t>UCW-25205</t>
  </si>
  <si>
    <t>UCW-25201</t>
  </si>
  <si>
    <t>UCW-25200</t>
  </si>
  <si>
    <t>UCW-25197</t>
  </si>
  <si>
    <t>UCW-25196</t>
  </si>
  <si>
    <t>UCW-25185</t>
  </si>
  <si>
    <t>UCW-25183</t>
  </si>
  <si>
    <t>UCW-25178</t>
  </si>
  <si>
    <t>UCW-25176</t>
  </si>
  <si>
    <t>UCW-25216</t>
  </si>
  <si>
    <t>UCW-24956</t>
  </si>
  <si>
    <t>UCW-25217</t>
  </si>
  <si>
    <t>UCW-25108</t>
  </si>
  <si>
    <t>UCW-25225</t>
  </si>
  <si>
    <t>UCW-25223</t>
  </si>
  <si>
    <t>UCW-25229</t>
  </si>
  <si>
    <t>UCW-25234</t>
  </si>
  <si>
    <t>UCW-25281</t>
  </si>
  <si>
    <t>UCW-25280</t>
  </si>
  <si>
    <t>UCW-25279</t>
  </si>
  <si>
    <t>UCW-25271</t>
  </si>
  <si>
    <t>UCW-25266</t>
  </si>
  <si>
    <t>UCW-25257</t>
  </si>
  <si>
    <t>UCW-25256</t>
  </si>
  <si>
    <t>UCW-25254</t>
  </si>
  <si>
    <t>UCW-25251</t>
  </si>
  <si>
    <t>UCW-25249</t>
  </si>
  <si>
    <t>UCW-25243</t>
  </si>
  <si>
    <t>UCW-25321</t>
  </si>
  <si>
    <t>UCW-25315</t>
  </si>
  <si>
    <t>UCW-25314</t>
  </si>
  <si>
    <t>UCW-25313</t>
  </si>
  <si>
    <t>UCW-25309</t>
  </si>
  <si>
    <t>UCW-25303</t>
  </si>
  <si>
    <t>UCW-25299</t>
  </si>
  <si>
    <t>UCW-25295</t>
  </si>
  <si>
    <t>UCW-25294</t>
  </si>
  <si>
    <t>UCW-25289</t>
  </si>
  <si>
    <t>UCW-25287</t>
  </si>
  <si>
    <t>UCW-25286</t>
  </si>
  <si>
    <t>UCW-25336</t>
  </si>
  <si>
    <t>UCW-25344</t>
  </si>
  <si>
    <t>UCW-25469</t>
  </si>
  <si>
    <t>UCW-25462</t>
  </si>
  <si>
    <t>UCW-25459</t>
  </si>
  <si>
    <t>UCW-25457</t>
  </si>
  <si>
    <t>UCW-25456</t>
  </si>
  <si>
    <t>UCW-25455</t>
  </si>
  <si>
    <t>UCW-25453</t>
  </si>
  <si>
    <t>UCW-25451</t>
  </si>
  <si>
    <t>UCW-25440</t>
  </si>
  <si>
    <t>UCW-25436</t>
  </si>
  <si>
    <t>UCW-25423</t>
  </si>
  <si>
    <t>UCW-25419</t>
  </si>
  <si>
    <t>UCW-25416</t>
  </si>
  <si>
    <t>UCW-25409</t>
  </si>
  <si>
    <t>UCW-25404</t>
  </si>
  <si>
    <t>UCW-25403</t>
  </si>
  <si>
    <t>UCW-25400</t>
  </si>
  <si>
    <t>UCW-25396</t>
  </si>
  <si>
    <t>UCW-25392</t>
  </si>
  <si>
    <t>UCW-25387</t>
  </si>
  <si>
    <t>UCW-25386</t>
  </si>
  <si>
    <t>UCW-25385</t>
  </si>
  <si>
    <t>UCW-25381</t>
  </si>
  <si>
    <t>UCW-25380</t>
  </si>
  <si>
    <t>UCW-25379</t>
  </si>
  <si>
    <t>UCW-25378</t>
  </si>
  <si>
    <t>UCW-25376</t>
  </si>
  <si>
    <t>UCW-25375</t>
  </si>
  <si>
    <t>UCW-25374</t>
  </si>
  <si>
    <t>UCW-25368</t>
  </si>
  <si>
    <t>UCW-25365</t>
  </si>
  <si>
    <t>UCW-25364</t>
  </si>
  <si>
    <t>UCW-25363</t>
  </si>
  <si>
    <t>UCW-25349</t>
  </si>
  <si>
    <t>UCW-25348</t>
  </si>
  <si>
    <t>UCW-25347</t>
  </si>
  <si>
    <t>UCW-25193</t>
  </si>
  <si>
    <t>UCW-25474</t>
  </si>
  <si>
    <t>UCW-25505</t>
  </si>
  <si>
    <t>UCW-25499</t>
  </si>
  <si>
    <t>UCW-25489</t>
  </si>
  <si>
    <t>UCW-25614</t>
  </si>
  <si>
    <t>UCW-25613</t>
  </si>
  <si>
    <t>UCW-25608</t>
  </si>
  <si>
    <t>UCW-25604</t>
  </si>
  <si>
    <t>UCW-25602</t>
  </si>
  <si>
    <t>UCW-25579</t>
  </si>
  <si>
    <t>UCW-25574</t>
  </si>
  <si>
    <t>UCW-25553</t>
  </si>
  <si>
    <t>UCW-25552</t>
  </si>
  <si>
    <t>UCW-25548</t>
  </si>
  <si>
    <t>UCW-25541</t>
  </si>
  <si>
    <t>UCW-25539</t>
  </si>
  <si>
    <t>UCW-25535</t>
  </si>
  <si>
    <t>UCW-25533</t>
  </si>
  <si>
    <t>UCW-25529</t>
  </si>
  <si>
    <t>UCW-25528</t>
  </si>
  <si>
    <t>UCW-25526</t>
  </si>
  <si>
    <t>UCW-25524</t>
  </si>
  <si>
    <t>UCW-25519</t>
  </si>
  <si>
    <t>UCW-25617</t>
  </si>
  <si>
    <t>UCW-25631</t>
  </si>
  <si>
    <t>UCW-25629</t>
  </si>
  <si>
    <t>UCW-25628</t>
  </si>
  <si>
    <t>UCW-25627</t>
  </si>
  <si>
    <t>UCW-25618</t>
  </si>
  <si>
    <t>UCW-25677</t>
  </si>
  <si>
    <t>UCW-25676</t>
  </si>
  <si>
    <t>UCW-25675</t>
  </si>
  <si>
    <t>UCW-25674</t>
  </si>
  <si>
    <t>UCW-25673</t>
  </si>
  <si>
    <t>UCW-25672</t>
  </si>
  <si>
    <t>UCW-25671</t>
  </si>
  <si>
    <t>UCW-25668</t>
  </si>
  <si>
    <t>UCW-25667</t>
  </si>
  <si>
    <t>UCW-25660</t>
  </si>
  <si>
    <t>UCW-25644</t>
  </si>
  <si>
    <t>UCW-25643</t>
  </si>
  <si>
    <t>UCW-25641</t>
  </si>
  <si>
    <t>UCW-25640</t>
  </si>
  <si>
    <t>UCW-25637</t>
  </si>
  <si>
    <t>UCW-25634</t>
  </si>
  <si>
    <t>UCW-25633</t>
  </si>
  <si>
    <t>UCW-25749</t>
  </si>
  <si>
    <t>UCW-25740</t>
  </si>
  <si>
    <t>UCW-25738</t>
  </si>
  <si>
    <t>UCW-25735</t>
  </si>
  <si>
    <t>UCW-25732</t>
  </si>
  <si>
    <t>UCW-25724</t>
  </si>
  <si>
    <t>UCW-25723</t>
  </si>
  <si>
    <t>UCW-25721</t>
  </si>
  <si>
    <t>UCW-25720</t>
  </si>
  <si>
    <t>UCW-25719</t>
  </si>
  <si>
    <t>UCW-25714</t>
  </si>
  <si>
    <t>UCW-25708</t>
  </si>
  <si>
    <t>UCW-25707</t>
  </si>
  <si>
    <t>UCW-25704</t>
  </si>
  <si>
    <t>UCW-25697</t>
  </si>
  <si>
    <t>UCW-25695</t>
  </si>
  <si>
    <t>UCW-25694</t>
  </si>
  <si>
    <t>UCW-25689</t>
  </si>
  <si>
    <t>UCW-25688</t>
  </si>
  <si>
    <t>UCW-25687</t>
  </si>
  <si>
    <t>UCW-25686</t>
  </si>
  <si>
    <t>UCW-25685</t>
  </si>
  <si>
    <t>UCW-25682</t>
  </si>
  <si>
    <t>UCW-25681</t>
  </si>
  <si>
    <t>UCW-25679</t>
  </si>
  <si>
    <t>UCW-25841</t>
  </si>
  <si>
    <t>UCW-25833</t>
  </si>
  <si>
    <t>UCW-25831</t>
  </si>
  <si>
    <t>UCW-25821</t>
  </si>
  <si>
    <t>UCW-25818</t>
  </si>
  <si>
    <t>UCW-25811</t>
  </si>
  <si>
    <t>UCW-25810</t>
  </si>
  <si>
    <t>UCW-25804</t>
  </si>
  <si>
    <t>UCW-25789</t>
  </si>
  <si>
    <t>UCW-25787</t>
  </si>
  <si>
    <t>UCW-25786</t>
  </si>
  <si>
    <t>UCW-25785</t>
  </si>
  <si>
    <t>UCW-25779</t>
  </si>
  <si>
    <t>UCW-25778</t>
  </si>
  <si>
    <t>UCW-25777</t>
  </si>
  <si>
    <t>UCW-25776</t>
  </si>
  <si>
    <t>UCW-25775</t>
  </si>
  <si>
    <t>UCW-25760</t>
  </si>
  <si>
    <t>UCW-25754</t>
  </si>
  <si>
    <t>UCW-25752</t>
  </si>
  <si>
    <t>UCW-25814</t>
  </si>
  <si>
    <t>UCW-25739</t>
  </si>
  <si>
    <t>UCW-25905</t>
  </si>
  <si>
    <t>UCW-25903</t>
  </si>
  <si>
    <t>UCW-25887</t>
  </si>
  <si>
    <t>UCW-25886</t>
  </si>
  <si>
    <t>UCW-25878</t>
  </si>
  <si>
    <t>UCW-25877</t>
  </si>
  <si>
    <t>UCW-25872</t>
  </si>
  <si>
    <t>UCW-25870</t>
  </si>
  <si>
    <t>UCW-25869</t>
  </si>
  <si>
    <t>UCW-25868</t>
  </si>
  <si>
    <t>UCW-25867</t>
  </si>
  <si>
    <t>UCW-25862</t>
  </si>
  <si>
    <t>UCW-25856</t>
  </si>
  <si>
    <t>UCW-25985</t>
  </si>
  <si>
    <t>UCW-25984</t>
  </si>
  <si>
    <t>UCW-25983</t>
  </si>
  <si>
    <t>UCW-25982</t>
  </si>
  <si>
    <t>UCW-25981</t>
  </si>
  <si>
    <t>UCW-25980</t>
  </si>
  <si>
    <t>UCW-25977</t>
  </si>
  <si>
    <t>UCW-25968</t>
  </si>
  <si>
    <t>UCW-25966</t>
  </si>
  <si>
    <t>UCW-25964</t>
  </si>
  <si>
    <t>UCW-25963</t>
  </si>
  <si>
    <t>UCW-25961</t>
  </si>
  <si>
    <t>UCW-25960</t>
  </si>
  <si>
    <t>UCW-25959</t>
  </si>
  <si>
    <t>UCW-25957</t>
  </si>
  <si>
    <t>UCW-25955</t>
  </si>
  <si>
    <t>UCW-25954</t>
  </si>
  <si>
    <t>UCW-25953</t>
  </si>
  <si>
    <t>UCW-25952</t>
  </si>
  <si>
    <t>UCW-25944</t>
  </si>
  <si>
    <t>UCW-25942</t>
  </si>
  <si>
    <t>UCW-25936</t>
  </si>
  <si>
    <t>UCW-25920</t>
  </si>
  <si>
    <t>UCW-25918</t>
  </si>
  <si>
    <t>UCW-25916</t>
  </si>
  <si>
    <t>UCW-25986</t>
  </si>
  <si>
    <t>UCW-26028</t>
  </si>
  <si>
    <t>UCW-26027</t>
  </si>
  <si>
    <t>UCW-26022</t>
  </si>
  <si>
    <t>UCW-26020</t>
  </si>
  <si>
    <t>UCW-26019</t>
  </si>
  <si>
    <t>UCW-26014</t>
  </si>
  <si>
    <t>UCW-26012</t>
  </si>
  <si>
    <t>UCW-26011</t>
  </si>
  <si>
    <t>UCW-26010</t>
  </si>
  <si>
    <t>UCW-26008</t>
  </si>
  <si>
    <t>UCW-26005</t>
  </si>
  <si>
    <t>UCW-26001</t>
  </si>
  <si>
    <t>UCW-26030</t>
  </si>
  <si>
    <t>UCW-26029</t>
  </si>
  <si>
    <t>UCW-26033</t>
  </si>
  <si>
    <t>UCW-26035</t>
  </si>
  <si>
    <t>UCW-26039</t>
  </si>
  <si>
    <t>UCW-26047</t>
  </si>
  <si>
    <t>UCW-26046</t>
  </si>
  <si>
    <t>UCW-26045</t>
  </si>
  <si>
    <t>UCW-26041</t>
  </si>
  <si>
    <t>UCW-26067</t>
  </si>
  <si>
    <t>UCW-26065</t>
  </si>
  <si>
    <t>UCW-26062</t>
  </si>
  <si>
    <t>UCW-26053</t>
  </si>
  <si>
    <t>UCW-26049</t>
  </si>
  <si>
    <t>UCW-26094</t>
  </si>
  <si>
    <t>UCW-26093</t>
  </si>
  <si>
    <t>UCW-26091</t>
  </si>
  <si>
    <t>UCW-26088</t>
  </si>
  <si>
    <t>UCW-26100</t>
  </si>
  <si>
    <t>UCW-26101</t>
  </si>
  <si>
    <t>UCW-26107</t>
  </si>
  <si>
    <t>UCW-26106</t>
  </si>
  <si>
    <t>UCW-26105</t>
  </si>
  <si>
    <t>UCW-26104</t>
  </si>
  <si>
    <t>UCW-26103</t>
  </si>
  <si>
    <t>UCW-26118</t>
  </si>
  <si>
    <t>UCW-26132</t>
  </si>
  <si>
    <t>UCW-26136</t>
  </si>
  <si>
    <t>UCW-25928</t>
  </si>
  <si>
    <t>UCW-26148</t>
  </si>
  <si>
    <t>UCW-26146</t>
  </si>
  <si>
    <t>UCW-26141</t>
  </si>
  <si>
    <t>UCW-26175</t>
  </si>
  <si>
    <t>UCW-26173</t>
  </si>
  <si>
    <t>UCW-26169</t>
  </si>
  <si>
    <t>UCW-26168</t>
  </si>
  <si>
    <t>UCW-26165</t>
  </si>
  <si>
    <t>UCW-26163</t>
  </si>
  <si>
    <t>UCW-26154</t>
  </si>
  <si>
    <t>UCW-26152</t>
  </si>
  <si>
    <t>UCW-26180</t>
  </si>
  <si>
    <t>UCW-26179</t>
  </si>
  <si>
    <t>UCW-26421</t>
  </si>
  <si>
    <t>UCW-26419</t>
  </si>
  <si>
    <t>UCW-26415</t>
  </si>
  <si>
    <t>UCW-26409</t>
  </si>
  <si>
    <t>UCW-26405</t>
  </si>
  <si>
    <t>UCW-26388</t>
  </si>
  <si>
    <t>UCW-26380</t>
  </si>
  <si>
    <t>UCW-26378</t>
  </si>
  <si>
    <t>UCW-26365</t>
  </si>
  <si>
    <t>UCW-26364</t>
  </si>
  <si>
    <t>UCW-26359</t>
  </si>
  <si>
    <t>UCW-26353</t>
  </si>
  <si>
    <t>UCW-26344</t>
  </si>
  <si>
    <t>UCW-26333</t>
  </si>
  <si>
    <t>UCW-26325</t>
  </si>
  <si>
    <t>UCW-26318</t>
  </si>
  <si>
    <t>UCW-26292</t>
  </si>
  <si>
    <t>UCW-26288</t>
  </si>
  <si>
    <t>UCW-26284</t>
  </si>
  <si>
    <t>UCW-26282</t>
  </si>
  <si>
    <t>UCW-26281</t>
  </si>
  <si>
    <t>UCW-26279</t>
  </si>
  <si>
    <t>UCW-26277</t>
  </si>
  <si>
    <t>UCW-26276</t>
  </si>
  <si>
    <t>UCW-26271</t>
  </si>
  <si>
    <t>UCW-26268</t>
  </si>
  <si>
    <t>UCW-26266</t>
  </si>
  <si>
    <t>UCW-26261</t>
  </si>
  <si>
    <t>UCW-26251</t>
  </si>
  <si>
    <t>UCW-26248</t>
  </si>
  <si>
    <t>UCW-26246</t>
  </si>
  <si>
    <t>UCW-26244</t>
  </si>
  <si>
    <t>UCW-26238</t>
  </si>
  <si>
    <t>UCW-26237</t>
  </si>
  <si>
    <t>UCW-26231</t>
  </si>
  <si>
    <t>UCW-26224</t>
  </si>
  <si>
    <t>UCW-26221</t>
  </si>
  <si>
    <t>UCW-26220</t>
  </si>
  <si>
    <t>UCW-26218</t>
  </si>
  <si>
    <t>UCW-26217</t>
  </si>
  <si>
    <t>UCW-26216</t>
  </si>
  <si>
    <t>UCW-26203</t>
  </si>
  <si>
    <t>UCW-26202</t>
  </si>
  <si>
    <t>UCW-26200</t>
  </si>
  <si>
    <t>UCW-26192</t>
  </si>
  <si>
    <t>UCW-26191</t>
  </si>
  <si>
    <t>UCW-26185</t>
  </si>
  <si>
    <t>UCW-26183</t>
  </si>
  <si>
    <t>UCW-26541</t>
  </si>
  <si>
    <t>UCW-26537</t>
  </si>
  <si>
    <t>UCW-26534</t>
  </si>
  <si>
    <t>UCW-26531</t>
  </si>
  <si>
    <t>UCW-26528</t>
  </si>
  <si>
    <t>UCW-26526</t>
  </si>
  <si>
    <t>UCW-26525</t>
  </si>
  <si>
    <t>UCW-26522</t>
  </si>
  <si>
    <t>UCW-26521</t>
  </si>
  <si>
    <t>UCW-26520</t>
  </si>
  <si>
    <t>UCW-26519</t>
  </si>
  <si>
    <t>UCW-26518</t>
  </si>
  <si>
    <t>UCW-26512</t>
  </si>
  <si>
    <t>UCW-26501</t>
  </si>
  <si>
    <t>UCW-26478</t>
  </si>
  <si>
    <t>UCW-26474</t>
  </si>
  <si>
    <t>UCW-26472</t>
  </si>
  <si>
    <t>UCW-26461</t>
  </si>
  <si>
    <t>UCW-26455</t>
  </si>
  <si>
    <t>UCW-26454</t>
  </si>
  <si>
    <t>UCW-26602</t>
  </si>
  <si>
    <t>UCW-26598</t>
  </si>
  <si>
    <t>UCW-26596</t>
  </si>
  <si>
    <t>UCW-26591</t>
  </si>
  <si>
    <t>UCW-26588</t>
  </si>
  <si>
    <t>UCW-26586</t>
  </si>
  <si>
    <t>UCW-26585</t>
  </si>
  <si>
    <t>UCW-26584</t>
  </si>
  <si>
    <t>UCW-26583</t>
  </si>
  <si>
    <t>UCW-26581</t>
  </si>
  <si>
    <t>UCW-26580</t>
  </si>
  <si>
    <t>UCW-26578</t>
  </si>
  <si>
    <t>UCW-26574</t>
  </si>
  <si>
    <t>UCW-26569</t>
  </si>
  <si>
    <t>UCW-26566</t>
  </si>
  <si>
    <t>UCW-26561</t>
  </si>
  <si>
    <t>UCW-26559</t>
  </si>
  <si>
    <t>UCW-26556</t>
  </si>
  <si>
    <t>UCW-26554</t>
  </si>
  <si>
    <t>UCW-26551</t>
  </si>
  <si>
    <t>UCW-26550</t>
  </si>
  <si>
    <t>UCW-26549</t>
  </si>
  <si>
    <t>UCW-26546</t>
  </si>
  <si>
    <t>UCW-26544</t>
  </si>
  <si>
    <t>UCW-26543</t>
  </si>
  <si>
    <t>UCW-26653</t>
  </si>
  <si>
    <t>UCW-26650</t>
  </si>
  <si>
    <t>UCW-26644</t>
  </si>
  <si>
    <t>UCW-26637</t>
  </si>
  <si>
    <t>UCW-26630</t>
  </si>
  <si>
    <t>UCW-26623</t>
  </si>
  <si>
    <t>UCW-26620</t>
  </si>
  <si>
    <t>UCW-26613</t>
  </si>
  <si>
    <t>Image Update On Tatacliq (Brand Name - Globus) (13.10.2025) (Ethnic Wear)</t>
  </si>
  <si>
    <t>New Product Listing</t>
  </si>
  <si>
    <t>Content Sheet</t>
  </si>
  <si>
    <t>NA</t>
  </si>
  <si>
    <t>UCW-26670</t>
  </si>
  <si>
    <t>UCW-26668</t>
  </si>
  <si>
    <t>UCW-26663</t>
  </si>
  <si>
    <t>UCW-26662</t>
  </si>
  <si>
    <t>UCW-26661</t>
  </si>
  <si>
    <t>UCW-26659</t>
  </si>
  <si>
    <t>UCW-26770</t>
  </si>
  <si>
    <t>UCW-26765</t>
  </si>
  <si>
    <t>UCW-26761</t>
  </si>
  <si>
    <t>UCW-26758</t>
  </si>
  <si>
    <t>UCW-26755</t>
  </si>
  <si>
    <t>UCW-26749</t>
  </si>
  <si>
    <t>UCW-26746</t>
  </si>
  <si>
    <t>UCW-26740</t>
  </si>
  <si>
    <t>UCW-26738</t>
  </si>
  <si>
    <t>UCW-26734</t>
  </si>
  <si>
    <t>UCW-26723</t>
  </si>
  <si>
    <t>UCW-26717</t>
  </si>
  <si>
    <t>UCW-26711</t>
  </si>
  <si>
    <t>UCW-26710</t>
  </si>
  <si>
    <t>UCW-26703</t>
  </si>
  <si>
    <t>UCW-26694</t>
  </si>
  <si>
    <t>UCW-26691</t>
  </si>
  <si>
    <t>UCW-26689</t>
  </si>
  <si>
    <t>UCW-26680</t>
  </si>
  <si>
    <t>UCW-26787</t>
  </si>
  <si>
    <t>UCW-26775</t>
  </si>
  <si>
    <t>UCW-26774</t>
  </si>
  <si>
    <t>UCW-26846</t>
  </si>
  <si>
    <t>UCW-26844</t>
  </si>
  <si>
    <t>UCW-26837</t>
  </si>
  <si>
    <t>UCW-26836</t>
  </si>
  <si>
    <t>UCW-26830</t>
  </si>
  <si>
    <t>UCW-26825</t>
  </si>
  <si>
    <t>UCW-26824</t>
  </si>
  <si>
    <t>UCW-26821</t>
  </si>
  <si>
    <t>UCW-26818</t>
  </si>
  <si>
    <t>UCW-26808</t>
  </si>
  <si>
    <t>UCW-26806</t>
  </si>
  <si>
    <t>UCW-26805</t>
  </si>
  <si>
    <t>UCW-26799</t>
  </si>
  <si>
    <t>UCW-26798</t>
  </si>
  <si>
    <t>UCW-26790</t>
  </si>
  <si>
    <t>UCW-26876</t>
  </si>
  <si>
    <t>UCW-26874</t>
  </si>
  <si>
    <t>UCW-26869</t>
  </si>
  <si>
    <t>UCW-26888</t>
  </si>
  <si>
    <t>UCW-26879</t>
  </si>
  <si>
    <t>UCW-26873</t>
  </si>
  <si>
    <t>UCW-26906</t>
  </si>
  <si>
    <t>UCW-26900</t>
  </si>
  <si>
    <t>UCW-26897</t>
  </si>
  <si>
    <t>UCW-26923</t>
  </si>
  <si>
    <t>UCW-26919</t>
  </si>
  <si>
    <t>UCW-26940</t>
  </si>
  <si>
    <t>UCW-26935</t>
  </si>
  <si>
    <t>UCW-26932</t>
  </si>
  <si>
    <t>UCW-26930</t>
  </si>
  <si>
    <t>UCW-27161</t>
  </si>
  <si>
    <t>UCW-27160</t>
  </si>
  <si>
    <t>UCW-27158</t>
  </si>
  <si>
    <t>UCW-27156</t>
  </si>
  <si>
    <t>UCW-27155</t>
  </si>
  <si>
    <t>UCW-27153</t>
  </si>
  <si>
    <t>UCW-27141</t>
  </si>
  <si>
    <t>UCW-27139</t>
  </si>
  <si>
    <t>UCW-27138</t>
  </si>
  <si>
    <t>UCW-27137</t>
  </si>
  <si>
    <t>UCW-27136</t>
  </si>
  <si>
    <t>UCW-27135</t>
  </si>
  <si>
    <t>UCW-27131</t>
  </si>
  <si>
    <t>UCW-27127</t>
  </si>
  <si>
    <t>UCW-27123</t>
  </si>
  <si>
    <t>UCW-27121</t>
  </si>
  <si>
    <t>UCW-27120</t>
  </si>
  <si>
    <t>UCW-27111</t>
  </si>
  <si>
    <t>UCW-27109</t>
  </si>
  <si>
    <t>UCW-27108</t>
  </si>
  <si>
    <t>UCW-27106</t>
  </si>
  <si>
    <t>UCW-27084</t>
  </si>
  <si>
    <t>UCW-27083</t>
  </si>
  <si>
    <t>UCW-27077</t>
  </si>
  <si>
    <t>UCW-27075</t>
  </si>
  <si>
    <t>UCW-27063</t>
  </si>
  <si>
    <t>UCW-27059</t>
  </si>
  <si>
    <t>UCW-27052</t>
  </si>
  <si>
    <t>UCW-27050</t>
  </si>
  <si>
    <t>UCW-27043</t>
  </si>
  <si>
    <t>UCW-27039</t>
  </si>
  <si>
    <t>UCW-27025</t>
  </si>
  <si>
    <t>UCW-27023</t>
  </si>
  <si>
    <t>UCW-27021</t>
  </si>
  <si>
    <t>UCW-27019</t>
  </si>
  <si>
    <t>UCW-27016</t>
  </si>
  <si>
    <t>UCW-27015</t>
  </si>
  <si>
    <t>UCW-27013</t>
  </si>
  <si>
    <t>UCW-27012</t>
  </si>
  <si>
    <t>UCW-27011</t>
  </si>
  <si>
    <t>UCW-27008</t>
  </si>
  <si>
    <t>UCW-27005</t>
  </si>
  <si>
    <t>UCW-27003</t>
  </si>
  <si>
    <t>UCW-26994</t>
  </si>
  <si>
    <t>UCW-26992</t>
  </si>
  <si>
    <t>UCW-26984</t>
  </si>
  <si>
    <t>UCW-26976</t>
  </si>
  <si>
    <t>UCW-26965</t>
  </si>
  <si>
    <t>UCW-26964</t>
  </si>
  <si>
    <t>UCW-26960</t>
  </si>
  <si>
    <t>UCW-26952</t>
  </si>
  <si>
    <t>UCW-26713</t>
  </si>
  <si>
    <t>UCW-27169</t>
  </si>
  <si>
    <t>UCW-27168</t>
  </si>
  <si>
    <t>UCW-27081</t>
  </si>
  <si>
    <t>UCW-27216</t>
  </si>
  <si>
    <t>UCW-27209</t>
  </si>
  <si>
    <t>UCW-27204</t>
  </si>
  <si>
    <t>UCW-27198</t>
  </si>
  <si>
    <t>UCW-27194</t>
  </si>
  <si>
    <t>UCW-27189</t>
  </si>
  <si>
    <t>UCW-27182</t>
  </si>
  <si>
    <t>UCW-27233</t>
  </si>
  <si>
    <t>UCW-27232</t>
  </si>
  <si>
    <t>UCW-27230</t>
  </si>
  <si>
    <t>UCW-27229</t>
  </si>
  <si>
    <t>UCW-27225</t>
  </si>
  <si>
    <t>UCW-27224</t>
  </si>
  <si>
    <t>UCW-27223</t>
  </si>
  <si>
    <t>UCW-27222</t>
  </si>
  <si>
    <t>UCW-27219</t>
  </si>
  <si>
    <t>UCW-27218</t>
  </si>
  <si>
    <t>UCW-27247</t>
  </si>
  <si>
    <t>UCW-27241</t>
  </si>
  <si>
    <t>Clone - PUMA Apparel 124130 &amp; 125381 New Listing 04-02-2026</t>
  </si>
  <si>
    <t>UCW-27239</t>
  </si>
  <si>
    <t>UCW-27238</t>
  </si>
  <si>
    <t>UCW-27237</t>
  </si>
  <si>
    <t>UCW-27236</t>
  </si>
  <si>
    <t>UCW-27296</t>
  </si>
  <si>
    <t>UCW-27289</t>
  </si>
  <si>
    <t>UCW-27280</t>
  </si>
  <si>
    <t>UCW-27278</t>
  </si>
  <si>
    <t>UCW-27275</t>
  </si>
  <si>
    <t>UCW-27261</t>
  </si>
  <si>
    <t>UCW-27258</t>
  </si>
  <si>
    <t>UCW-27257</t>
  </si>
  <si>
    <t>UCW-27256</t>
  </si>
  <si>
    <t>UCW-26403</t>
  </si>
  <si>
    <t>UCW-27345</t>
  </si>
  <si>
    <t>UCW-27344</t>
  </si>
  <si>
    <t>UCW-27343</t>
  </si>
  <si>
    <t>UCW-27342</t>
  </si>
  <si>
    <t>UCW-27340</t>
  </si>
  <si>
    <t>UCW-27337</t>
  </si>
  <si>
    <t>UCW-27334</t>
  </si>
  <si>
    <t>UCW-27330</t>
  </si>
  <si>
    <t>UCW-27328</t>
  </si>
  <si>
    <t>ERROR_PUMA Accessories_Footwear_Apparel 124130 &amp; 125381 New Listing 12-02-2026_NC</t>
  </si>
  <si>
    <t>UCW-27327</t>
  </si>
  <si>
    <t>UCW-27324</t>
  </si>
  <si>
    <t>UCW-27323</t>
  </si>
  <si>
    <t>UCW-27321</t>
  </si>
  <si>
    <t>UCW-27318</t>
  </si>
  <si>
    <t>UCW-27317</t>
  </si>
  <si>
    <t>UCW-27316</t>
  </si>
  <si>
    <t>UCW-27315</t>
  </si>
  <si>
    <t>UCW-27311</t>
  </si>
  <si>
    <t>UCW-27369</t>
  </si>
  <si>
    <t>UCW-27361</t>
  </si>
  <si>
    <t>UCW-27385</t>
  </si>
  <si>
    <t>UCW-27390</t>
  </si>
  <si>
    <t>UCW-27410</t>
  </si>
  <si>
    <t>UCW-27404</t>
  </si>
  <si>
    <t>UCW-27403</t>
  </si>
  <si>
    <t>UCW-27433</t>
  </si>
  <si>
    <t>UCW-27430</t>
  </si>
  <si>
    <t>UCW-27427</t>
  </si>
  <si>
    <t>UCW-27475</t>
  </si>
  <si>
    <t>UCW-27473</t>
  </si>
  <si>
    <t>UCW-27471</t>
  </si>
  <si>
    <t>UCW-27444</t>
  </si>
  <si>
    <t>UCW-27442</t>
  </si>
  <si>
    <t>UCW-27441</t>
  </si>
  <si>
    <t>UCW-27440</t>
  </si>
  <si>
    <t>UCW-27485</t>
  </si>
  <si>
    <t>UCW-27480</t>
  </si>
  <si>
    <t>UCW-27479</t>
  </si>
  <si>
    <t>UCW-27477</t>
  </si>
  <si>
    <t>UCW-27489</t>
  </si>
  <si>
    <t>Agency PREPROCESS</t>
  </si>
  <si>
    <t>UCW-27523</t>
  </si>
  <si>
    <t>UCW-27517</t>
  </si>
  <si>
    <t>UCW-27514</t>
  </si>
  <si>
    <t>UCW-27513</t>
  </si>
  <si>
    <t>UCW-27511</t>
  </si>
  <si>
    <t>UCW-27506</t>
  </si>
  <si>
    <t>UCW-27496</t>
  </si>
  <si>
    <t>UCW-27494</t>
  </si>
  <si>
    <t>UCW-27493</t>
  </si>
  <si>
    <t>UCW-27492</t>
  </si>
  <si>
    <t>UCW-27595</t>
  </si>
  <si>
    <t>UCW-27594</t>
  </si>
  <si>
    <t>UCW-27590</t>
  </si>
  <si>
    <t>UCW-27588</t>
  </si>
  <si>
    <t>UCW-27555</t>
  </si>
  <si>
    <t>UCW-27551</t>
  </si>
  <si>
    <t>UCW-27549</t>
  </si>
  <si>
    <t>UCW-27536</t>
  </si>
  <si>
    <t>UCW-27534</t>
  </si>
  <si>
    <t>UCW-27606</t>
  </si>
  <si>
    <t>UCW-27605</t>
  </si>
  <si>
    <t>UCW-27604</t>
  </si>
  <si>
    <t>UCW-27603</t>
  </si>
  <si>
    <t>UCW-27602</t>
  </si>
  <si>
    <t>UCW-27599</t>
  </si>
  <si>
    <t>UCW-27598</t>
  </si>
  <si>
    <t>UCW-27669</t>
  </si>
  <si>
    <t>UCW-27665</t>
  </si>
  <si>
    <t>UCW-27659</t>
  </si>
  <si>
    <t>UCW-27658</t>
  </si>
  <si>
    <t>UCW-27657</t>
  </si>
  <si>
    <t>UCW-27656</t>
  </si>
  <si>
    <t>UCW-27655</t>
  </si>
  <si>
    <t>UCW-27654</t>
  </si>
  <si>
    <t>UCW-27653</t>
  </si>
  <si>
    <t>UCW-27652</t>
  </si>
  <si>
    <t>UCW-27651</t>
  </si>
  <si>
    <t>UCW-27649</t>
  </si>
  <si>
    <t>UCW-27648</t>
  </si>
  <si>
    <t>UCW-27647</t>
  </si>
  <si>
    <t>UCW-27646</t>
  </si>
  <si>
    <t>UCW-27641</t>
  </si>
  <si>
    <t>UCW-27637</t>
  </si>
  <si>
    <t>UCW-27636</t>
  </si>
  <si>
    <t>UCW-27633</t>
  </si>
  <si>
    <t>UCW-27632</t>
  </si>
  <si>
    <t>UCW-27628</t>
  </si>
  <si>
    <t>UCW-27627</t>
  </si>
  <si>
    <t>UCW-27623</t>
  </si>
  <si>
    <t>UCW-27617</t>
  </si>
  <si>
    <t>UCW-27615</t>
  </si>
  <si>
    <t>UCW-27613</t>
  </si>
  <si>
    <t>UCW-27611</t>
  </si>
  <si>
    <t>UCW-27610</t>
  </si>
  <si>
    <t>UCW-27601</t>
  </si>
  <si>
    <t>Uploaded/Retriggered</t>
  </si>
  <si>
    <t>UCW-27719</t>
  </si>
  <si>
    <t>UCW-27718</t>
  </si>
  <si>
    <t>UCW-27710</t>
  </si>
  <si>
    <t>UCW-27697</t>
  </si>
  <si>
    <t>UCW-27686</t>
  </si>
  <si>
    <t>UCW-27680</t>
  </si>
  <si>
    <t>UCW-27678</t>
  </si>
  <si>
    <t>UCW-27676</t>
  </si>
  <si>
    <t>UCW-27674</t>
  </si>
  <si>
    <t>UCW-27673</t>
  </si>
  <si>
    <t>UCW-27672</t>
  </si>
  <si>
    <t>UCW-27722</t>
  </si>
  <si>
    <t>UCW-27790</t>
  </si>
  <si>
    <t>UCW-27781</t>
  </si>
  <si>
    <t>UCW-27758</t>
  </si>
  <si>
    <t>UCW-27753</t>
  </si>
  <si>
    <t>UCW-27746</t>
  </si>
  <si>
    <t>UCW-27735</t>
  </si>
  <si>
    <t>UCW-27732</t>
  </si>
  <si>
    <t>UCW-27729</t>
  </si>
  <si>
    <t>UCW-27728</t>
  </si>
  <si>
    <t>UCW-27727</t>
  </si>
  <si>
    <t>UCW-27802</t>
  </si>
  <si>
    <t>UCW-27796</t>
  </si>
  <si>
    <t>UCW-27679</t>
  </si>
  <si>
    <t>UCW-27841</t>
  </si>
  <si>
    <t>E2E</t>
  </si>
  <si>
    <t>UCW-27839</t>
  </si>
  <si>
    <t>UCW-27838</t>
  </si>
  <si>
    <t>UCW-27837</t>
  </si>
  <si>
    <t>UCW-27835</t>
  </si>
  <si>
    <t>UCW-27832</t>
  </si>
  <si>
    <t>UCW-27826</t>
  </si>
  <si>
    <t>UCW-27815</t>
  </si>
  <si>
    <t>UCW-27813</t>
  </si>
  <si>
    <t>UCW-27811</t>
  </si>
  <si>
    <t>UCW-27810</t>
  </si>
  <si>
    <t>UCW-27880</t>
  </si>
  <si>
    <t>UCW-27877</t>
  </si>
  <si>
    <t>UCW-27868</t>
  </si>
  <si>
    <t>UCW-27867</t>
  </si>
  <si>
    <t>UCW-27856</t>
  </si>
  <si>
    <t>UCW-27855</t>
  </si>
  <si>
    <t>UCW-27890</t>
  </si>
  <si>
    <t>UCW-27918</t>
  </si>
  <si>
    <t>UCW-27903</t>
  </si>
  <si>
    <t>UCW-27901</t>
  </si>
  <si>
    <t>UCW-27898</t>
  </si>
  <si>
    <t>UCW-27896</t>
  </si>
  <si>
    <t>UCW-27924</t>
  </si>
  <si>
    <t>UCW-27923</t>
  </si>
  <si>
    <t>UCW-27996</t>
  </si>
  <si>
    <t>UCW-27995</t>
  </si>
  <si>
    <t>UCW-27991</t>
  </si>
  <si>
    <t>UCW-27981</t>
  </si>
  <si>
    <t>UCW-27957</t>
  </si>
  <si>
    <t>UCW-27938</t>
  </si>
  <si>
    <t>UCW-28018</t>
  </si>
  <si>
    <t>UCW-28017</t>
  </si>
  <si>
    <t>UCW-28016</t>
  </si>
  <si>
    <t>UCW-28015</t>
  </si>
  <si>
    <t>UCW-28013</t>
  </si>
  <si>
    <t>UCW-28012</t>
  </si>
  <si>
    <t>UCW-28011</t>
  </si>
  <si>
    <t>UCW-28009</t>
  </si>
  <si>
    <t>UCW-28008</t>
  </si>
  <si>
    <t>UCW-28007</t>
  </si>
  <si>
    <t>UCW-28005</t>
  </si>
  <si>
    <t>UCW-28113</t>
  </si>
  <si>
    <t>UCW-28109</t>
  </si>
  <si>
    <t>UCW-28108</t>
  </si>
  <si>
    <t>UCW-28105</t>
  </si>
  <si>
    <t>UCW-28104</t>
  </si>
  <si>
    <t>UCW-28103</t>
  </si>
  <si>
    <t>UCW-28101</t>
  </si>
  <si>
    <t>UCW-28085</t>
  </si>
  <si>
    <t>UCW-28062</t>
  </si>
  <si>
    <t>UCW-28032</t>
  </si>
  <si>
    <t>UCW-28124</t>
  </si>
  <si>
    <t>UCW-28234</t>
  </si>
  <si>
    <t>UCW-28231</t>
  </si>
  <si>
    <t>UCW-28228</t>
  </si>
  <si>
    <t>UCW-28227</t>
  </si>
  <si>
    <t>UCW-28225</t>
  </si>
  <si>
    <t>UCW-28224</t>
  </si>
  <si>
    <t>UCW-28211</t>
  </si>
  <si>
    <t>UCW-28197</t>
  </si>
  <si>
    <t>UCW-28191</t>
  </si>
  <si>
    <t>UCW-28189</t>
  </si>
  <si>
    <t>UCW-28187</t>
  </si>
  <si>
    <t>UCW-28184</t>
  </si>
  <si>
    <t>UCW-28156</t>
  </si>
  <si>
    <t>UCW-28149</t>
  </si>
  <si>
    <t>UCW-28106</t>
  </si>
  <si>
    <t>UCW-28259</t>
  </si>
  <si>
    <t>UCW-28277</t>
  </si>
  <si>
    <t>UCW-28274</t>
  </si>
  <si>
    <t>UCW-28262</t>
  </si>
  <si>
    <t>UCW-28336</t>
  </si>
  <si>
    <t>UCW-28333</t>
  </si>
  <si>
    <t>UCW-28331</t>
  </si>
  <si>
    <t>UCW-28330</t>
  </si>
  <si>
    <t>UCW-28329</t>
  </si>
  <si>
    <t>UCW-28328</t>
  </si>
  <si>
    <t>UCW-28324</t>
  </si>
  <si>
    <t>UCW-28322</t>
  </si>
  <si>
    <t>UCW-28315</t>
  </si>
  <si>
    <t>UCW-28349</t>
  </si>
  <si>
    <t>UCW-28371</t>
  </si>
  <si>
    <t>Ticket Raised</t>
  </si>
  <si>
    <t>UCW-28367</t>
  </si>
  <si>
    <t>UCW-28365</t>
  </si>
  <si>
    <t>UCW-28362</t>
  </si>
  <si>
    <t>UCW-28360</t>
  </si>
  <si>
    <t>UCW-28432</t>
  </si>
  <si>
    <t>UCW-28425</t>
  </si>
  <si>
    <t>UCW-28411</t>
  </si>
  <si>
    <t>UCW-28406</t>
  </si>
  <si>
    <t>UCW-28402</t>
  </si>
  <si>
    <t>UCW-28387</t>
  </si>
  <si>
    <t>UCW-28385</t>
  </si>
  <si>
    <t>UCW-28383</t>
  </si>
  <si>
    <t>UCW-28354</t>
  </si>
  <si>
    <t>UCW-26406</t>
  </si>
  <si>
    <t>UCW-28484</t>
  </si>
  <si>
    <t>UCW-28482</t>
  </si>
  <si>
    <t>UCW-28479</t>
  </si>
  <si>
    <t>UCW-28478</t>
  </si>
  <si>
    <t>UCW-28460</t>
  </si>
  <si>
    <t>UCW-28443</t>
  </si>
  <si>
    <t>UCW-28580</t>
  </si>
  <si>
    <t>UCW-28578</t>
  </si>
  <si>
    <t>UCW-28573</t>
  </si>
  <si>
    <t>UCW-28568</t>
  </si>
  <si>
    <t>UCW-28566</t>
  </si>
  <si>
    <t>UCW-28563</t>
  </si>
  <si>
    <t>UCW-28562</t>
  </si>
  <si>
    <t>UCW-28560</t>
  </si>
  <si>
    <t>UCW-28548</t>
  </si>
  <si>
    <t>UCW-28546</t>
  </si>
  <si>
    <t>UCW-28545</t>
  </si>
  <si>
    <t>UCW-28540</t>
  </si>
  <si>
    <t>UCW-28534</t>
  </si>
  <si>
    <t>UCW-28531</t>
  </si>
  <si>
    <t>UCW-28529</t>
  </si>
  <si>
    <t>UCW-28527</t>
  </si>
  <si>
    <t>UCW-28514</t>
  </si>
  <si>
    <t>UCW-28511</t>
  </si>
  <si>
    <t>UCW-28508</t>
  </si>
  <si>
    <t>UCW-28505</t>
  </si>
  <si>
    <t>UCW-28500</t>
  </si>
  <si>
    <t>UCW-28183</t>
  </si>
  <si>
    <t>Listed Option Count</t>
  </si>
  <si>
    <t>Total Option Count</t>
  </si>
  <si>
    <t>Brand Name</t>
  </si>
  <si>
    <t>UCW-29230</t>
  </si>
  <si>
    <t>UCW-29227</t>
  </si>
  <si>
    <t>Asics</t>
  </si>
  <si>
    <t>UCW-29220</t>
  </si>
  <si>
    <t>UCW-29216</t>
  </si>
  <si>
    <t>UCW-29210</t>
  </si>
  <si>
    <t>UCW-29209</t>
  </si>
  <si>
    <t>UCW-29186</t>
  </si>
  <si>
    <t>UCW-29182</t>
  </si>
  <si>
    <t>UCW-29164</t>
  </si>
  <si>
    <t>Multibrands</t>
  </si>
  <si>
    <t>UCW-29163</t>
  </si>
  <si>
    <t>UCW-29159</t>
  </si>
  <si>
    <t>UCW-29158</t>
  </si>
  <si>
    <t>UCW-29152</t>
  </si>
  <si>
    <t>Inc.5</t>
  </si>
  <si>
    <t>UCW-29143</t>
  </si>
  <si>
    <t>VLCC</t>
  </si>
  <si>
    <t>UCW-29138</t>
  </si>
  <si>
    <t>UCW-29127</t>
  </si>
  <si>
    <t>UCW-29118</t>
  </si>
  <si>
    <t>UCW-29111</t>
  </si>
  <si>
    <t>UCW-29109</t>
  </si>
  <si>
    <t>Lancome</t>
  </si>
  <si>
    <t>UCW-29107</t>
  </si>
  <si>
    <t>UCW-29102</t>
  </si>
  <si>
    <t>UCW-29089</t>
  </si>
  <si>
    <t>UCW-29086</t>
  </si>
  <si>
    <t>UCW-29081</t>
  </si>
  <si>
    <t>UCW-29080</t>
  </si>
  <si>
    <t>UCW-29062</t>
  </si>
  <si>
    <t>Woodland</t>
  </si>
  <si>
    <t>UCW-29054</t>
  </si>
  <si>
    <t>Pantaloons</t>
  </si>
  <si>
    <t>UCW-29051</t>
  </si>
  <si>
    <t>UCW-29046</t>
  </si>
  <si>
    <t>Rosso Brunello</t>
  </si>
  <si>
    <t>UCW-29041</t>
  </si>
  <si>
    <t>UCW-29028</t>
  </si>
  <si>
    <t>UCW-29026</t>
  </si>
  <si>
    <t>UCW-29000</t>
  </si>
  <si>
    <t>UCW-28996</t>
  </si>
  <si>
    <t>UCW-28985</t>
  </si>
  <si>
    <t>UCW-28982</t>
  </si>
  <si>
    <t>UCW-28978</t>
  </si>
  <si>
    <t>Ornate Jewels</t>
  </si>
  <si>
    <t>UCW-28972</t>
  </si>
  <si>
    <t>UCW-28956</t>
  </si>
  <si>
    <t>Libas</t>
  </si>
  <si>
    <t>UCW-28953</t>
  </si>
  <si>
    <t>UCW-28939</t>
  </si>
  <si>
    <t>UCW-28892</t>
  </si>
  <si>
    <t>Reebok</t>
  </si>
  <si>
    <t>UCW-28882</t>
  </si>
  <si>
    <t>Lifestyle</t>
  </si>
  <si>
    <t>UCW-28881</t>
  </si>
  <si>
    <t>Puma</t>
  </si>
  <si>
    <t>UCW-28879</t>
  </si>
  <si>
    <t>UCW-28870</t>
  </si>
  <si>
    <t>UCW-28845</t>
  </si>
  <si>
    <t>UCW-28843</t>
  </si>
  <si>
    <t>Mamaearth</t>
  </si>
  <si>
    <t>UCW-28841</t>
  </si>
  <si>
    <t>UCW-28833</t>
  </si>
  <si>
    <t>UCW-28829</t>
  </si>
  <si>
    <t>UCW-28827</t>
  </si>
  <si>
    <t>UCW-28824</t>
  </si>
  <si>
    <t>UCW-28823</t>
  </si>
  <si>
    <t>UCW-28822</t>
  </si>
  <si>
    <t>UCW-28821</t>
  </si>
  <si>
    <t>Multiple</t>
  </si>
  <si>
    <t>UCW-28816</t>
  </si>
  <si>
    <t>Aurelia, W, Folksong, Elleven</t>
  </si>
  <si>
    <t>UCW-28815</t>
  </si>
  <si>
    <t>Biba</t>
  </si>
  <si>
    <t>UCW-28814</t>
  </si>
  <si>
    <t>UCW-28810</t>
  </si>
  <si>
    <t>Palladium</t>
  </si>
  <si>
    <t>UCW-28800</t>
  </si>
  <si>
    <t>UCW-28798</t>
  </si>
  <si>
    <t>UCW-28797</t>
  </si>
  <si>
    <t>UCW-28786</t>
  </si>
  <si>
    <t>UCW-28785</t>
  </si>
  <si>
    <t>UCW-28784</t>
  </si>
  <si>
    <t>Tiny Bugs</t>
  </si>
  <si>
    <t>UCW-28783</t>
  </si>
  <si>
    <t>UCW-28781</t>
  </si>
  <si>
    <t>Tech Error</t>
  </si>
  <si>
    <t>UCW-28780</t>
  </si>
  <si>
    <t>UCW-28778</t>
  </si>
  <si>
    <t>UCW-28776</t>
  </si>
  <si>
    <t>UCW-28775</t>
  </si>
  <si>
    <t>UCW-28773</t>
  </si>
  <si>
    <t>UCW-28772</t>
  </si>
  <si>
    <t>UCW-28766</t>
  </si>
  <si>
    <t>UCW-28762</t>
  </si>
  <si>
    <t>UCW-28746</t>
  </si>
  <si>
    <t>UCW-28736</t>
  </si>
  <si>
    <t>UCW-28735</t>
  </si>
  <si>
    <t>UCW-28722</t>
  </si>
  <si>
    <t>UCW-28718</t>
  </si>
  <si>
    <t>UCW-28713</t>
  </si>
  <si>
    <t>NOYRA</t>
  </si>
  <si>
    <t>UCW-28708</t>
  </si>
  <si>
    <t>Asian</t>
  </si>
  <si>
    <t>UCW-28706</t>
  </si>
  <si>
    <t>UCW-28702</t>
  </si>
  <si>
    <t>UCW-28699</t>
  </si>
  <si>
    <t>UCW-28698</t>
  </si>
  <si>
    <t>UCW-28697</t>
  </si>
  <si>
    <t>UCW-28693</t>
  </si>
  <si>
    <t>UCW-28691</t>
  </si>
  <si>
    <t>UCW-28686</t>
  </si>
  <si>
    <t>UCW-28679</t>
  </si>
  <si>
    <t>UCW-28634</t>
  </si>
  <si>
    <t>Streax</t>
  </si>
  <si>
    <t>UCW-28631</t>
  </si>
  <si>
    <t>UCW-28626</t>
  </si>
  <si>
    <t>UCW-28622</t>
  </si>
  <si>
    <t>UCW-28618</t>
  </si>
  <si>
    <t>UCW-28616</t>
  </si>
  <si>
    <t xml:space="preserve">Puig </t>
  </si>
  <si>
    <t>Oroh</t>
  </si>
  <si>
    <t>Hoversoul</t>
  </si>
  <si>
    <t>Crimsoune Club</t>
  </si>
  <si>
    <t>Skechers</t>
  </si>
  <si>
    <t>Neemans</t>
  </si>
  <si>
    <t>Adidas</t>
  </si>
  <si>
    <t>PUMA</t>
  </si>
  <si>
    <t>Lotto</t>
  </si>
  <si>
    <t>Wella Professionals</t>
  </si>
  <si>
    <t>Bubblegummers, Bata, Floatz, Power, North Star</t>
  </si>
  <si>
    <t>Colors Queen</t>
  </si>
  <si>
    <t>Hermes</t>
  </si>
  <si>
    <t>Ajmal</t>
  </si>
  <si>
    <t>Globus</t>
  </si>
  <si>
    <t>Foxtale</t>
  </si>
  <si>
    <t>Rockport</t>
  </si>
  <si>
    <t>Marc Jacobs</t>
  </si>
  <si>
    <t>Love Earth</t>
  </si>
  <si>
    <t>Garnier</t>
  </si>
  <si>
    <t>Saraf RS Jewellery</t>
  </si>
  <si>
    <t>U.S. Polo Assn.</t>
  </si>
  <si>
    <t>Monkstory</t>
  </si>
  <si>
    <t>Palmonas</t>
  </si>
  <si>
    <t>Daali</t>
  </si>
  <si>
    <t>Swiss Arabian</t>
  </si>
  <si>
    <t>Nivea</t>
  </si>
  <si>
    <t>Versace</t>
  </si>
  <si>
    <t>Under Armour</t>
  </si>
  <si>
    <t>Lattafa</t>
  </si>
  <si>
    <t>Shaya</t>
  </si>
  <si>
    <t>Axe</t>
  </si>
  <si>
    <t>Maybelline</t>
  </si>
  <si>
    <t>Lush</t>
  </si>
  <si>
    <t>adidas</t>
  </si>
  <si>
    <t>The Sleep Company</t>
  </si>
  <si>
    <t>Saint G</t>
  </si>
  <si>
    <t>Accessorize London</t>
  </si>
  <si>
    <t>Diam Beauty</t>
  </si>
  <si>
    <t>Soch</t>
  </si>
  <si>
    <t>Aurelia</t>
  </si>
  <si>
    <t>RiiFFS</t>
  </si>
  <si>
    <t>W</t>
  </si>
  <si>
    <t>Kickers</t>
  </si>
  <si>
    <t xml:space="preserve">L'Occitane </t>
  </si>
  <si>
    <t>GNC</t>
  </si>
  <si>
    <t>Guess</t>
  </si>
  <si>
    <t>Rasasi</t>
  </si>
  <si>
    <t>LOUIS STITCH</t>
  </si>
  <si>
    <t>Vaseline</t>
  </si>
  <si>
    <t>Cordwainers</t>
  </si>
  <si>
    <t>Jo Malone London</t>
  </si>
  <si>
    <t>Miarcus</t>
  </si>
  <si>
    <t>Meena Bazaar</t>
  </si>
  <si>
    <t>Bobbi Brown</t>
  </si>
  <si>
    <t>O3+</t>
  </si>
  <si>
    <t>Monte Carlo</t>
  </si>
  <si>
    <t>Louis Stitch</t>
  </si>
  <si>
    <t>Converse</t>
  </si>
  <si>
    <t>Biotop</t>
  </si>
  <si>
    <t>Brillare</t>
  </si>
  <si>
    <t>Milkshake</t>
  </si>
  <si>
    <t>Arata</t>
  </si>
  <si>
    <t>CALVIN KLEIN</t>
  </si>
  <si>
    <t>Schwarzkopf Professional</t>
  </si>
  <si>
    <t>Forest Essential</t>
  </si>
  <si>
    <t>Himalaya</t>
  </si>
  <si>
    <t>GAS</t>
  </si>
  <si>
    <t>Truffle Collection</t>
  </si>
  <si>
    <t>ASICS</t>
  </si>
  <si>
    <t>-</t>
  </si>
  <si>
    <t>Andamen</t>
  </si>
  <si>
    <t>The Souled Store</t>
  </si>
  <si>
    <t>Zaveri Pearls</t>
  </si>
  <si>
    <t>eCraftIndia</t>
  </si>
  <si>
    <t>RARE RABBIT</t>
  </si>
  <si>
    <t>Sanfe</t>
  </si>
  <si>
    <t>Yves Saint Laurent</t>
  </si>
  <si>
    <t>Joyalukkas</t>
  </si>
  <si>
    <t>Purearth</t>
  </si>
  <si>
    <t>adidas Originals</t>
  </si>
  <si>
    <t xml:space="preserve">Hermès </t>
  </si>
  <si>
    <t>signaxo</t>
  </si>
  <si>
    <t xml:space="preserve">Esskay </t>
  </si>
  <si>
    <t xml:space="preserve">Lancome </t>
  </si>
  <si>
    <t>Signaxo</t>
  </si>
  <si>
    <t xml:space="preserve">Banderas </t>
  </si>
  <si>
    <t>Plix</t>
  </si>
  <si>
    <t>Kindlife</t>
  </si>
  <si>
    <t>Nexxus</t>
  </si>
  <si>
    <t>Perfora</t>
  </si>
  <si>
    <t>U.S.Polo Assn.</t>
  </si>
  <si>
    <t xml:space="preserve">Globus </t>
  </si>
  <si>
    <t>K18</t>
  </si>
  <si>
    <t>Juniper</t>
  </si>
  <si>
    <t>Charles &amp; Keith</t>
  </si>
  <si>
    <t xml:space="preserve">Versace </t>
  </si>
  <si>
    <t>TOTAPARI</t>
  </si>
  <si>
    <t>P.C. Chandra Jewellers</t>
  </si>
  <si>
    <t>The Real Effect London</t>
  </si>
  <si>
    <t>Titan</t>
  </si>
  <si>
    <t>Muthoot</t>
  </si>
  <si>
    <t>Welspun</t>
  </si>
  <si>
    <t>Rajnandini</t>
  </si>
  <si>
    <t>Platform.</t>
  </si>
  <si>
    <t>Comment</t>
  </si>
  <si>
    <t>UCW-31831</t>
  </si>
  <si>
    <t>Request to Latch Attached SKUs on TCL - 22.5.2026</t>
  </si>
  <si>
    <t>Luxury</t>
  </si>
  <si>
    <t>UCW-31820</t>
  </si>
  <si>
    <t>ERROR_Catalogue New errors for the Multibrands Agency (NETSCRIBES) 25th MAY_NC</t>
  </si>
  <si>
    <t>Mall</t>
  </si>
  <si>
    <t xml:space="preserve">Thank you for highlighting the issue. We have taken the necessary action on the errors and updated the Agency Comment column accordingly. We will inform once changes reflect.
Attached the PCM file for your reference.
[^128366_SKUEDITRETRIGGER_Demifine_Fashion_Private_Limited(128366)_Earrings(MPH2011100101)_20260526_012732_483_summary.csv]
[^128366_product_retrigger_BULK_UPLOAD_summary.csv]
[^ERROR AGENCY (NETSCRIBES) 25th may.xlsx]
[^PCM_DataExtractCsv-20260526130200.csv]
</t>
  </si>
  <si>
    <t>UCW-31816</t>
  </si>
  <si>
    <t>CLONE-Vantier Shoes - 7th April 26 - 129308 - New collection - Luxury</t>
  </si>
  <si>
    <t>Vantier Shoes</t>
  </si>
  <si>
    <t>Date :05/25/26 &lt;Ticket has been successfully uploaded in our system. Option 81 SKU 647&gt; &lt;Ankita Kundu&gt;[^UCW-31816_Post Upload Status_V.2 (1).xlsx] [^Summary.zip] ;[^UCW-31816_LID.xlsx]
Hi [@SAKSHI JHA|mailto:sakshi@vantiershoes.com],
Please find attached the sheet, where 81 options have been listed. Kindly update the price and inventory, and share the summary once completed.
{adf:display=block}
{"type":"table","attrs":{"isNumberColumnEnabled":false,"layout":"center","localId":"9c035e82-8a5e-4b2a-9513-e92ca568581b"},"content":[{"type":"tableRow","content":[{"type":"tableCell","attrs":{"background":"#44b3e1"},"content":[{"type":"paragraph","content":[{"type":"text","text":"Ticket ID","marks":[{"type":"strong"}]}]}]},{"type":"tableCell","attrs":{"colspan":2,"background":"#44b3e1"},"content":[{"type":"paragraph","content":[{"type":"text","text":"UCW-31816","marks":[{"type":"strong"}]}]}]}]},{"type":"tableRow","content":[{"type":"tableCell","attrs":{"background":"#44b3e1"},"content":[{"type":"paragraph","content":[{"type":"text","text":"Brand Name","marks":[{"type":"strong"}]}]}]},{"type":"tableCell","attrs":{"colspan":2,"background":"#44b3e1"},"content":[{"type":"paragraph","content":[{"type":"text","text":"Vantier Shoes","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648"}]}]},{"type":"tableCell","attrs":{"background":"white"},"content":[{"type":"paragraph","content":[{"type":"text","text":"81"}]}]}]},{"type":"tableRow","content":[{"type":"tableCell","attrs":{"background":"white"},"content":[{"type":"paragraph","content":[{"type":"text","text":"Uploaded"}]}]},{"type":"tableCell","attrs":{"background":"white"},"content":[{"type":"paragraph","content":[{"type":"text","text":"647"}]}]},{"type":"tableCell","attrs":{"background":"white"},"content":[{"type":"paragraph","content":[{"type":"text","text":"81"}]}]}]},{"type":"tableRow","content":[{"type":"tableCell","attrs":{"background":"white"},"content":[{"type":"paragraph","content":[{"type":"text","text":"Not Uploaded"}]}]},{"type":"tableCell","attrs":{"background":"white"},"content":[{"type":"paragraph","content":[{"type":"text","text":"1"}]}]},{"type":"tableCell","attrs":{"background":"white"},"content":[{"type":"paragraph","content":[{"type":"text","text":"0"}]}]}]},{"type":"tableRow","content":[{"type":"tableCell","attrs":{"background":"white"},"content":[{"type":"paragraph","content":[{"type":"text","text":"LIDs Shared"}]}]},{"type":"tableCell","attrs":{"background":"white"},"content":[{"type":"paragraph","content":[{"type":"text","text":"647"}]}]},{"type":"tableCell","attrs":{"background":"white"},"content":[{"type":"paragraph","content":[{"type":"text","text":"81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</si>
  <si>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UCW-31811</t>
  </si>
  <si>
    <t>TCL X FLEXNEST - NEW LISTINGS - URGENT</t>
  </si>
  <si>
    <t>FLEXNEST</t>
  </si>
  <si>
    <t>UCW-31805</t>
  </si>
  <si>
    <t>Lattafa+Listing+Perfumes+126349+TCF+21st May 2026</t>
  </si>
  <si>
    <t>UCW-31802</t>
  </si>
  <si>
    <t>Transition Details | Tata CliQ</t>
  </si>
  <si>
    <t>Dove</t>
  </si>
  <si>
    <t>UCW-31799</t>
  </si>
  <si>
    <t>Gritti Cataloging</t>
  </si>
  <si>
    <t>Gritti</t>
  </si>
  <si>
    <t>UCW-31795</t>
  </si>
  <si>
    <t>New Listings_Riiffs Parfums</t>
  </si>
  <si>
    <t>Riiffs Parfums</t>
  </si>
  <si>
    <t>Date :25/05/26 &lt; Closing ticket because data are duplicate with another ticket id-UCW-31736 &gt; &lt;Tania&gt;</t>
  </si>
  <si>
    <t>UCW-31788</t>
  </si>
  <si>
    <t>Woodland / Footwear / 2714 sku's / 377 Options / 29-04-26</t>
  </si>
  <si>
    <t>UCW-31767</t>
  </si>
  <si>
    <t>CLONE - Soulflower x TataCliq Connect</t>
  </si>
  <si>
    <t>Soulflower</t>
  </si>
  <si>
    <t>UCW-31766</t>
  </si>
  <si>
    <t>Luxury Platform Addition - Embryolisse</t>
  </si>
  <si>
    <t>Embryolisse</t>
  </si>
  <si>
    <t>Mall;Luxury</t>
  </si>
  <si>
    <t>UCW-31765</t>
  </si>
  <si>
    <t>Embryolisse : Catalog Update</t>
  </si>
  <si>
    <t>UCW-31760</t>
  </si>
  <si>
    <t>Jokerandwitch | Fashion Jewellery | 127801 | 20-05-2026</t>
  </si>
  <si>
    <t xml:space="preserve">Joker and witch </t>
  </si>
  <si>
    <t>UCW-31758</t>
  </si>
  <si>
    <t>ERROR_New Listings_Rasasi</t>
  </si>
  <si>
    <t>UCW-31757</t>
  </si>
  <si>
    <t>Colors Queen || Makeup || 129094 || 22-05-2026</t>
  </si>
  <si>
    <t>UCW-31756</t>
  </si>
  <si>
    <t>Request for Image Update || 21/05/2026</t>
  </si>
  <si>
    <t>UCW-31754</t>
  </si>
  <si>
    <t>UCW-31750</t>
  </si>
  <si>
    <t>UCW-31749</t>
  </si>
  <si>
    <t>Tata Cliq - Hermès Images update</t>
  </si>
  <si>
    <t>UCW-31746</t>
  </si>
  <si>
    <t>RC JC - MRP Update</t>
  </si>
  <si>
    <t>Roberto cavilli</t>
  </si>
  <si>
    <t>UCW-31745</t>
  </si>
  <si>
    <t>H K JEWELS | MIX COLLECTION | 124197 | 21-05-2026</t>
  </si>
  <si>
    <t>H K Jewels</t>
  </si>
  <si>
    <t>UCW-31739</t>
  </si>
  <si>
    <t>Tata Cliq Product Listing</t>
  </si>
  <si>
    <t>UCW-31736</t>
  </si>
  <si>
    <t>Riffs+Listings+Perfumes+126349+TCF+20th May 2026</t>
  </si>
  <si>
    <t>Date :05/25/26 &lt;Pre Processing query to Brand &lt;EAN, Images, Certificate&gt;&gt; &lt;Tania&gt;;[^UCW-31736_Post Upload Status_V.2 (1).xlsx]
[^Summary.zip]
Date :5/25/2026 &lt;Ticket has been successfully uploaded in our system. Option 30 Sku 30 &gt; &lt;Piyali Bose&gt; ;[^UCW-31736_LID.xlsx] 
Hi [@priya@sharaya.in|mailto:priya@sharaya.in],
Please find attached the sheet, where 29 options have been listed. Kindly update the price and inventory, and share the summary once completed.
{adf:display=block}
{"type":"table","attrs":{"isNumberColumnEnabled":false,"layout":"center","localId":"1aca5718-6d9f-4289-b2ef-67084e23ec23"},"content":[{"type":"tableRow","content":[{"type":"tableCell","attrs":{"background":"#44b3e1"},"content":[{"type":"paragraph","content":[{"type":"text","text":"Ticket ID","marks":[{"type":"strong"}]}]}]},{"type":"tableCell","attrs":{"colspan":2,"background":"#44b3e1"},"content":[{"type":"paragraph","content":[{"type":"text","text":"UCW-31736","marks":[{"type":"strong"}]}]}]}]},{"type":"tableRow","content":[{"type":"tableCell","attrs":{"background":"#44b3e1"},"content":[{"type":"paragraph","content":[{"type":"text","text":"Brand Name","marks":[{"type":"strong"}]}]}]},{"type":"tableCell","attrs":{"colspan":2,"background":"#44b3e1"},"content":[{"type":"paragraph","content":[{"type":"text","text":"RiiFF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30"}]}]},{"type":"tableCell","attrs":{"background":"white"},"content":[{"type":"paragraph","content":[{"type":"text","text":"30"}]}]}]},{"type":"tableRow","content":[{"type":"tableCell","attrs":{"background":"white"},"content":[{"type":"paragraph","content":[{"type":"text","text":"Uploaded"}]}]},{"type":"tableCell","attrs":{"background":"white"},"content":[{"type":"paragraph","content":[{"type":"text","text":"29"}]}]},{"type":"tableCell","attrs":{"background":"white"},"content":[{"type":"paragraph","content":[{"type":"text","text":"29"}]}]}]},{"type":"tableRow","content":[{"type":"tableCell","attrs":{"background":"white"},"content":[{"type":"paragraph","content":[{"type":"text","text":"Not Uploaded"}]}]},{"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29"}]}]},{"type":"tableCell","attrs":{"background":"white"},"content":[{"type":"paragraph","content":[{"type":"text","text":"29"}]}]}]},{"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</si>
  <si>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UCW-31734</t>
  </si>
  <si>
    <t>Meghante Listing _ Size change_Revised images also shared _Seller ID 128830</t>
  </si>
  <si>
    <t>UCW-31732</t>
  </si>
  <si>
    <t>Packaging Label Update - Tata</t>
  </si>
  <si>
    <t>UCW-31729</t>
  </si>
  <si>
    <t>Tata Playboy cataloguing 18th May</t>
  </si>
  <si>
    <t>|{{2026-05-23}} &lt;Ticket picked for Production and QC review Option 31 SKU&gt; &lt;Tania&gt;|
|{{2026-05-23}} &lt;Ticket has been successfully uploaded in our system. Option 31 SKU&gt; &lt;Tania&gt;|;We have successfully uploaded this batch. Please find the attached summary sheet and summary report.
[^Summary (5bcd4fd4-8aac-4848-a773-80fa7a4998da).zip]
[^UCW-31729_Post Upload Status (b60e83bb-92d8-41b9-9c83-d7c467ce7abe).xlsx]
;[^UCW-31729_LID.xlsx]
Hi [@Anas Shaikh (GSSBB Consultant)|mailto:Anas.SSLConsultant@gssbb.in],
Please find attached the sheet, where 31 options have been listed. Kindly update the price and inventory, and share the summary once completed.
{adf:display=block}
{"type":"table","attrs":{"isNumberColumnEnabled":false,"layout":"center","localId":"0ea4e73d-0c81-4e6e-9629-89d43259f362"},"content":[{"type":"tableRow","content":[{"type":"tableCell","attrs":{"background":"#44b3e1"},"content":[{"type":"paragraph","content":[{"type":"text","text":"Ticket ID","marks":[{"type":"strong"}]}]}]},{"type":"tableCell","attrs":{"colspan":2,"background":"#44b3e1"},"content":[{"type":"paragraph","content":[{"type":"text","text":"UCW-31729","marks":[{"type":"strong"}]}]}]}]},{"type":"tableRow","content":[{"type":"tableCell","attrs":{"background":"#44b3e1"},"content":[{"type":"paragraph","content":[{"type":"text","text":"Brand Name","marks":[{"type":"strong"}]}]}]},{"type":"tableCell","attrs":{"colspan":2,"background":"#44b3e1"},"content":[{"type":"paragraph","content":[{"type":"text","text":"Versac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31"}]}]},{"type":"tableCell","attrs":{"background":"white"},"content":[{"type":"paragraph","content":[{"type":"text","text":"31"}]}]}]},{"type":"tableRow","content":[{"type":"tableCell","attrs":{"background":"white"},"content":[{"type":"paragraph","content":[{"type":"text","text":"Uploaded"}]}]},{"type":"tableCell","attrs":{"background":"white"},"content":[{"type":"paragraph","content":[{"type":"text","text":"31"}]}]},{"type":"tableCell","attrs":{"background":"white"},"content":[{"type":"paragraph","content":[{"type":"text","text":"31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31"}]}]},{"type":"tableCell","attrs":{"background":"white"},"content":[{"type":"paragraph","content":[{"type":"text","text":"31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</si>
  <si>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UCW-31728</t>
  </si>
  <si>
    <t>Libas Apparel 127532 21-05-2026 (SIZE ADDITION)</t>
  </si>
  <si>
    <t xml:space="preserve">The sizes have been successfully uploaded. Please find the attached summary sheet for your reference. Once the LID is generated, we will update you accordingly.
{adf:display=block}
{"type":"table","attrs":{"isNumberColumnEnabled":false,"layout":"center","localId":"c93e2854-495b-4855-b605-df7a5c59fe87"},"content":[{"type":"tableRow","content":[{"type":"tableCell","attrs":{},"content":[{"type":"paragraph","content":[{"type":"text","text":"Ticket ID"}]}]},{"type":"tableCell","attrs":{"colspan":2},"content":[{"type":"paragraph","content":[{"type":"text","text":"UCW-31728"}]}]}]},{"type":"tableRow","content":[{"type":"tableCell","attrs":{},"content":[{"type":"paragraph","content":[{"type":"text","text":"Brand Name"}]}]},{"type":"tableCell","attrs":{"colspan":2},"content":[{"type":"paragraph","content":[{"type":"text","text":"Libas"}]}]}]},{"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72"}]}]},{"type":"tableCell","attrs":{},"content":[{"type":"paragraph","content":[{"type":"text","text":"12"}]}]}]},{"type":"tableRow","content":[{"type":"tableCell","attrs":{},"content":[{"type":"paragraph","content":[{"type":"text","text":"Already Listed"}]}]},{"type":"tableCell","attrs":{},"content":[{"type":"paragraph","content":[{"type":"text","text":"60"}]}]},{"type":"tableCell","attrs":{},"content":[{"type":"paragraph","content":[{"type":"text","text":"12"}]}]}]},{"type":"tableRow","content":[{"type":"tableCell","attrs":{},"content":[{"type":"paragraph","content":[{"type":"text","text":"Uploaded"}]}]},{"type":"tableCell","attrs":{},"content":[{"type":"paragraph","content":[{"type":"text","text":"12"}]}]},{"type":"tableCell","attrs":{},"content":[{"type":"paragraph","content":[{"type":"text","text":"-"}]}]}]}]}
{adf}
[^Summery.zip]
[^Status of UCW-31728.xlsx]
;The LID has been successfully generated for the SKUs where the sizes were added. Please find the attached LID for your reference. Therefore, we are now closing this ticket. If you require any further assistance, please feel free to reach out to us.[^Status of UCW-31728 (9dc2396e-e327-4b32-b6c4-2e2f887cdd65).xlsx] </t>
  </si>
  <si>
    <t>UCW-31714</t>
  </si>
  <si>
    <t>BRAND DAALI -DISCRIPTION CHANGE</t>
  </si>
  <si>
    <t>25/05/2026&lt;Changes are reflecting successfully on PDP. Option 1 Sku 5 &gt; &lt;Anjalita&gt;</t>
  </si>
  <si>
    <t>UCW-31710</t>
  </si>
  <si>
    <t>GNC: New Listing</t>
  </si>
  <si>
    <t>UCW-31707</t>
  </si>
  <si>
    <t>Nexxus GWP | Listing Details</t>
  </si>
  <si>
    <t xml:space="preserve">{{2022-05-26}} &lt;Ticket picked for Production and QC review Option 1 Sku&gt; &lt;Tania&gt;;[^UCW-31707_Post Upload Status_V.2 (1).xlsx]
We have successfully uploaded this batch. Please find the attached summary sheet and summary report.;{{2022-05-26}} &lt;Ticket has been successfully uploaded in our system. Option 1 Sku&gt; &lt;Piyali&gt;;[^UCW-31707_LID.xlsx] 
Hi [@Sundrani, Pooja|mailto:Pooja.Sundrani@unilever.com],
Please find attached the sheet, where 1 options have been listed. Kindly update the price and inventory, and share the summary once completed.
{adf:display=block}
{"type":"table","attrs":{"isNumberColumnEnabled":false,"layout":"center","localId":"29fe9415-88bb-42af-a9b2-6f7364d496f4"},"content":[{"type":"tableRow","content":[{"type":"tableCell","attrs":{"background":"#44b3e1"},"content":[{"type":"paragraph","content":[{"type":"text","text":"Ticket ID","marks":[{"type":"strong"}]}]}]},{"type":"tableCell","attrs":{"colspan":2,"background":"#44b3e1"},"content":[{"type":"paragraph","content":[{"type":"text","text":"UCW-31707","marks":[{"type":"strong"}]}]}]}]},{"type":"tableRow","content":[{"type":"tableCell","attrs":{"background":"#44b3e1"},"content":[{"type":"paragraph","content":[{"type":"text","text":"Brand Name","marks":[{"type":"strong"}]}]}]},{"type":"tableCell","attrs":{"colspan":2,"background":"#44b3e1"},"content":[{"type":"paragraph","content":[{"type":"text","text":"Nexxus","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Netscribes;[^Summary.zip]
</t>
  </si>
  <si>
    <t>UCW-31705</t>
  </si>
  <si>
    <t>Lot 1 SS26 Skechers -2080 SKUs - 278 Style - Marketplace and Luxury - Marketplace seller code - 126948 - Luxury seller code - 128174 - Footwear - 19.5.2026</t>
  </si>
  <si>
    <t>UCW-31702</t>
  </si>
  <si>
    <t>Sell now - Tata Cliq-adidas DTC Apparel  Attributes_18-03-26</t>
  </si>
  <si>
    <t xml:space="preserve">Sell now data - [^UCW-27923.xlsx] ;*E2E:*[^Lux Sell Now.zip] [^Sell Now Data.xlsx]  
{adf:display=block}
{"type":"table","attrs":{"isNumberColumnEnabled":false,"layout":"center","localId":"859f17be-ab2e-4242-bde4-1aff9cd6f942"},"content":[{"type":"tableRow","content":[{"type":"tableCell","attrs":{"background":"#0f9ed5"},"content":[{"type":"paragraph","content":[{"type":"text","text":"Brand Name","marks":[{"type":"strong"}]}]}]},{"type":"tableCell","attrs":{"colspan":4,"background":"#0f9ed5"},"content":[{"type":"paragraph","content":[{"type":"text","text":"Adidas","marks":[{"type":"strong"}]}]}]}]},{"type":"tableRow","content":[{"type":"tableCell","attrs":{"background":"#0f9ed5"},"content":[{"type":"paragraph","content":[{"type":"text","text":"Platform","marks":[{"type":"strong"}]}]}]},{"type":"tableCell","attrs":{"colspan":2,"background":"#0f9ed5"},"content":[{"type":"paragraph","content":[{"type":"text","text":"Mall","marks":[{"type":"strong"}]}]}]},{"type":"tableCell","attrs":{"colspan":2,"background":"#0f9ed5"},"content":[{"type":"paragraph","content":[{"type":"text","text":"LUX","marks":[{"type":"strong"}]}]}]}]},{"type":"tableRow","content":[{"type":"tableCell","attrs":{},"content":[{"type":"paragraph","content":[{"type":"text","text":"Particulars"}]}]},{"type":"tableCell","attrs":{},"content":[{"type":"paragraph","content":[{"type":"text","text":"Option"}]}]},{"type":"tableCell","attrs":{},"content":[{"type":"paragraph","content":[{"type":"text","text":"SKU"}]}]},{"type":"tableCell","attrs":{},"content":[{"type":"paragraph","content":[{"type":"text","text":"Option"}]}]},{"type":"tableCell","attrs":{},"content":[{"type":"paragraph","content":[{"type":"text","text":"SKU"}]}]}]},{"type":"tableRow","content":[{"type":"tableCell","attrs":{},"content":[{"type":"paragraph","content":[{"type":"text","text":"Received"}]}]},{"type":"tableCell","attrs":{},"content":[{"type":"paragraph","content":[{"type":"text","text":"324"}]}]},{"type":"tableCell","attrs":{},"content":[{"type":"paragraph","content":[{"type":"text","text":"2010"}]}]},{"type":"tableCell","attrs":{},"content":[{"type":"paragraph","content":[{"type":"text","text":"324"}]}]},{"type":"tableCell","attrs":{},"content":[{"type":"paragraph","content":[{"type":"text","text":"2010"}]}]}]},{"type":"tableRow","content":[{"type":"tableCell","attrs":{},"content":[{"type":"paragraph","content":[{"type":"text","text":"Uploaded"}]}]},{"type":"tableCell","attrs":{},"content":[{"type":"paragraph","content":[{"type":"text","text":"318"}]}]},{"type":"tableCell","attrs":{},"content":[{"type":"paragraph","content":[{"type":"text","text":"1973"}]}]},{"type":"tableCell","attrs":{},"content":[{"type":"paragraph","content":[{"type":"text","text":"268"}]}]},{"type":"tableCell","attrs":{},"content":[{"type":"paragraph","content":[{"type":"text","text":"1675"}]}]}]},{"type":"tableRow","content":[{"type":"tableCell","attrs":{},"content":[{"type":"paragraph","content":[{"type":"text","text":"LIDs Shared"}]}]},{"type":"tableCell","attrs":{},"content":[{"type":"paragraph","content":[{"type":"text","text":"318"}]}]},{"type":"tableCell","attrs":{},"content":[{"type":"paragraph","content":[{"type":"text","text":"1973"}]}]},{"type":"tableCell","attrs":{},"content":[{"type":"paragraph","content":[{"type":"text","text":"268"}]}]},{"type":"tableCell","attrs":{},"content":[{"type":"paragraph","content":[{"type":"text","text":"1675"}]}]}]},{"type":"tableRow","content":[{"type":"tableCell","attrs":{},"content":[{"type":"paragraph","content":[{"type":"text","text":"Already Listed"}]}]},{"type":"tableCell","attrs":{},"content":[{"type":"paragraph","content":[{"type":"text","text":"2"}]}]},{"type":"tableCell","attrs":{},"content":[{"type":"paragraph","content":[{"type":"text","text":"12"}]}]},{"type":"tableCell","attrs":{},"content":[{"type":"paragraph","content":[{"type":"text","text":"-"}]}]},{"type":"tableCell","attrs":{},"content":[{"type":"paragraph","content":[{"type":"text","text":"-"}]}]}]},{"type":"tableRow","content":[{"type":"tableCell","attrs":{},"content":[{"type":"paragraph","content":[{"type":"text","text":"Brand asked to hold - Image concern"}]}]},{"type":"tableCell","attrs":{},"content":[{"type":"paragraph","content":[{"type":"text","text":"4"}]}]},{"type":"tableCell","attrs":{},"content":[{"type":"paragraph","content":[{"type":"text","text":"25"}]}]},{"type":"tableCell","attrs":{},"content":[{"type":"paragraph","content":[{"type":"text","text":"4"}]}]},{"type":"tableCell","attrs":{},"content":[{"type":"paragraph","content":[{"type":"text","text":"25"}]}]}]},{"type":"tableRow","content":[{"type":"tableCell","attrs":{},"content":[{"type":"paragraph","content":[{"type":"text","text":"Brand asked to hold - Platform concern"}]}]},{"type":"tableCell","attrs":{},"content":[{"type":"paragraph","content":[{"type":"text","text":"-"}]}]},{"type":"tableCell","attrs":{},"content":[{"type":"paragraph","content":[{"type":"text","text":"-"}]}]},{"type":"tableCell","attrs":{},"content":[{"type":"paragraph","content":[{"type":"text","text":"52"}]}]},{"type":"tableCell","attrs":{},"content":[{"type":"paragraph","content":[{"type":"text","text":"310"}]}]}]}]}
{adf}
{adf:display=block}
{"type":"table","attrs":{"isNumberColumnEnabled":false,"layout":"center","localId":"78d24463-9a01-4d60-bd8c-ddde75910731"},"content":[{"type":"tableRow","content":[{"type":"tableCell","attrs":{"background":"#0f9ed5"},"content":[{"type":"paragraph","content":[{"type":"text","text":"Ticket ID","marks":[{"type":"strong"}]}]}]},{"type":"tableCell","attrs":{"colspan":2,"background":"#0f9ed5"},"content":[{"type":"paragraph","content":[{"type":"text","text":"UCW-27923","marks":[{"type":"strong"}]}]}]}]},{"type":"tableRow","content":[{"type":"tableCell","attrs":{"background":"#0f9ed5"},"content":[{"type":"paragraph","content":[{"type":"text","text":"Brand Name","marks":[{"type":"strong"}]}]}]},{"type":"tableCell","attrs":{"colspan":2,"background":"#0f9ed5"},"content":[{"type":"paragraph","content":[{"type":"text","text":"Adidas","marks":[{"type":"strong"}]}]}]}]},{"type":"tableRow","content":[{"type":"tableCell","attrs":{"background":"#0f9ed5"},"content":[{"type":"paragraph","content":[{"type":"text","text":"Platform","marks":[{"type":"strong"}]}]}]},{"type":"tableCell","attrs":{"background":"#0f9ed5"},"content":[{"type":"paragraph","content":[{"type":"text","text":"Mall","marks":[{"type":"strong"}]}]}]},{"type":"tableCell","attrs":{"background":"#0f9ed5"},"content":[{"type":"paragraph","content":[{"type":"text","text":"LUX","marks":[{"type":"strong"}]}]}]}]},{"type":"tableRow","content":[{"type":"tableCell","attrs":{"background":"#0f9ed5"},"content":[{"type":"paragraph","content":[{"type":"text","text":"Seller Code","marks":[{"type":"strong"}]}]}]},{"type":"tableCell","attrs":{"background":"#0f9ed5"},"content":[{"type":"paragraph","content":[{"type":"text","text":"125696 / 125719 / 125738 / 125565 / 125358 / 126891 / 128004 / 127653","marks":[{"type":"strong"}]}]}]},{"type":"tableCell","attrs":{"background":"#0f9ed5"},"content":[{"type":"paragraph","content":[{"type":"text","text":"126224 / 125748 / 128260 / 125760 / 125453","marks":[{"type":"strong"}]}]}]}]},{"type":"tableRow","content":[{"type":"tableCell","attrs":{},"content":[{"type":"paragraph","content":[{"type":"text","text":"Particulars"}]}]},{"type":"tableCell","attrs":{},"content":[{"type":"paragraph","content":[{"type":"text","text":"SKU"}]}]},{"type":"tableCell","attrs":{},"content":[{"type":"paragraph","content":[{"type":"text","text":"SKU"}]}]}]},{"type":"tableRow","content":[{"type":"tableCell","attrs":{},"content":[{"type":"paragraph","content":[{"type":"text","text":"Received"}]}]},{"type":"tableCell","attrs":{},"content":[{"type":"paragraph","content":[{"type":"text","text":"1972*8=15776"}]}]},{"type":"tableCell","attrs":{},"content":[{"type":"paragraph","content":[{"type":"text","text":"1675*5=8375"}]}]}]},{"type":"tableRow","content":[{"type":"tableCell","attrs":{},"content":[{"type":"paragraph","content":[{"type":"text","text":"Uploaded"}]}]},{"type":"tableCell","attrs":{},"content":[{"type":"paragraph","content":[{"type":"text","text":"1958*7=13706"},{"type":"hardBreak"},{"type":"text","text":"1397*1=1397"}]}]},{"type":"tableCell","attrs":{},"content":[{"type":"paragraph","content":[{"type":"text","text":"1667*4=6668"},{"type":"hardBreak"},{"type":"text","text":"1674*1=1674"}]}]}]},{"type":"tableRow","content":[{"type":"tableCell","attrs":{},"content":[{"type":"paragraph","content":[{"type":"text","text":"Sell Now was previously done"}]}]},{"type":"tableCell","attrs":{},"content":[{"type":"paragraph","content":[{"type":"text","text":"14*7=98"},{"type":"hardBreak"},{"type":"text","text":"575*1=575"}]}]},{"type":"tableCell","attrs":{},"content":[{"type":"paragraph","content":[{"type":"text","text":"8*4=32"},{"type":"hardBreak"},{"type":"text","text":"1*1=1"}]}]}]}]}
{adf}
[^Mall Sell Now.zip]
</t>
  </si>
  <si>
    <t>UCW-31699</t>
  </si>
  <si>
    <t>CLONE - New lisitng Tatacliq : TOTAPARI | JEWELLERY | 128997 | 09-MAY-2026( 64 SKU )</t>
  </si>
  <si>
    <t>Date: 22th May 2026 QC &amp; Uploaded -Mousumi.
PFA the Summary &amp; post-uploaded sheet[^UCW-31050 Post Upload Status_V.2 (1).xlsx] [^Summary.zip] ;[^UCW-31699_LID.xlsx] 
Hi [@Sachin singh|mailto:sachin@zarooriretail.com],
Please find attached the sheet, where 64 options have been listed. Kindly update the price and inventory, and share the summary once completed.
{adf:display=block}
{"type":"table","attrs":{"isNumberColumnEnabled":false,"layout":"center","localId":"2ce767f3-0445-4f29-b23e-cd15377030fc"},"content":[{"type":"tableRow","content":[{"type":"tableCell","attrs":{},"content":[{"type":"paragraph","content":[{"type":"text","text":"Ticket ID"}]}]},{"type":"tableCell","attrs":{"colspan":2},"content":[{"type":"paragraph","content":[{"type":"text","text":"UCW-31699"}]}]}]},{"type":"tableRow","content":[{"type":"tableCell","attrs":{},"content":[{"type":"paragraph","content":[{"type":"text","text":"Brand Name"}]}]},{"type":"tableCell","attrs":{"colspan":2},"content":[{"type":"paragraph","content":[{"type":"text","text":"TOTAPARI"}]}]}]},{"type":"tableRow","content":[{"type":"tableCell","attrs":{},"content":[{"type":"paragraph","content":[{"type":"text","text":"Platform"}]}]},{"type":"tableCell","attrs":{"colspan":2},"content":[{"type":"paragraph","content":[{"type":"text","text":"Mall"}]}]}]},{"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64"}]}]},{"type":"tableCell","attrs":{},"content":[{"type":"paragraph","content":[{"type":"text","text":"64"}]}]}]},{"type":"tableRow","content":[{"type":"tableCell","attrs":{},"content":[{"type":"paragraph","content":[{"type":"text","text":"Uploaded"}]}]},{"type":"tableCell","attrs":{},"content":[{"type":"paragraph","content":[{"type":"text","text":"64"}]}]},{"type":"tableCell","attrs":{},"content":[{"type":"paragraph","content":[{"type":"text","text":"64"}]}]}]},{"type":"tableRow","content":[{"type":"tableCell","attrs":{},"content":[{"type":"paragraph","content":[{"type":"text","text":"Not Uploaded"}]}]},{"type":"tableCell","attrs":{},"content":[{"type":"paragraph","content":[{"type":"text","text":"0"}]}]},{"type":"tableCell","attrs":{},"content":[{"type":"paragraph","content":[{"type":"text","text":"0"}]}]}]},{"type":"tableRow","content":[{"type":"tableCell","attrs":{},"content":[{"type":"paragraph","content":[{"type":"text","text":"LIDs Shared"}]}]},{"type":"tableCell","attrs":{},"content":[{"type":"paragraph","content":[{"type":"text","text":"64"}]}]},{"type":"tableCell","attrs":{},"content":[{"type":"paragraph","content":[{"type":"text","text":"64"}]}]}]},{"type":"tableRow","content":[{"type":"tableCell","attrs":{},"content":[{"type":"paragraph","content":[{"type":"text","text":"LIDs Stuck in the System"}]}]},{"type":"tableCell","attrs":{},"content":[{"type":"paragraph","content":[{"type":"text","text":"0"}]}]},{"type":"tableCell","attrs":{},"content":[{"type":"paragraph","content":[{"type":"text","text":"0"}]}]}]}]}
{adf}
Regards,
Team Netscribes</t>
  </si>
  <si>
    <t>UCW-31695</t>
  </si>
  <si>
    <t>Tatacliq listings new batch 22-05</t>
  </si>
  <si>
    <t>Date: 22th May 2026 Pre-Processing Done ( Brand to Query for Chain Length &amp; COO Details )-Mousumi.
23th May 2026 Production Done -Mousumi.
23th May 2026 Images Done -Nitish.
23th May 2026 Description Done. -Khushnuma
23th May 2026 QC &amp; Uploaded Done -Mousumi.
PFA the Summary &amp; Post-uploaded sheet[^UCW-31695 Post Upload Status_V.2 (1).xlsx] [^Summary.zip] ;[^UCW-31695_LID.xlsx]
Hi [@Akash Udgire|mailto:akash.udire@palmonas.com],
Please find attached the sheet, where 188 options have been listed. Kindly update the price and inventory, and share the summary once completed.
{adf:display=block}
{"type":"table","attrs":{"isNumberColumnEnabled":false,"layout":"center","localId":"71f4a359-b02d-4db3-96b1-0720de97b923"},"content":[{"type":"tableRow","content":[{"type":"tableCell","attrs":{"background":"#44b3e1"},"content":[{"type":"paragraph","content":[{"type":"text","text":"Ticket ID","marks":[{"type":"strong"}]}]}]},{"type":"tableCell","attrs":{"colspan":2,"background":"#44b3e1"},"content":[{"type":"paragraph","content":[{"type":"text","text":"UCW-31695","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251"}]}]},{"type":"tableCell","attrs":{"background":"white"},"content":[{"type":"paragraph","content":[{"type":"text","text":"251"}]}]}]},{"type":"tableRow","content":[{"type":"tableCell","attrs":{"background":"white"},"content":[{"type":"paragraph","content":[{"type":"text","text":"Uploaded"}]}]},{"type":"tableCell","attrs":{"background":"white"},"content":[{"type":"paragraph","content":[{"type":"text","text":"188"}]}]},{"type":"tableCell","attrs":{"background":"white"},"content":[{"type":"paragraph","content":[{"type":"text","text":"188"}]}]}]},{"type":"tableRow","content":[{"type":"tableCell","attrs":{"background":"white"},"content":[{"type":"paragraph","content":[{"type":"text","text":"Not Uploaded"}]}]},{"type":"tableCell","attrs":{"background":"white"},"content":[{"type":"paragraph","content":[{"type":"text","text":"63"}]}]},{"type":"tableCell","attrs":{"background":"white"},"content":[{"type":"paragraph","content":[{"type":"text","text":"63"}]}]}]},{"type":"tableRow","content":[{"type":"tableCell","attrs":{"background":"white"},"content":[{"type":"paragraph","content":[{"type":"text","text":"LIDs Shared"}]}]},{"type":"tableCell","attrs":{"background":"white"},"content":[{"type":"paragraph","content":[{"type":"text","text":"188"}]}]},{"type":"tableCell","attrs":{"background":"white"},"content":[{"type":"paragraph","content":[{"type":"text","text":"188"}]}]}]},{"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</si>
  <si>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UCW-31684</t>
  </si>
  <si>
    <t>E2E - Rosso Brunello - FTW - 20th May - 242 SKUs</t>
  </si>
  <si>
    <t>Date :05/22/26 &lt;Pre Processing query to Brand &lt;Size and image query&gt;&gt; &lt;Ankita Kundu&gt;;Date :05/23/26 &lt;Ticket has been successfully uploaded in our system. Option 197 Sku 23&gt; &lt;Ankita Kundu&gt;[^UCW-31684_Post Upload Status_V.2 (1).xlsx] [^Summary.zip] ;[^UCW-31684_LID.xlsx]
Hi [@Sakshi@rossobrunello.com|mailto:ecommerce@rossobrunello.com],
Please find attached the sheet, where 23 options have been listed. Kindly update the price and inventory, and share the summary once completed.
{adf:display=block}
{"type":"table","attrs":{"isNumberColumnEnabled":false,"layout":"center","localId":"7c4349f6-98c6-42f9-b4cf-9e8d9fe40fdb"},"content":[{"type":"tableRow","content":[{"type":"tableCell","attrs":{"background":"#44b3e1"},"content":[{"type":"paragraph","content":[{"type":"text","text":"Ticket ID","marks":[{"type":"strong"}]}]}]},{"type":"tableCell","attrs":{"colspan":2,"background":"#44b3e1"},"content":[{"type":"paragraph","content":[{"type":"text","text":"UCW-31684","marks":[{"type":"strong"}]}]}]}]},{"type":"tableRow","content":[{"type":"tableCell","attrs":{"background":"#44b3e1"},"content":[{"type":"paragraph","content":[{"type":"text","text":"Brand Name","marks":[{"type":"strong"}]}]}]},{"type":"tableCell","attrs":{"colspan":2,"background":"#44b3e1"},"content":[{"type":"paragraph","content":[{"type":"text","text":"Rosso Brunello","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242"}]}]},{"type":"tableCell","attrs":{"background":"white"},"content":[{"type":"paragraph","content":[{"type":"text","text":"29"}]}]}]},{"type":"tableRow","content":[{"type":"tableCell","attrs":{"background":"white"},"content":[{"type":"paragraph","content":[{"type":"text","text":"Uploaded"}]}]},{"type":"tableCell","attrs":{"background":"white"},"content":[{"type":"paragraph","content":[{"type":"text","text":"197"}]}]},{"type":"tableCell","attrs":{"background":"white"},"content":[{"type":"paragraph","content":[{"type":"text","text":"23"}]}]}]},{"type":"tableRow","content":[{"type":"tableCell","attrs":{"background":"white"},"content":[{"type":"paragraph","content":[{"type":"text","text":"Not Uploaded"}]}]},{"type":"tableCell","attrs":{"background":"white"},"content":[{"type":"paragraph","content":[{"type":"text","text":"45"}]}]},{"type":"tableCell","attrs":{"background":"white"},"content":[{"type":"paragraph","content":[{"type":"text","text":"6"}]}]}]},{"type":"tableRow","content":[{"type":"tableCell","attrs":{"background":"white"},"content":[{"type":"paragraph","content":[{"type":"text","text":"LIDs Shared"}]}]},{"type":"tableCell","attrs":{"background":"white"},"content":[{"type":"paragraph","content":[{"type":"text","text":"197"}]}]},{"type":"tableCell","attrs":{"background":"white"},"content":[{"type":"paragraph","content":[{"type":"text","text":"23"}]}]}]},{"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</si>
  <si>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UCW-31683</t>
  </si>
  <si>
    <t>Puma + footwear + 124055+ mapping (14-05-2026)</t>
  </si>
  <si>
    <t xml:space="preserve">The 2 failed option for net quantity has been retriggered from PCM, awaiting PCM reports;We have completed the Sell Now process for those SKUs; however, they failed due to a Net Quantity issue. Once the LID is generated, we will update you shortly.;The LID has been generated successfully. Please find the attached sheet for your reference. Therefore, we are now closing this ticket. If any further assistance is required, please feel free to reach out to us.[^Status of UCW-31346.xlsx] </t>
  </si>
  <si>
    <t>UCW-31678</t>
  </si>
  <si>
    <t>ERROR_Catalogue New errors for the brand Soch Agency (NETSCRIBES) 22ND MAY_NC</t>
  </si>
  <si>
    <t>[^UCW-30929.xlsx]
Thank you for highlighting the issue. We have taken the necessary action on the errors. As informed by you, the size values for Across Shoulder and Bust were incorrectly interchanged, and we are currently working on the correction.
We have already raised an L1 ticket for deletion. Once the deletion ticket is resolved, we will create a new L1 ticket for creation using the same size code. After that, the size guide will automatically reflect properly.
Tech Ticket: [https://tatacliqhelpdesk.freshservice.com/support/tickets/214255|https://tatacliqhelpdesk.freshservice.com/support/tickets/214255];we are closing this request from our end.
Thank you for your patience, support, and cooperation throughout the process. Your brand is important to us, and we look forward to assisting you again.</t>
  </si>
  <si>
    <t>UCW-31658</t>
  </si>
  <si>
    <t>Clone-Tata lux New latching - 07_05</t>
  </si>
  <si>
    <t>Sell Now for Remaing 3SKUs Activity;[^Summary1 (2).zip]
[^Status of UCW-31658 (c78626a1-3f6b-481f-9a55-932ec48d80d7).xlsx]
{adf:display=block}
{"type":"table","attrs":{"isNumberColumnEnabled":false,"layout":"center","localId":"e15814fd-d015-42ba-8f7f-7f4a840d137a"},"content":[{"type":"tableRow","content":[{"type":"tableCell","attrs":{},"content":[{"type":"paragraph","content":[{"type":"text","text":"Ticket ID"}]}]},{"type":"tableCell","attrs":{"colspan":2},"content":[{"type":"paragraph","content":[{"type":"text","text":"UCW-31658"}]}]}]},{"type":"tableRow","content":[{"type":"tableCell","attrs":{},"content":[{"type":"paragraph","content":[{"type":"text","text":"Brand Name"}]}]},{"type":"tableCell","attrs":{"colspan":2},"content":[{"type":"paragraph","content":[{"type":"text","text":"Skechers"}]}]}]},{"type":"tableRow","content":[{"type":"tableCell","attrs":{},"content":[{"type":"paragraph","content":[{"type":"text","text":"Platform"}]}]},{"type":"tableCell","attrs":{"colspan":2},"content":[{"type":"paragraph","content":[{"type":"text","text":"Luxury"}]}]}]},{"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3"}]}]},{"type":"tableCell","attrs":{},"content":[{"type":"paragraph","content":[{"type":"text","text":"1"}]}]}]},{"type":"tableRow","content":[{"type":"tableCell","attrs":{},"content":[{"type":"paragraph","content":[{"type":"text","text":"Uploaded"}]}]},{"type":"tableCell","attrs":{},"content":[{"type":"paragraph","content":[{"type":"text","text":"3"}]}]},{"type":"tableCell","attrs":{},"content":[{"type":"paragraph","content":[{"type":"text","text":"1"}]}]}]}]}
{adf}
The Sell Now process has been completed and also shared the LID. Please find the attached summary sheet for your reference .For now, we are closing this ticket. If any further assistance is required, please feel free to reach out to us anytime.</t>
  </si>
  <si>
    <t>UCW-31642</t>
  </si>
  <si>
    <t>Garnier | PDP Serum Cleanser Update | TATACLIQ</t>
  </si>
  <si>
    <t xml:space="preserve">[^Status UCW-31642.xlsx]
[^Retrigger.zip]
</t>
  </si>
  <si>
    <t>UCW-31641</t>
  </si>
  <si>
    <t>Agapi</t>
  </si>
  <si>
    <t>22-05-26: &lt;Ticket picked for pre processing Sku 20&gt; &lt;Tania&gt;
22-05-26: &lt;Pre Processing query to Brand &lt;EAN, Image Query&gt;&gt; &lt;Tania&gt; ;Date :05/25/2026 &lt; Closing ticket for Brand has not shared proper EAN codes&gt; &lt;Tania&gt;</t>
  </si>
  <si>
    <t>UCW-31639</t>
  </si>
  <si>
    <t>Colors Queen || Makeup || 129094 || 17-03-2026</t>
  </si>
  <si>
    <t>UCW-31591</t>
  </si>
  <si>
    <t>NPI- Mamaearth x Tata Cliq | May'26</t>
  </si>
  <si>
    <t>21-05-26: Ticket picked for pre processing Option 1 SKU &lt;Tania&gt;
21-05-26: Pre Processing query to Brand &lt;Manufacturer, Packer, Certificate Query&gt;&gt; &lt;Tania&gt; 
21-05-26: Ticket has been successfully uploaded in our system. Option 1 SKU &lt;Tania&gt;;We have successfully uploaded this batch. Please find the attached summary sheet and summary report.
[^UCW-31591_Post Upload Status.xlsx]
[^ProductBulkUpload_125955_Beauty__Grooming(MPH22)_Makeup(MPH2214)_Lips(MPH2214102)_Lipstick(MPH2214102108)_34107_1779365133104_202605.csv]
;[^UCW-31591.xlsx]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df7b697-b565-4e02-aed6-4a5e09f5570c"},"content":[{"type":"tableRow","content":[{"type":"tableCell","attrs":{"background":"#44b3e1"},"content":[{"type":"paragraph","content":[{"type":"text","text":"Ticket ID","marks":[{"type":"strong"}]}]}]},{"type":"tableCell","attrs":{"colspan":2,"background":"#44b3e1"},"content":[{"type":"paragraph","content":[{"type":"text","text":"UCW-31591","marks":[{"type":"strong"}]}]}]}]},{"type":"tableRow","content":[{"type":"tableCell","attrs":{"background":"#44b3e1"},"content":[{"type":"paragraph","content":[{"type":"text","text":"Brand Name","marks":[{"type":"strong"}]}]}]},{"type":"tableCell","attrs":{"colspan":2,"background":"#44b3e1"},"content":[{"type":"paragraph","content":[{"type":"text","text":"Mamaeart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</si>
  <si>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UCW-31588</t>
  </si>
  <si>
    <t>Request to Replace Old Images with New Images</t>
  </si>
  <si>
    <t>Chidiya</t>
  </si>
  <si>
    <t>UCW-31562</t>
  </si>
  <si>
    <t>The Souled Store Footwear 123858 18-05-2026</t>
  </si>
  <si>
    <t>Date :05/22/2026 &lt;Ticket has been successfully uploaded in our system. Option: 10  SKU: 68&gt; &lt;Sanjana Ghosh&gt;
[^Summary.zip] [^UCW-31562 - Post Upload Status .xlsx] ;[^UCW-31562_LID.xlsx] 
Hi [@Sahil Sonawane|mailto:sahil.sonawane@thesouledstore.com],
Please find attached the sheet, where 10 options have been listed. Kindly update the price and inventory, and share the summary once completed.
{adf:display=block}
{"type":"table","attrs":{"isNumberColumnEnabled":false,"layout":"center","localId":"ed028beb-e675-4004-8cba-1bbae41203c8"},"content":[{"type":"tableRow","content":[{"type":"tableCell","attrs":{"background":"#44b3e1"},"content":[{"type":"paragraph","content":[{"type":"text","text":"Ticket ID","marks":[{"type":"strong"}]}]}]},{"type":"tableCell","attrs":{"colspan":2,"background":"#44b3e1"},"content":[{"type":"paragraph","content":[{"type":"text","text":"UCW-31562","marks":[{"type":"strong"}]}]}]}]},{"type":"tableRow","content":[{"type":"tableCell","attrs":{"background":"#44b3e1"},"content":[{"type":"paragraph","content":[{"type":"text","text":"Brand Name","marks":[{"type":"strong"}]}]}]},{"type":"tableCell","attrs":{"colspan":2,"background":"#44b3e1"},"content":[{"type":"paragraph","content":[{"type":"text","text":"The Souled Stor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68"}]}]},{"type":"tableCell","attrs":{"background":"white"},"content":[{"type":"paragraph","content":[{"type":"text","text":"10"}]}]}]},{"type":"tableRow","content":[{"type":"tableCell","attrs":{"background":"white"},"content":[{"type":"paragraph","content":[{"type":"text","text":"Uploaded"}]}]},{"type":"tableCell","attrs":{"background":"white"},"content":[{"type":"paragraph","content":[{"type":"text","text":"68"}]}]},{"type":"tableCell","attrs":{"background":"white"},"content":[{"type":"paragraph","content":[{"type":"text","text":"10"}]}]}]},{"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68"}]}]},{"type":"tableCell","attrs":{"background":"white"},"content":[{"type":"paragraph","content":[{"type":"text","text":"10"}]}]}]},{"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</si>
  <si>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UCW-31552</t>
  </si>
  <si>
    <t>Accessorize London X Tata Cliq _Jewellery Catalogue_18_05_2026</t>
  </si>
  <si>
    <t>Date: 20th May 2026 Pre-Processing ( Brand to Query fo weight &amp; Bracelet Size) Mousumi.
Date: 21th May 2026 Production Done -Mousumi
Date: 21th May 2026 Images Done -Nitish.
Date: 21th May 2026 Description Done -Khushnuma
Date: 22th May 2026 QC &amp; Uploaded -Mousumi
PFA the Summary &amp; post-uploaded sheet[^UCW-31552 Post Upload Status_V.2 (1).xlsx] [^Summary.zip] ;[^UCW-31552_LID.xlsx] 
Hi [@rutuja sawant|mailto:rutuja.sawant@planetretail.in],
Please find attached the sheet, where 213 options have been listed. Kindly update the price and inventory, and share the summary once completed.
{adf:display=block}
{"type":"table","attrs":{"isNumberColumnEnabled":false,"layout":"center","localId":"ea476cd5-8157-4c0e-bd05-13bfbc12020b"},"content":[{"type":"tableRow","content":[{"type":"tableCell","attrs":{"background":"#44b3e1"},"content":[{"type":"paragraph","content":[{"type":"text","text":"Ticket ID","marks":[{"type":"strong"}]}]}]},{"type":"tableCell","attrs":{"colspan":2,"background":"#44b3e1"},"content":[{"type":"paragraph","content":[{"type":"text","text":"UCW-31552","marks":[{"type":"strong"}]}]}]}]},{"type":"tableRow","content":[{"type":"tableCell","attrs":{"background":"#44b3e1"},"content":[{"type":"paragraph","content":[{"type":"text","text":"Brand Name","marks":[{"type":"strong"}]}]}]},{"type":"tableCell","attrs":{"colspan":2,"background":"#44b3e1"},"content":[{"type":"paragraph","content":[{"type":"text","text":"Accessorize Londo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217"}]}]},{"type":"tableCell","attrs":{"background":"white"},"content":[{"type":"paragraph","content":[{"type":"text","text":"217"}]}]}]},{"type":"tableRow","content":[{"type":"tableCell","attrs":{"background":"white"},"content":[{"type":"paragraph","content":[{"type":"text","text":"Uploaded"}]}]},{"type":"tableCell","attrs":{"background":"white"},"content":[{"type":"paragraph","content":[{"type":"text","text":"215"}]}]},{"type":"tableCell","attrs":{"background":"white"},"content":[{"type":"paragraph","content":[{"type":"text","text":"215"}]}]}]},{"type":"tableRow","content":[{"type":"tableCell","attrs":{"background":"white"},"content":[{"type":"paragraph","content":[{"type":"text","text":"Not Uploaded"}]}]},{"type":"tableCell","attrs":{"background":"white"},"content":[{"type":"paragraph","content":[{"type":"text","text":"2"}]}]},{"type":"tableCell","attrs":{"background":"white"},"content":[{"type":"paragraph","content":[{"type":"text","text":"2"}]}]}]},{"type":"tableRow","content":[{"type":"tableCell","attrs":{"background":"white"},"content":[{"type":"paragraph","content":[{"type":"text","text":"LIDs Shared"}]}]},{"type":"tableCell","attrs":{"background":"white"},"content":[{"type":"paragraph","content":[{"type":"text","text":"213"}]}]},{"type":"tableCell","attrs":{"background":"white"},"content":[{"type":"paragraph","content":[{"type":"text","text":"213"}]}]}]},{"type":"tableRow","content":[{"type":"tableCell","attrs":{"background":"white"},"content":[{"type":"paragraph","content":[{"type":"text","text":"LIDs Stuck in the System"}]}]},{"type":"tableCell","attrs":{"background":"white"},"content":[{"type":"paragraph","content":[{"type":"text","text":"2"}]}]},{"type":"tableCell","attrs":{"background":"white"},"content":[{"type":"paragraph","content":[{"type":"text","text":"2"}]}]}]}]}
{adf}
Regards,
Team Netscribes</t>
  </si>
  <si>
    <t>UCW-31546</t>
  </si>
  <si>
    <t>Tata Cliq Footwear Catalogue | 18-05-2026</t>
  </si>
  <si>
    <t>We would like to inform you that your ticket has been successfully uploaded in our system.
Please find the attached summary files and post-upload file for your reference. We will share a further update once the listing IDs are generated.[^Summary.zip] [^UCW-31546 - Post Upload Status .xlsx] ;[^UCW-31546.xlsx]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db028c3-0e60-41f1-8a7d-f5a886c48274"},"content":[{"type":"tableRow","content":[{"type":"tableCell","attrs":{"background":"#44b3e1"},"content":[{"type":"paragraph","content":[{"type":"text","text":"Ticket ID","marks":[{"type":"strong"}]}]}]},{"type":"tableCell","attrs":{"colspan":2,"background":"#44b3e1"},"content":[{"type":"paragraph","content":[{"type":"text","text":"UCW-31546","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41"}]}]},{"type":"tableCell","attrs":{},"content":[{"type":"paragraph","content":[{"type":"text","text":"6"}]}]}]},{"type":"tableRow","content":[{"type":"tableCell","attrs":{"background":"white"},"content":[{"type":"paragraph","content":[{"type":"text","text":"Uploaded"}]}]},{"type":"tableCell","attrs":{},"content":[{"type":"paragraph","content":[{"type":"text","text":"41"}]}]},{"type":"tableCell","attrs":{},"content":[{"type":"paragraph","content":[{"type":"text","text":"6"}]}]}]},{"type":"tableRow","content":[{"type":"tableCell","attrs":{"background":"white"},"content":[{"type":"paragraph","content":[{"type":"text","text":"LIDs Shared"}]}]},{"type":"tableCell","attrs":{},"content":[{"type":"paragraph","content":[{"type":"text","text":"41"}]}]},{"type":"tableCell","attrs":{},"content":[{"type":"paragraph","content":[{"type":"text","text":"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</si>
  <si>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UCW-31543</t>
  </si>
  <si>
    <t>Lotto/Footwear UPTO Lot-34/Seller code- 129247/ 18-05-2026</t>
  </si>
  <si>
    <t>Date :05/22/2026 &lt;Ticket has been successfully uploaded in our system. Option 16 Sku 101&gt; &lt;Ishani Pal&gt;
[^Post Upload Status_V.2 (1) (1).xlsx] [^SUMMARY.zip] ;[^UCW-31543_LID.xlsx] Hi [@Keerthi Raj|mailto:keerthi.raj@agilitas.in],
Please find attached the sheet, where 16 options have been listed. Kindly update the price and inventory, and share the summary once completed.
{adf:display=block}
{"type":"table","attrs":{"isNumberColumnEnabled":false,"layout":"center","localId":"b658bbc5-b9b6-442a-a4ed-5bf80e800824"},"content":[{"type":"tableRow","content":[{"type":"tableCell","attrs":{"background":"#44b3e1"},"content":[{"type":"paragraph","content":[{"type":"text","text":"Ticket ID","marks":[{"type":"strong"}]}]}]},{"type":"tableCell","attrs":{"colspan":2,"background":"#44b3e1"},"content":[{"type":"paragraph","content":[{"type":"text","text":"UCW-31543","marks":[{"type":"strong"}]}]}]}]},{"type":"tableRow","content":[{"type":"tableCell","attrs":{"background":"#44b3e1"},"content":[{"type":"paragraph","content":[{"type":"text","text":"Brand Name","marks":[{"type":"strong"}]}]}]},{"type":"tableCell","attrs":{"colspan":2,"background":"#44b3e1"},"content":[{"type":"paragraph","content":[{"type":"text","text":"Lotto","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101"}]}]},{"type":"tableCell","attrs":{"background":"white"},"content":[{"type":"paragraph","content":[{"type":"text","text":"16"}]}]}]},{"type":"tableRow","content":[{"type":"tableCell","attrs":{"background":"white"},"content":[{"type":"paragraph","content":[{"type":"text","text":"Uploaded"}]}]},{"type":"tableCell","attrs":{"background":"white"},"content":[{"type":"paragraph","content":[{"type":"text","text":"101"}]}]},{"type":"tableCell","attrs":{"background":"white"},"content":[{"type":"paragraph","content":[{"type":"text","text":"16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101"}]}]},{"type":"tableCell","attrs":{"background":"white"},"content":[{"type":"paragraph","content":[{"type":"text","text":"16"}]}]}]},{"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</si>
  <si>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UCW-31542</t>
  </si>
  <si>
    <t>UCW-31539</t>
  </si>
  <si>
    <t>Ustraa Cologne Images Update on Tata Cliq due to Pacakging Change</t>
  </si>
  <si>
    <t>Ustraa</t>
  </si>
  <si>
    <t xml:space="preserve">[^Retriggered (de41733d-30cc-40ba-8221-8742fca3853b).zip]
[^Status-UCW-31539.xlsx]
</t>
  </si>
  <si>
    <t>UCW-31533</t>
  </si>
  <si>
    <t>CLONE - Tata Cliq-Reebok Brand-Footwear -127776 - 07-05-2026</t>
  </si>
  <si>
    <t>Clone ticket for this batch [https://tataunistore.atlassian.net/browse/UCW-31533|https://tataunistore.atlassian.net/browse/UCW-31533|smart-link] 
Thank you for your quick response.
However, we have checked the resolution sheet and observed that you requested us to hold sizes 1.5, 2.5, 3.5, and 4.5 while processing the remaining options. The issue is that if we exclude these sizes, the Cluster will face a “LESS THAN 3 SKUS IN CLUSTER” issue.
Therefore, for the time being, we are dropping these options from the batch. Kindly note that a minimum of 3 sizes within a single cluster is required in order to process these options successfully.
We have processed and uploaded the remaining batch. Once we receive the resolution for the pending options, we will proceed further with their processing.
Additionally, for some SKUs, LOV value addition requests have been raised. Once those values are reflected in the system, those SKUs will also be processed again for upload.
We have successfully uploaded this batch. Please find the summary of this batch. and attach Summary zip and Post upload Sheet.[^SUMMARY.zip] [^Post Upload Status_V.2 (1) (1).xlsx] ;[^UCW-31533.xlsx]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7d0c1f0-df43-42a4-a8b0-1525e947b284"},"content":[{"type":"tableRow","content":[{"type":"tableCell","attrs":{"background":"#44b3e1"},"content":[{"type":"paragraph","content":[{"type":"text","text":"Ticket ID","marks":[{"type":"strong"}]}]}]},{"type":"tableCell","attrs":{"colspan":2,"background":"#44b3e1"},"content":[{"type":"paragraph","content":[{"type":"text","text":"UCW-31533","marks":[{"type":"strong"}]}]}]}]},{"type":"tableRow","content":[{"type":"tableCell","attrs":{"background":"#44b3e1"},"content":[{"type":"paragraph","content":[{"type":"text","text":"Brand Name","marks":[{"type":"strong"}]}]}]},{"type":"tableCell","attrs":{"colspan":2,"background":"#44b3e1"},"content":[{"type":"paragraph","content":[{"type":"text","text":"Reebok","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300"}]}]},{"type":"tableCell","attrs":{},"content":[{"type":"paragraph","content":[{"type":"text","text":"50"}]}]}]},{"type":"tableRow","content":[{"type":"tableCell","attrs":{"background":"white"},"content":[{"type":"paragraph","content":[{"type":"text","text":"Uploaded"}]}]},{"type":"tableCell","attrs":{},"content":[{"type":"paragraph","content":[{"type":"text","text":"236"}]}]},{"type":"tableCell","attrs":{},"content":[{"type":"paragraph","content":[{"type":"text","text":"26"}]}]}]},{"type":"tableRow","content":[{"type":"tableCell","attrs":{"background":"white"},"content":[{"type":"paragraph","content":[{"type":"text","text":"SKUs not uploaded"}]}]},{"type":"tableCell","attrs":{},"content":[{"type":"paragraph","content":[{"type":"text","text":"64"}]}]},{"type":"tableCell","attrs":{},"content":[{"type":"paragraph","content":[{"type":"text","text":"24"}]}]}]},{"type":"tableRow","content":[{"type":"tableCell","attrs":{"background":"white"},"content":[{"type":"paragraph","content":[{"type":"text","text":"LIDs Shared"}]}]},{"type":"tableCell","attrs":{},"content":[{"type":"paragraph","content":[{"type":"text","text":"236"}]}]},{"type":"tableCell","attrs":{},"content":[{"type":"paragraph","content":[{"type":"text","text":"26"}]}]}]},{"type":"tableRow","content":[{"type":"tableCell","attrs":{"background":"white"},"content":[{"type":"paragraph","content":[{"type":"text","text":"LIDs Stuck in the System"}]}]},{"type":"tableCell","attrs":{},"content":[{"type":"paragraph","content":[{"type":"text","text":"0"}]}]},{"type":"tableCell","attrs":{},"content":[{"type":"paragraph","content":[{"type":"text","text":"0"}]}]}]}]}
{adf}
*24 options were not uploaded due to multiple issues*: kept on hold as per brand due to size issue, AGE KIDS LOV value not added in LOV, Lead SKU not listed due to missing AGE KIDS LOV value, less than 3 SKUs in cluster, and sizes are not continuous.
Thank you for your patience, support, and cooperation throughout the process. Your brand is important to us, and we look forward to assisting you again.</t>
  </si>
  <si>
    <t>UCW-31527</t>
  </si>
  <si>
    <t>WHP Jewellers | Anayra Silver Bracelet, Anayra Silver Earring| 219 SKU | 126291-WHPJ1 | 16-05-2026</t>
  </si>
  <si>
    <t>Waman Hari Pethe Jewellers</t>
  </si>
  <si>
    <t>Date: 20th May 2026 Pre-Processing Done (Brand to Query for price Breakup PDP &amp; Invoice , Bracelet Size) Mousumi
Date: 20th May 2026 Production Done Mousumi
Date: 20th May 2026 Description  Done Khushnuma
Date: 21th May 2026 Images Done -Nitish
Date: 22th May 2026 Post-Processing Done (Brand to Query for Bracelets Size Chat Measurement.) -Mousumi.
Date: 23th May 2026 QC &amp; Uploaded Done -Mousumi.
PFA the Summary &amp; Post-uploaded sheet[^UCW-31527 Post Upload Status_V.2 (1).xlsx] [^Summary.zip] ;[^UCW-31527_LID.xlsx] 
Hi [@Aishwarya Surve|mailto:aishwarya.surve@whpjewellers.in],
Please find attached the sheet, where 186 options have been listed. Kindly update the price and inventory, and share the summary once completed.
{adf:display=block}
{"type":"table","attrs":{"isNumberColumnEnabled":false,"layout":"center","localId":"00aaa486-b58a-4b15-b59b-55089e3a50dd"},"content":[{"type":"tableRow","content":[{"type":"tableCell","attrs":{"background":"#44b3e1"},"content":[{"type":"paragraph","content":[{"type":"text","text":"Ticket ID","marks":[{"type":"strong"}]}]}]},{"type":"tableCell","attrs":{"colspan":2,"background":"#44b3e1"},"content":[{"type":"paragraph","content":[{"type":"text","text":"UCW-31527","marks":[{"type":"strong"}]}]}]}]},{"type":"tableRow","content":[{"type":"tableCell","attrs":{"background":"#44b3e1"},"content":[{"type":"paragraph","content":[{"type":"text","text":"Brand Name","marks":[{"type":"strong"}]}]}]},{"type":"tableCell","attrs":{"colspan":2,"background":"#44b3e1"},"content":[{"type":"paragraph","content":[{"type":"text","text":"Waman Hari Pethe Jeweller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219"}]}]},{"type":"tableCell","attrs":{"background":"white"},"content":[{"type":"paragraph","content":[{"type":"text","text":"219"}]}]}]},{"type":"tableRow","content":[{"type":"tableCell","attrs":{"background":"white"},"content":[{"type":"paragraph","content":[{"type":"text","text":"Uploaded"}]}]},{"type":"tableCell","attrs":{"background":"white"},"content":[{"type":"paragraph","content":[{"type":"text","text":"186"}]}]},{"type":"tableCell","attrs":{"background":"white"},"content":[{"type":"paragraph","content":[{"type":"text","text":"186"}]}]}]},{"type":"tableRow","content":[{"type":"tableCell","attrs":{"background":"white"},"content":[{"type":"paragraph","content":[{"type":"text","text":"Not Uploaded"}]}]},{"type":"tableCell","attrs":{"background":"white"},"content":[{"type":"paragraph","content":[{"type":"text","text":"33"}]}]},{"type":"tableCell","attrs":{"background":"white"},"content":[{"type":"paragraph","content":[{"type":"text","text":"33"}]}]}]},{"type":"tableRow","content":[{"type":"tableCell","attrs":{"background":"white"},"content":[{"type":"paragraph","content":[{"type":"text","text":"LIDs Shared"}]}]},{"type":"tableCell","attrs":{"background":"white"},"content":[{"type":"paragraph","content":[{"type":"text","text":"186"}]}]},{"type":"tableCell","attrs":{"background":"white"},"content":[{"type":"paragraph","content":[{"type":"text","text":"186"}]}]}]},{"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</si>
  <si>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UCW-31526</t>
  </si>
  <si>
    <t>ENRICH_Request for Image Update || 16/05/2026</t>
  </si>
  <si>
    <t>UCW-31521</t>
  </si>
  <si>
    <t>ERROR_Calvin Klein | Size Chart Mismatch | Customer escalation_NC</t>
  </si>
  <si>
    <t>UCW-31512</t>
  </si>
  <si>
    <t>ENRICH_Libas Apparel 127532 16-05-2026 (IMAGE REPLACE)</t>
  </si>
  <si>
    <t>We have updated the images. Please find the attached summary sheet for your reference. Once the images are successfully reflected, we will let you know.
{adf:display=block}
{"type":"table","attrs":{"isNumberColumnEnabled":false,"layout":"center","localId":"d051df1c-64e7-40da-b19d-e9df46d7d171"},"content":[{"type":"tableRow","content":[{"type":"tableCell","attrs":{},"content":[{"type":"paragraph","content":[{"type":"text","text":"Ticket ID"}]}]},{"type":"tableCell","attrs":{"colspan":2},"content":[{"type":"paragraph","content":[{"type":"text","text":"UCW-31512"}]}]}]},{"type":"tableRow","content":[{"type":"tableCell","attrs":{},"content":[{"type":"paragraph","content":[{"type":"text","text":"Brand Name"}]}]},{"type":"tableCell","attrs":{"colspan":2},"content":[{"type":"paragraph","content":[{"type":"text","text":"Libas"}]}]}]},{"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type":"tableCell","attrs":{},"content":[{"type":"paragraph","content":[{"type":"text","text":"2"}]}]}]},{"type":"tableRow","content":[{"type":"tableCell","attrs":{},"content":[{"type":"paragraph","content":[{"type":"text","text":"Uploaded"}]}]},{"type":"tableCell","attrs":{},"content":[{"type":"paragraph","content":[{"type":"text","text":"6"}]}]},{"type":"tableCell","attrs":{},"content":[{"type":"paragraph","content":[{"type":"text","text":"2"}]}]}]}]}
{adf}
[^Summery.zip]
[^Status of UCW-31512.xlsx]
;The images have been successfully reflected. Please find the attached screenshot for your reference. Therefore, we are now closing this ticket. If you require any further assistance, please feel free to reach out to us.
!image-20260523-064136.png|width=534,alt="image-20260523-064136.png"!
!image-20260523-064143.png|width=519,alt="image-20260523-064143.png"!
!image-20260523-064152.png|width=519,alt="image-20260523-064152.png"!
!image-20260523-064158.png|width=519,alt="image-20260523-064158.png"!
!image-20260523-064204.png|width=519,alt="image-20260523-064204.png"!</t>
  </si>
  <si>
    <t>UCW-31506</t>
  </si>
  <si>
    <t>Garnier | AFGC PDP Image Update | TATACLIQ</t>
  </si>
  <si>
    <t>The changes have been successfully updated and are now reflecting on the PDP. Please find the attached screenshot for your reference.
!image-20260521-060751.png|width=534,alt="image-20260521-060751.png"!</t>
  </si>
  <si>
    <t>UCW-31495</t>
  </si>
  <si>
    <t>Libas Apparel 127532 16-05-2026 (SIZE ADDITION)</t>
  </si>
  <si>
    <t>[^SIZE ADDITION TATACLIQ 16-5-26.xlsx]
Please find attached the sheet, where 28 SKUs have been listed which is given for Cut size addition.
Kindly update the price and inventory, and share the summary once completed.
With this, we are closing this request from our end.
Thank you for your patience, support, and cooperation throughout the process. Your brand is important to us, and we look forward to assisting you again.</t>
  </si>
  <si>
    <t>UCW-31494</t>
  </si>
  <si>
    <t>ENRICH_Request to Update the Details Only(22+) | Men | Tata Cliq Fashion | Seller Code - 127381 | 16-05-2026</t>
  </si>
  <si>
    <t>UCW-31493</t>
  </si>
  <si>
    <t>ENRICH_Request to Update the Images Only(22+) | Women | Tata Cliq Fashion | Seller Code - 127381 | 16-05-2026</t>
  </si>
  <si>
    <t>UCW-31491</t>
  </si>
  <si>
    <t>ENRICH_Request to Update the Images Only(22+) | Men | Tata Cliq Fashion | Seller Code - 127381 | 16-05-2026</t>
  </si>
  <si>
    <t>We have updated the images. Please find the attached summary sheet for your reference. Once the images are successfully reflected, we will let you know.
{adf:display=block}
{"type":"table","attrs":{"isNumberColumnEnabled":false,"layout":"center","localId":"d2bc02f6-cd14-4cb3-bfba-29d6f29aa7e4"},"content":[{"type":"tableRow","content":[{"type":"tableCell","attrs":{},"content":[{"type":"paragraph","content":[{"type":"text","text":"Ticket ID"}]}]},{"type":"tableCell","attrs":{"colspan":2},"content":[{"type":"paragraph","content":[{"type":"text","text":"UCW-31491"}]}]}]},{"type":"tableRow","content":[{"type":"tableCell","attrs":{},"content":[{"type":"paragraph","content":[{"type":"text","text":"Brand Name"}]}]},{"type":"tableCell","attrs":{"colspan":2},"content":[{"type":"paragraph","content":[{"type":"text","text":"Crimsoune Club"}]}]}]},{"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207"}]}]},{"type":"tableCell","attrs":{},"content":[{"type":"paragraph","content":[{"type":"text","text":"29"}]}]}]},{"type":"tableRow","content":[{"type":"tableCell","attrs":{},"content":[{"type":"paragraph","content":[{"type":"text","text":"Uploaded"}]}]},{"type":"tableCell","attrs":{},"content":[{"type":"paragraph","content":[{"type":"text","text":"207"}]}]},{"type":"tableCell","attrs":{},"content":[{"type":"paragraph","content":[{"type":"text","text":"29"}]}]}]}]}
{adf}
[^Summery.zip]
[^Status of UCW-31491.xlsx]
;The images have been successfully reflected. Please find the attached screenshot for your reference. Therefore, we are now closing this ticket. If you require any further assistance, please feel free to reach out to us.
!image-20260523-070715.png|width=534,alt="image-20260523-070715.png"!
!image-20260523-070726.png|width=519,alt="image-20260523-070726.png"!
!image-20260523-070733.png|width=519,alt="image-20260523-070733.png"!
!image-20260523-070739.png|width=519,alt="image-20260523-070739.png"!
!image-20260523-070744.png|width=519,alt="image-20260523-070744.png"!
!image-20260523-070749.png|width=519,alt="image-20260523-070749.png"!
!image-20260523-070755.png|width=519,alt="image-20260523-070755.png"!
!image-20260523-070801.png|width=519,alt="image-20260523-070801.png"!</t>
  </si>
  <si>
    <t>UCW-31490</t>
  </si>
  <si>
    <t>ENRICH_Request to Update the Images Only(22+) | Kids | Tata Cliq Fashion | Seller Code - 127381 | 16-05-2026</t>
  </si>
  <si>
    <t>We have updated the images. Please find the attached summary sheet for your reference. Once the images are successfully reflected, we will let you know.
{adf:display=block}
{"type":"table","attrs":{"isNumberColumnEnabled":false,"layout":"center","localId":"efac1416-cf1a-4525-bd86-29f07900702e"},"content":[{"type":"tableRow","content":[{"type":"tableCell","attrs":{},"content":[{"type":"paragraph","content":[{"type":"text","text":"Ticket ID"}]}]},{"type":"tableCell","attrs":{"colspan":2},"content":[{"type":"paragraph","content":[{"type":"text","text":"UCW-31490"}]}]}]},{"type":"tableRow","content":[{"type":"tableCell","attrs":{},"content":[{"type":"paragraph","content":[{"type":"text","text":"Brand Name"}]}]},{"type":"tableCell","attrs":{"colspan":2},"content":[{"type":"paragraph","content":[{"type":"text","text":"Crimsoune Club"}]}]}]},{"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42"}]}]},{"type":"tableCell","attrs":{},"content":[{"type":"paragraph","content":[{"type":"text","text":"7"}]}]}]},{"type":"tableRow","content":[{"type":"tableCell","attrs":{},"content":[{"type":"paragraph","content":[{"type":"text","text":"Uploaded"}]}]},{"type":"tableCell","attrs":{},"content":[{"type":"paragraph","content":[{"type":"text","text":"42"}]}]},{"type":"tableCell","attrs":{},"content":[{"type":"paragraph","content":[{"type":"text","text":"7"}]}]}]}]}
{adf}
[^Summery.zip]
[^Status UCW-31490.xlsx]
;The images have been successfully reflected. Please find the attached screenshot for your reference. Therefore, we are now closing this ticket. If you need any further assistance, please feel free to reach out to us.
!image-20260522-061449.png|width=534,alt="image-20260522-061449.png"!
!image-20260522-061457.png|width=519,alt="image-20260522-061457.png"!
!image-20260522-061507.png|width=519,alt="image-20260522-061507.png"!
!image-20260522-061514.png|width=519,alt="image-20260522-061514.png"!
!image-20260522-061520.png|width=519,alt="image-20260522-061520.png"!
!image-20260522-061526.png|width=519,alt="image-20260522-061526.png"!</t>
  </si>
  <si>
    <t>UCW-31485</t>
  </si>
  <si>
    <t>CLONE - Tata Cliq-adidas DTC|Footwear| Attributes_24-03-26</t>
  </si>
  <si>
    <t>Please find the Clone Ticket [https://tataunistore.atlassian.net/browse/UCW-31485|https://tataunistore.atlassian.net/browse/UCW-31485|smart-link] 
We have successfully uploaded this batch. Please find the summary of this batch. and attach Summary zip and Post upload Sheet.
[^SUMMARY.zip] [^UCW-31485_Post Upload Status_V.2.xlsx] [^Summary.zip] ;{adf:display=block}
{"type":"table","attrs":{"isNumberColumnEnabled":false,"layout":"center","localId":"fc407acc-1056-4b2b-905c-3101288162e7"},"content":[{"type":"tableRow","content":[{"type":"tableCell","attrs":{},"content":[{"type":"paragraph","content":[{"type":"text","text":"Brand Name"}]}]},{"type":"tableCell","attrs":{"colspan":4},"content":[{"type":"paragraph","content":[{"type":"text","text":"Adidas"}]}]}]},{"type":"tableRow","content":[{"type":"tableCell","attrs":{},"content":[{"type":"paragraph","content":[{"type":"text","text":"Platform"}]}]},{"type":"tableCell","attrs":{"colspan":2},"content":[{"type":"paragraph","content":[{"type":"text","text":"Luxury"}]}]},{"type":"tableCell","attrs":{"colspan":2},"content":[{"type":"paragraph","content":[{"type":"text","text":"Mall"}]}]}]},{"type":"tableRow","content":[{"type":"tableCell","attrs":{},"content":[{"type":"paragraph","content":[{"type":"text","text":"Particulars"}]}]},{"type":"tableCell","attrs":{},"content":[{"type":"paragraph","content":[{"type":"text","text":"SKU Count"}]}]},{"type":"tableCell","attrs":{},"content":[{"type":"paragraph","content":[{"type":"text","text":"Option Count"}]}]},{"type":"tableCell","attrs":{},"content":[{"type":"paragraph","content":[{"type":"text","text":"SKU Count"}]}]},{"type":"tableCell","attrs":{},"content":[{"type":"paragraph","content":[{"type":"text","text":"Option Count"}]}]}]},{"type":"tableRow","content":[{"type":"tableCell","attrs":{},"content":[{"type":"paragraph","content":[{"type":"text","text":"Received"}]}]},{"type":"tableCell","attrs":{},"content":[{"type":"paragraph","content":[{"type":"text","text":"338"}]}]},{"type":"tableCell","attrs":{},"content":[{"type":"paragraph","content":[{"type":"text","text":"46"}]}]},{"type":"tableCell","attrs":{},"content":[{"type":"paragraph","content":[{"type":"text","text":"338"}]}]},{"type":"tableCell","attrs":{},"content":[{"type":"paragraph","content":[{"type":"text","text":"46"}]}]}]},{"type":"tableRow","content":[{"type":"tableCell","attrs":{},"content":[{"type":"paragraph","content":[{"type":"text","text":"Uploaded"}]}]},{"type":"tableCell","attrs":{},"content":[{"type":"paragraph","content":[{"type":"text","text":"338"}]}]},{"type":"tableCell","attrs":{},"content":[{"type":"paragraph","content":[{"type":"text","text":"46"}]}]},{"type":"tableCell","attrs":{},"content":[{"type":"paragraph","content":[{"type":"text","text":"323"}]}]},{"type":"tableCell","attrs":{},"content":[{"type":"paragraph","content":[{"type":"text","text":"45"}]}]}]},{"type":"tableRow","content":[{"type":"tableCell","attrs":{},"content":[{"type":"paragraph","content":[{"type":"text","text":"SKUs Not Uploaded"}]}]},{"type":"tableCell","attrs":{},"content":[{"type":"paragraph","content":[{"type":"text","text":"0"}]}]},{"type":"tableCell","attrs":{},"content":[{"type":"paragraph","content":[{"type":"text","text":"0"}]}]},{"type":"tableCell","attrs":{},"content":[{"type":"paragraph","content":[{"type":"text","text":"0"}]}]},{"type":"tableCell","attrs":{},"content":[{"type":"paragraph","content":[{"type":"text","text":"0"}]}]}]},{"type":"tableRow","content":[{"type":"tableCell","attrs":{},"content":[{"type":"paragraph","content":[{"type":"text","text":"Already Listed"}]}]},{"type":"tableCell","attrs":{},"content":[{"type":"paragraph","content":[{"type":"text","text":"0"}]}]},{"type":"tableCell","attrs":{},"content":[{"type":"paragraph","content":[{"type":"text","text":"0"}]}]},{"type":"tableCell","attrs":{},"content":[{"type":"paragraph","content":[{"type":"text","text":"15"}]}]},{"type":"tableCell","attrs":{},"content":[{"type":"paragraph","content":[{"type":"text","text":"1"}]}]}]},{"type":"tableRow","content":[{"type":"tableCell","attrs":{},"content":[{"type":"paragraph","content":[{"type":"text","text":"LIDs Shared"}]}]},{"type":"tableCell","attrs":{},"content":[{"type":"paragraph","content":[{"type":"text","text":"311"}]}]},{"type":"tableCell","attrs":{},"content":[{"type":"paragraph","content":[{"type":"text","text":"43"}]}]},{"type":"tableCell","attrs":{},"content":[{"type":"paragraph","content":[{"type":"text","text":"323"}]}]},{"type":"tableCell","attrs":{},"content":[{"type":"paragraph","content":[{"type":"text","text":"45"}]}]}]},{"type":"tableRow","content":[{"type":"tableCell","attrs":{},"content":[{"type":"paragraph","content":[{"type":"text","text":"LIDs Stuck in the System"}]}]},{"type":"tableCell","attrs":{},"content":[{"type":"paragraph","content":[{"type":"text","text":"27"}]}]},{"type":"tableCell","attrs":{},"content":[{"type":"paragraph","content":[{"type":"text","text":"3"}]}]},{"type":"tableCell","attrs":{},"content":[{"type":"paragraph","content":[{"type":"text","text":"0"}]}]},{"type":"tableCell","attrs":{},"content":[{"type":"paragraph","content":[{"type":"text","text":"0"}]}]}]}]}
{adf}
[^UCW-31485.xlsx]
;[^UCW-31485 (c7a3fe79-c4a0-493c-a126-e536ef45b4c8).xlsx]
[^Sell Now Summary.zip]
[^MP Sell now LIDs.xlsx]
[^LUX sell now LIDs.xlsx]
[^UCW-31485_pending 3 options Summary.zip]
*E2E*:
{adf:display=block}
{"type":"table","attrs":{"isNumberColumnEnabled":false,"layout":"center","localId":"406a12a2-9183-4089-bf93-2ea78161c26a"},"content":[{"type":"tableRow","content":[{"type":"tableCell","attrs":{"background":"#44b3e1"},"content":[{"type":"paragraph","content":[{"type":"text","text":"Brand Name","marks":[{"type":"strong"}]}]}]},{"type":"tableCell","attrs":{"colspan":4,"background":"#44b3e1"},"content":[{"type":"paragraph","content":[{"type":"text","text":"Adidas","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338"}]}]},{"type":"tableCell","attrs":{"background":"white"},"content":[{"type":"paragraph","content":[{"type":"text","text":"46"}]}]},{"type":"tableCell","attrs":{"background":"white"},"content":[{"type":"paragraph","content":[{"type":"text","text":"338"}]}]},{"type":"tableCell","attrs":{"background":"white"},"content":[{"type":"paragraph","content":[{"type":"text","text":"46"}]}]}]},{"type":"tableRow","content":[{"type":"tableCell","attrs":{"background":"white"},"content":[{"type":"paragraph","content":[{"type":"text","text":"Uploaded"}]}]},{"type":"tableCell","attrs":{"background":"white"},"content":[{"type":"paragraph","content":[{"type":"text","text":"338"}]}]},{"type":"tableCell","attrs":{"background":"white"},"content":[{"type":"paragraph","content":[{"type":"text","text":"46"}]}]},{"type":"tableCell","attrs":{"background":"white"},"content":[{"type":"paragraph","content":[{"type":"text","text":"323"}]}]},{"type":"tableCell","attrs":{"background":"white"},"content":[{"type":"paragraph","content":[{"type":"text","text":"45"}]}]}]},{"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Already Listed"}]}]},{"type":"tableCell","attrs":{"background":"white"},"content":[{"type":"paragraph","content":[{"type":"text","text":"0"}]}]},{"type":"tableCell","attrs":{"background":"white"},"content":[{"type":"paragraph","content":[{"type":"text","text":"0"}]}]},{"type":"tableCell","attrs":{"background":"white"},"content":[{"type":"paragraph","content":[{"type":"text","text":"15"}]}]},{"type":"tableCell","attrs":{"background":"white"},"content":[{"type":"paragraph","content":[{"type":"text","text":"1"}]}]}]},{"type":"tableRow","content":[{"type":"tableCell","attrs":{"background":"white"},"content":[{"type":"paragraph","content":[{"type":"text","text":"LIDs Shared"}]}]},{"type":"tableCell","attrs":{"background":"white"},"content":[{"type":"paragraph","content":[{"type":"text","text":"338"}]}]},{"type":"tableCell","attrs":{"background":"white"},"content":[{"type":"paragraph","content":[{"type":"text","text":"46"}]}]},{"type":"tableCell","attrs":{"background":"white"},"content":[{"type":"paragraph","content":[{"type":"text","text":"323"}]}]},{"type":"tableCell","attrs":{"background":"white"},"content":[{"type":"paragraph","content":[{"type":"text","text":"45"}]}]}]},{"type":"tableRow","content":[{"type":"tableCell","attrs":{"background":"white"},"content":[{"type":"paragraph","content":[{"type":"text","text":"LIDs Stuck in the System"}]}]},{"type":"tableCell","attrs":{},"content":[{"type":"paragraph","content":[{"type":"text","text":"0"}]}]},{"type":"tableCell","attrs":{"background":"white"},"content":[{"type":"paragraph","content":[{"type":"text","text":"0"}]}]},{"type":"tableCell","attrs":{},"content":[{"type":"paragraph","content":[{"type":"text","text":"0"}]}]},{"type":"tableCell","attrs":{"background":"white"},"content":[{"type":"paragraph","content":[{"type":"text","text":"0"}]}]}]}]}
{adf}
{adf:display=block}
{"type":"table","attrs":{"isNumberColumnEnabled":false,"layout":"center","localId":"a514993a-2e8d-4e42-a507-0322e701fd3c"},"content":[{"type":"tableRow","content":[{"type":"tableCell","attrs":{"background":"#61cbf3"},"content":[{"type":"paragraph","content":[{"type":"text","text":"Brand Name","marks":[{"type":"strong"}]}]}]},{"type":"tableCell","attrs":{"colspan":2,"background":"#61cbf3"},"content":[{"type":"paragraph","content":[{"type":"text","text":"adidas","marks":[{"type":"strong"}]}]}]}]},{"type":"tableRow","content":[{"type":"tableCell","attrs":{"background":"#61cbf3"},"content":[{"type":"paragraph","content":[{"type":"text","text":"Platform","marks":[{"type":"strong"}]}]}]},{"type":"tableCell","attrs":{"colspan":2,"background":"#61cbf3"},"content":[{"type":"paragraph","content":[{"type":"text","text":"Marketplace","marks":[{"type":"strong"}]}]}]}]},{"type":"tableRow","content":[{"type":"tableCell","attrs":{"background":"#61cbf3"},"content":[{"type":"paragraph","content":[{"type":"text","text":"Seller Code","marks":[{"type":"strong"}]}]}]},{"type":"tableCell","attrs":{"colspan":2,"background":"#61cbf3"},"content":[{"type":"paragraph","content":[{"type":"text","text":"125696/125719/125738/125565/125358/127653/126891/128004","marks":[{"type":"strong"}]}]}]}]},{"type":"tableRow","content":[{"type":"tableCell","attrs":{"background":"#61cbf3"},"content":[{"type":"paragraph","content":[{"type":"text","text":"Particulars","marks":[{"type":"strong"}]}]}]},{"type":"tableCell","attrs":{"background":"#61cbf3"},"content":[{"type":"paragraph","content":[{"type":"text","text":"SKU Count","marks":[{"type":"strong"}]}]}]},{"type":"tableCell","attrs":{"background":"#61cbf3"},"content":[{"type":"paragraph","content":[{"type":"text","text":"Option Count","marks":[{"type":"strong"}]}]}]}]},{"type":"tableRow","content":[{"type":"tableCell","attrs":{"background":"white"},"content":[{"type":"paragraph","content":[{"type":"text","text":"Received","marks":[{"type":"strong"}]}]}]},{"type":"tableCell","attrs":{"background":"white"},"content":[{"type":"paragraph","content":[{"type":"text","text":"338*8=2704","marks":[{"type":"strong"}]}]}]},{"type":"tableCell","attrs":{"background":"white"},"content":[{"type":"paragraph","content":[{"type":"text","text":"46*8=368","marks":[{"type":"strong"}]}]}]}]},{"type":"tableRow","content":[{"type":"tableCell","attrs":{"background":"white"},"content":[{"type":"paragraph","content":[{"type":"text","text":"Uploaded in Seller Code - 127653","marks":[{"type":"strong"}]}]}]},{"type":"tableCell","attrs":{},"content":[{"type":"paragraph","content":[{"type":"text","text":"53*1=53","marks":[{"type":"strong"}]}]}]},{"type":"tableCell","attrs":{"background":"white"},"content":[{"type":"paragraph","content":[{"type":"text","text":"9*1=9","marks":[{"type":"strong"}]}]}]}]},{"type":"tableRow","content":[{"type":"tableCell","attrs":{"background":"white"},"content":[{"type":"paragraph","content":[{"type":"text","text":"Uploaded in remaining seller code","marks":[{"type":"strong"}]}]}]},{"type":"tableCell","attrs":{"background":"white"},"content":[{"type":"paragraph","content":[{"type":"text","text":"323*7=2261","marks":[{"type":"strong"}]}]}]},{"type":"tableCell","attrs":{"background":"white"},"content":[{"type":"paragraph","content":[{"type":"text","text":"45*7=315","marks":[{"type":"strong"}]}]}]}]},{"type":"tableRow","content":[{"type":"tableCell","attrs":{"background":"white"},"content":[{"type":"paragraph","content":[{"type":"text","text":"Sell Now was previously done","marks":[{"type":"strong"}]}]}]},{"type":"tableCell","attrs":{},"content":[{"type":"paragraph","content":[{"type":"text","text":"15*8=120","marks":[{"type":"strong"}]}]}]},{"type":"tableCell","attrs":{},"content":[{"type":"paragraph","content":[{"type":"text","text":"1*8=8","marks":[{"type":"strong"}]}]}]}]},{"type":"tableRow","content":[{"type":"tableCell","attrs":{"background":"white"},"content":[{"type":"paragraph","content":[{"type":"text","text":"Already Listed in Seller Code - 127653","marks":[{"type":"strong"}]}]}]},{"type":"tableCell","attrs":{},"content":[{"type":"paragraph","content":[{"type":"text","text":"270*1=270","marks":[{"type":"strong"}]}]}]},{"type":"tableCell","attrs":{},"content":[{"type":"paragraph","content":[{"type":"text","text":"37*1=37","marks":[{"type":"strong"}]}]}]}]}]}
{adf}
{adf:display=block}
{"type":"table","attrs":{"isNumberColumnEnabled":false,"layout":"center","localId":"42f8a26c-abbd-4577-9b74-7e0a4451d757"},"content":[{"type":"tableRow","content":[{"type":"tableCell","attrs":{"background":"#61cbf3"},"content":[{"type":"paragraph","content":[{"type":"text","text":"Brand Name","marks":[{"type":"strong"}]}]}]},{"type":"tableCell","attrs":{"colspan":2,"background":"#61cbf3"},"content":[{"type":"paragraph","content":[{"type":"text","text":"adidas","marks":[{"type":"strong"}]}]}]}]},{"type":"tableRow","content":[{"type":"tableCell","attrs":{"background":"#61cbf3"},"content":[{"type":"paragraph","content":[{"type":"text","text":"Platform","marks":[{"type":"strong"}]}]}]},{"type":"tableCell","attrs":{"colspan":2,"background":"#61cbf3"},"content":[{"type":"paragraph","content":[{"type":"text","text":"Luxury","marks":[{"type":"strong"}]}]}]}]},{"type":"tableRow","content":[{"type":"tableCell","attrs":{"background":"#61cbf3"},"content":[{"type":"paragraph","content":[{"type":"text","text":"Seller Code","marks":[{"type":"strong"}]}]}]},{"type":"tableCell","attrs":{"colspan":2,"background":"#61cbf3"},"content":[{"type":"paragraph","content":[{"type":"text","text":"126224/125748/128260/125760/125453","marks":[{"type":"strong"}]}]}]}]},{"type":"tableRow","content":[{"type":"tableCell","attrs":{"background":"#61cbf3"},"content":[{"type":"paragraph","content":[{"type":"text","text":"Particulars","marks":[{"type":"strong"}]}]}]},{"type":"tableCell","attrs":{"background":"#61cbf3"},"content":[{"type":"paragraph","content":[{"type":"text","text":"SKU Count","marks":[{"type":"strong"}]}]}]},{"type":"tableCell","attrs":{"background":"#61cbf3"},"content":[{"type":"paragraph","content":[{"type":"text","text":"Option Count","marks":[{"type":"strong"}]}]}]}]},{"type":"tableRow","content":[{"type":"tableCell","attrs":{"background":"white"},"content":[{"type":"paragraph","content":[{"type":"text","text":"Received"}]}]},{"type":"tableCell","attrs":{"background":"white"},"content":[{"type":"paragraph","content":[{"type":"text","text":"338*5=1690"}]}]},{"type":"tableCell","attrs":{"background":"white"},"content":[{"type":"paragraph","content":[{"type":"text","text":"46*5=230"}]}]}]},{"type":"tableRow","content":[{"type":"tableCell","attrs":{"background":"white"},"content":[{"type":"paragraph","content":[{"type":"text","text":"Uploaded"}]}]},{"type":"tableCell","attrs":{"background":"white"},"content":[{"type":"paragraph","content":[{"type":"text","text":"338*5=1690"}]}]},{"type":"tableCell","attrs":{"background":"white"},"content":[{"type":"paragraph","content":[{"type":"text","text":"46*5=230"}]}]}]}]}
{adf}</t>
  </si>
  <si>
    <t>UCW-31482</t>
  </si>
  <si>
    <t>Sell Now - Tata Cliq-Multi Brand-Footwear-129236,127776 - 13-05-2026</t>
  </si>
  <si>
    <t>[^Status Of UCW-31482.xlsx]
[^Summary 1.zip]
We have done the sell now task, Here we attach the summery file for your reference.;[^Status Of UCW-31482 (95b8862a-aa9f-4077-a2ca-5f2fbd730c7e).xlsx]
[^Summary 1 (4d36e9a2-2e12-4a0b-b3b1-35e0071a0c93).zip]
We have done the sell now task, and also shared the LID ,Here we attach the summery file for your reference. 
{adf:display=block}
{"type":"table","attrs":{"isNumberColumnEnabled":false,"layout":"center","localId":"e3d13193-b988-4b13-ba93-d64efee8636c"},"content":[{"type":"tableRow","content":[{"type":"tableCell","attrs":{},"content":[{"type":"paragraph","content":[{"type":"text","text":"Ticket ID"}]}]},{"type":"tableCell","attrs":{"colspan":2},"content":[{"type":"paragraph","content":[{"type":"text","text":"UCW-31482"}]}]}]},{"type":"tableRow","content":[{"type":"tableCell","attrs":{},"content":[{"type":"paragraph","content":[{"type":"text","text":"Brand Name"}]}]},{"type":"tableCell","attrs":{"colspan":2},"content":[{"type":"paragraph","content":[{"type":"text","text":"Multi"}]}]}]},{"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530"}]}]},{"type":"tableCell","attrs":{},"content":[{"type":"paragraph","content":[{"type":"text","text":"83"}]}]}]},{"type":"tableRow","content":[{"type":"tableCell","attrs":{},"content":[{"type":"paragraph","content":[{"type":"text","text":"Uploaded"}]}]},{"type":"tableCell","attrs":{},"content":[{"type":"paragraph","content":[{"type":"text","text":"530"}]}]},{"type":"tableCell","attrs":{},"content":[{"type":"paragraph","content":[{"type":"text","text":"83"}]}]}]}]}
{adf}</t>
  </si>
  <si>
    <t>UCW-31469</t>
  </si>
  <si>
    <t>Additions Shaya Everyday, Plumes &amp; Nitya Collection Catalog for Tata Cliq.</t>
  </si>
  <si>
    <t>Date: 19th May,2026 Pre-Processing Done Options 87. (Brand to Query for Weight ,Chain Length, Bracelet Size) Mousumi.
Date: 20th May,2026 Prodution Done. Mousumi.
Date: 20th May,2026 Images Doen. Nitish.
Date: 20th May,2026 Description. Khushnuma
Date: 20th May,2026 Qc &amp; Uploaded. Mousumi.
PFA the Summary &amp; Post-Uploaded sheet[^UCW-31469 Post Upload Status_V.2 (1).xlsx] [^Summary.zip] ;[^UCW-31469.xlsx]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220e3422-426f-4efc-b716-3b0fd9dd060e"},"content":[{"type":"tableRow","content":[{"type":"tableCell","attrs":{"background":"#44b3e1"},"content":[{"type":"paragraph","content":[{"type":"text","text":"Ticket ID","marks":[{"type":"strong"}]}]}]},{"type":"tableCell","attrs":{"colspan":2,"background":"#44b3e1"},"content":[{"type":"paragraph","content":[{"type":"text","text":"UCW-31469","marks":[{"type":"strong"}]}]}]}]},{"type":"tableRow","content":[{"type":"tableCell","attrs":{"background":"#44b3e1"},"content":[{"type":"paragraph","content":[{"type":"text","text":"Brand Name","marks":[{"type":"strong"}]}]}]},{"type":"tableCell","attrs":{"colspan":2,"background":"#44b3e1"},"content":[{"type":"paragraph","content":[{"type":"text","text":"Shay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87"}]}]},{"type":"tableCell","attrs":{},"content":[{"type":"paragraph","content":[{"type":"text","text":"87"}]}]}]},{"type":"tableRow","content":[{"type":"tableCell","attrs":{"background":"white"},"content":[{"type":"paragraph","content":[{"type":"text","text":"Uploaded"}]}]},{"type":"tableCell","attrs":{},"content":[{"type":"paragraph","content":[{"type":"text","text":"87"}]}]},{"type":"tableCell","attrs":{},"content":[{"type":"paragraph","content":[{"type":"text","text":"87"}]}]}]},{"type":"tableRow","content":[{"type":"tableCell","attrs":{"background":"white"},"content":[{"type":"paragraph","content":[{"type":"text","text":"LIDs Shared"}]}]},{"type":"tableCell","attrs":{},"content":[{"type":"paragraph","content":[{"type":"text","text":"87"}]}]},{"type":"tableCell","attrs":{},"content":[{"type":"paragraph","content":[{"type":"text","text":"87"}]}]}]},{"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</si>
  <si>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UCW-31468</t>
  </si>
  <si>
    <t>ZAVERI PEARLS | JEWELLERY | SELLER CODE: 124167 | 15-05-2026 | 135 SKUs</t>
  </si>
  <si>
    <t>Zaveri pearls</t>
  </si>
  <si>
    <t>Date: 19th May 2026 Pre-processing Done ( Brand to Query for Waist Band Size) Options: 135-Mousumi 
Date: 19th May 2026  Production Done -Mousumi.
Date: 19th May 2026  images Done  -Nitish
Date: 19th May 2026  Description Done-Khushnuma
Date: 21th May 2026  Qc &amp; Uploaded Done -Mousumi
PFA the Summary &amp; Post-Uploaded sheet
[^UCW-31468 Post Upload Status_V.2 (1).xlsx] [^Summary.zip] 
;[^UCW-31468.xlsx]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c8074d9-24c8-4f49-b31e-bac8d138705f"},"content":[{"type":"tableRow","content":[{"type":"tableCell","attrs":{"background":"#44b3e1"},"content":[{"type":"paragraph","content":[{"type":"text","text":"Ticket ID","marks":[{"type":"strong"}]}]}]},{"type":"tableCell","attrs":{"colspan":2,"background":"#44b3e1"},"content":[{"type":"paragraph","content":[{"type":"text","text":"UCW-31468","marks":[{"type":"strong"}]}]}]}]},{"type":"tableRow","content":[{"type":"tableCell","attrs":{"background":"#44b3e1"},"content":[{"type":"paragraph","content":[{"type":"text","text":"Brand Name","marks":[{"type":"strong"}]}]}]},{"type":"tableCell","attrs":{"colspan":2,"background":"#44b3e1"},"content":[{"type":"paragraph","content":[{"type":"text","text":"Zaveri pearl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135"}]}]},{"type":"tableCell","attrs":{},"content":[{"type":"paragraph","content":[{"type":"text","text":"135"}]}]}]},{"type":"tableRow","content":[{"type":"tableCell","attrs":{"background":"white"},"content":[{"type":"paragraph","content":[{"type":"text","text":"Uploaded"}]}]},{"type":"tableCell","attrs":{},"content":[{"type":"paragraph","content":[{"type":"text","text":"135"}]}]},{"type":"tableCell","attrs":{},"content":[{"type":"paragraph","content":[{"type":"text","text":"135"}]}]}]},{"type":"tableRow","content":[{"type":"tableCell","attrs":{"background":"white"},"content":[{"type":"paragraph","content":[{"type":"text","text":"LIDs Shared"}]}]},{"type":"tableCell","attrs":{},"content":[{"type":"paragraph","content":[{"type":"text","text":"135"}]}]},{"type":"tableCell","attrs":{},"content":[{"type":"paragraph","content":[{"type":"text","text":"135"}]}]}]},{"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</si>
  <si>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UCW-31457</t>
  </si>
  <si>
    <t xml:space="preserve">Enrich_PDP Update - TCL </t>
  </si>
  <si>
    <t>UCW-31456</t>
  </si>
  <si>
    <t>CLONE - CLONE - Tata CLIQ(Fashion+Luxury) |adidas DTC| Footwear Attributes for Listing_28-10-25</t>
  </si>
  <si>
    <t>Regan says to close this.</t>
  </si>
  <si>
    <t>UCW-31442</t>
  </si>
  <si>
    <t>Puig 2026 H1 cataloguing</t>
  </si>
  <si>
    <t>We have successfully uploaded this batch. Please find the attached summary sheet and summary report.[^31442_Post Upload Status.xlsx] [^PRODUC~1.CSV] ;[^UCW-31442.xlsx]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261e68a3-1c37-4bc8-ba5a-0e5d4001f32c"},"content":[{"type":"tableRow","content":[{"type":"tableCell","attrs":{"background":"#44b3e1"},"content":[{"type":"paragraph","content":[{"type":"text","text":"Ticket ID","marks":[{"type":"strong"}]}]}]},{"type":"tableCell","attrs":{"colspan":2,"background":"#44b3e1"},"content":[{"type":"paragraph","content":[{"type":"text","text":"UCW-31442","marks":[{"type":"strong"}]}]}]}]},{"type":"tableRow","content":[{"type":"tableCell","attrs":{"background":"#44b3e1"},"content":[{"type":"paragraph","content":[{"type":"text","text":"Brand Name","marks":[{"type":"strong"}]}]}]},{"type":"tableCell","attrs":{"colspan":2,"background":"#44b3e1"},"content":[{"type":"paragraph","content":[{"type":"text","text":"Puig ","marks":[{"type":"strong"}]}]}]}]},{"type":"tableRow","content":[{"type":"tableCell","attrs":{"background":"#ace5fe"},"content":[{"type":"paragraph","content":[{"type":"text","text":"Platform","marks":[{"type":"strong"}]}]}]},{"type":"tableCell","attrs":{"colspan":2,"background":"#ace5fe"},"content":[{"type":"paragraph","content":[{"type":"text","text":"Mall ;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type":"tableCell","attrs":{},"content":[{"type":"paragraph","content":[{"type":"text","text":"16"}]}]}]},{"type":"tableRow","content":[{"type":"tableCell","attrs":{"background":"white"},"content":[{"type":"paragraph","content":[{"type":"text","text":"Uploaded"}]}]},{"type":"tableCell","attrs":{},"content":[{"type":"paragraph","content":[{"type":"text","text":"16"}]}]},{"type":"tableCell","attrs":{},"content":[{"type":"paragraph","content":[{"type":"text","text":"16"}]}]}]},{"type":"tableRow","content":[{"type":"tableCell","attrs":{"background":"white"},"content":[{"type":"paragraph","content":[{"type":"text","text":"LIDs Shared"}]}]},{"type":"tableCell","attrs":{},"content":[{"type":"paragraph","content":[{"type":"text","text":"16"}]}]},{"type":"tableCell","attrs":{},"content":[{"type":"paragraph","content":[{"type":"text","text":"16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</si>
  <si>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UCW-31426</t>
  </si>
  <si>
    <t>Catalogue Format</t>
  </si>
  <si>
    <t>Neutriderm</t>
  </si>
  <si>
    <t>Date :05/25/2026 &lt; Closing ticket for Brand not Responding 1st Follow Up 19th May, 2nd Follow Up 20th, 3rd Follow up 21st&gt; &lt;Tania&gt;</t>
  </si>
  <si>
    <t>UCW-31421</t>
  </si>
  <si>
    <t>Pending Listing File for Top Performing Product – Sanfe</t>
  </si>
  <si>
    <t>We have successfully uploaded this batch. Please find the attached summary sheet and summary report.
[^UCW-31421_Post Upload Status_V.2 (1).xlsx]
[^Summary.zip]
;[^UCW-31421_LID.xlsx] 
Hi @Faiz Muhammad,
Out of the 28 SKUs received, 9 SKUs have been uploaded successfully.
However, all the uploaded SKUs are currently stuck in the “Pending for Commission” stage in the system.
{color:#ffffff}__{color}
{adf:display=block}
{"type":"table","attrs":{"isNumberColumnEnabled":false,"layout":"center","localId":"c9853adf-2593-40c2-81c1-0ab139fa2a97"},"content":[{"type":"tableRow","content":[{"type":"tableCell","attrs":{"background":"#44b3e1"},"content":[{"type":"paragraph","content":[{"type":"text","text":"Ticket ID","marks":[{"type":"strong"}]}]}]},{"type":"tableCell","attrs":{"colspan":2,"background":"#44b3e1"},"content":[{"type":"paragraph","content":[{"type":"text","text":"UCW-31421","marks":[{"type":"strong"}]}]}]}]},{"type":"tableRow","content":[{"type":"tableCell","attrs":{"background":"#44b3e1"},"content":[{"type":"paragraph","content":[{"type":"text","text":"Brand Name","marks":[{"type":"strong"}]}]}]},{"type":"tableCell","attrs":{"colspan":2,"background":"#44b3e1"},"content":[{"type":"paragraph","content":[{"type":"text","text":"Sanf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28"}]}]},{"type":"tableCell","attrs":{"background":"white"},"content":[{"type":"paragraph","content":[{"type":"text","text":"28"}]}]}]},{"type":"tableRow","content":[{"type":"tableCell","attrs":{"background":"white"},"content":[{"type":"paragraph","content":[{"type":"text","text":"Uploaded"}]}]},{"type":"tableCell","attrs":{"background":"white"},"content":[{"type":"paragraph","content":[{"type":"text","text":"9"}]}]},{"type":"tableCell","attrs":{"background":"white"},"content":[{"type":"paragraph","content":[{"type":"text","text":"9"}]}]}]},{"type":"tableRow","content":[{"type":"tableCell","attrs":{"background":"white"},"content":[{"type":"paragraph","content":[{"type":"text","text":"Not Uploaded"}]}]},{"type":"tableCell","attrs":{"background":"white"},"content":[{"type":"paragraph","content":[{"type":"text","text":"19"}]}]},{"type":"tableCell","attrs":{"background":"white"},"content":[{"type":"paragraph","content":[{"type":"text","text":"19"}]}]}]},{"type":"tableRow","content":[{"type":"tableCell","attrs":{"background":"white"},"content":[{"type":"paragraph","content":[{"type":"text","text":"LIDs Shared"}]}]},{"type":"tableCell","attrs":{"background":"white"},"content":[{"type":"paragraph","content":[{"type":"text","text":"0"}]}]},{"type":"tableCell","attrs":{"background":"white"},"content":[{"type":"paragraph","content":[{"type":"text","text":"0"}]}]}]},{"type":"tableRow","content":[{"type":"tableCell","attrs":{"background":"white"},"content":[{"type":"paragraph","content":[{"type":"text","text":"LIDs Stuck in the System"}]}]},{"type":"tableCell","attrs":{"background":"white"},"content":[{"type":"paragraph","content":[{"type":"text","text":"9"}]}]},{"type":"tableCell","attrs":{"background":"white"},"content":[{"type":"paragraph","content":[{"type":"text","text":"9"}]}]}]}]}
{adf}
Regards,
Team Netscribes</t>
  </si>
  <si>
    <t>UCW-31409</t>
  </si>
  <si>
    <t>MASTER DATA STOCKFOR OFFER</t>
  </si>
  <si>
    <t>We would like to inform you that your ticket has been successfully uploaded in our system.
Please find the attached summary files and post-processing file for your reference. We will share a further update once the listing IDs are generated.
Your request is important to us, and we will continue to keep you updated throughout the ticket journey.[^UCW-31409_Post Upload Status_V.2 (1).xlsx] [^Summary.zip] ;MP &amp; LUX LIDs[^UCW-29573 Overview.xlsx] 
{adf:display=block}
{"type":"table","attrs":{"isNumberColumnEnabled":false,"layout":"center","localId":"3e8d31ac-b588-450e-b86c-ff9916cb8bfe"},"content":[{"type":"tableRow","content":[{"type":"tableCell","attrs":{},"content":[{"type":"paragraph","content":[{"type":"text","text":"Ticket ID"}]}]},{"type":"tableCell","attrs":{"colspan":2},"content":[{"type":"paragraph","content":[{"type":"text","text":"UCW-29573"}]}]},{"type":"tableCell","attrs":{"colspan":2},"content":[{"type":"paragraph","content":[{"type":"text","text":"UCW-31409"}]}]}]},{"type":"tableRow","content":[{"type":"tableCell","attrs":{},"content":[{"type":"paragraph","content":[{"type":"text","text":"Brand Name"}]}]},{"type":"tableCell","attrs":{"colspan":2},"content":[{"type":"paragraph","content":[{"type":"text","text":"Adidas"}]}]},{"type":"tableCell","attrs":{"colspan":2},"content":[{"type":"paragraph","content":[{"type":"text","text":"Adidas"}]}]}]},{"type":"tableRow","content":[{"type":"tableCell","attrs":{},"content":[{"type":"paragraph","content":[{"type":"text","text":"Platform"}]}]},{"type":"tableCell","attrs":{"colspan":2},"content":[{"type":"paragraph","content":[{"type":"text","text":"Mall"}]}]},{"type":"tableCell","attrs":{"colspan":2},"content":[{"type":"paragraph","content":[{"type":"text","text":"LUX"}]}]}]},{"type":"tableRow","content":[{"type":"tableCell","attrs":{},"content":[{"type":"paragraph","content":[{"type":"text","text":"Particulars"}]}]},{"type":"tableCell","attrs":{},"content":[{"type":"paragraph","content":[{"type":"text","text":"SKU Count"}]}]},{"type":"tableCell","attrs":{},"content":[{"type":"paragraph","content":[{"type":"text","text":"Option Count"}]}]},{"type":"tableCell","attrs":{},"content":[{"type":"paragraph","content":[{"type":"text","text":"SKU Count"}]}]},{"type":"tableCell","attrs":{},"content":[{"type":"paragraph","content":[{"type":"text","text":"Option Count"}]}]}]},{"type":"tableRow","content":[{"type":"tableCell","attrs":{},"content":[{"type":"paragraph","content":[{"type":"text","text":"Received"}]}]},{"type":"tableCell","attrs":{},"content":[{"type":"paragraph","content":[{"type":"text","text":"32"}]}]},{"type":"tableCell","attrs":{},"content":[{"type":"paragraph","content":[{"type":"text","text":"5"}]}]},{"type":"tableCell","attrs":{},"content":[{"type":"paragraph","content":[{"type":"text","text":"32"}]}]},{"type":"tableCell","attrs":{},"content":[{"type":"paragraph","content":[{"type":"text","text":"5"}]}]}]},{"type":"tableRow","content":[{"type":"tableCell","attrs":{},"content":[{"type":"paragraph","content":[{"type":"text","text":"Uploaded"}]}]},{"type":"tableCell","attrs":{},"content":[{"type":"paragraph","content":[{"type":"text","text":"21"}]}]},{"type":"tableCell","attrs":{},"content":[{"type":"paragraph","content":[{"type":"text","text":"3"}]}]},{"type":"tableCell","attrs":{},"content":[{"type":"paragraph","content":[{"type":"text","text":"28"}]}]},{"type":"tableCell","attrs":{},"content":[{"type":"paragraph","content":[{"type":"text","text":"4"}]}]}]},{"type":"tableRow","content":[{"type":"tableCell","attrs":{},"content":[{"type":"paragraph","content":[{"type":"text","text":"Already Listed"}]}]},{"type":"tableCell","attrs":{},"content":[{"type":"paragraph","content":[{"type":"text","text":"7"}]}]},{"type":"tableCell","attrs":{},"content":[{"type":"paragraph","content":[{"type":"text","text":"1"}]}]},{"type":"tableCell","attrs":{},"content":[{"type":"paragraph","content":[{"type":"text","text":"-"}]}]},{"type":"tableCell","attrs":{},"content":[{"type":"paragraph","content":[{"type":"text","text":"-"}]}]}]},{"type":"tableRow","content":[{"type":"tableCell","attrs":{},"content":[{"type":"paragraph","content":[{"type":"text","text":"SKUs not uploaded-Image NA"}]}]},{"type":"tableCell","attrs":{},"content":[{"type":"paragraph","content":[{"type":"text","text":"4"}]}]},{"type":"tableCell","attrs":{},"content":[{"type":"paragraph","content":[{"type":"text","text":"1"}]}]},{"type":"tableCell","attrs":{},"content":[{"type":"paragraph","content":[{"type":"text","text":"4"}]}]},{"type":"tableCell","attrs":{},"content":[{"type":"paragraph","content":[{"type":"text","text":"1"}]}]}]},{"type":"tableRow","content":[{"type":"tableCell","attrs":{},"content":[{"type":"paragraph","content":[{"type":"text","text":"LIDs Shared"}]}]},{"type":"tableCell","attrs":{},"content":[{"type":"paragraph","content":[{"type":"text","text":"21"}]}]},{"type":"tableCell","attrs":{},"content":[{"type":"paragraph","content":[{"type":"text","text":"3"}]}]},{"type":"tableCell","attrs":{},"content":[{"type":"paragraph","content":[{"type":"text","text":"28"}]}]},{"type":"tableCell","attrs":{},"content":[{"type":"paragraph","content":[{"type":"text","text":"4"}]}]}]},{"type":"tableRow","content":[{"type":"tableCell","attrs":{},"content":[{"type":"paragraph","content":[{"type":"text","text":"LIDs Stuck in the System"}]}]},{"type":"tableCell","attrs":{},"content":[{"type":"paragraph","content":[{"type":"text","text":"-"}]}]},{"type":"tableCell","attrs":{},"content":[{"type":"paragraph","content":[{"type":"text","text":"-"}]}]},{"type":"tableCell","attrs":{},"content":[{"type":"paragraph","content":[{"type":"text","text":"-"}]}]},{"type":"tableCell","attrs":{},"content":[{"type":"paragraph","content":[{"type":"text","text":"-"}]}]}]}]}
{adf}</t>
  </si>
  <si>
    <t>UCW-31407</t>
  </si>
  <si>
    <t>TATACLIQ x O3+ Catalog Update 21-03-2026</t>
  </si>
  <si>
    <t xml:space="preserve">[^Retriggered (c669802f-7cf5-4954-9fe3-28bf0b31dea7).zip]
[^Status-UCW-31407 (bb28fdb3-e161-4a56-9d7c-b370e36f0de0).xlsx]
</t>
  </si>
  <si>
    <t>UCW-31401</t>
  </si>
  <si>
    <t>MNY &amp; OAP | Glow Powder, Shine Shopper, Tinted Serum, Lifter Gel Lip Oil, Sky High Mascara | TATACLIQ</t>
  </si>
  <si>
    <t>[^UCW-31401_Post Upload Status_V.2 (1).xlsx]
[^Summary.zip]
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
  ;[^UCW-31401.xlsx]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70db89e-b476-4511-ad33-d7f020dd12db"},"content":[{"type":"tableRow","content":[{"type":"tableCell","attrs":{"background":"#44b3e1"},"content":[{"type":"paragraph","content":[{"type":"text","text":"Ticket ID","marks":[{"type":"strong"}]}]}]},{"type":"tableCell","attrs":{"colspan":2,"background":"#44b3e1"},"content":[{"type":"paragraph","content":[{"type":"text","text":"UCW-31401","marks":[{"type":"strong"}]}]}]}]},{"type":"tableRow","content":[{"type":"tableCell","attrs":{"background":"#44b3e1"},"content":[{"type":"paragraph","content":[{"type":"text","text":"Brand Name","marks":[{"type":"strong"}]}]}]},{"type":"tableCell","attrs":{"colspan":2,"background":"#44b3e1"},"content":[{"type":"paragraph","content":[{"type":"text","text":"Maybelline New York","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type":"tableCell","attrs":{},"content":[{"type":"paragraph","content":[{"type":"text","text":"16"}]}]}]},{"type":"tableRow","content":[{"type":"tableCell","attrs":{"background":"white"},"content":[{"type":"paragraph","content":[{"type":"text","text":"Uploaded"}]}]},{"type":"tableCell","attrs":{},"content":[{"type":"paragraph","content":[{"type":"text","text":"16"}]}]},{"type":"tableCell","attrs":{},"content":[{"type":"paragraph","content":[{"type":"text","text":"16"}]}]}]},{"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16"}]}]},{"type":"tableCell","attrs":{},"content":[{"type":"paragraph","content":[{"type":"text","text":"16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</si>
  <si>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UCW-31400</t>
  </si>
  <si>
    <t>ENRICH_Biba_size addition_13-05-26</t>
  </si>
  <si>
    <t>[^Biba Style Code Sort.xlsx]
Please find attached the sheet, where 105 SKUs have been listed which is given for Cut size addition.
Kindly update the price and inventory, and share the summary once completed.
{color:#ffffff}__{color}
|Brand|BIBA|
|Platform|Marketplace|
|Size Addition SKUs|134|
|Uploaded|106|
|Already Listed (2024-2025)|16|
|SKUs Not Uploaded- Age group Value is not added in LOV / EAN Invalid|12|
|LIDs shared|105|
|LID stuck in System|1|
1 SKU is stuck in the system. We are working on it, and once it is resolved, we will inform you.
Tech ticket: [https://tatacliqhelpdesk.freshservice.com/support/tickets/214546|https://tatacliqhelpdesk.freshservice.com/support/tickets/214546]
With this, we are closing this request from our end.
Thank you for your patience, support, and cooperation throughout the process. Your brand is important to us, and we look forward to assisting you again.;Stuck case is cleared.
[^Biba Style Code Sort (dd9431a6-2eb1-4f00-a012-ccead7680fe8).xlsx] 
|Brand|BIBA|
|Platform|Marketplace|
|Size Addition SKUs|134|
|Uploaded|106|
|Already Listed (2024-2025)|16|
|SKUs Not Uploaded- Age group Value is not added in LOV / EAN Invalid|12|
|LIDs shared|106|</t>
  </si>
  <si>
    <t>UCW-31393</t>
  </si>
  <si>
    <t>Error_U.S. Polo Assn. ( Sizes Uploaded with Alpha numeric code )_NC</t>
  </si>
  <si>
    <t>UCW-31386</t>
  </si>
  <si>
    <t>Tata CLiq listing file for women &amp; Mens 15-05-2026</t>
  </si>
  <si>
    <t>Redtape</t>
  </si>
  <si>
    <t>We have successfully uploaded this batch. Please find the attached summary sheet and summary report.[^UCW-31386_Post Upload Status_V.2 (1).xlsx] [^Summary.zip] ;[^UCW-31386.xlsx]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e7b469a-387b-45c8-9264-8bfea3dcbacf"},"content":[{"type":"tableRow","content":[{"type":"tableCell","attrs":{"background":"#44b3e1"},"content":[{"type":"paragraph","content":[{"type":"text","text":"Ticket ID","marks":[{"type":"strong"}]}]}]},{"type":"tableCell","attrs":{"colspan":2,"background":"#44b3e1"},"content":[{"type":"paragraph","content":[{"type":"text","text":"UCW-31386","marks":[{"type":"strong"}]}]}]}]},{"type":"tableRow","content":[{"type":"tableCell","attrs":{"background":"#44b3e1"},"content":[{"type":"paragraph","content":[{"type":"text","text":"Brand Name","marks":[{"type":"strong"}]}]}]},{"type":"tableCell","attrs":{"colspan":2,"background":"#44b3e1"},"content":[{"type":"paragraph","content":[{"type":"text","text":"Red Tape","marks":[{"type":"strong"}]}]}]}]},{"type":"tableRow","content":[{"type":"tableCell","attrs":{"background":"#44b3e1"},"content":[{"type":"paragraph","content":[{"type":"text","text":"Category","marks":[{"type":"strong"}]}]}]},{"type":"tableCell","attrs":{"colspan":2,"background":"#44b3e1"},"content":[{"type":"paragraph","content":[{"type":"text","text":"Footwear","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96"}]}]},{"type":"tableCell","attrs":{},"content":[{"type":"paragraph","content":[{"type":"text","text":"16"}]}]}]},{"type":"tableRow","content":[{"type":"tableCell","attrs":{"background":"white"},"content":[{"type":"paragraph","content":[{"type":"text","text":"Uploaded"}]}]},{"type":"tableCell","attrs":{},"content":[{"type":"paragraph","content":[{"type":"text","text":"96"}]}]},{"type":"tableCell","attrs":{},"content":[{"type":"paragraph","content":[{"type":"text","text":"16"}]}]}]},{"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96"}]}]},{"type":"tableCell","attrs":{},"content":[{"type":"paragraph","content":[{"type":"text","text":"16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</si>
  <si>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UCW-31376</t>
  </si>
  <si>
    <t xml:space="preserve">Tatacliq Lifestyle Catalogue Template-Lot -151_13.05.2026 </t>
  </si>
  <si>
    <t>Lifetsyle brands</t>
  </si>
  <si>
    <t>We would like to inform you that your ticket has been successfully uploaded in our system.
Please find the attached summary files and post-upload file for your reference. We will share a further update once the listing IDs are generated.[^Summary Accessories.zip] [^Summary Footwear.zip] [^UCW-31376 - Accessories - Post Upload Status .xlsx] [^UCW-31376 - Footwear - Post Upload Status .xlsx] ;[^UCW-31376 - Footwear - Post Upload Status.xlsx]
[^UCW-31376 - Accessories -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abedb4b-65e0-4ec8-81f1-9e1fff9b2c2b"},"content":[{"type":"tableRow","content":[{"type":"tableCell","attrs":{"background":"#44b3e1"},"content":[{"type":"paragraph","content":[{"type":"text","text":"Ticket ID","marks":[{"type":"strong"}]}]}]},{"type":"tableCell","attrs":{"colspan":4,"background":"#44b3e1"},"content":[{"type":"paragraph","content":[{"type":"text","text":"UCW-31376","marks":[{"type":"strong"}]}]}]}]},{"type":"tableRow","content":[{"type":"tableCell","attrs":{"background":"#44b3e1"},"content":[{"type":"paragraph","content":[{"type":"text","text":"Brand Name","marks":[{"type":"strong"}]}]}]},{"type":"tableCell","attrs":{"colspan":4,"background":"#44b3e1"},"content":[{"type":"paragraph","content":[{"type":"text","text":"Landmark Group/Lifestyle Brands","marks":[{"type":"strong"}]}]}]}]},{"type":"tableRow","content":[{"type":"tableCell","attrs":{"background":"#44b3e1"},"content":[{"type":"paragraph","content":[{"type":"text","text":"Category","marks":[{"type":"strong"}]}]}]},{"type":"tableCell","attrs":{"colspan":2,"background":"#44b3e1"},"content":[{"type":"paragraph","content":[{"type":"text","text":"Accessories","marks":[{"type":"strong"}]}]}]},{"type":"tableCell","attrs":{"colspan":2,"background":"#44b3e1"},"content":[{"type":"paragraph","content":[{"type":"text","text":"Footwear","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19"}]}]},{"type":"tableCell","attrs":{},"content":[{"type":"paragraph","content":[{"type":"text","text":"19"}]}]},{"type":"tableCell","attrs":{},"content":[{"type":"paragraph","content":[{"type":"text","text":"158"}]}]},{"type":"tableCell","attrs":{},"content":[{"type":"paragraph","content":[{"type":"text","text":"28"}]}]}]},{"type":"tableRow","content":[{"type":"tableCell","attrs":{"background":"white"},"content":[{"type":"paragraph","content":[{"type":"text","text":"Uploaded"}]}]},{"type":"tableCell","attrs":{},"content":[{"type":"paragraph","content":[{"type":"text","text":"19"}]}]},{"type":"tableCell","attrs":{},"content":[{"type":"paragraph","content":[{"type":"text","text":"19"}]}]},{"type":"tableCell","attrs":{},"content":[{"type":"paragraph","content":[{"type":"text","text":"158"}]}]},{"type":"tableCell","attrs":{},"content":[{"type":"paragraph","content":[{"type":"text","text":"28"}]}]}]},{"type":"tableRow","content":[{"type":"tableCell","attrs":{"background":"white"},"content":[{"type":"paragraph","content":[{"type":"text","text":"SKUs not uploaded"}]}]},{"type":"tableCell","attrs":{},"content":[{"type":"paragraph","content":[{"type":"text","text":"0"}]}]},{"type":"tableCell","attrs":{},"content":[{"type":"paragraph","content":[{"type":"text","text":"0"}]}]},{"type":"tableCell","attrs":{},"content":[{"type":"paragraph","content":[{"type":"text","text":"0"}]}]},{"type":"tableCell","attrs":{},"content":[{"type":"paragraph","content":[{"type":"text","text":"0"}]}]}]},{"type":"tableRow","content":[{"type":"tableCell","attrs":{"background":"white"},"content":[{"type":"paragraph","content":[{"type":"text","text":"LIDs Shared"}]}]},{"type":"tableCell","attrs":{},"content":[{"type":"paragraph","content":[{"type":"text","text":"19"}]}]},{"type":"tableCell","attrs":{},"content":[{"type":"paragraph","content":[{"type":"text","text":"19"}]}]},{"type":"tableCell","attrs":{},"content":[{"type":"paragraph","content":[{"type":"text","text":"158"}]}]},{"type":"tableCell","attrs":{},"content":[{"type":"paragraph","content":[{"type":"text","text":"28"}]}]}]},{"type":"tableRow","content":[{"type":"tableCell","attrs":{"background":"white"},"content":[{"type":"paragraph","content":[{"type":"text","text":"LIDs Stuck in the System"}]}]},{"type":"tableCell","attrs":{},"content":[{"type":"paragraph","content":[{"type":"text","text":"0"}]}]},{"type":"tableCell","attrs":{},"content":[{"type":"paragraph","content":[{"type":"text","text":"0"}]}]},{"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</si>
  <si>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UCW-31372</t>
  </si>
  <si>
    <t>E2E - Cordwainers - FTW - 14th May'26 - 126 SKUs</t>
  </si>
  <si>
    <t>Date: 18-05-2026 - Pre Process Done- 19 Options- 76 SKUs - Sanjana;Date: 18-05-2026 - Image Processing Done - 19 Options- 76 SKUs - Shubankar;Date: 18-05-2026 - Description Done - 19 Options- 76 SKUs - Khusnuma;Date: 18-05-2026 - Production QC Done - 19 Options- 76 SKUs - Sanjana;We have successfully uploaded this batch. Please find the summary of this batch. and attach Summary zip and Post upload Sheet.
[^Post Upload Status_V.2 (1) (1).xlsx] [^SUMMARY.zip] ;[^UCW-31372.xlsx]
Please find attached the sheet, where 18 options have been listed.
Kindly update the price and inventory, and share the summary once completed.
{adf:display=block}
{"type":"table","attrs":{"isNumberColumnEnabled":false,"layout":"center","localId":"0e5bbfa1-b60c-408f-baf7-d6679c7dae00"},"content":[{"type":"tableRow","content":[{"type":"tableCell","attrs":{"background":"#44b3e1"},"content":[{"type":"paragraph","content":[{"type":"text","text":"Ticket ID","marks":[{"type":"strong"}]}]}]},{"type":"tableCell","attrs":{"colspan":2,"background":"#44b3e1"},"content":[{"type":"paragraph","content":[{"type":"text","text":"UCW-31372","marks":[{"type":"strong"}]}]}]}]},{"type":"tableRow","content":[{"type":"tableCell","attrs":{"background":"#44b3e1"},"content":[{"type":"paragraph","content":[{"type":"text","text":"Brand Name","marks":[{"type":"strong"}]}]}]},{"type":"tableCell","attrs":{"colspan":2,"background":"#44b3e1"},"content":[{"type":"paragraph","content":[{"type":"text","text":"Cordwainer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126"}]}]},{"type":"tableCell","attrs":{},"content":[{"type":"paragraph","content":[{"type":"text","text":"19"}]}]}]},{"type":"tableRow","content":[{"type":"tableCell","attrs":{"background":"white"},"content":[{"type":"paragraph","content":[{"type":"text","text":"Uploaded"}]}]},{"type":"tableCell","attrs":{},"content":[{"type":"paragraph","content":[{"type":"text","text":"120"}]}]},{"type":"tableCell","attrs":{},"content":[{"type":"paragraph","content":[{"type":"text","text":"18"}]}]}]},{"type":"tableRow","content":[{"type":"tableCell","attrs":{"background":"white"},"content":[{"type":"paragraph","content":[{"type":"text","text":"SKUs Not Uploaded-Duplicate SKU due to Special characters or alreday present"}]}]},{"type":"tableCell","attrs":{},"content":[{"type":"paragraph","content":[{"type":"text","text":"6"}]}]},{"type":"tableCell","attrs":{},"content":[{"type":"paragraph","content":[{"type":"text","text":"1"}]}]}]},{"type":"tableRow","content":[{"type":"tableCell","attrs":{"background":"white"},"content":[{"type":"paragraph","content":[{"type":"text","text":"LIDs Shared"}]}]},{"type":"tableCell","attrs":{},"content":[{"type":"paragraph","content":[{"type":"text","text":"119"}]}]},{"type":"tableCell","attrs":{},"content":[{"type":"paragraph","content":[{"type":"text","text":"18"}]}]}]},{"type":"tableRow","content":[{"type":"tableCell","attrs":{"background":"white"},"content":[{"type":"paragraph","content":[{"type":"text","text":"LIDs Stuck in the System"}]}]},{"type":"tableCell","attrs":{},"content":[{"type":"paragraph","content":[{"type":"text","text":"1"}]}]},{"type":"tableCell","attrs":{},"content":[{"type":"paragraph","content":[{"type":"text","text":"0"}]}]}]}]}
{adf}
1 SKU is currently stuck in the system. We are working on resolving the issue and will inform you once it is fixed.;Retrigger Done.
[^128443_SKUEDITRETRIGGER__Shoe_Slip-on(MPH1311101102)_20260522_114145_626_summary.csv]
;[^UCW-31372 (cbf4db4a-dc07-40f6-a8bd-eca8db897c98).xlsx]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13853174-2867-421b-8eec-def4d2811192"},"content":[{"type":"tableRow","content":[{"type":"tableCell","attrs":{"background":"#44b3e1"},"content":[{"type":"paragraph","content":[{"type":"text","text":"Ticket ID","marks":[{"type":"strong"}]}]}]},{"type":"tableCell","attrs":{"colspan":2,"background":"#44b3e1"},"content":[{"type":"paragraph","content":[{"type":"text","text":"UCW-31372","marks":[{"type":"strong"}]}]}]}]},{"type":"tableRow","content":[{"type":"tableCell","attrs":{"background":"#44b3e1"},"content":[{"type":"paragraph","content":[{"type":"text","text":"Brand Name","marks":[{"type":"strong"}]}]}]},{"type":"tableCell","attrs":{"colspan":2,"background":"#44b3e1"},"content":[{"type":"paragraph","content":[{"type":"text","text":"Cordwainer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126"}]}]},{"type":"tableCell","attrs":{},"content":[{"type":"paragraph","content":[{"type":"text","text":"19"}]}]}]},{"type":"tableRow","content":[{"type":"tableCell","attrs":{"background":"white"},"content":[{"type":"paragraph","content":[{"type":"text","text":"Uploaded"}]}]},{"type":"tableCell","attrs":{},"content":[{"type":"paragraph","content":[{"type":"text","text":"120"}]}]},{"type":"tableCell","attrs":{},"content":[{"type":"paragraph","content":[{"type":"text","text":"18"}]}]}]},{"type":"tableRow","content":[{"type":"tableCell","attrs":{"background":"white"},"content":[{"type":"paragraph","content":[{"type":"text","text":"SKUs Not Uploaded-Duplicate SKU due to Special characters or alreday present"}]}]},{"type":"tableCell","attrs":{},"content":[{"type":"paragraph","content":[{"type":"text","text":"6"}]}]},{"type":"tableCell","attrs":{},"content":[{"type":"paragraph","content":[{"type":"text","text":"1"}]}]}]},{"type":"tableRow","content":[{"type":"tableCell","attrs":{"background":"white"},"content":[{"type":"paragraph","content":[{"type":"text","text":"LIDs Shared"}]}]},{"type":"tableCell","attrs":{},"content":[{"type":"paragraph","content":[{"type":"text","text":"120"}]}]},{"type":"tableCell","attrs":{},"content":[{"type":"paragraph","content":[{"type":"text","text":"18"}]}]}]},{"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</si>
  <si>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UCW-31371</t>
  </si>
  <si>
    <t>Sell now request - TUL 125928</t>
  </si>
  <si>
    <t>UCW-31357</t>
  </si>
  <si>
    <t>Prepack - BIOTOP Listing</t>
  </si>
  <si>
    <t>The Sell Now task has been completed. We will share the LID once it is generated.
[^Status_UCW-31357.xlsx]
;[^UCW-31357_LID.xlsx] 
Hi Team,
The LIDs have been generated. Please find attached the LID file for your reference.
Regards,
Team Netscribes</t>
  </si>
  <si>
    <t>UCW-31353</t>
  </si>
  <si>
    <t>CLONE- 75 Articles || New Listing For INC.5 || TataCliq</t>
  </si>
  <si>
    <t>We would like to inform you that your ticket has been successfully uploaded in our system.
Please find the attached summary files and post-upload file for your reference. We will share a further update once the listing IDs are generated.[^Summary.zip] [^UCW-31353 - Post Upload Status .xlsx] ;[^UCW-31353.xlsx]
Please find attached the sheet, where 65 options of footwear have been listed.
Kindly update the price and inventory, and share the summary once completed.
{adf:display=block}
{"type":"table","attrs":{"isNumberColumnEnabled":false,"layout":"center","localId":"d61e282a-7c34-4531-8291-a3cbdbd0ef41"},"content":[{"type":"tableRow","content":[{"type":"tableCell","attrs":{"background":"#44b3e1"},"content":[{"type":"paragraph","content":[{"type":"text","text":"Ticket ID","marks":[{"type":"strong"}]}]}]},{"type":"tableCell","attrs":{"colspan":2,"background":"#44b3e1"},"content":[{"type":"paragraph","content":[{"type":"text","text":"UCW-31353","marks":[{"type":"strong"}]}]}]}]},{"type":"tableRow","content":[{"type":"tableCell","attrs":{"background":"#44b3e1"},"content":[{"type":"paragraph","content":[{"type":"text","text":"Brand Name","marks":[{"type":"strong"}]}]}]},{"type":"tableCell","attrs":{"colspan":2,"background":"#44b3e1"},"content":[{"type":"paragraph","content":[{"type":"text","text":"Inc.5","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516"}]}]},{"type":"tableCell","attrs":{},"content":[{"type":"paragraph","content":[{"type":"text","text":"75"}]}]}]},{"type":"tableRow","content":[{"type":"tableCell","attrs":{"background":"white"},"content":[{"type":"paragraph","content":[{"type":"text","text":"Uploaded"}]}]},{"type":"tableCell","attrs":{},"content":[{"type":"paragraph","content":[{"type":"text","text":"454"}]}]},{"type":"tableCell","attrs":{},"content":[{"type":"paragraph","content":[{"type":"text","text":"65"}]}]}]},{"type":"tableRow","content":[{"type":"tableCell","attrs":{"background":"white"},"content":[{"type":"paragraph","content":[{"type":"text","text":"Already Listed"}]}]},{"type":"tableCell","attrs":{},"content":[{"type":"paragraph","content":[{"type":"text","text":"62"}]}]},{"type":"tableCell","attrs":{},"content":[{"type":"paragraph","content":[{"type":"text","text":"10"}]}]}]},{"type":"tableRow","content":[{"type":"tableCell","attrs":{"background":"white"},"content":[{"type":"paragraph","content":[{"type":"text","text":"LIDs Shared"}]}]},{"type":"tableCell","attrs":{},"content":[{"type":"paragraph","content":[{"type":"text","text":"454"}]}]},{"type":"tableCell","attrs":{},"content":[{"type":"paragraph","content":[{"type":"text","text":"65"}]}]}]},{"type":"tableRow","content":[{"type":"tableCell","attrs":{"background":"white"},"content":[{"type":"paragraph","content":[{"type":"text","text":"LIDs Stuck in the System"}]}]},{"type":"tableCell","attrs":{},"content":[{"type":"paragraph","content":[{"type":"text","text":"0"}]}]},{"type":"tableCell","attrs":{},"content":[{"type":"paragraph","content":[{"type":"text","text":"0"}]}]}]}]}
{adf}</t>
  </si>
  <si>
    <t>UCW-31350</t>
  </si>
  <si>
    <t>Women Footwear New Styles For Tatacliq (SS'26) - (Styles-20) 14.05.2026</t>
  </si>
  <si>
    <t>We have successfully uploaded this batch. Please find the attached summary sheet and summary report.[^UCW-31350-Post Upload Status_V.2 (1).xlsx] [^Summary.zip] ;[^UCW-31350.xlsx]
Please find attached the sheet, where 20 options of Footwear have been listed.
Kindly update the price and inventory, and share the summary once completed.
{adf:display=block}
{"type":"table","attrs":{"isNumberColumnEnabled":false,"layout":"center","localId":"977fff95-6c22-487a-9a86-a98857c86a17"},"content":[{"type":"tableRow","content":[{"type":"tableCell","attrs":{"background":"#44b3e1"},"content":[{"type":"paragraph","content":[{"type":"text","text":"Ticket ID","marks":[{"type":"strong"}]}]}]},{"type":"tableCell","attrs":{"colspan":2,"background":"#44b3e1"},"content":[{"type":"paragraph","content":[{"type":"text","text":"UCW-31350","marks":[{"type":"strong"}]}]}]}]},{"type":"tableRow","content":[{"type":"tableCell","attrs":{"background":"#44b3e1"},"content":[{"type":"paragraph","content":[{"type":"text","text":"Brand Name","marks":[{"type":"strong"}]}]}]},{"type":"tableCell","attrs":{"colspan":2,"background":"#44b3e1"},"content":[{"type":"paragraph","content":[{"type":"text","text":"Truffle Collectio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120"}]}]},{"type":"tableCell","attrs":{},"content":[{"type":"paragraph","content":[{"type":"text","text":"20"}]}]}]},{"type":"tableRow","content":[{"type":"tableCell","attrs":{"background":"white"},"content":[{"type":"paragraph","content":[{"type":"text","text":"Uploaded"}]}]},{"type":"tableCell","attrs":{},"content":[{"type":"paragraph","content":[{"type":"text","text":"120"}]}]},{"type":"tableCell","attrs":{},"content":[{"type":"paragraph","content":[{"type":"text","text":"20"}]}]}]},{"type":"tableRow","content":[{"type":"tableCell","attrs":{"background":"white"},"content":[{"type":"paragraph","content":[{"type":"text","text":"LIDs Shared"}]}]},{"type":"tableCell","attrs":{},"content":[{"type":"paragraph","content":[{"type":"text","text":"120"}]}]},{"type":"tableCell","attrs":{},"content":[{"type":"paragraph","content":[{"type":"text","text":"20"}]}]}]},{"type":"tableRow","content":[{"type":"tableCell","attrs":{"background":"white"},"content":[{"type":"paragraph","content":[{"type":"text","text":"LIDs Stuck in the System"}]}]},{"type":"tableCell","attrs":{},"content":[{"type":"paragraph","content":[{"type":"text","text":"0"}]}]},{"type":"tableCell","attrs":{},"content":[{"type":"paragraph","content":[{"type":"text","text":"0"}]}]}]}]}
{adf}</t>
  </si>
  <si>
    <t>UCW-31346</t>
  </si>
  <si>
    <t xml:space="preserve">We have completed the Sell Now task. However, some SKUs failed due to Net Quantity issues. Once the Net Quantity is updated, we will re-upload those SKUs.
Please find the attached summary sheet for your reference.
{adf:display=block}
{"type":"table","attrs":{"isNumberColumnEnabled":false,"layout":"center","localId":"4436ee99-e79a-4d60-a84d-95796ced4217"},"content":[{"type":"tableRow","content":[{"type":"tableCell","attrs":{},"content":[{"type":"paragraph","content":[{"type":"text","text":"Ticket ID"}]}]},{"type":"tableCell","attrs":{"colspan":2},"content":[{"type":"paragraph","content":[{"type":"text","text":"UCW-31346"}]}]}]},{"type":"tableRow","content":[{"type":"tableCell","attrs":{},"content":[{"type":"paragraph","content":[{"type":"text","text":"Brand Name"}]}]},{"type":"tableCell","attrs":{"colspan":2},"content":[{"type":"paragraph","content":[{"type":"text","text":"PUMA"}]}]}]},{"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110"}]}]},{"type":"tableCell","attrs":{},"content":[{"type":"paragraph","content":[{"type":"text","text":"20"}]}]}]},{"type":"tableRow","content":[{"type":"tableCell","attrs":{},"content":[{"type":"paragraph","content":[{"type":"text","text":"Failed"}]}]},{"type":"tableCell","attrs":{},"content":[{"type":"paragraph","content":[{"type":"text","text":"14"}]}]},{"type":"tableCell","attrs":{},"content":[{"type":"paragraph","content":[{"type":"text","text":"2"}]}]}]},{"type":"tableRow","content":[{"type":"tableCell","attrs":{},"content":[{"type":"paragraph","content":[{"type":"text","text":"Uploaded"}]}]},{"type":"tableCell","attrs":{},"content":[{"type":"paragraph","content":[{"type":"text","text":"96"}]}]},{"type":"tableCell","attrs":{},"content":[{"type":"paragraph","content":[{"type":"text","text":"18"}]}]}]}]}
{adf}
[^Summery.zip]
[^Status of UCW-31346.xlsx]
;The LID has been generated successfully. Please find the attached sheet for your reference. Therefore, we are now closing this ticket. If any further assistance is required, please feel free to reach out to us.[^Status of UCW-31346 (04fa0a5a-c0e2-4983-b6a0-1dbabf1a2a73).xlsx] </t>
  </si>
  <si>
    <t>UCW-31345</t>
  </si>
  <si>
    <t>UCW-31328</t>
  </si>
  <si>
    <t>CLONE - CLONE - Tatacliq Footwear MP-62_Arrow_USPA_14-04-2026</t>
  </si>
  <si>
    <t>We would like to inform you that your ticket has been successfully uploaded in our system.
Please find the attached summary files and post-upload file for your reference. We will share a further update once the listing IDs are generated.[^Summary.zip] [^UCW-31328 - Post Upload Status .xlsx] ;[^UCW-31328.xlsx]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dc20a3d-c5f6-40a5-84cf-61764aed1404"},"content":[{"type":"tableRow","content":[{"type":"tableCell","attrs":{"background":"#44b3e1"},"content":[{"type":"paragraph","content":[{"type":"text","text":"Ticket ID","marks":[{"type":"strong"}]}]}]},{"type":"tableCell","attrs":{"colspan":2,"background":"#44b3e1"},"content":[{"type":"paragraph","content":[{"type":"text","text":"UCW-31328","marks":[{"type":"strong"}]}]}]}]},{"type":"tableRow","content":[{"type":"tableCell","attrs":{"background":"#44b3e1"},"content":[{"type":"paragraph","content":[{"type":"text","text":"Brand Name","marks":[{"type":"strong"}]}]}]},{"type":"tableCell","attrs":{"colspan":2,"background":"#44b3e1"},"content":[{"type":"paragraph","content":[{"type":"text","text":"U.S. Polo Ass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type":"tableCell","attrs":{},"content":[{"type":"paragraph","content":[{"type":"text","text":"4"}]}]}]},{"type":"tableRow","content":[{"type":"tableCell","attrs":{"background":"white"},"content":[{"type":"paragraph","content":[{"type":"text","text":"Uploaded"}]}]},{"type":"tableCell","attrs":{},"content":[{"type":"paragraph","content":[{"type":"text","text":"16"}]}]},{"type":"tableCell","attrs":{},"content":[{"type":"paragraph","content":[{"type":"text","text":"4"}]}]}]},{"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16"}]}]},{"type":"tableCell","attrs":{},"content":[{"type":"paragraph","content":[{"type":"text","text":"4"}]}]}]},{"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</si>
  <si>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UCW-31319</t>
  </si>
  <si>
    <t>CLONE - Footwear New Listing 05-05-2026 ( 288 EANs)</t>
  </si>
  <si>
    <t>We have successfully uploaded this batch. Please find the attached summary sheet and summary report. [^Summary.zip] [^UCW-31319_Post Upload Status_V.2 (1).xlsx] ;[^UCW-31319.xlsx]
Please find attached the sheet, where 53 options have been listed.
Kindly update the price and inventory, and share the summary once completed.
{adf:display=block}
{"type":"table","attrs":{"isNumberColumnEnabled":false,"layout":"center","localId":"631f10ef-9dc2-4ed6-be0a-275aee58ef34"},"content":[{"type":"tableRow","content":[{"type":"tableCell","attrs":{"background":"#44b3e1"},"content":[{"type":"paragraph","content":[{"type":"text","text":"Ticket ID","marks":[{"type":"strong"}]}]}]},{"type":"tableCell","attrs":{"colspan":2,"background":"#44b3e1"},"content":[{"type":"paragraph","content":[{"type":"text","text":"UCW-31319","marks":[{"type":"strong"}]}]}]}]},{"type":"tableRow","content":[{"type":"tableCell","attrs":{"background":"#44b3e1"},"content":[{"type":"paragraph","content":[{"type":"text","text":"Brand Name","marks":[{"type":"strong"}]}]}]},{"type":"tableCell","attrs":{"colspan":2,"background":"#44b3e1"},"content":[{"type":"paragraph","content":[{"type":"text","text":"RARE RABBIT","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288"}]}]},{"type":"tableCell","attrs":{"background":"white"},"content":[{"type":"paragraph","content":[{"type":"text","text":"53"}]}]}]},{"type":"tableRow","content":[{"type":"tableCell","attrs":{"background":"white"},"content":[{"type":"paragraph","content":[{"type":"text","text":"Uploaded"}]}]},{"type":"tableCell","attrs":{"background":"white"},"content":[{"type":"paragraph","content":[{"type":"text","text":"288"}]}]},{"type":"tableCell","attrs":{"background":"white"},"content":[{"type":"paragraph","content":[{"type":"text","text":"53"}]}]}]},{"type":"tableRow","content":[{"type":"tableCell","attrs":{"background":"white"},"content":[{"type":"paragraph","content":[{"type":"text","text":"LIDs Shared"}]}]},{"type":"tableCell","attrs":{"background":"white"},"content":[{"type":"paragraph","content":[{"type":"text","text":"288"}]}]},{"type":"tableCell","attrs":{"background":"white"},"content":[{"type":"paragraph","content":[{"type":"text","text":"53"}]}]}]},{"type":"tableRow","content":[{"type":"tableCell","attrs":{"background":"white"},"content":[{"type":"paragraph","content":[{"type":"text","text":"LIDs Stuck in the System"}]}]},{"type":"tableCell","attrs":{"background":"white"},"content":[{"type":"paragraph","content":[{"type":"text","text":"0"}]}]},{"type":"tableCell","attrs":{"background":"white"},"content":[{"type":"paragraph","content":[{"type":"text","text":"0"}]}]}]}]}
{adf}</t>
  </si>
  <si>
    <t>UCW-31301</t>
  </si>
  <si>
    <t>Image Update: Versace Eau Fraiche</t>
  </si>
  <si>
    <t>UCW-31292</t>
  </si>
  <si>
    <t>New Listing - 12-05-2026</t>
  </si>
  <si>
    <t>PFA the Summary &amp; Post-Uploaded sheet[^Summary.zip] [^UCW-31292 Post Upload Status_V.2 (1).xlsx] ;[^UCW-31292.xlsx]
Please find attached the sheet, where 28 options of Jwellers have been listed.
Kindly update the price and inventory, and share the summary once completed.
{adf:display=block}
{"type":"table","attrs":{"isNumberColumnEnabled":false,"layout":"center","localId":"38f3f180-57b1-48dd-ab33-65a9c5a93e44"},"content":[{"type":"tableRow","content":[{"type":"tableCell","attrs":{"background":"#44b3e1"},"content":[{"type":"paragraph","content":[{"type":"text","text":"Ticket ID","marks":[{"type":"strong"}]}]}]},{"type":"tableCell","attrs":{"colspan":2,"background":"#44b3e1"},"content":[{"type":"paragraph","content":[{"type":"text","text":"UCW-31292","marks":[{"type":"strong"}]}]}]}]},{"type":"tableRow","content":[{"type":"tableCell","attrs":{"background":"#44b3e1"},"content":[{"type":"paragraph","content":[{"type":"text","text":"Brand Name","marks":[{"type":"strong"}]}]}]},{"type":"tableCell","attrs":{"colspan":2,"background":"#44b3e1"},"content":[{"type":"paragraph","content":[{"type":"text","text":"Ornate Jewel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28"}]}]},{"type":"tableCell","attrs":{},"content":[{"type":"paragraph","content":[{"type":"text","text":"28"}]}]}]},{"type":"tableRow","content":[{"type":"tableCell","attrs":{"background":"white"},"content":[{"type":"paragraph","content":[{"type":"text","text":"Uploaded"}]}]},{"type":"tableCell","attrs":{},"content":[{"type":"paragraph","content":[{"type":"text","text":"28"}]}]},{"type":"tableCell","attrs":{},"content":[{"type":"paragraph","content":[{"type":"text","text":"28"}]}]}]},{"type":"tableRow","content":[{"type":"tableCell","attrs":{"background":"white"},"content":[{"type":"paragraph","content":[{"type":"text","text":"LIDs Shared"}]}]},{"type":"tableCell","attrs":{},"content":[{"type":"paragraph","content":[{"type":"text","text":"28"}]}]},{"type":"tableCell","attrs":{},"content":[{"type":"paragraph","content":[{"type":"text","text":"28"}]}]}]},{"type":"tableRow","content":[{"type":"tableCell","attrs":{"background":"white"},"content":[{"type":"paragraph","content":[{"type":"text","text":"LIDs Stuck in the System"}]}]},{"type":"tableCell","attrs":{},"content":[{"type":"paragraph","content":[{"type":"text","text":"0"}]}]},{"type":"tableCell","attrs":{},"content":[{"type":"paragraph","content":[{"type":"text","text":"0"}]}]}]}]}
{adf}</t>
  </si>
  <si>
    <t>UCW-31289</t>
  </si>
  <si>
    <t>P.C.Chandra Jewellers | Fine Jewellery | 124792 | 9-05-2025 (97 SKUs)</t>
  </si>
  <si>
    <t>PFA the SUmmary &amp; Post-Up[^Summary (e7fb2e98-2f3b-4664-9faa-643374bad46d).zip] [^UCW-31289 Post Upload Status_V.2 (1).xlsx] loaded sheet;[^UCW-31289.xlsx]
Please find attached the sheet, where 97 options of Jewellery have been listed.
Kindly update the price and inventory, and share the summary once completed.
{adf:display=block}
{"type":"table","attrs":{"isNumberColumnEnabled":false,"layout":"center","localId":"5087e362-4b28-4434-8c3a-b0dfd897b1a0"},"content":[{"type":"tableRow","content":[{"type":"tableCell","attrs":{"background":"#44b3e1"},"content":[{"type":"paragraph","content":[{"type":"text","text":"Ticket ID","marks":[{"type":"strong"}]}]}]},{"type":"tableCell","attrs":{"colspan":2,"background":"#44b3e1"},"content":[{"type":"paragraph","content":[{"type":"text","text":"UCW-31289","marks":[{"type":"strong"}]}]}]}]},{"type":"tableRow","content":[{"type":"tableCell","attrs":{"background":"#44b3e1"},"content":[{"type":"paragraph","content":[{"type":"text","text":"Brand Name","marks":[{"type":"strong"}]}]}]},{"type":"tableCell","attrs":{"colspan":2,"background":"#44b3e1"},"content":[{"type":"paragraph","content":[{"type":"text","text":"P.C. Chandra Jeweller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97"}]}]},{"type":"tableCell","attrs":{"background":"white"},"content":[{"type":"paragraph","content":[{"type":"text","text":"97"}]}]}]},{"type":"tableRow","content":[{"type":"tableCell","attrs":{"background":"white"},"content":[{"type":"paragraph","content":[{"type":"text","text":"Uploaded"}]}]},{"type":"tableCell","attrs":{"background":"white"},"content":[{"type":"paragraph","content":[{"type":"text","text":"97"}]}]},{"type":"tableCell","attrs":{"background":"white"},"content":[{"type":"paragraph","content":[{"type":"text","text":"97"}]}]}]},{"type":"tableRow","content":[{"type":"tableCell","attrs":{"background":"white"},"content":[{"type":"paragraph","content":[{"type":"text","text":"LIDs Shared"}]}]},{"type":"tableCell","attrs":{"background":"white"},"content":[{"type":"paragraph","content":[{"type":"text","text":"97"}]}]},{"type":"tableCell","attrs":{"background":"white"},"content":[{"type":"paragraph","content":[{"type":"text","text":"97"}]}]}]},{"type":"tableRow","content":[{"type":"tableCell","attrs":{"background":"white"},"content":[{"type":"paragraph","content":[{"type":"text","text":"LIDs Stuck in the System"}]}]},{"type":"tableCell","attrs":{"background":"white"},"content":[{"type":"paragraph","content":[{"type":"text","text":"0"}]}]},{"type":"tableCell","attrs":{"background":"white"},"content":[{"type":"paragraph","content":[{"type":"text","text":"0"}]}]}]}]}
{adf}</t>
  </si>
  <si>
    <t>UCW-31279</t>
  </si>
  <si>
    <t>ENRICH_Garnier | Cooling Gel PDP Revamp | TATACLIQ</t>
  </si>
  <si>
    <t xml:space="preserve">Garnier </t>
  </si>
  <si>
    <t>UCW-31276</t>
  </si>
  <si>
    <t>Pantaloons/Kids/Non Apparel Footwear/New Listing/SKU 48/Options 8| 13th April'2026</t>
  </si>
  <si>
    <t>We would like to inform you that your ticket has been successfully uploaded in our system.
Please find the attached summary files and post-upload file for your reference. We will share a further update once the listing IDs are generated.[^Summary.zip] [^UCW-31276 - Post Upload Status .xlsx] ;[^UCW-31276.xlsx]
Please find attached the sheet, where 8 options of Footwear have been listed.
Kindly update the price and inventory, and share the summary once completed.
{adf:display=block}
{"type":"table","attrs":{"isNumberColumnEnabled":false,"layout":"center","localId":"4ba24793-2734-4d1a-adac-07d985e4ae30"},"content":[{"type":"tableRow","content":[{"type":"tableCell","attrs":{"background":"#44b3e1"},"content":[{"type":"paragraph","content":[{"type":"text","text":"Ticket ID","marks":[{"type":"strong"}]}]}]},{"type":"tableCell","attrs":{"colspan":2,"background":"#44b3e1"},"content":[{"type":"paragraph","content":[{"type":"text","text":"UCW-31276","marks":[{"type":"strong"}]}]}]}]},{"type":"tableRow","content":[{"type":"tableCell","attrs":{"background":"#44b3e1"},"content":[{"type":"paragraph","content":[{"type":"text","text":"Brand Name","marks":[{"type":"strong"}]}]}]},{"type":"tableCell","attrs":{"colspan":2,"background":"#44b3e1"},"content":[{"type":"paragraph","content":[{"type":"text","text":"Pantaloon Brand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49"}]}]},{"type":"tableCell","attrs":{"background":"white"},"content":[{"type":"paragraph","content":[{"type":"text","text":"9"}]}]}]},{"type":"tableRow","content":[{"type":"tableCell","attrs":{"background":"white"},"content":[{"type":"paragraph","content":[{"type":"text","text":"Uploaded"}]}]},{"type":"tableCell","attrs":{"background":"white"},"content":[{"type":"paragraph","content":[{"type":"text","text":"48"}]}]},{"type":"tableCell","attrs":{"background":"white"},"content":[{"type":"paragraph","content":[{"type":"text","text":"8"}]}]}]},{"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48"}]}]},{"type":"tableCell","attrs":{"background":"white"},"content":[{"type":"paragraph","content":[{"type":"text","text":"8"}]}]}]},{"type":"tableRow","content":[{"type":"tableCell","attrs":{"background":"white"},"content":[{"type":"paragraph","content":[{"type":"text","text":"LIDs Stuck in the System"}]}]},{"type":"tableCell","attrs":{"background":"white"},"content":[{"type":"paragraph","content":[{"type":"text","text":"0"}]}]},{"type":"tableCell","attrs":{"background":"white"},"content":[{"type":"paragraph","content":[{"type":"text","text":"0"}]}]}]}]}
{adf}</t>
  </si>
  <si>
    <t>UCW-31271</t>
  </si>
  <si>
    <t>Vaseline Lip Oil - Tata Cliq</t>
  </si>
  <si>
    <t>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
[^UCW-31271_Post Upload Status_V.2 (1).xlsx]
[^Summary.zip]
;[^UCW-31271.xlsx]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24409f5-41d2-446a-8faa-ca672cc6decf"},"content":[{"type":"tableRow","content":[{"type":"tableCell","attrs":{"background":"#44b3e1"},"content":[{"type":"paragraph","content":[{"type":"text","text":"Ticket ID","marks":[{"type":"strong"}]}]}]},{"type":"tableCell","attrs":{"colspan":2,"background":"#44b3e1"},"content":[{"type":"paragraph","content":[{"type":"text","text":"UCW-31271","marks":[{"type":"strong"}]}]}]}]},{"type":"tableRow","content":[{"type":"tableCell","attrs":{"background":"#44b3e1"},"content":[{"type":"paragraph","content":[{"type":"text","text":"Brand Name","marks":[{"type":"strong"}]}]}]},{"type":"tableCell","attrs":{"colspan":2,"background":"#44b3e1"},"content":[{"type":"paragraph","content":[{"type":"text","text":"Vaselin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type":"tableCell","attrs":{},"content":[{"type":"paragraph","content":[{"type":"text","text":"3"}]}]}]},{"type":"tableRow","content":[{"type":"tableCell","attrs":{"background":"white"},"content":[{"type":"paragraph","content":[{"type":"text","text":"Uploaded"}]}]},{"type":"tableCell","attrs":{},"content":[{"type":"paragraph","content":[{"type":"text","text":"3"}]}]},{"type":"tableCell","attrs":{},"content":[{"type":"paragraph","content":[{"type":"text","text":"3"}]}]}]},{"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3"}]}]},{"type":"tableCell","attrs":{},"content":[{"type":"paragraph","content":[{"type":"text","text":"3"}]}]}]},{"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</si>
  <si>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UCW-31258</t>
  </si>
  <si>
    <t xml:space="preserve">Kickers New articles product detail </t>
  </si>
  <si>
    <t>We would like to inform you that your ticket has been successfully uploaded in our system.
Please find the attached summary files and post-upload file for your reference. We will share a further update once the listing IDs are generated.[^Summary.zip] [^UCW-31258 - Post Upload Status .xlsx] ;[^UCW-31258.xlsx]
Please find attached the sheet, where 7 options of Footwear have been listed.
Kindly update the price and inventory, and share the summary once completed.
{adf:display=block}
{"type":"table","attrs":{"isNumberColumnEnabled":false,"layout":"center","localId":"cbfe8793-42b3-45dc-b77d-161c89bfb841"},"content":[{"type":"tableRow","content":[{"type":"tableCell","attrs":{"background":"#44b3e1"},"content":[{"type":"paragraph","content":[{"type":"text","text":"Ticket ID","marks":[{"type":"strong"}]}]}]},{"type":"tableCell","attrs":{"colspan":2,"background":"#44b3e1"},"content":[{"type":"paragraph","content":[{"type":"text","text":"UCW-31258","marks":[{"type":"strong"}]}]}]}]},{"type":"tableRow","content":[{"type":"tableCell","attrs":{"background":"#44b3e1"},"content":[{"type":"paragraph","content":[{"type":"text","text":"Brand Name","marks":[{"type":"strong"}]}]}]},{"type":"tableCell","attrs":{"colspan":2,"background":"#44b3e1"},"content":[{"type":"paragraph","content":[{"type":"text","text":"Kicker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42"}]}]},{"type":"tableCell","attrs":{"background":"white"},"content":[{"type":"paragraph","content":[{"type":"text","text":"7"}]}]}]},{"type":"tableRow","content":[{"type":"tableCell","attrs":{"background":"white"},"content":[{"type":"paragraph","content":[{"type":"text","text":"Uploaded"}]}]},{"type":"tableCell","attrs":{"background":"white"},"content":[{"type":"paragraph","content":[{"type":"text","text":"42"}]}]},{"type":"tableCell","attrs":{"background":"white"},"content":[{"type":"paragraph","content":[{"type":"text","text":"7"}]}]}]},{"type":"tableRow","content":[{"type":"tableCell","attrs":{"background":"white"},"content":[{"type":"paragraph","content":[{"type":"text","text":"SKUs Not Uploaded"}]}]},{"type":"tableCell","attrs":{"background":"white"},"content":[{"type":"paragraph","content":[{"type":"text","text":"1"}]}]},{"type":"tableCell","attrs":{"background":"white"},"content":[{"type":"paragraph","content":[{"type":"text","text":"0"}]}]}]},{"type":"tableRow","content":[{"type":"tableCell","attrs":{"background":"white"},"content":[{"type":"paragraph","content":[{"type":"text","text":"LIDs Shared"}]}]},{"type":"tableCell","attrs":{"background":"white"},"content":[{"type":"paragraph","content":[{"type":"text","text":"42"}]}]},{"type":"tableCell","attrs":{"background":"white"},"content":[{"type":"paragraph","content":[{"type":"text","text":"7"}]}]}]},{"type":"tableRow","content":[{"type":"tableCell","attrs":{"background":"white"},"content":[{"type":"paragraph","content":[{"type":"text","text":"LIDs Stuck in the System"}]}]},{"type":"tableCell","attrs":{"background":"white"},"content":[{"type":"paragraph","content":[{"type":"text","text":"0"}]}]},{"type":"tableCell","attrs":{"background":"white"},"content":[{"type":"paragraph","content":[{"type":"text","text":"0"}]}]}]}]}
{adf}</t>
  </si>
  <si>
    <t>UCW-31257</t>
  </si>
  <si>
    <t>ENRICH_IMAGE REPLACEMENT - Daali - 1 Style</t>
  </si>
  <si>
    <t xml:space="preserve">[^Retriggered.zip]
[^Status- UCW-31257 (0e9ad416-4030-46e2-8084-5818546b02d5).xlsx]
</t>
  </si>
  <si>
    <t>UCW-31254</t>
  </si>
  <si>
    <t>Tata Cliq-Multi Brand-Footwear-129236,127776 - 13-05-2026</t>
  </si>
  <si>
    <t>Reebok, Van Heusen, Allen Solly, Louis Philippe</t>
  </si>
  <si>
    <t>We have successfully uploaded this batch. Please find the summary of this batch. and attach Summary zip and Post upload Sheet.
As per the brand, all available images have been shared. However, we observed that the Right-Side View is still missing for the styles mentioned in the attached query sheet.
Kindly confirm whether we can proceed with the available images for these styles.
Awaiting your confirmation.
[^Post Upload Status_V.2 (1) (1).xlsx]
[^SUMMARY.zip]
[^Copy of Image Query Sheet (2).xlsx]
;[^UCW-31254.xlsx]
Please find attached the sheet, where 83 options of Footwear have been listed.
Kindly update the price and inventory, and share the summary once completed.
{adf:display=block}
{"type":"table","attrs":{"isNumberColumnEnabled":false,"layout":"center","localId":"d6e37d70-332a-4321-b7ed-a94ee5dba670"},"content":[{"type":"tableRow","content":[{"type":"tableCell","attrs":{"background":"#44b3e1"},"content":[{"type":"paragraph","content":[{"type":"text","text":"Ticket ID","marks":[{"type":"strong"}]}]}]},{"type":"tableCell","attrs":{"colspan":2,"background":"#44b3e1"},"content":[{"type":"paragraph","content":[{"type":"text","text":"UCW-31254","marks":[{"type":"strong"}]}]}]}]},{"type":"tableRow","content":[{"type":"tableCell","attrs":{"background":"#44b3e1"},"content":[{"type":"paragraph","content":[{"type":"text","text":"Brand Name","marks":[{"type":"strong"}]}]}]},{"type":"tableCell","attrs":{"colspan":2,"background":"#44b3e1"},"content":[{"type":"paragraph","content":[{"type":"text","text":"Reebok, Van Heusen, Allen Solly, Louis Philipp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565"}]}]},{"type":"tableCell","attrs":{},"content":[{"type":"paragraph","content":[{"type":"text","text":"98"}]}]}]},{"type":"tableRow","content":[{"type":"tableCell","attrs":{"background":"white"},"content":[{"type":"paragraph","content":[{"type":"text","text":"Uploaded"}]}]},{"type":"tableCell","attrs":{},"content":[{"type":"paragraph","content":[{"type":"text","text":"530"}]}]},{"type":"tableCell","attrs":{},"content":[{"type":"paragraph","content":[{"type":"text","text":"83"}]}]}]},{"type":"tableRow","content":[{"type":"tableCell","attrs":{"background":"white"},"content":[{"type":"paragraph","content":[{"type":"text","text":"SKUs Not Uploaded"}]}]},{"type":"tableCell","attrs":{},"content":[{"type":"paragraph","content":[{"type":"text","text":"35"}]}]},{"type":"tableCell","attrs":{},"content":[{"type":"paragraph","content":[{"type":"text","text":"15"}]}]}]},{"type":"tableRow","content":[{"type":"tableCell","attrs":{"background":"white"},"content":[{"type":"paragraph","content":[{"type":"text","text":"LIDs Shared"}]}]},{"type":"tableCell","attrs":{},"content":[{"type":"paragraph","content":[{"type":"text","text":"529"}]}]},{"type":"tableCell","attrs":{},"content":[{"type":"paragraph","content":[{"type":"text","text":"83"}]}]}]},{"type":"tableRow","content":[{"type":"tableCell","attrs":{"background":"white"},"content":[{"type":"paragraph","content":[{"type":"text","text":"LIDs Stuck in the System"}]}]},{"type":"tableCell","attrs":{},"content":[{"type":"paragraph","content":[{"type":"text","text":"1"}]}]},{"type":"tableCell","attrs":{},"content":[{"type":"paragraph","content":[{"type":"text","text":"0"}]}]}]}]}
{adf}
1 SKU is currently stuck in the system. We are working on resolving the issue and will inform you once it is fixed.
We are closing the ticket and create a sub task for sell now.;Retrigger Done.
[^129236_SKUEDITRETRIGGER_ADITYA_BIRLA_LIFESTYLE_BRANDS_LIMITED(129236)_Sandal(MPH1312101100)_20260522_113527_018_summary.csv]
;[^UCW-31254 (3d05a316-c16e-4e81-a1e4-7efe3c5d4b0a).xlsx]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3228d11-fc5f-4ac3-a7de-ba2cfcd1467b"},"content":[{"type":"tableRow","content":[{"type":"tableCell","attrs":{"background":"#44b3e1"},"content":[{"type":"paragraph","content":[{"type":"text","text":"Ticket ID","marks":[{"type":"strong"}]}]}]},{"type":"tableCell","attrs":{"colspan":2,"background":"#44b3e1"},"content":[{"type":"paragraph","content":[{"type":"text","text":"UCW-31254","marks":[{"type":"strong"}]}]}]}]},{"type":"tableRow","content":[{"type":"tableCell","attrs":{"background":"#44b3e1"},"content":[{"type":"paragraph","content":[{"type":"text","text":"Brand Name","marks":[{"type":"strong"}]}]}]},{"type":"tableCell","attrs":{"colspan":2,"background":"#44b3e1"},"content":[{"type":"paragraph","content":[{"type":"text","text":"Reebok, Van Heusen, Allen Solly, Louis Philipp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565"}]}]},{"type":"tableCell","attrs":{},"content":[{"type":"paragraph","content":[{"type":"text","text":"98"}]}]}]},{"type":"tableRow","content":[{"type":"tableCell","attrs":{"background":"white"},"content":[{"type":"paragraph","content":[{"type":"text","text":"Uploaded"}]}]},{"type":"tableCell","attrs":{},"content":[{"type":"paragraph","content":[{"type":"text","text":"530"}]}]},{"type":"tableCell","attrs":{},"content":[{"type":"paragraph","content":[{"type":"text","text":"83"}]}]}]},{"type":"tableRow","content":[{"type":"tableCell","attrs":{"background":"white"},"content":[{"type":"paragraph","content":[{"type":"text","text":"SKUs Not Uploaded"}]}]},{"type":"tableCell","attrs":{},"content":[{"type":"paragraph","content":[{"type":"text","text":"35"}]}]},{"type":"tableCell","attrs":{},"content":[{"type":"paragraph","content":[{"type":"text","text":"15"}]}]}]},{"type":"tableRow","content":[{"type":"tableCell","attrs":{"background":"white"},"content":[{"type":"paragraph","content":[{"type":"text","text":"LIDs Shared"}]}]},{"type":"tableCell","attrs":{},"content":[{"type":"paragraph","content":[{"type":"text","text":"530"}]}]},{"type":"tableCell","attrs":{},"content":[{"type":"paragraph","content":[{"type":"text","text":"83"}]}]}]},{"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</si>
  <si>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UCW-31246</t>
  </si>
  <si>
    <t>Request for Toner Listing</t>
  </si>
  <si>
    <t>[^Post Upload Status.xlsx]
[^ProductBulkUpload_126467_Beauty__Grooming(MPH22)_Skin_Care(MPH2216)_Moisturizers_and_Serums(MPH2216103)_Toners(MPH2216103110)_35356_1778916130545_20260516_125210_717_summary.csv]
We have successfully uploaded this batch. Please find the attached summary sheet and summary report.;[^UCW-31246.xlsx]
Please find attached the sheet, where 1 option has been listed.
Kindly update the price and inventory, and share the summary once completed.
{adf:display=block}
{"type":"table","attrs":{"isNumberColumnEnabled":false,"layout":"center","localId":"67bebeb4-f8e6-4bfb-ab7b-a11e6a18608e"},"content":[{"type":"tableRow","content":[{"type":"tableCell","attrs":{"background":"#44b3e1"},"content":[{"type":"paragraph","content":[{"type":"text","text":"Ticket ID","marks":[{"type":"strong"}]}]}]},{"type":"tableCell","attrs":{"colspan":2,"background":"#44b3e1"},"content":[{"type":"paragraph","content":[{"type":"text","text":"UCW-31246","marks":[{"type":"strong"}]}]}]}]},{"type":"tableRow","content":[{"type":"tableCell","attrs":{"background":"#44b3e1"},"content":[{"type":"paragraph","content":[{"type":"text","text":"Brand Name","marks":[{"type":"strong"}]}]}]},{"type":"tableCell","attrs":{"colspan":2,"background":"#44b3e1"},"content":[{"type":"paragraph","content":[{"type":"text","text":"Love Eart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type":"tableCell","attrs":{},"content":[{"type":"paragraph","content":[{"type":"text","text":"2"}]}]}]},{"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Already List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</si>
  <si>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UCW-31245</t>
  </si>
  <si>
    <t>EAN Update TATA X SKP</t>
  </si>
  <si>
    <t>UCW-31244</t>
  </si>
  <si>
    <t>Tata lux New latching - 07_05</t>
  </si>
  <si>
    <t>UCW-31227</t>
  </si>
  <si>
    <t>Lot 3 SS26 Skechers Footwear-7 SKUs 1 options 13.5.2026</t>
  </si>
  <si>
    <t>UCW-31218</t>
  </si>
  <si>
    <t>CLONE -  Soch_Apparel_124205-SAS_08/05/2026_340 Styles</t>
  </si>
  <si>
    <t>UCW-31203</t>
  </si>
  <si>
    <t>Tata Cliq Footwear Catalogue | 12-05-2026</t>
  </si>
  <si>
    <t>UCW-31197</t>
  </si>
  <si>
    <t>Puma New Listing 12-05-2026</t>
  </si>
  <si>
    <t>UCW-31195</t>
  </si>
  <si>
    <t>Shaya Everyday, Plumes &amp; Nitya Collection Catalog for Tata Cliq.</t>
  </si>
  <si>
    <t>UCW-31193</t>
  </si>
  <si>
    <t>WHP Jewellers | Dia Bracelet, Dia Earring, Dia Pendant, Dia Ring, Dia Nosepin, Dia Mang Pendant | 126291-WHPJ1 | 12-05-2026</t>
  </si>
  <si>
    <t>UCW-31191</t>
  </si>
  <si>
    <t>Puma + footwear + 124055+ mapping (12-05-2026)</t>
  </si>
  <si>
    <t>UCW-31190</t>
  </si>
  <si>
    <t>WHP Jewellers | Bracelet, Chain, Earring, Pendant, Ring | 126291-WHPJ1 | 13-05-2026</t>
  </si>
  <si>
    <t>UCW-31168</t>
  </si>
  <si>
    <t>ERROR_Cataloging File - Palladium</t>
  </si>
  <si>
    <t>The images have been successfully reflected on both platforms. Please find the attached screenshots for your reference. Therefore, we are now closing this ticket. If you require any further assistance, please feel free to reach out to us.
!image-20260523-082808.png|width=534,alt="image-20260523-082808.png"!
!image-20260523-082815.png|width=519,alt="image-20260523-082815.png"!
!image-20260523-082822.png|width=519,alt="image-20260523-082822.png"!
!image-20260523-082827.png|width=519,alt="image-20260523-082827.png"!
!image-20260523-082832.png|width=519,alt="image-20260523-082832.png"!
!image-20260523-082846.png|width=519,alt="image-20260523-082846.png"!
!image-20260523-082852.png|width=519,alt="image-20260523-082852.png"!
!image-20260523-082859.png|width=519,alt="image-20260523-082859.png"!
!image-20260523-082906.png|width=519,alt="image-20260523-082906.png"!
!image-20260523-082914.png|width=519,alt="image-20260523-082914.png"!
!image-20260523-082921.png|width=519,alt="image-20260523-082921.png"!
!image-20260523-082927.png|width=519,alt="image-20260523-082927.png"!
!image-20260523-082933.png|width=519,alt="image-20260523-082933.png"!
!image-20260523-082939.png|width=519,alt="image-20260523-082939.png"!
!image-20260523-082944.png|width=519,alt="image-20260523-082944.png"!
!image-20260523-082950.png|width=519,alt="image-20260523-082950.png"!
!image-20260523-082956.png|width=519,alt="image-20260523-082956.png"!</t>
  </si>
  <si>
    <t>UCW-31162</t>
  </si>
  <si>
    <t>E2E - Rosso Brunello - FTW - 12th May - 127 SKUs</t>
  </si>
  <si>
    <t>UCW-31160</t>
  </si>
  <si>
    <t xml:space="preserve"> TC LUX Asics Footwear 129537 | 06-05-2026</t>
  </si>
  <si>
    <t>UCW-31158</t>
  </si>
  <si>
    <t>Bacca Bucci + Men Footwear + 124878 + New Listing + 77 SKUs + 14 Options + 11-March-2026</t>
  </si>
  <si>
    <t>Bacca Bucci</t>
  </si>
  <si>
    <t>UCW-31153</t>
  </si>
  <si>
    <t>Asian Footwear Listing 11 May 2026</t>
  </si>
  <si>
    <t>UCW-31141</t>
  </si>
  <si>
    <t>GAS SS'26 - Catalogue (73 options)</t>
  </si>
  <si>
    <t>UCW-31134</t>
  </si>
  <si>
    <t>Foxtale X Tata Cliq Brightening Moisturizer 50ml Listing</t>
  </si>
  <si>
    <t xml:space="preserve">Foxtale </t>
  </si>
  <si>
    <t>Closed as the brand has not shared resolution.</t>
  </si>
  <si>
    <t>UCW-31132</t>
  </si>
  <si>
    <t>New Lot (Carpet and Runner 166) for Listings OBSESSIONS | 128877 | 11-May-2026</t>
  </si>
  <si>
    <t xml:space="preserve">Obsessions </t>
  </si>
  <si>
    <t>UCW-31131</t>
  </si>
  <si>
    <t>Recode+ New request + Beauty + 127931+ 11 May'26</t>
  </si>
  <si>
    <t>Recode</t>
  </si>
  <si>
    <t>Closed as brand has not shared resolution for the queries</t>
  </si>
  <si>
    <t>UCW-31128</t>
  </si>
  <si>
    <t>Skinn|Fastrack X perfume X 125928 X TCF X 11.05.2026</t>
  </si>
  <si>
    <t>SKINN</t>
  </si>
  <si>
    <t>UCW-31127</t>
  </si>
  <si>
    <t>Diam Beauty + New Request + Beauty + 128440 + 11 May</t>
  </si>
  <si>
    <t>UCW-31119</t>
  </si>
  <si>
    <t>Enrich_TCR Image update 11.05.26</t>
  </si>
  <si>
    <t>[^Summary.zip]
[^Status of UCW-31119.xlsx]
We have updated the images and also attached the summary file. Once the images are successfully reflected we will let you know</t>
  </si>
  <si>
    <t>UCW-31115</t>
  </si>
  <si>
    <t>New listing Tata Cliq - 11th May</t>
  </si>
  <si>
    <t>c</t>
  </si>
  <si>
    <t>UCW-31111</t>
  </si>
  <si>
    <t>SKU EAN Updates &amp; Stock Activation (Primespot) - L'Occitane Shea Range</t>
  </si>
  <si>
    <t>UCW-31092</t>
  </si>
  <si>
    <t>Hermès - E-commerce storechecks - Tatacliq</t>
  </si>
  <si>
    <t>As this is a size grouping task we are changing this from E2E te size grouping;L1 ticket raised-
[https://tatacliqhelpdesk.freshservice.com/support/tickets/213518|https://tatacliqhelpdesk.freshservice.com/support/tickets/213518]</t>
  </si>
  <si>
    <t>UCW-31087</t>
  </si>
  <si>
    <t>Enrich_78403051_PDP Update_Idole Power | TCL</t>
  </si>
  <si>
    <t>UCW-31086</t>
  </si>
  <si>
    <t>ENRICH_Tata Cliq Image change Req</t>
  </si>
  <si>
    <t>[^Summary.zip]
[^Status of UCW-31086.xlsx]
We have updated the images and also attached the summary file. Once the images are successfully reflected we will let you know</t>
  </si>
  <si>
    <t>UCW-31083</t>
  </si>
  <si>
    <t>ENRICH_Esskay Beauty | Rica Image Update</t>
  </si>
  <si>
    <t>UCW-31081</t>
  </si>
  <si>
    <t>Request for New Product Listing – Love Earth Liquid Mousse Lipstick 3.0 (Single shade)</t>
  </si>
  <si>
    <t>UCW-31080</t>
  </si>
  <si>
    <t>Tiny bugs-E2E-Footwear May New Line Sheet 2026-127032</t>
  </si>
  <si>
    <t>UCW-31072</t>
  </si>
  <si>
    <t>CLONE - Pantaloons/Men Women/Non Apparel Footwear/New Listing/SKU 194/Options 33| 13th Jan'2026</t>
  </si>
  <si>
    <t>UCW-31063</t>
  </si>
  <si>
    <t>Aria Nica Kids &amp; Tao Paris Womens Footwear Listing SS-26</t>
  </si>
  <si>
    <t xml:space="preserve">Aria Nica, Tao Paris </t>
  </si>
  <si>
    <t>UCW-31054</t>
  </si>
  <si>
    <t>Kindlife | Luxury Platform addition</t>
  </si>
  <si>
    <t>UCW-31050</t>
  </si>
  <si>
    <t>New lisitng Tatacliq : TOTAPARI | JEWELLERY | 128997 | 09-MAY-2026( 64 SKU )</t>
  </si>
  <si>
    <t>Closing the ticket as the L2 is not available in this seller.</t>
  </si>
  <si>
    <t>UCW-31049</t>
  </si>
  <si>
    <t>CLONE - New Listing | Globus x TataCliq | 23th Jan 2026</t>
  </si>
  <si>
    <t>Duplicate ticket 30148</t>
  </si>
  <si>
    <t>UCW-31048</t>
  </si>
  <si>
    <t>Pending DeDup SKus - UCW-26101</t>
  </si>
  <si>
    <t>UCW-31044</t>
  </si>
  <si>
    <t>UCW-31043</t>
  </si>
  <si>
    <t>Enrichment_Tata CLIQ(Fashion+Luxury) |adidas DTC| Footwear Attributes for Listing_28-10-25</t>
  </si>
  <si>
    <t>UCW-31042</t>
  </si>
  <si>
    <t>Tata Cliq-Reebok Brand-Footwear -127776 - 07-05-2026</t>
  </si>
  <si>
    <t>UCW-31027</t>
  </si>
  <si>
    <t>ENRICH_milk_shake + Adhoc Image Updation + Beauty - Haircare + Seller Code+ Date.</t>
  </si>
  <si>
    <t>UCW-31025</t>
  </si>
  <si>
    <t>Enrich_Real Effect London | Purity Concern for Silver Jewellery</t>
  </si>
  <si>
    <t>UCW-31020</t>
  </si>
  <si>
    <t>ENRICH_Updating Images (milk_shake lifestyling _2 &amp; No Frizz)</t>
  </si>
  <si>
    <t>milkshake</t>
  </si>
  <si>
    <t>UCW-31011</t>
  </si>
  <si>
    <t>ERROR_Catalogue New errors for the Multibrands Agency (NETSCRIBES) 11th MAY_NC</t>
  </si>
  <si>
    <t>[^125927_SKUEDITRETRIGGER_INDIEJEWEL_FASHIONS_PRIVATE_LIMITED(125927)_Anklets(MPH1915101100)_20260513_030730_659_summary.csv]
[^125927_SKUEDITRETRIGGER__Toe-rings(MPH1915101123)_20260513_031419_970_summary.csv]
[^125927_SKUEDITRETRIGGER__Bracelets(MPH1915101103)_20260513_031054_422_summary.csv]
[^125928_SKUEDITRETRIGGER__Hair_Brushes_and_Combs(MPH2217101101)_20260513_024144_072.csv]
[^ERROR AGENCY (NETSCRIBES) 11Th MAY.xlsx]
[^PCM_DataExtractCsv-20260513155500.csv]
Thank you for highlighting the issue. We have taken the necessary action on the errors and updated the *Agency Comment* column accordingly. We will inform once changes reflect.
Attached SKU&amp; Edit Summary File and PCM file for your reference</t>
  </si>
  <si>
    <t>UCW-31010</t>
  </si>
  <si>
    <t>footwear catalogue for listing tatacliq</t>
  </si>
  <si>
    <t>L1 to L4 mapping not available</t>
  </si>
  <si>
    <t>UCW-30997</t>
  </si>
  <si>
    <t>Palladium Footwear 129553, 129560 Listing 16 SKU ( 3 Options ) 05/05/2026.</t>
  </si>
  <si>
    <t>After preprocessing, we identified that out of 3 options and 16 SKUs, 15 SKUs are already listed.
For your reference, we have attached the relevant file highlighting the already listed SKUs.
The remaining one SKU has been uploaded as a cut size in both platform. Please find the attached summary sheet and post-upload sheet for your reference.
[^Summary (ce17a804-ec47-4dce-b314-08d647021998).zip]
[^Already Listed.xlsx]
[^Post Upload Status_V.2 (1).xlsx]
;[^UCW-30997.xlsx]
We would like to inform you that 3 options are already listed on both the platform. We have shared the MP codes in the sheet and also updated that 1 SKU has been added under the same style code, which is now completed.
The sheet is attached for your reference.</t>
  </si>
  <si>
    <t>UCW-30995</t>
  </si>
  <si>
    <t>Inc.5 || New Listing (E2E/Adhoc/Enrich) || 142 Article Footwear || Seller Code :- 100149 || 08-May-2026 || TATACLIQ</t>
  </si>
  <si>
    <t>UCW-30993</t>
  </si>
  <si>
    <t>Libas Apparel 127532 08-05-2026 (NEW CATALOGUE)</t>
  </si>
  <si>
    <t>UCW-30992</t>
  </si>
  <si>
    <t>Enrich_Soch Image correction-5 Styles -Tatacliq</t>
  </si>
  <si>
    <t>UCW-30991</t>
  </si>
  <si>
    <t>ENRICH_Update Required: Ingredients &amp; Product Images</t>
  </si>
  <si>
    <t>UCW-30990</t>
  </si>
  <si>
    <t xml:space="preserve">ENRICH_Request for Image Update - SKU BGLB502 </t>
  </si>
  <si>
    <t>UCW-30985</t>
  </si>
  <si>
    <t>CLONE - PUMA Accessories_Footwear_Apparel 124130 &amp; 125381 New Listing 12-02-2026</t>
  </si>
  <si>
    <t>UCW-30983</t>
  </si>
  <si>
    <t>ADIDAS Add now catalogue dated 9th May 2026</t>
  </si>
  <si>
    <t>UCW-30972</t>
  </si>
  <si>
    <t>Request to Update Product Images &amp; Information on Tata Cliq</t>
  </si>
  <si>
    <t>UCW-30970</t>
  </si>
  <si>
    <t>|[https://tatacliqhelpdesk.freshservice.com/support/tickets/211620-  can't edit attribute|https://tatacliqhelpdesk.freshservice.com/support/tickets/211620-%20%20can't%20edit%20attribute]|
|[https://tatacliqhelpdesk.freshservice.com/support/tickets/211655-GTIN issue|https://tatacliqhelpdesk.freshservice.com/support/tickets/211655-GTIN%20issue]|
|[https://tatacliqhelpdesk.freshservice.com/support/tickets/211577- 26045 MP can't edit attribute|https://tatacliqhelpdesk.freshservice.com/support/tickets/211577-%2026045%20MP%20can't%20edit%20attribute]|;1253814067982513399
1253814067982513467
1253814067982513498
1253814067982513474
1253814067982513481
1253814067982513436
1253814067982513504
1253814067982513405
1253814067982513443
1253814067982513450
1253814067982513412
1253814067982513429
This is retriggered and solved by L1
[https://tatacliqhelpdesk.freshservice.com/support/tickets/213623|https://tatacliqhelpdesk.freshservice.com/support/tickets/213623]
;Clone will be created for other cases as well</t>
  </si>
  <si>
    <t>UCW-30958</t>
  </si>
  <si>
    <t>ENRICH_Wella X Tata Cliq Legal Metrology (CO) Update</t>
  </si>
  <si>
    <t>UCW-30955</t>
  </si>
  <si>
    <t>Clone -The Souled Store Footwear 123858 20-04-2026</t>
  </si>
  <si>
    <t>UCW-30951</t>
  </si>
  <si>
    <t>ERROR_Tata CLIQ(Fashion+Luxury) |adidas DTC| Footwear Attributes for Listing_28-10-25_NC</t>
  </si>
  <si>
    <t>UCW-30936</t>
  </si>
  <si>
    <t>Palmonas | Fashion Jewellery | 128366 | 7-05-2026 (251 SKUs)</t>
  </si>
  <si>
    <t>UCW-30935</t>
  </si>
  <si>
    <t>Palmonas | Fashion Jewellery | 128366 | 7-05-2026 (243 SKUs)</t>
  </si>
  <si>
    <t>Palmona</t>
  </si>
  <si>
    <t>UCW-30933</t>
  </si>
  <si>
    <t>Lotto/Footwear UPTO Lot-33/Seller code- 129247/ 06-05-2026</t>
  </si>
  <si>
    <t>UCW-30932</t>
  </si>
  <si>
    <t>Tatacliq Footwear  batch 23 (May) _USPA_06-05-2026</t>
  </si>
  <si>
    <t>UCW-30931</t>
  </si>
  <si>
    <t>Oroh - Footwear - Sneaker - (128691-11) - New Listing 05-06-2026</t>
  </si>
  <si>
    <t>UCW-30929</t>
  </si>
  <si>
    <t xml:space="preserve"> Soch_Apparel_124205-SAS_08/05/2026_340 Styles</t>
  </si>
  <si>
    <t>UCW-30924</t>
  </si>
  <si>
    <t>Under Armour Footwear (128047)-06/05/2026</t>
  </si>
  <si>
    <t>UCW-30915</t>
  </si>
  <si>
    <t>CLONE - Baby Catalog</t>
  </si>
  <si>
    <t>UCW-30892</t>
  </si>
  <si>
    <t>UCW-30886</t>
  </si>
  <si>
    <t>ENRICH_TataCliq: LSRG-Category Articles Image Updation</t>
  </si>
  <si>
    <t>UCW-30884</t>
  </si>
  <si>
    <t>SCL Steelo + Home +Lunch Box + 128907+ 05.05.2026</t>
  </si>
  <si>
    <t>SCL Steelo</t>
  </si>
  <si>
    <t>UCW-30879</t>
  </si>
  <si>
    <t>ENRICH_Yves Saint Laurent &amp; Lancome SKU list | Removal of Authenticity Certificate</t>
  </si>
  <si>
    <t>YSL, Lancome</t>
  </si>
  <si>
    <t>UCW-30876</t>
  </si>
  <si>
    <t xml:space="preserve">New Listings : Purearth </t>
  </si>
  <si>
    <t>UCW-30874</t>
  </si>
  <si>
    <t>Tata Cliq  - New listing - Banderas Seduction In Black (05-05-2026)</t>
  </si>
  <si>
    <t>UCW-30872</t>
  </si>
  <si>
    <t>Enrich_Tata Cliq  - Image Update - Giordano (06-05-2026)</t>
  </si>
  <si>
    <t xml:space="preserve">Giordano </t>
  </si>
  <si>
    <t>UCW-30868</t>
  </si>
  <si>
    <t>TUL Omni Catalogue || MBL || 02-May-2026</t>
  </si>
  <si>
    <t xml:space="preserve"> Cheemo, Da Vinchi, J fontini, Metro, Mochi</t>
  </si>
  <si>
    <t>UCW-30861</t>
  </si>
  <si>
    <t>79057909_Sonam Glow Kit_Lancome | TCL</t>
  </si>
  <si>
    <t>UCW-30855</t>
  </si>
  <si>
    <t>Glam21+ New request + Beauty + 128383 + 4 May'26</t>
  </si>
  <si>
    <t>Glam21</t>
  </si>
  <si>
    <t>UCW-30848</t>
  </si>
  <si>
    <t>Saree Catalouge 05-May - Meena Bazaar</t>
  </si>
  <si>
    <t>Meena Bazar</t>
  </si>
  <si>
    <t>UCW-30846</t>
  </si>
  <si>
    <t>Unstitched Catalouge- 05-May - Meena Bazaar</t>
  </si>
  <si>
    <t>UCW-30841</t>
  </si>
  <si>
    <t>Hoversoul Listing - Exo Footwear  06 May 2026</t>
  </si>
  <si>
    <t>UCW-30839</t>
  </si>
  <si>
    <t>ERROR_Hoversoul - cataloging  Batch -5_NC</t>
  </si>
  <si>
    <t xml:space="preserve">[^UCW-29827 (1).xlsx]
</t>
  </si>
  <si>
    <t>UCW-30836</t>
  </si>
  <si>
    <t>PUMA Footwear 124130 &amp; 125381 New Listing 06-05-2026</t>
  </si>
  <si>
    <t>UCW-30830</t>
  </si>
  <si>
    <t>Tata - New Listing</t>
  </si>
  <si>
    <t>UCW-30829</t>
  </si>
  <si>
    <t>MASTER DATA RS SUPERSTAR - Tatacliq</t>
  </si>
  <si>
    <t>UCW-30828</t>
  </si>
  <si>
    <t>ENRICH_Request for Image Update || 04/05/2026</t>
  </si>
  <si>
    <t>UCW-30826</t>
  </si>
  <si>
    <t>UCW-30818</t>
  </si>
  <si>
    <t>CLONE - Tata CLIQ(Fashion+Luxury) |adidas DTC| Footwear Attributes for Listing_28-10-25</t>
  </si>
  <si>
    <t>Regan says to close this</t>
  </si>
  <si>
    <t>UCW-30817</t>
  </si>
  <si>
    <t>Error_Tata CLIQ(Fashion+Luxury) |adidas DTC| Footwear Attributes for Listing_28-10-25</t>
  </si>
  <si>
    <t>UCW-30813</t>
  </si>
  <si>
    <t>ENRICH_Tata Cliq_Revised Image &amp; Content Update due to packaging change</t>
  </si>
  <si>
    <t>UCW-30808</t>
  </si>
  <si>
    <t>Footwear New Listing 05-05-2026 ( 288 EANs)</t>
  </si>
  <si>
    <t>UCW-30798</t>
  </si>
  <si>
    <t>MJ Murakami - 4 STD - New Listing - TATA - 05-05-2026</t>
  </si>
  <si>
    <t>UCW-30797</t>
  </si>
  <si>
    <t>ERROR_Hoversoul Batch -9_NC</t>
  </si>
  <si>
    <t xml:space="preserve">[^Status-UCW-30797 (9fa0f3a0-9714-4cc2-94dd-fc2976f67091).xlsx]
</t>
  </si>
  <si>
    <t>UCW-30783</t>
  </si>
  <si>
    <t>Listing details required | Tata CLiQ x O3+ (New Launch)</t>
  </si>
  <si>
    <t>UCW-30774</t>
  </si>
  <si>
    <t>Tata Cliq Shoes, Caps, Wallet Catalog Dated on 05-05-2026</t>
  </si>
  <si>
    <t xml:space="preserve">Red Tape, Bond Street By Red Tape </t>
  </si>
  <si>
    <t>UCW-30770</t>
  </si>
  <si>
    <t>UCW-30769</t>
  </si>
  <si>
    <t>ENRICH_TataCliq: AVI013-JB &amp; LDOF-01 Category Article Image Updation</t>
  </si>
  <si>
    <t>UCW-30763</t>
  </si>
  <si>
    <t>Mapping listing lux to tata - 13 - Styles - Rockport</t>
  </si>
  <si>
    <t>UCW-30762</t>
  </si>
  <si>
    <t>Aurelia/W/Folksong/Elleven- 45 Style- Summer-2026- 16th April</t>
  </si>
  <si>
    <t>[^Summary.zip]
[^Status of UCW-30762.xlsx]
We have done the sell now task, Here we attach the summery file for your reference.</t>
  </si>
  <si>
    <t>UCW-30759</t>
  </si>
  <si>
    <t>New listing seller 129577</t>
  </si>
  <si>
    <t>Apple</t>
  </si>
  <si>
    <t>[^Status Of UCW-30759.xlsx]
;sell now completed
|SKU|MPID|
|AP20WUSBC|MP000000008093500|
|SAM65WOCAB|MP000000015391935|
|APEARUSBCWIR|MP000000019481013|
|AP1WOVENCAB60W|MP000000019481297|
|AP1USBC2LIGHT|MP000000001403212|
|SAM25WUSBCWOCAB|MP000000023274957|
|SAM45WWOCAB|MP000000027095779|
|GOG45W|MP000000027095778|
|SAM45WUSBCWICAB|MP000000006870976|</t>
  </si>
  <si>
    <t>UCW-30754</t>
  </si>
  <si>
    <t>ENRICH_Tata Euroitala Hygiene check</t>
  </si>
  <si>
    <t>Versace, Moschino</t>
  </si>
  <si>
    <t xml:space="preserve">L1 ticket raised-
[https://tatacliqhelpdesk.freshservice.com/support/tickets/213286|https://tatacliqhelpdesk.freshservice.com/support/tickets/213286];As discussed with shweta closing this </t>
  </si>
  <si>
    <t>UCW-30752</t>
  </si>
  <si>
    <t>Clone-The Souled Store Footwear 123858 20-03-2026</t>
  </si>
  <si>
    <t>UCW-30751</t>
  </si>
  <si>
    <t>Miarcus -20 Styles-SS 26- 04 May</t>
  </si>
  <si>
    <t>UCW-30748</t>
  </si>
  <si>
    <t>Miarcus -17 Styles-SS 26- 05 May</t>
  </si>
  <si>
    <t>UCW-30746</t>
  </si>
  <si>
    <t>Miarcus -15 Styles-SS 26- 05 May</t>
  </si>
  <si>
    <t>UCW-30745</t>
  </si>
  <si>
    <t>CLONE - NOYRA - 6 Mar 26 - 126542 - New collection - Luxury</t>
  </si>
  <si>
    <t>UCW-30744</t>
  </si>
  <si>
    <t>NEEMANS+FOOTWEAR+ 125173+ 04-05-2026</t>
  </si>
  <si>
    <t>UCW-30733</t>
  </si>
  <si>
    <t>Tata Versace GWP Cataloguing 17th Apr</t>
  </si>
  <si>
    <t>UCW-30729</t>
  </si>
  <si>
    <t>ENRICH_Kiddopanti Image Change Request 4th_May_2026</t>
  </si>
  <si>
    <t xml:space="preserve">Kiddopanti </t>
  </si>
  <si>
    <t>UCW-30723</t>
  </si>
  <si>
    <t>YSL Fragrance Listing</t>
  </si>
  <si>
    <t>UCW-30719</t>
  </si>
  <si>
    <t>New Listings_Khadlaj</t>
  </si>
  <si>
    <t>Khadlaj</t>
  </si>
  <si>
    <t>UCW-30698</t>
  </si>
  <si>
    <t>Rosso Brunello - FTW - 1/05/26 - 77 SKUs</t>
  </si>
  <si>
    <t>UCW-30696</t>
  </si>
  <si>
    <t>Guess Footwear Men &amp; Women (New) 31 Options 02-05-2026</t>
  </si>
  <si>
    <t>UCW-30690</t>
  </si>
  <si>
    <t>Cordwainers - FTW - 01/05/26 - 120 SKUs</t>
  </si>
  <si>
    <t>UCW-30686</t>
  </si>
  <si>
    <t>CLONE - New Brand Listing - Oteria</t>
  </si>
  <si>
    <t>Oteria</t>
  </si>
  <si>
    <t>UCW-30685</t>
  </si>
  <si>
    <t>Puma Add now catalogue dated 30th April 2026</t>
  </si>
  <si>
    <t>UCW-30684</t>
  </si>
  <si>
    <t>Limese x Tata CLiQ | MOM</t>
  </si>
  <si>
    <t xml:space="preserve">Torriden </t>
  </si>
  <si>
    <t>UCW-30678</t>
  </si>
  <si>
    <t>Sub task - Tatacliq Footwear MP-62_Arrow_USPA_14-04-2026</t>
  </si>
  <si>
    <t>UCW-30677</t>
  </si>
  <si>
    <t>CLONE - New Listings @TataCliq_25.04.2026</t>
  </si>
  <si>
    <t>Pellealbero</t>
  </si>
  <si>
    <t xml:space="preserve">We have successfully uploaded this batch. Please find the summary of this batch. and attach Summary zip and Post upload Sheet.
[^UCW-30677 Summary New.zip] [^UCW-30677 Post Upload Status_V.2 (1) (1).xlsx] ;LIDs attached[^UCW-30677 Post Upload Status_V.2 (1) (1) (5fb3ac03-0ec8-4abe-b036-0aad2c0c9851).xlsx] </t>
  </si>
  <si>
    <t>UCW-30673</t>
  </si>
  <si>
    <t>Colors Queen || Makeup || 129094 || 31-03-2026</t>
  </si>
  <si>
    <t xml:space="preserve">Colors Queen </t>
  </si>
  <si>
    <t>UCW-30670</t>
  </si>
  <si>
    <t>Plix - Skincare Pending - UCW-29413</t>
  </si>
  <si>
    <t>UCW-30669</t>
  </si>
  <si>
    <t>ENRICH_ Update Catalog images of Nutrabay &lt;&gt; TataCliq</t>
  </si>
  <si>
    <t xml:space="preserve">Nutrabay </t>
  </si>
  <si>
    <t>UCW-30661</t>
  </si>
  <si>
    <t>ENRICH_ Images Update | Kids Iron Strip | Tata Cliq | Miduty</t>
  </si>
  <si>
    <t>Miduty</t>
  </si>
  <si>
    <t>UCW-30657</t>
  </si>
  <si>
    <t>Bobbi Brown - GWP April'26</t>
  </si>
  <si>
    <t>UCW-30656</t>
  </si>
  <si>
    <t>ENRICH_PDP Tata X SKP</t>
  </si>
  <si>
    <t xml:space="preserve">Schwarzkopf Professional </t>
  </si>
  <si>
    <t>UCW-30646</t>
  </si>
  <si>
    <t>Charles &amp; Keith_Footwear_125610_30thApr'26 (Batch 12)</t>
  </si>
  <si>
    <t>UCW-30644</t>
  </si>
  <si>
    <t>REGAL TATACLIQ TEMPLATE 21.03.2026</t>
  </si>
  <si>
    <t>catalogue_repo</t>
  </si>
  <si>
    <t>Regal, Imperio</t>
  </si>
  <si>
    <t>UCW-30634</t>
  </si>
  <si>
    <t>FE x 22162 x GWP (Night Cream Gotu Kola)</t>
  </si>
  <si>
    <t>UCW-30631</t>
  </si>
  <si>
    <t>Enrich_Updated Product Cards – Ultra Matte Dry Touch Sunscreen 20g</t>
  </si>
  <si>
    <t>Reequil</t>
  </si>
  <si>
    <t>UCW-30630</t>
  </si>
  <si>
    <t>Tata Cliq - April New Listings</t>
  </si>
  <si>
    <t>UCW-30629</t>
  </si>
  <si>
    <t>New Chapter Series 10ML</t>
  </si>
  <si>
    <t>UCW-30622</t>
  </si>
  <si>
    <t>CLONE - ENRICH_Arata 3.0 Catalogue Revision - 14 April</t>
  </si>
  <si>
    <t>UCW-30619</t>
  </si>
  <si>
    <t>Lancome Fragrance Duo Kit_TCL</t>
  </si>
  <si>
    <t>UCW-30617</t>
  </si>
  <si>
    <t>ENRICH_IMAGE UPDATE.</t>
  </si>
  <si>
    <t>UCW-30612</t>
  </si>
  <si>
    <t>CLONE - Vantier Shoes - 7th April 26 - 129308 - New collection - Luxury</t>
  </si>
  <si>
    <t>UCW-30610</t>
  </si>
  <si>
    <t>ERROR_Image update Required 30.04.2026</t>
  </si>
  <si>
    <t>UCW-30609</t>
  </si>
  <si>
    <t>Soulflower x TataCliq Connect</t>
  </si>
  <si>
    <t>UCW-30607</t>
  </si>
  <si>
    <t>ENRICH_The Sleep Company + Mattresses (/Home/Bed/Pillow &amp; Mattresses/Mattresses)+ 127275+ 15th April 2026</t>
  </si>
  <si>
    <t>UCW-30605</t>
  </si>
  <si>
    <t>ENRICH_The Sleep Company + Furniture (Home /Home / Furniture / Chairs)+127275 -  30th April 2026</t>
  </si>
  <si>
    <t>UCW-30603</t>
  </si>
  <si>
    <t>3rd Batch for Cataloguing 45 products</t>
  </si>
  <si>
    <t>Assigned on - May 4
Started on -  May 8
Pre processing query - May 8 
|1|EAN Code|32|
|2|Skin Type|2|
|3|Fragrance Type|2|
|4|Fragrance Family|2|
|5|Occasion|2|
|6|Longevity|2|
|7|Ingredients|1|
|8|Length,Width,Height|1|
|9|Image Analysis|23|
|10|Certificate|45|
1st follow up - 11th may
2nd follow up - {{2026-05-12}};[^UCW-30603_Post Upload Status_V.2 (1).xlsx]
[^Summary.zip]
;We would like to inform you that  SKU is in the Commission stage.
[^UCW-30603_Post Upload Status_V.2 (1) (e3bddb10-0a53-42a3-ad49-4a57c3d59d30).xlsx]
As the commission is not approved yet, we are closing the ticket.</t>
  </si>
  <si>
    <t>UCW-30602</t>
  </si>
  <si>
    <t>Foxtale x Tatacliq Hula Hoop rollon Flora New Listings</t>
  </si>
  <si>
    <t>UCW-30599</t>
  </si>
  <si>
    <t>UCW-30574</t>
  </si>
  <si>
    <t>New Listing | CareVeda x TataCliq | 15th April 2026</t>
  </si>
  <si>
    <t>CareVeda</t>
  </si>
  <si>
    <t>UCW-30557</t>
  </si>
  <si>
    <t>Tata Cliq Luxury  - New listing - Fragrance MDP (GWP) 02-05-2026</t>
  </si>
  <si>
    <t>UCW-30555</t>
  </si>
  <si>
    <t>Error_Andon Cord | Thrice Wrong Product Delivered | Allen Cooper</t>
  </si>
  <si>
    <t>Allen Cooper</t>
  </si>
  <si>
    <t>UCW-30550</t>
  </si>
  <si>
    <t>Skechers Add now catalogue dated 15th April 2026</t>
  </si>
  <si>
    <t>UCW-30544</t>
  </si>
  <si>
    <t>Error_Hoversoul Batch -9_NC</t>
  </si>
  <si>
    <t>UCW-30543</t>
  </si>
  <si>
    <t>Enrichment_Tata Cliq  - Image Update - Banderas (29-04-2026)</t>
  </si>
  <si>
    <t>Banderas</t>
  </si>
  <si>
    <t>[^Status Of UCW-30543.xlsx]
[^Summary.zip]
We have updated the images and also attached the summary file. Once the images are successfully reflected we will let you know</t>
  </si>
  <si>
    <t>UCW-30537</t>
  </si>
  <si>
    <t>ENRICH_Image Update: Charcoal Peel Off Mask // Tatacliq</t>
  </si>
  <si>
    <t>UCW-30536</t>
  </si>
  <si>
    <t>K18 Hair Oil 10ml New Listing</t>
  </si>
  <si>
    <t>UCW-30535</t>
  </si>
  <si>
    <t>Globus Women's Wear Apparels -  22 Styles - Batch 132 (Brand - Globus Stores Pvt Ltd) (Ethnic Wear) (27.04.2026)</t>
  </si>
  <si>
    <t>UCW-30534</t>
  </si>
  <si>
    <t>Support Required for Bulk Category-wise Listing Upload - Rajnandini</t>
  </si>
  <si>
    <t>UCW-30533</t>
  </si>
  <si>
    <t>22 Pro Listing File ( SS26)</t>
  </si>
  <si>
    <t>UCW-30531</t>
  </si>
  <si>
    <t>Libas Apparel 127532 29-04-2026 (NEW CATALOGUE)</t>
  </si>
  <si>
    <t>UCW-30530</t>
  </si>
  <si>
    <t>Inventory Report : Titan || Tata Cliq</t>
  </si>
  <si>
    <t>UCW-30523</t>
  </si>
  <si>
    <t>TQ | Brand: Converse | Catalog Listing | SP26 Elevation Style.</t>
  </si>
  <si>
    <t>UCW-30497</t>
  </si>
  <si>
    <t>Brand Name: SaintG, Category: Footwear, Seller Code: 128447/128537, Listing Type: New Listing, No of SKus:468 No of Options:78 Date:15.04.2026</t>
  </si>
  <si>
    <t>UCW-30488</t>
  </si>
  <si>
    <t>New Listings For Gold (21/04/2026)</t>
  </si>
  <si>
    <t>UCW-30480</t>
  </si>
  <si>
    <t>Enrich_Request for Product Image Update</t>
  </si>
  <si>
    <t>The changes have been successfully updated and are now reflecting on both the Marketplace and Luxury platforms. Please find the attached screenshot for your reference.
!image-20260516-100619.png|width=532,alt="image-20260516-100619.png"!
!image-20260516-100628.png|width=517,alt="image-20260516-100628.png"!
Regards,
Team Netscribes</t>
  </si>
  <si>
    <t>UCW-30472</t>
  </si>
  <si>
    <t>ENRICH_Request for Product Image Update</t>
  </si>
  <si>
    <t>Duplicate worked on UCW-30480</t>
  </si>
  <si>
    <t>UCW-30466</t>
  </si>
  <si>
    <t>Necklace category file for Listing in TATA CLIQ</t>
  </si>
  <si>
    <t>UCW-30457</t>
  </si>
  <si>
    <t>UCW-30456</t>
  </si>
  <si>
    <t>UCW-30454</t>
  </si>
  <si>
    <t>UCW-30452</t>
  </si>
  <si>
    <t>UCW-30447</t>
  </si>
  <si>
    <t>UCW-30441</t>
  </si>
  <si>
    <t>UCW-30438</t>
  </si>
  <si>
    <t>UCW-30432</t>
  </si>
  <si>
    <t>UCW-30425</t>
  </si>
  <si>
    <t>UCW-30420</t>
  </si>
  <si>
    <t>UCW-30418</t>
  </si>
  <si>
    <t>UCW-30410</t>
  </si>
  <si>
    <t>UCW-30399</t>
  </si>
  <si>
    <t>UCW-30376</t>
  </si>
  <si>
    <t>UCW-30366</t>
  </si>
  <si>
    <t>UCW-30365</t>
  </si>
  <si>
    <t>UCW-30359</t>
  </si>
  <si>
    <t>UCW-30328</t>
  </si>
  <si>
    <t>UCW-30324</t>
  </si>
  <si>
    <t>UCW-30323</t>
  </si>
  <si>
    <t>UCW-30315</t>
  </si>
  <si>
    <t>UCW-30313</t>
  </si>
  <si>
    <t>UCW-30310</t>
  </si>
  <si>
    <t>UCW-30304</t>
  </si>
  <si>
    <t>UCW-30302</t>
  </si>
  <si>
    <t>UCW-30299</t>
  </si>
  <si>
    <t>UCW-30295</t>
  </si>
  <si>
    <t>UCW-30291</t>
  </si>
  <si>
    <t>UCW-30288</t>
  </si>
  <si>
    <t>UCW-30287</t>
  </si>
  <si>
    <t>UCW-30286</t>
  </si>
  <si>
    <t>UCW-30282</t>
  </si>
  <si>
    <t>UCW-30275</t>
  </si>
  <si>
    <t>UCW-30272</t>
  </si>
  <si>
    <t>UCW-30269</t>
  </si>
  <si>
    <t>UCW-30252</t>
  </si>
  <si>
    <t>UCW-30247</t>
  </si>
  <si>
    <t>UCW-30245</t>
  </si>
  <si>
    <t>UCW-30243</t>
  </si>
  <si>
    <t>UCW-30242</t>
  </si>
  <si>
    <t>UCW-30238</t>
  </si>
  <si>
    <t>UCW-30230</t>
  </si>
  <si>
    <t>UCW-30229</t>
  </si>
  <si>
    <t>UCW-30226</t>
  </si>
  <si>
    <t>UCW-30221</t>
  </si>
  <si>
    <t>UCW-30217</t>
  </si>
  <si>
    <t>UCW-30213</t>
  </si>
  <si>
    <t>UCW-30210</t>
  </si>
  <si>
    <t>UCW-30209</t>
  </si>
  <si>
    <t>UCW-30202</t>
  </si>
  <si>
    <t>UCW-30201</t>
  </si>
  <si>
    <t>UCW-30197</t>
  </si>
  <si>
    <t>UCW-30194</t>
  </si>
  <si>
    <t>UCW-30172</t>
  </si>
  <si>
    <t>UCW-30157</t>
  </si>
  <si>
    <t>UCW-30156</t>
  </si>
  <si>
    <t>UCW-30149</t>
  </si>
  <si>
    <t>UCW-30144</t>
  </si>
  <si>
    <t>UCW-30139</t>
  </si>
  <si>
    <t>UCW-30133</t>
  </si>
  <si>
    <t>UCW-30132</t>
  </si>
  <si>
    <t>UCW-30129</t>
  </si>
  <si>
    <t>UCW-30126</t>
  </si>
  <si>
    <t>UCW-30114</t>
  </si>
  <si>
    <t>UCW-30110</t>
  </si>
  <si>
    <t>UCW-30091</t>
  </si>
  <si>
    <t>UCW-30077</t>
  </si>
  <si>
    <t>UCW-30072</t>
  </si>
  <si>
    <t>UCW-30071</t>
  </si>
  <si>
    <t>UCW-30069</t>
  </si>
  <si>
    <t>UCW-30068</t>
  </si>
  <si>
    <t>UCW-30067</t>
  </si>
  <si>
    <t>UCW-30065</t>
  </si>
  <si>
    <t>UCW-30061</t>
  </si>
  <si>
    <t>UCW-30059</t>
  </si>
  <si>
    <t>UCW-30050</t>
  </si>
  <si>
    <t>UCW-30042</t>
  </si>
  <si>
    <t>UCW-30041</t>
  </si>
  <si>
    <t>UCW-30040</t>
  </si>
  <si>
    <t>UCW-30025</t>
  </si>
  <si>
    <t>UCW-29996</t>
  </si>
  <si>
    <t>UCW-29987</t>
  </si>
  <si>
    <t>UCW-29971</t>
  </si>
  <si>
    <t>UCW-29966</t>
  </si>
  <si>
    <t>UCW-29965</t>
  </si>
  <si>
    <t>UCW-29954</t>
  </si>
  <si>
    <t>UCW-29953</t>
  </si>
  <si>
    <t>UCW-29952</t>
  </si>
  <si>
    <t>UCW-29950</t>
  </si>
  <si>
    <t>UCW-29947</t>
  </si>
  <si>
    <t>UCW-29933</t>
  </si>
  <si>
    <t>UCW-29932</t>
  </si>
  <si>
    <t>UCW-29930</t>
  </si>
  <si>
    <t>UCW-29929</t>
  </si>
  <si>
    <t>UCW-29928</t>
  </si>
  <si>
    <t>UCW-29927</t>
  </si>
  <si>
    <t>UCW-29926</t>
  </si>
  <si>
    <t>UCW-29921</t>
  </si>
  <si>
    <t>UCW-29910</t>
  </si>
  <si>
    <t>UCW-29909</t>
  </si>
  <si>
    <t>UCW-29907</t>
  </si>
  <si>
    <t>UCW-29906</t>
  </si>
  <si>
    <t>UCW-29905</t>
  </si>
  <si>
    <t>UCW-29903</t>
  </si>
  <si>
    <t>UCW-29889</t>
  </si>
  <si>
    <t>UCW-29879</t>
  </si>
  <si>
    <t>UCW-29871</t>
  </si>
  <si>
    <t>UCW-29827</t>
  </si>
  <si>
    <t>UCW-29818</t>
  </si>
  <si>
    <t>UCW-29814</t>
  </si>
  <si>
    <t>UCW-29811</t>
  </si>
  <si>
    <t>UCW-29785</t>
  </si>
  <si>
    <t>UCW-29765</t>
  </si>
  <si>
    <t>UCW-29757</t>
  </si>
  <si>
    <t>UCW-29753</t>
  </si>
  <si>
    <t>UCW-29752</t>
  </si>
  <si>
    <t>UCW-29751</t>
  </si>
  <si>
    <t>UCW-29740</t>
  </si>
  <si>
    <t>UCW-29739</t>
  </si>
  <si>
    <t>UCW-29738</t>
  </si>
  <si>
    <t>UCW-29735</t>
  </si>
  <si>
    <t>UCW-29734</t>
  </si>
  <si>
    <t>UCW-29733</t>
  </si>
  <si>
    <t>UCW-29732</t>
  </si>
  <si>
    <t>UCW-29731</t>
  </si>
  <si>
    <t>UCW-29729</t>
  </si>
  <si>
    <t>UCW-29728</t>
  </si>
  <si>
    <t>UCW-29727</t>
  </si>
  <si>
    <t>UCW-29726</t>
  </si>
  <si>
    <t>UCW-29724</t>
  </si>
  <si>
    <t>UCW-29723</t>
  </si>
  <si>
    <t>UCW-29722</t>
  </si>
  <si>
    <t>UCW-29715</t>
  </si>
  <si>
    <t>UCW-29707</t>
  </si>
  <si>
    <t>UCW-29700</t>
  </si>
  <si>
    <t>UCW-29692</t>
  </si>
  <si>
    <t>UCW-29689</t>
  </si>
  <si>
    <t>UCW-29688</t>
  </si>
  <si>
    <t>UCW-29686</t>
  </si>
  <si>
    <t>UCW-29684</t>
  </si>
  <si>
    <t>UCW-29680</t>
  </si>
  <si>
    <t>UCW-29679</t>
  </si>
  <si>
    <t>UCW-29673</t>
  </si>
  <si>
    <t>UCW-29669</t>
  </si>
  <si>
    <t>UCW-29667</t>
  </si>
  <si>
    <t>UCW-29665</t>
  </si>
  <si>
    <t>UCW-29653</t>
  </si>
  <si>
    <t>UCW-29650</t>
  </si>
  <si>
    <t>UCW-29636</t>
  </si>
  <si>
    <t>UCW-29634</t>
  </si>
  <si>
    <t>UCW-29619</t>
  </si>
  <si>
    <t>UCW-29603</t>
  </si>
  <si>
    <t>UCW-29574</t>
  </si>
  <si>
    <t>UCW-29573</t>
  </si>
  <si>
    <t>UCW-29570</t>
  </si>
  <si>
    <t>UCW-29563</t>
  </si>
  <si>
    <t>UCW-29536</t>
  </si>
  <si>
    <t>UCW-29523</t>
  </si>
  <si>
    <t>UCW-29511</t>
  </si>
  <si>
    <t>UCW-29506</t>
  </si>
  <si>
    <t>UCW-29505</t>
  </si>
  <si>
    <t>UCW-29502</t>
  </si>
  <si>
    <t>UCW-29501</t>
  </si>
  <si>
    <t>UCW-29499</t>
  </si>
  <si>
    <t>UCW-29498</t>
  </si>
  <si>
    <t>UCW-29494</t>
  </si>
  <si>
    <t>UCW-29493</t>
  </si>
  <si>
    <t>UCW-29490</t>
  </si>
  <si>
    <t>UCW-29489</t>
  </si>
  <si>
    <t>UCW-29487</t>
  </si>
  <si>
    <t>UCW-29482</t>
  </si>
  <si>
    <t>UCW-29481</t>
  </si>
  <si>
    <t>UCW-29471</t>
  </si>
  <si>
    <t>UCW-29465</t>
  </si>
  <si>
    <t>UCW-29464</t>
  </si>
  <si>
    <t>UCW-29462</t>
  </si>
  <si>
    <t>UCW-29461</t>
  </si>
  <si>
    <t>UCW-29453</t>
  </si>
  <si>
    <t>UCW-29447</t>
  </si>
  <si>
    <t>UCW-29446</t>
  </si>
  <si>
    <t>UCW-29438</t>
  </si>
  <si>
    <t>UCW-29429</t>
  </si>
  <si>
    <t>UCW-29427</t>
  </si>
  <si>
    <t>UCW-29426</t>
  </si>
  <si>
    <t>UCW-29425</t>
  </si>
  <si>
    <t>UCW-29422</t>
  </si>
  <si>
    <t>UCW-29421</t>
  </si>
  <si>
    <t>UCW-29419</t>
  </si>
  <si>
    <t>UCW-29418</t>
  </si>
  <si>
    <t>UCW-29417</t>
  </si>
  <si>
    <t>UCW-29413</t>
  </si>
  <si>
    <t>UCW-29412</t>
  </si>
  <si>
    <t>UCW-29411</t>
  </si>
  <si>
    <t>UCW-29406</t>
  </si>
  <si>
    <t>UCW-29398</t>
  </si>
  <si>
    <t>UCW-29390</t>
  </si>
  <si>
    <t>UCW-29389</t>
  </si>
  <si>
    <t>UCW-29388</t>
  </si>
  <si>
    <t>UCW-29382</t>
  </si>
  <si>
    <t>UCW-29376</t>
  </si>
  <si>
    <t>UCW-29369</t>
  </si>
  <si>
    <t>UCW-29367</t>
  </si>
  <si>
    <t>UCW-29358</t>
  </si>
  <si>
    <t>UCW-29349</t>
  </si>
  <si>
    <t>UCW-29348</t>
  </si>
  <si>
    <t>UCW-29345</t>
  </si>
  <si>
    <t>UCW-29338</t>
  </si>
  <si>
    <t>UCW-29337</t>
  </si>
  <si>
    <t>UCW-29324</t>
  </si>
  <si>
    <t>UCW-29320</t>
  </si>
  <si>
    <t>UCW-29315</t>
  </si>
  <si>
    <t>UCW-29312</t>
  </si>
  <si>
    <t>UCW-29307</t>
  </si>
  <si>
    <t>UCW-29305</t>
  </si>
  <si>
    <t>UCW-29302</t>
  </si>
  <si>
    <t>UCW-29299</t>
  </si>
  <si>
    <t>UCW-29282</t>
  </si>
  <si>
    <t>UCW-29278</t>
  </si>
  <si>
    <t>UCW-29277</t>
  </si>
  <si>
    <t>UCW-29273</t>
  </si>
  <si>
    <t>UCW-29272</t>
  </si>
  <si>
    <t>UCW-29271</t>
  </si>
  <si>
    <t>UCW-29260</t>
  </si>
  <si>
    <t>UCW-29256</t>
  </si>
  <si>
    <t>UCW-29246</t>
  </si>
  <si>
    <t>UCW-29242</t>
  </si>
  <si>
    <t>UCW-29237</t>
  </si>
  <si>
    <t>UCW-29236</t>
  </si>
  <si>
    <t>UCW-28695</t>
  </si>
  <si>
    <t>Ad-hoc</t>
  </si>
  <si>
    <t>Total Tickets</t>
  </si>
  <si>
    <t>TAT (Days)</t>
  </si>
  <si>
    <t>Overall Avg TAT</t>
  </si>
  <si>
    <t>E2E Tickets</t>
  </si>
  <si>
    <t>UCW-31849</t>
  </si>
  <si>
    <t>E2E - Monkstory - FTW - 21st May - 36 SKUs</t>
  </si>
  <si>
    <t>[^Status of UCW-31756.xlsx]
[^Summary.zip]
We have Updated the images and also attached the summary file. Once the images are successfully reflected, we will let you know
Your request is important to us, and we will continue to keep you updated throughout the ticket journey.
{adf:display=block}
{"type":"table","attrs":{"isNumberColumnEnabled":false,"layout":"center","localId":"485fd1de-9099-46f3-8f94-373d67d2c991"},"content":[{"type":"tableRow","content":[{"type":"tableCell","attrs":{},"content":[{"type":"paragraph","content":[{"type":"text","text":"Ticket ID"}]}]},{"type":"tableCell","attrs":{"colspan":2},"content":[{"type":"paragraph","content":[{"type":"text","text":"UCW-31756"}]}]}]},{"type":"tableRow","content":[{"type":"tableCell","attrs":{},"content":[{"type":"paragraph","content":[{"type":"text","text":"Brand Name"}]}]},{"type":"tableCell","attrs":{"colspan":2},"content":[{"type":"paragraph","content":[{"type":"text","text":"Aurelia"}]}]}]},{"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12"}]}]},{"type":"tableCell","attrs":{},"content":[{"type":"paragraph","content":[{"type":"text","text":"2"}]}]}]},{"type":"tableRow","content":[{"type":"tableCell","attrs":{},"content":[{"type":"paragraph","content":[{"type":"text","text":"Uploaded"}]}]},{"type":"tableCell","attrs":{},"content":[{"type":"paragraph","content":[{"type":"text","text":"12"}]}]},{"type":"tableCell","attrs":{},"content":[{"type":"paragraph","content":[{"type":"text","text":"2"}]}]}]}]}
{adf};05/25/2026 &lt;Ticket has been successfully uploaded in our system. Option 2  Sku 12&gt; &lt;Rupa Modak&gt;;!Screenshot 2026-05-26 142429.png|width=534,alt="Screenshot 2026-05-26 142429.png"!
!Screenshot 2026-05-26 141632.png|width=534,alt="Screenshot 2026-05-26 141632.png"!
!Screenshot 2026-05-26 141616.png|width=534,alt="Screenshot 2026-05-26 141616.png"!
!Screenshot 2026-05-26 142416.png|width=534,alt="Screenshot 2026-05-26 142416.png"!
[^Status of UCW-31756 (bb02962d-4bac-4d7c-ad67-b9c87d9494c1).xlsx]
The images have been successfully reflected. Please find the attached screenshots for your reference. As of now, we are closing the ticket. If there are any further concerns, please let us know. </t>
  </si>
  <si>
    <t>Date :26/05/2026 &lt;Pre Processing query to Brand &lt;New EAN confirmation Needed&gt;&gt; &lt;Anjalita&gt;;As discussed with SPOC, new EANs were already listed, sharing the LIDs for reference and closing the batch.</t>
  </si>
  <si>
    <t>TOTAL</t>
  </si>
  <si>
    <t>Month</t>
  </si>
  <si>
    <t>E2E Options</t>
  </si>
  <si>
    <t>Ad-Hoc Tickets</t>
  </si>
  <si>
    <t>Ad-Hoc SKUs</t>
  </si>
  <si>
    <t>Brand to Resolve</t>
  </si>
  <si>
    <t>[^Status of UCW-31244 (1169666e-d470-4510-9597-e45a65e223bb).xlsx]
[^Summary.zip]
The Sell Now process has been completed and also shared the LID. However, 3 SKUs are facing net quantity issues. Once the issue is resolved, we will proceed with the Sell Now process for those 3 SKUs.
Please find the attached summary sheet for your reference .For now, we are closing this ticket. If any further assistance is required, please feel free to reach out to us anytime.;[^1Status of UCW-31244.xlsx]
Out of 11, 5 Listing IDs are listed in the Non-Product Listed dump of seller codes 128174, and the remaining 6 Listing IDs could not be found in the primary seller account dumps of 128174 and 126948. Sell Now tasks are performed only for listed products.
We performed Sell Now for the 5 Listing IDs that were available in the Non-Product Listed dump.
The remaining 6 Listing IDs are not available in any dump. Therefore, we request you to please provide the details so that we can proceed further.
{adf:display=block}
{"type":"table","attrs":{"isNumberColumnEnabled":false,"layout":"center","localId":"484395f0-0ec2-43f8-8c62-c7243e2386f8"},"content":[{"type":"tableRow","content":[{"type":"tableCell","attrs":{},"content":[{"type":"paragraph","content":[{"type":"text","text":"Ticket ID"}]}]},{"type":"tableCell","attrs":{"colspan":2},"content":[{"type":"paragraph","content":[{"type":"text","text":"UCW-UCW-31244"}]}]}]},{"type":"tableRow","content":[{"type":"tableCell","attrs":{},"content":[{"type":"paragraph","content":[{"type":"text","text":"Brand Name"}]}]},{"type":"tableCell","attrs":{"colspan":2},"content":[{"type":"paragraph","content":[{"type":"text","text":"Skechers"}]}]}]},{"type":"tableRow","content":[{"type":"tableCell","attrs":{},"content":[{"type":"paragraph","content":[{"type":"text","text":"Platform"}]}]},{"type":"tableCell","attrs":{"colspan":2},"content":[{"type":"paragraph","content":[{"type":"text","text":"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11"}]}]},{"type":"tableCell","attrs":{},"content":[{"type":"paragraph","content":[{"type":"text","text":" "}]}]}]},{"type":"tableRow","content":[{"type":"tableCell","attrs":{},"content":[{"type":"paragraph","content":[{"type":"text","text":"Uploaded"}]}]},{"type":"tableCell","attrs":{},"content":[{"type":"paragraph","content":[{"type":"text","text":"5"}]}]},{"type":"tableCell","attrs":{},"content":[{"type":"paragraph","content":[{"type":"text","text":" "}]}]}]},{"type":"tableRow","content":[{"type":"tableCell","attrs":{},"content":[{"type":"paragraph","content":[{"type":"text","text":"Not available in any dump"}]}]},{"type":"tableCell","attrs":{},"content":[{"type":"paragraph","content":[{"type":"text","text":"6"}]}]},{"type":"tableCell","attrs":{},"content":[{"type":"paragraph","content":[{"type":"text","text":" "}]}]}]}]}
{adf}</t>
  </si>
  <si>
    <t>We would like to inform you that your ticket has been successfully uploaded in our system.
Please find the attached summary files and post-upload file for your reference. We will share a further update once the listing IDs are generated.[^MP &amp; LUX Summary.zip] [^UCW-31227 - Dual Listing Post Upload Status .xlsx] ;[^UCW-31227.xlsx]
Please find attached the sheet, where 1 option has been listed.
Kindly update the price and inventory, and share the summary once completed.
{adf:display=block}
{"type":"table","attrs":{"isNumberColumnEnabled":false,"layout":"center","localId":"fa53a288-7d25-4b18-bfdf-e9d403bb22f6"},"content":[{"type":"tableRow","content":[{"type":"tableCell","attrs":{"background":"#44b3e1"},"content":[{"type":"paragraph","content":[{"type":"text","text":"Ticket ID","marks":[{"type":"strong"}]}]}]},{"type":"tableCell","attrs":{"colspan":4,"background":"#44b3e1"},"content":[{"type":"paragraph","content":[{"type":"text","text":"UCW-31227","marks":[{"type":"strong"}]}]}]}]},{"type":"tableRow","content":[{"type":"tableCell","attrs":{"background":"#44b3e1"},"content":[{"type":"paragraph","content":[{"type":"text","text":"Brand Name","marks":[{"type":"strong"}]}]}]},{"type":"tableCell","attrs":{"colspan":4,"background":"#44b3e1"},"content":[{"type":"paragraph","content":[{"type":"text","text":"Skechers","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type":"tableCell","attrs":{"background":"white"},"content":[{"type":"paragraph","content":[{"type":"text","text":"1"}]}]},{"type":"tableCell","attrs":{"background":"white"},"content":[{"type":"paragraph","content":[{"type":"text","text":"7"}]}]},{"type":"tableCell","attrs":{"background":"white"},"content":[{"type":"paragraph","content":[{"type":"text","text":"1"}]}]}]},{"type":"tableRow","content":[{"type":"tableCell","attrs":{"background":"white"},"content":[{"type":"paragraph","content":[{"type":"text","text":"Uploaded"}]}]},{"type":"tableCell","attrs":{"background":"white"},"content":[{"type":"paragraph","content":[{"type":"text","text":"7"}]}]},{"type":"tableCell","attrs":{"background":"white"},"content":[{"type":"paragraph","content":[{"type":"text","text":"1"}]}]},{"type":"tableCell","attrs":{"background":"white"},"content":[{"type":"paragraph","content":[{"type":"text","text":"7"}]}]},{"type":"tableCell","attrs":{"background":"white"},"content":[{"type":"paragraph","content":[{"type":"text","text":"1"}]}]}]},{"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type":"tableCell","attrs":{"background":"white"},"content":[{"type":"paragraph","content":[{"type":"text","text":"1"}]}]},{"type":"tableCell","attrs":{"background":"white"},"content":[{"type":"paragraph","content":[{"type":"text","text":"7"}]}]},{"type":"tableCell","attrs":{"background":"white"},"content":[{"type":"paragraph","content":[{"type":"text","text":"1"}]}]}]},{"type":"tableRow","content":[{"type":"tableCell","attrs":{"background":"white"},"content":[{"type":"paragraph","content":[{"type":"text","text":"LIDs 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t>
  </si>
  <si>
    <t>PFA the Post Upload Sheet &amp; Summary.
[^Post Upload Status_UCW-31218.xlsx]
[^Summary.zip]
;[^UCW-31218.xlsx]
Please find attached the sheet, where 35 options of Women's Apparel have been listed.
Kindly update the price and inventory, and share the summary once completed.
{adf:display=block}
{"type":"table","attrs":{"isNumberColumnEnabled":false,"layout":"center","localId":"bcc69787-5bab-44b1-b012-193320ebba8f"},"content":[{"type":"tableRow","content":[{"type":"tableCell","attrs":{"background":"#44b3e1"},"content":[{"type":"paragraph","content":[{"type":"text","text":"Ticket ID","marks":[{"type":"strong"}]}]}]},{"type":"tableCell","attrs":{"colspan":2,"background":"#44b3e1"},"content":[{"type":"paragraph","content":[{"type":"text","text":"UCW-31218","marks":[{"type":"strong"}]}]}]}]},{"type":"tableRow","content":[{"type":"tableCell","attrs":{"background":"#44b3e1"},"content":[{"type":"paragraph","content":[{"type":"text","text":"Brand Name","marks":[{"type":"strong"}]}]}]},{"type":"tableCell","attrs":{"colspan":2,"background":"#44b3e1"},"content":[{"type":"paragraph","content":[{"type":"text","text":"Soc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70"}]}]},{"type":"tableCell","attrs":{},"content":[{"type":"paragraph","content":[{"type":"text","text":"35"}]}]}]},{"type":"tableRow","content":[{"type":"tableCell","attrs":{"background":"white"},"content":[{"type":"paragraph","content":[{"type":"text","text":"Uploaded"}]}]},{"type":"tableCell","attrs":{},"content":[{"type":"paragraph","content":[{"type":"text","text":"70"}]}]},{"type":"tableCell","attrs":{},"content":[{"type":"paragraph","content":[{"type":"text","text":"35"}]}]}]},{"type":"tableRow","content":[{"type":"tableCell","attrs":{"background":"white"},"content":[{"type":"paragraph","content":[{"type":"text","text":"LIDs Shared"}]}]},{"type":"tableCell","attrs":{},"content":[{"type":"paragraph","content":[{"type":"text","text":"70"}]}]},{"type":"tableCell","attrs":{},"content":[{"type":"paragraph","content":[{"type":"text","text":"35"}]}]}]},{"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</si>
  <si>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report.[^UCW-31203-Post Upload Status_V.2 (1).xlsx] [^Summary.zip] ;[^UCW-31203.xlsx]
Please find attached the sheet, where 111 options of Footwear have been listed.
Kindly update the price and inventory, and share the summary once completed.
{adf:display=block}
{"type":"table","attrs":{"isNumberColumnEnabled":false,"layout":"center","localId":"3a62f433-8988-4726-8913-98226545894a"},"content":[{"type":"tableRow","content":[{"type":"tableCell","attrs":{"background":"#44b3e1"},"content":[{"type":"paragraph","content":[{"type":"text","text":"Ticket ID","marks":[{"type":"strong"}]}]}]},{"type":"tableCell","attrs":{"colspan":2,"background":"#44b3e1"},"content":[{"type":"paragraph","content":[{"type":"text","text":"UCW-31203","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112"}]}]},{"type":"tableCell","attrs":{"background":"white"},"content":[{"type":"paragraph","content":[{"type":"text","text":"7"}]}]}]},{"type":"tableRow","content":[{"type":"tableCell","attrs":{"background":"white"},"content":[{"type":"paragraph","content":[{"type":"text","text":"Uploaded"}]}]},{"type":"tableCell","attrs":{"background":"white"},"content":[{"type":"paragraph","content":[{"type":"text","text":"111"}]}]},{"type":"tableCell","attrs":{"background":"white"},"content":[{"type":"paragraph","content":[{"type":"text","text":"7"}]}]}]},{"type":"tableRow","content":[{"type":"tableCell","attrs":{"background":"white"},"content":[{"type":"paragraph","content":[{"type":"text","text":"SKUs Not Uploaded- Duplicate SKU"}]}]},{"type":"tableCell","attrs":{"background":"white"},"content":[{"type":"paragraph","content":[{"type":"text","text":"1"}]}]},{"type":"tableCell","attrs":{"background":"white"},"content":[{"type":"paragraph","content":[{"type":"text","text":"0"}]}]}]},{"type":"tableRow","content":[{"type":"tableCell","attrs":{"background":"white"},"content":[{"type":"paragraph","content":[{"type":"text","text":"LIDs Shared"}]}]},{"type":"tableCell","attrs":{"background":"white"},"content":[{"type":"paragraph","content":[{"type":"text","text":"111"}]}]},{"type":"tableCell","attrs":{"background":"white"},"content":[{"type":"paragraph","content":[{"type":"text","text":"7"}]}]}]},{"type":"tableRow","content":[{"type":"tableCell","attrs":{"background":"white"},"content":[{"type":"paragraph","content":[{"type":"text","text":"LIDs Stuck in the System"}]}]},{"type":"tableCell","attrs":{"background":"white"},"content":[{"type":"paragraph","content":[{"type":"text","text":"0"}]}]},{"type":"tableCell","attrs":{"background":"white"},"content":[{"type":"paragraph","content":[{"type":"text","text":"0"}]}]}]}]}
{adf}</t>
  </si>
  <si>
    <t>PFA the Summary &amp; Post-uploaded sheet[^SUmmary.zip] [^UCW-31195 Post Upload Status_V.2 (1).xlsx] ;[^UCW-31195.xlsx]
Please find attached the sheet, where 138 options of Jewellers have been listed.
Kindly update the price and inventory, and share the summary once completed.
{adf:display=block}
{"type":"table","attrs":{"isNumberColumnEnabled":false,"layout":"center","localId":"c2bef2f2-6c1c-44ae-900c-36f7b9887406"},"content":[{"type":"tableRow","content":[{"type":"tableCell","attrs":{"background":"#44b3e1"},"content":[{"type":"paragraph","content":[{"type":"text","text":"Ticket ID","marks":[{"type":"strong"}]}]}]},{"type":"tableCell","attrs":{"colspan":2,"background":"#44b3e1"},"content":[{"type":"paragraph","content":[{"type":"text","text":"UCW-31195","marks":[{"type":"strong"}]}]}]}]},{"type":"tableRow","content":[{"type":"tableCell","attrs":{"background":"#44b3e1"},"content":[{"type":"paragraph","content":[{"type":"text","text":"Brand Name","marks":[{"type":"strong"}]}]}]},{"type":"tableCell","attrs":{"colspan":2,"background":"#44b3e1"},"content":[{"type":"paragraph","content":[{"type":"text","text":"Shaya","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138"}]}]},{"type":"tableCell","attrs":{"background":"white"},"content":[{"type":"paragraph","content":[{"type":"text","text":"138"}]}]}]},{"type":"tableRow","content":[{"type":"tableCell","attrs":{"background":"white"},"content":[{"type":"paragraph","content":[{"type":"text","text":"Uploaded"}]}]},{"type":"tableCell","attrs":{"background":"white"},"content":[{"type":"paragraph","content":[{"type":"text","text":"138"}]}]},{"type":"tableCell","attrs":{"background":"white"},"content":[{"type":"paragraph","content":[{"type":"text","text":"138"}]}]}]},{"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138"}]}]},{"type":"tableCell","attrs":{"background":"white"},"content":[{"type":"paragraph","content":[{"type":"text","text":"138"}]}]}]},{"type":"tableRow","content":[{"type":"tableCell","attrs":{"background":"white"},"content":[{"type":"paragraph","content":[{"type":"text","text":"LIDs Stuck in the System"}]}]},{"type":"tableCell","attrs":{"background":"white"},"content":[{"type":"paragraph","content":[{"type":"text","text":"0"}]}]},{"type":"tableCell","attrs":{"background":"white"},"content":[{"type":"paragraph","content":[{"type":"text","text":"0"}]}]}]}]}
{adf}</t>
  </si>
  <si>
    <t>PFA the Summary &amp; Post-Uploaded sheet[^UCW-31193 Post Upload Status_V.2 (1).xlsx] [^Summary.zip] ;[^UCW-31193.xlsx]
Please find attached the sheet, where 258 options of Jewellers have been listed.
Kindly update the price and inventory, and share the summary once completed.
{adf:display=block}
{"type":"table","attrs":{"isNumberColumnEnabled":false,"layout":"center","localId":"b1e91093-ca5e-4ccd-8ee6-6435c06aefab"},"content":[{"type":"tableRow","content":[{"type":"tableCell","attrs":{"background":"#44b3e1"},"content":[{"type":"paragraph","content":[{"type":"text","text":"Ticket ID","marks":[{"type":"strong"}]}]}]},{"type":"tableCell","attrs":{"colspan":2,"background":"#44b3e1"},"content":[{"type":"paragraph","content":[{"type":"text","text":"UCW-31193","marks":[{"type":"strong"}]}]}]}]},{"type":"tableRow","content":[{"type":"tableCell","attrs":{"background":"#44b3e1"},"content":[{"type":"paragraph","content":[{"type":"text","text":"Brand Name","marks":[{"type":"strong"}]}]}]},{"type":"tableCell","attrs":{"colspan":2,"background":"#44b3e1"},"content":[{"type":"paragraph","content":[{"type":"text","text":"Waman Hari Pethe Jeweller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258"}]}]},{"type":"tableCell","attrs":{"background":"white"},"content":[{"type":"paragraph","content":[{"type":"text","text":"258"}]}]}]},{"type":"tableRow","content":[{"type":"tableCell","attrs":{"background":"white"},"content":[{"type":"paragraph","content":[{"type":"text","text":"Uploaded"}]}]},{"type":"tableCell","attrs":{"background":"white"},"content":[{"type":"paragraph","content":[{"type":"text","text":"258"}]}]},{"type":"tableCell","attrs":{"background":"white"},"content":[{"type":"paragraph","content":[{"type":"text","text":"258"}]}]}]},{"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258"}]}]},{"type":"tableCell","attrs":{"background":"white"},"content":[{"type":"paragraph","content":[{"type":"text","text":"258"}]}]}]},{"type":"tableRow","content":[{"type":"tableCell","attrs":{"background":"white"},"content":[{"type":"paragraph","content":[{"type":"text","text":"LIDs Stuck in the System"}]}]},{"type":"tableCell","attrs":{"background":"white"},"content":[{"type":"paragraph","content":[{"type":"text","text":"0"}]}]},{"type":"tableCell","attrs":{"background":"white"},"content":[{"type":"paragraph","content":[{"type":"text","text":"0"}]}]}]}]}
{adf}</t>
  </si>
  <si>
    <t>PFA the Summary &amp; Post-Uploaded sheet[^Summary.zip] [^UCW-31190 Post Upload Status_V.2 (1).xlsx] ;[^UCW-31190.xlsx]
Please find attached the sheet, where 21 options of Jewellers have been listed.
Kindly update the price and inventory, and share the summary once completed.
{adf:display=block}
{"type":"table","attrs":{"isNumberColumnEnabled":false,"layout":"center","localId":"c46c92b6-c0e0-4c49-8db4-107338a80a9b"},"content":[{"type":"tableRow","content":[{"type":"tableCell","attrs":{"background":"#44b3e1"},"content":[{"type":"paragraph","content":[{"type":"text","text":"Ticket ID","marks":[{"type":"strong"}]}]}]},{"type":"tableCell","attrs":{"colspan":2,"background":"#44b3e1"},"content":[{"type":"paragraph","content":[{"type":"text","text":"UCW-31190","marks":[{"type":"strong"}]}]}]}]},{"type":"tableRow","content":[{"type":"tableCell","attrs":{"background":"#44b3e1"},"content":[{"type":"paragraph","content":[{"type":"text","text":"Brand Name","marks":[{"type":"strong"}]}]}]},{"type":"tableCell","attrs":{"colspan":2,"background":"#44b3e1"},"content":[{"type":"paragraph","content":[{"type":"text","text":"Waman Hari Pethe Jeweller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21"}]}]},{"type":"tableCell","attrs":{"background":"white"},"content":[{"type":"paragraph","content":[{"type":"text","text":"21"}]}]}]},{"type":"tableRow","content":[{"type":"tableCell","attrs":{"background":"white"},"content":[{"type":"paragraph","content":[{"type":"text","text":"Uploaded"}]}]},{"type":"tableCell","attrs":{"background":"white"},"content":[{"type":"paragraph","content":[{"type":"text","text":"21"}]}]},{"type":"tableCell","attrs":{"background":"white"},"content":[{"type":"paragraph","content":[{"type":"text","text":"21"}]}]}]},{"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21"}]}]},{"type":"tableCell","attrs":{"background":"white"},"content":[{"type":"paragraph","content":[{"type":"text","text":"21"}]}]}]},{"type":"tableRow","content":[{"type":"tableCell","attrs":{"background":"white"},"content":[{"type":"paragraph","content":[{"type":"text","text":"LIDs Stuck in the System"}]}]},{"type":"tableCell","attrs":{"background":"white"},"content":[{"type":"paragraph","content":[{"type":"text","text":"0"}]}]},{"type":"tableCell","attrs":{"background":"white"},"content":[{"type":"paragraph","content":[{"type":"text","text":"0"}]}]}]}]}
{adf}</t>
  </si>
  <si>
    <t>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journey.[^Summary.zip] [^Post Upload Status_V.2 (1).xlsx] ;Retrigger Done.
[^128418_SKUEDITRETRIGGER_Rosso_Brunello_Leathers_Pvt_Ltd(128418)_Shoe_Slip-on(MPH1311100102)_20260522_113019_457_summary.csv]
;[^Post Upload Status_V.2 (1) (08b4b1fc-b3a8-428a-a27a-a057d1bf81f8).xlsx]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14f54e88-0ac0-4d12-a72b-999b3c293354"},"content":[{"type":"tableRow","content":[{"type":"tableCell","attrs":{"background":"#44b3e1"},"content":[{"type":"paragraph","content":[{"type":"text","text":"Ticket ID","marks":[{"type":"strong"}]}]}]},{"type":"tableCell","attrs":{"colspan":2,"background":"#44b3e1"},"content":[{"type":"paragraph","content":[{"type":"text","text":"UCW-31162","marks":[{"type":"strong"}]}]}]}]},{"type":"tableRow","content":[{"type":"tableCell","attrs":{"background":"#44b3e1"},"content":[{"type":"paragraph","content":[{"type":"text","text":"Brand Name","marks":[{"type":"strong"}]}]}]},{"type":"tableCell","attrs":{"colspan":2,"background":"#44b3e1"},"content":[{"type":"paragraph","content":[{"type":"text","text":"Rosso Brunello","marks":[{"type":"strong"}]}]}]}]},{"type":"tableRow","content":[{"type":"tableCell","attrs":{"background":"#ace5fe"},"content":[{"type":"paragraph","content":[{"type":"text","text":"Platform","marks":[{"type":"strong"}]}]}]},{"type":"tableCell","attrs":{"colspan":2,"background":"#ace5fe"},"content":[{"type":"paragraph","content":[{"type":"text","text":"LUX","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127"}]}]},{"type":"tableCell","attrs":{},"content":[{"type":"paragraph","content":[{"type":"text","text":"15"}]}]}]},{"type":"tableRow","content":[{"type":"tableCell","attrs":{"background":"white"},"content":[{"type":"paragraph","content":[{"type":"text","text":"Uploaded"}]}]},{"type":"tableCell","attrs":{},"content":[{"type":"paragraph","content":[{"type":"text","text":"127"}]}]},{"type":"tableCell","attrs":{},"content":[{"type":"paragraph","content":[{"type":"text","text":"15"}]}]}]},{"type":"tableRow","content":[{"type":"tableCell","attrs":{"background":"white"},"content":[{"type":"paragraph","content":[{"type":"text","text":"Already Listed"}]}]},{"type":"tableCell","attrs":{},"content":[{"type":"paragraph","content":[{"type":"text","text":"-"}]}]},{"type":"tableCell","attrs":{},"content":[{"type":"paragraph","content":[{"type":"text","text":"-"}]}]}]},{"type":"tableRow","content":[{"type":"tableCell","attrs":{"background":"white"},"content":[{"type":"paragraph","content":[{"type":"text","text":"LIDs Shared"}]}]},{"type":"tableCell","attrs":{},"content":[{"type":"paragraph","content":[{"type":"text","text":"127"}]}]},{"type":"tableCell","attrs":{},"content":[{"type":"paragraph","content":[{"type":"text","text":"15"}]}]}]},{"type":"tableRow","content":[{"type":"tableCell","attrs":{"background":"white"},"content":[{"type":"paragraph","content":[{"type":"text","text":"SFA Stage"}]}]},{"type":"tableCell","attrs":{},"content":[{"type":"paragraph","content":[{"type":"text","text":"-"}]}]},{"type":"tableCell","attrs":{},"content":[{"type":"paragraph","content":[{"type":"text","text":"-"}]}]}]}]}
{adf}
With this, we are closing this request from our end.
Thank you for your patience, support, and cooperation throughout the process. Your brand is important to us, and we look forward to assisting you again.</t>
  </si>
  <si>
    <t>Ready to upload. HSN error;[^ProductBulkUpload_129537_Footwear(MPH13)_Men(MPH1311)_Sports(MPH1311103)_Indoor_Court(MPH1311103105)_53589_1778840395655_20260515_034955_798_summary.csv] [^Post Upload Status_V.2 (1).xlsx] 
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journey.;[^UCW-31160.xlsx]
Please find attached the sheet, where 4 options of Footwear have been listed.
Kindly update the price and inventory, and share the summary once completed.
{adf:display=block}
{"type":"table","attrs":{"isNumberColumnEnabled":false,"layout":"center","localId":"7f96e360-4c90-4582-8a0e-a218c2e064e1"},"content":[{"type":"tableRow","content":[{"type":"tableCell","attrs":{"background":"#44b3e1"},"content":[{"type":"paragraph","content":[{"type":"text","text":"Ticket ID","marks":[{"type":"strong"}]}]}]},{"type":"tableCell","attrs":{"colspan":2,"background":"#44b3e1"},"content":[{"type":"paragraph","content":[{"type":"text","text":"UCW-31160","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44"}]}]},{"type":"tableCell","attrs":{"background":"white"},"content":[{"type":"paragraph","content":[{"type":"text","text":"4"}]}]}]},{"type":"tableRow","content":[{"type":"tableCell","attrs":{"background":"white"},"content":[{"type":"paragraph","content":[{"type":"text","text":"Uploaded"}]}]},{"type":"tableCell","attrs":{"background":"white"},"content":[{"type":"paragraph","content":[{"type":"text","text":"44"}]}]},{"type":"tableCell","attrs":{"background":"white"},"content":[{"type":"paragraph","content":[{"type":"text","text":"4"}]}]}]},{"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44"}]}]},{"type":"tableCell","attrs":{"background":"white"},"content":[{"type":"paragraph","content":[{"type":"text","text":"4"}]}]}]},{"type":"tableRow","content":[{"type":"tableCell","attrs":{"background":"white"},"content":[{"type":"paragraph","content":[{"type":"text","text":"LIDs Stuck in the System"}]}]},{"type":"tableCell","attrs":{"background":"white"},"content":[{"type":"paragraph","content":[{"type":"text","text":"0"}]}]},{"type":"tableCell","attrs":{"background":"white"},"content":[{"type":"paragraph","content":[{"type":"text","text":"0"}]}]}]}]}
{adf}</t>
  </si>
  <si>
    <t>We have successfully uploaded this batch. Please find the summary of this batch. and attach Summary zip and Post upload Sheet.[^SUMMARY.zip] [^Post Upload Status_V.2 (1) (1).xlsx] ;[^UCW-31158.xlsx]
Please find attached the sheet, where 14 options of Footwear have been listed.
Kindly update the price and inventory, and share the summary once completed.
{adf:display=block}
{"type":"table","attrs":{"isNumberColumnEnabled":false,"layout":"center","localId":"aeea48f1-3396-4afd-869d-e8a0d9c1e56a"},"content":[{"type":"tableRow","content":[{"type":"tableCell","attrs":{"background":"#44b3e1"},"content":[{"type":"paragraph","content":[{"type":"text","text":"Ticket ID","marks":[{"type":"strong"}]}]}]},{"type":"tableCell","attrs":{"colspan":2,"background":"#44b3e1"},"content":[{"type":"paragraph","content":[{"type":"text","text":"UCW-31158","marks":[{"type":"strong"}]}]}]}]},{"type":"tableRow","content":[{"type":"tableCell","attrs":{"background":"#44b3e1"},"content":[{"type":"paragraph","content":[{"type":"text","text":"Brand Name","marks":[{"type":"strong"}]}]}]},{"type":"tableCell","attrs":{"colspan":2,"background":"#44b3e1"},"content":[{"type":"paragraph","content":[{"type":"text","text":"Bacca Bucci","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77"}]}]},{"type":"tableCell","attrs":{},"content":[{"type":"paragraph","content":[{"type":"text","text":"14"}]}]}]},{"type":"tableRow","content":[{"type":"tableCell","attrs":{"background":"white"},"content":[{"type":"paragraph","content":[{"type":"text","text":"Uploaded"}]}]},{"type":"tableCell","attrs":{},"content":[{"type":"paragraph","content":[{"type":"text","text":"77"}]}]},{"type":"tableCell","attrs":{},"content":[{"type":"paragraph","content":[{"type":"text","text":"14"}]}]}]},{"type":"tableRow","content":[{"type":"tableCell","attrs":{"background":"white"},"content":[{"type":"paragraph","content":[{"type":"text","text":"LIDs Shared"}]}]},{"type":"tableCell","attrs":{},"content":[{"type":"paragraph","content":[{"type":"text","text":"77"}]}]},{"type":"tableCell","attrs":{},"content":[{"type":"paragraph","content":[{"type":"text","text":"14"}]}]}]},{"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</si>
  <si>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report.[^Summary.zip] [^UCW-31153 Post Upload Status_V.2 (1).xlsx] ;[^UCW-31153.xlsx]
Please find attached the sheet, where 71 options have been listed.
Kindly update the price and inventory, and share the summary once completed.
{adf:display=block}
{"type":"table","attrs":{"isNumberColumnEnabled":false,"layout":"center","localId":"ce2c027b-41da-4737-9bfe-2fcc9c6ae9ca"},"content":[{"type":"tableRow","content":[{"type":"tableCell","attrs":{"background":"#44b3e1"},"content":[{"type":"paragraph","content":[{"type":"text","text":"Ticket ID","marks":[{"type":"strong"}]}]}]},{"type":"tableCell","attrs":{"colspan":2,"background":"#44b3e1"},"content":[{"type":"paragraph","content":[{"type":"text","text":"UCW-31153","marks":[{"type":"strong"}]}]}]}]},{"type":"tableRow","content":[{"type":"tableCell","attrs":{"background":"#44b3e1"},"content":[{"type":"paragraph","content":[{"type":"text","text":"Brand Name","marks":[{"type":"strong"}]}]}]},{"type":"tableCell","attrs":{"colspan":2,"background":"#44b3e1"},"content":[{"type":"paragraph","content":[{"type":"text","text":"Asian","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359"}]}]},{"type":"tableCell","attrs":{"background":"white"},"content":[{"type":"paragraph","content":[{"type":"text","text":"71"}]}]}]},{"type":"tableRow","content":[{"type":"tableCell","attrs":{"background":"white"},"content":[{"type":"paragraph","content":[{"type":"text","text":"Uploaded"}]}]},{"type":"tableCell","attrs":{"background":"white"},"content":[{"type":"paragraph","content":[{"type":"text","text":"359"}]}]},{"type":"tableCell","attrs":{"background":"white"},"content":[{"type":"paragraph","content":[{"type":"text","text":"71"}]}]}]},{"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359"}]}]},{"type":"tableCell","attrs":{"background":"white"},"content":[{"type":"paragraph","content":[{"type":"text","text":"71"}]}]}]},{"type":"tableRow","content":[{"type":"tableCell","attrs":{"background":"white"},"content":[{"type":"paragraph","content":[{"type":"text","text":"LIDs Stuck in the System"}]}]},{"type":"tableCell","attrs":{"background":"white"},"content":[{"type":"paragraph","content":[{"type":"text","text":"0"}]}]},{"type":"tableCell","attrs":{"background":"white"},"content":[{"type":"paragraph","content":[{"type":"text","text":"0"}]}]}]}]}
{adf}</t>
  </si>
  <si>
    <t>We have successfully uploaded this batch. Please find the attached summary sheet and summary report.[^Summary.zip] [^Post Upload Status_V.2 (1).xlsx] ;[^UCW-31141.xlsx]
Please find attached the sheet, where 73 options have been listed.
Kindly update the price and inventory, and share the summary once completed.
{adf:display=block}
{"type":"table","attrs":{"isNumberColumnEnabled":false,"layout":"center","localId":"a7777e84-d89e-483b-bc5d-86d45b8ebdba"},"content":[{"type":"tableRow","content":[{"type":"tableCell","attrs":{"background":"#44b3e1"},"content":[{"type":"paragraph","content":[{"type":"text","text":"Ticket ID","marks":[{"type":"strong"}]}]}]},{"type":"tableCell","attrs":{"colspan":2,"background":"#44b3e1"},"content":[{"type":"paragraph","content":[{"type":"text","text":"UCW-31141","marks":[{"type":"strong"}]}]}]}]},{"type":"tableRow","content":[{"type":"tableCell","attrs":{"background":"#44b3e1"},"content":[{"type":"paragraph","content":[{"type":"text","text":"Brand Name","marks":[{"type":"strong"}]}]}]},{"type":"tableCell","attrs":{"colspan":2,"background":"#44b3e1"},"content":[{"type":"paragraph","content":[{"type":"text","text":"Ga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438"}]}]},{"type":"tableCell","attrs":{"background":"white"},"content":[{"type":"paragraph","content":[{"type":"text","text":"73"}]}]}]},{"type":"tableRow","content":[{"type":"tableCell","attrs":{"background":"white"},"content":[{"type":"paragraph","content":[{"type":"text","text":"Uploaded"}]}]},{"type":"tableCell","attrs":{"background":"white"},"content":[{"type":"paragraph","content":[{"type":"text","text":"438"}]}]},{"type":"tableCell","attrs":{"background":"white"},"content":[{"type":"paragraph","content":[{"type":"text","text":"73"}]}]}]},{"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433"}]}]},{"type":"tableCell","attrs":{"background":"white"},"content":[{"type":"paragraph","content":[{"type":"text","text":"73"}]}]}]},{"type":"tableRow","content":[{"type":"tableCell","attrs":{"background":"white"},"content":[{"type":"paragraph","content":[{"type":"text","text":"LIDs Stuck in the System"}]}]},{"type":"tableCell","attrs":{"background":"white"},"content":[{"type":"paragraph","content":[{"type":"text","text":"5"}]}]},{"type":"tableCell","attrs":{"background":"white"},"content":[{"type":"paragraph","content":[{"type":"text","text":"0"}]}]}]}]}
{adf}
5 SKUs are currently stuck in the system. We are working to resolve the issue and will update you once it is resolved.;Retrigger Done.
[^127366_SKUEDITRETRIGGER__Sneaker(MPH1311101104)_20260522_110620_095_summary.csv]
[^127366_SKUEDITRETRIGGER__Sandal(MPH1311102100)_20260522_110855_236_summary.csv]
[^127366_SKUEDITRETRIGGER__Sandal(MPH1311101100)_20260522_112039_173_summary.csv]
;[^UCW-31141 (84e34044-4ae5-4f1c-b1a1-d33af618ca69).xlsx]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2a2c141-7bcd-42d1-9f9e-353517ea61b8"},"content":[{"type":"tableRow","content":[{"type":"tableCell","attrs":{"background":"#44b3e1"},"content":[{"type":"paragraph","content":[{"type":"text","text":"Ticket ID","marks":[{"type":"strong"}]}]}]},{"type":"tableCell","attrs":{"colspan":2,"background":"#44b3e1"},"content":[{"type":"paragraph","content":[{"type":"text","text":"UCW-31141","marks":[{"type":"strong"}]}]}]}]},{"type":"tableRow","content":[{"type":"tableCell","attrs":{"background":"#44b3e1"},"content":[{"type":"paragraph","content":[{"type":"text","text":"Brand Name","marks":[{"type":"strong"}]}]}]},{"type":"tableCell","attrs":{"colspan":2,"background":"#44b3e1"},"content":[{"type":"paragraph","content":[{"type":"text","text":"Ga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438"}]}]},{"type":"tableCell","attrs":{"background":"white"},"content":[{"type":"paragraph","content":[{"type":"text","text":"73"}]}]}]},{"type":"tableRow","content":[{"type":"tableCell","attrs":{"background":"white"},"content":[{"type":"paragraph","content":[{"type":"text","text":"Uploaded"}]}]},{"type":"tableCell","attrs":{"background":"white"},"content":[{"type":"paragraph","content":[{"type":"text","text":"438"}]}]},{"type":"tableCell","attrs":{"background":"white"},"content":[{"type":"paragraph","content":[{"type":"text","text":"73"}]}]}]},{"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438"}]}]},{"type":"tableCell","attrs":{"background":"white"},"content":[{"type":"paragraph","content":[{"type":"text","text":"73"}]}]}]},{"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t>
  </si>
  <si>
    <t>[^ProductBulkUpload_125928_Beauty__Grooming(MPH22)_Fragrances_and_Perfumes(MPH2211)_Fragrances(MPH2211100)_Perfumes(MPH2211100104)_33887_1778927510047_20260516_040855_537_summary.csv]
[^UCW-31128_Post Upload Status.xlsx]
We have successfully uploaded this batch. Please find the attached summary sheet and summary report.;[^UCW-31128.xlsx]
Please find attached the sheet, where 13 options have been listed.
Kindly update the price and inventory, and share the summary once completed.
{adf:display=block}
{"type":"table","attrs":{"isNumberColumnEnabled":false,"layout":"center","localId":"931736d9-d76b-43d6-9fda-adb54e50560e"},"content":[{"type":"tableRow","content":[{"type":"tableCell","attrs":{"background":"#44b3e1"},"content":[{"type":"paragraph","content":[{"type":"text","text":"Ticket ID","marks":[{"type":"strong"}]}]}]},{"type":"tableCell","attrs":{"colspan":2,"background":"#44b3e1"},"content":[{"type":"paragraph","content":[{"type":"text","text":"UCW-31128","marks":[{"type":"strong"}]}]}]}]},{"type":"tableRow","content":[{"type":"tableCell","attrs":{"background":"#44b3e1"},"content":[{"type":"paragraph","content":[{"type":"text","text":"Brand Name","marks":[{"type":"strong"}]}]}]},{"type":"tableCell","attrs":{"colspan":2,"background":"#44b3e1"},"content":[{"type":"paragraph","content":[{"type":"text","text":"Skin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type":"tableCell","attrs":{},"content":[{"type":"paragraph","content":[{"type":"text","text":"16"}]}]}]},{"type":"tableRow","content":[{"type":"tableCell","attrs":{"background":"white"},"content":[{"type":"paragraph","content":[{"type":"text","text":"Uploaded"}]}]},{"type":"tableCell","attrs":{},"content":[{"type":"paragraph","content":[{"type":"text","text":"13"}]}]},{"type":"tableCell","attrs":{},"content":[{"type":"paragraph","content":[{"type":"text","text":"13"}]}]}]},{"type":"tableRow","content":[{"type":"tableCell","attrs":{"background":"white"},"content":[{"type":"paragraph","content":[{"type":"text","text":"SKUs not uploaded"}]}]},{"type":"tableCell","attrs":{},"content":[{"type":"paragraph","content":[{"type":"text","text":"3"}]}]},{"type":"tableCell","attrs":{},"content":[{"type":"paragraph","content":[{"type":"text","text":"3"}]}]}]},{"type":"tableRow","content":[{"type":"tableCell","attrs":{"background":"white"},"content":[{"type":"paragraph","content":[{"type":"text","text":"LIDs Shared"}]}]},{"type":"tableCell","attrs":{},"content":[{"type":"paragraph","content":[{"type":"text","text":"13"}]}]},{"type":"tableCell","attrs":{},"content":[{"type":"paragraph","content":[{"type":"text","text":"13"}]}]}]},{"type":"tableRow","content":[{"type":"tableCell","attrs":{"background":"white"},"content":[{"type":"paragraph","content":[{"type":"text","text":"LIDs Stuck in the System"}]}]},{"type":"tableCell","attrs":{},"content":[{"type":"paragraph","content":[{"type":"text","text":"0"}]}]},{"type":"tableCell","attrs":{},"content":[{"type":"paragraph","content":[{"type":"text","text":"0"}]}]}]}]}
{adf}</t>
  </si>
  <si>
    <t>[^UCW-31127_Post Upload Status_V.2 (1).xlsx]
[^Summary.zip]
;[^UCW-31127.xlsx]
Please find attached the sheet, where 3 options have been listed.
Kindly update the price and inventory, and share the summary once completed.
{adf:display=block}
{"type":"table","attrs":{"isNumberColumnEnabled":false,"layout":"center","localId":"2505e469-e717-40cf-a3d6-c9e57b0a2353"},"content":[{"type":"tableRow","content":[{"type":"tableCell","attrs":{"background":"#44b3e1"},"content":[{"type":"paragraph","content":[{"type":"text","text":"Ticket ID","marks":[{"type":"strong"}]}]}]},{"type":"tableCell","attrs":{"colspan":2,"background":"#44b3e1"},"content":[{"type":"paragraph","content":[{"type":"text","text":"UCW-31127","marks":[{"type":"strong"}]}]}]}]},{"type":"tableRow","content":[{"type":"tableCell","attrs":{"background":"#44b3e1"},"content":[{"type":"paragraph","content":[{"type":"text","text":"Brand Name","marks":[{"type":"strong"}]}]}]},{"type":"tableCell","attrs":{"colspan":2,"background":"#44b3e1"},"content":[{"type":"paragraph","content":[{"type":"text","text":"Diam Beauty","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LIDs Stuck in the System"}]}]},{"type":"tableCell","attrs":{"background":"white"},"content":[{"type":"paragraph","content":[{"type":"text","text":"0"}]}]},{"type":"tableCell","attrs":{"background":"white"},"content":[{"type":"paragraph","content":[{"type":"text","text":"0"}]}]}]}]}
{adf}</t>
  </si>
  <si>
    <t>[^UCW-3115_Post Upload Status_V.2 (1).xlsx]
[^Summary.zip]
;[^UCW-31115_Post Upload Status.xlsx]
Please find attached the sheet, where 5 options have been listed.
Kindly update the price and inventory, and share the summary once completed.
{color:#ffffff}__{color}
{adf:display=block}
{"type":"table","attrs":{"isNumberColumnEnabled":false,"layout":"center","localId":"ff16fecd-4376-4cd3-9b36-bcf2287507de"},"content":[{"type":"tableRow","content":[{"type":"tableCell","attrs":{"background":"#44b3e1"},"content":[{"type":"paragraph","content":[{"type":"text","text":"Ticket ID","marks":[{"type":"strong"}]}]}]},{"type":"tableCell","attrs":{"colspan":2,"background":"#44b3e1"},"content":[{"type":"paragraph","content":[{"type":"text","text":"UCW-31115","marks":[{"type":"strong"}]}]}]}]},{"type":"tableRow","content":[{"type":"tableCell","attrs":{"background":"#44b3e1"},"content":[{"type":"paragraph","content":[{"type":"text","text":"Brand Name","marks":[{"type":"strong"}]}]}]},{"type":"tableCell","attrs":{"colspan":2,"background":"#44b3e1"},"content":[{"type":"paragraph","content":[{"type":"text","text":"Plum","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17"}]}]},{"type":"tableCell","attrs":{"background":"white"},"content":[{"type":"paragraph","content":[{"type":"text","text":"17"}]}]}]},{"type":"tableRow","content":[{"type":"tableCell","attrs":{"background":"white"},"content":[{"type":"paragraph","content":[{"type":"text","text":"Uploaded"}]}]},{"type":"tableCell","attrs":{"background":"white"},"content":[{"type":"paragraph","content":[{"type":"text","text":"5"}]}]},{"type":"tableCell","attrs":{"background":"white"},"content":[{"type":"paragraph","content":[{"type":"text","text":"5"}]}]}]},{"type":"tableRow","content":[{"type":"tableCell","attrs":{"background":"white"},"content":[{"type":"paragraph","content":[{"type":"text","text":"Already Listed"}]}]},{"type":"tableCell","attrs":{"background":"white"},"content":[{"type":"paragraph","content":[{"type":"text","text":"12"}]}]},{"type":"tableCell","attrs":{"background":"white"},"content":[{"type":"paragraph","content":[{"type":"text","text":"12"}]}]}]},{"type":"tableRow","content":[{"type":"tableCell","attrs":{"background":"white"},"content":[{"type":"paragraph","content":[{"type":"text","text":"LIDs Shared"}]}]},{"type":"tableCell","attrs":{"background":"white"},"content":[{"type":"paragraph","content":[{"type":"text","text":"5"}]}]},{"type":"tableCell","attrs":{"background":"white"},"content":[{"type":"paragraph","content":[{"type":"text","text":"5"}]}]}]},{"type":"tableRow","content":[{"type":"tableCell","attrs":{"background":"white"},"content":[{"type":"paragraph","content":[{"type":"text","text":"LIDs Stuck in the System"}]}]},{"type":"tableCell","attrs":{"background":"white"},"content":[{"type":"paragraph","content":[{"type":"text","text":"0"}]}]},{"type":"tableCell","attrs":{"background":"white"},"content":[{"type":"paragraph","content":[{"type":"text","text":"0"}]}]}]}]}
{adf}</t>
  </si>
  <si>
    <t>{adf:display=block}
{"type":"table","attrs":{"isNumberColumnEnabled":false,"layout":"center","localId":"119952a2-1705-42eb-ae88-23bd51d623cc"},"content":[{"type":"tableRow","content":[{"type":"tableCell","attrs":{},"content":[{"type":"paragraph","content":[{"type":"text","text":"Ticket ID"}]}]},{"type":"tableCell","attrs":{"colspan":2},"content":[{"type":"paragraph","content":[{"type":"text","text":"UCW-31111"}]}]}]},{"type":"tableRow","content":[{"type":"tableCell","attrs":{},"content":[{"type":"paragraph","content":[{"type":"text","text":"Platform"}]}]},{"type":"tableCell","attrs":{"colspan":2},"content":[{"type":"paragraph","content":[{"type":"text","text":"Mall+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33"}]}]},{"type":"tableCell","attrs":{},"content":[{"type":"paragraph","content":[{"type":"text","text":"33"}]}]}]},{"type":"tableRow","content":[{"type":"tableCell","attrs":{},"content":[{"type":"paragraph","content":[{"type":"text","text":"Successfully Retriggered(LID   Shared)"}]}]},{"type":"tableCell","attrs":{},"content":[{"type":"paragraph","content":[{"type":"text","text":"23"}]}]},{"type":"tableCell","attrs":{},"content":[{"type":"paragraph","content":[{"type":"text","text":"23"}]}]}]},{"type":"tableRow","content":[{"type":"tableCell","attrs":{},"content":[{"type":"paragraph","content":[{"type":"text","text":"Already Listed"}]}]},{"type":"tableCell","attrs":{},"content":[{"type":"paragraph","content":[{"type":"text","text":"10"}]}]},{"type":"tableCell","attrs":{},"content":[{"type":"paragraph","content":[{"type":"text","text":"10"}]}]}]}]}
{adf}</t>
  </si>
  <si>
    <t>[^UCW-31081_Post Upload Status_V.2 (1).xlsx]
[^Summary.zip]
;[^UCW-31081.xlsx]
Please find attached the sheet, where 9 options of Beauty &amp; Grooming have been listed.
Kindly update the price and inventory, and share the summary once completed.
{adf:display=block}
{"type":"table","attrs":{"isNumberColumnEnabled":false,"layout":"center","localId":"847d71c2-1de6-4829-a7ec-8534667fda7d"},"content":[{"type":"tableRow","content":[{"type":"tableCell","attrs":{"background":"#44b3e1"},"content":[{"type":"paragraph","content":[{"type":"text","text":"Ticket ID","marks":[{"type":"strong"}]}]}]},{"type":"tableCell","attrs":{"colspan":2,"background":"#44b3e1"},"content":[{"type":"paragraph","content":[{"type":"text","text":"UCW-31081","marks":[{"type":"strong"}]}]}]}]},{"type":"tableRow","content":[{"type":"tableCell","attrs":{"background":"#44b3e1"},"content":[{"type":"paragraph","content":[{"type":"text","text":"Brand Name","marks":[{"type":"strong"}]}]}]},{"type":"tableCell","attrs":{"colspan":2,"background":"#44b3e1"},"content":[{"type":"paragraph","content":[{"type":"text","text":"Love Earth","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9"}]}]},{"type":"tableCell","attrs":{"background":"white"},"content":[{"type":"paragraph","content":[{"type":"text","text":"9"}]}]}]},{"type":"tableRow","content":[{"type":"tableCell","attrs":{"background":"white"},"content":[{"type":"paragraph","content":[{"type":"text","text":"Uploaded"}]}]},{"type":"tableCell","attrs":{"background":"white"},"content":[{"type":"paragraph","content":[{"type":"text","text":"9"}]}]},{"type":"tableCell","attrs":{"background":"white"},"content":[{"type":"paragraph","content":[{"type":"text","text":"9"}]}]}]},{"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9"}]}]},{"type":"tableCell","attrs":{"background":"white"},"content":[{"type":"paragraph","content":[{"type":"text","text":"9"}]}]}]},{"type":"tableRow","content":[{"type":"tableCell","attrs":{"background":"white"},"content":[{"type":"paragraph","content":[{"type":"text","text":"LIDs Stuck in the System"}]}]},{"type":"tableCell","attrs":{"background":"white"},"content":[{"type":"paragraph","content":[{"type":"text","text":"0"}]}]},{"type":"tableCell","attrs":{"background":"white"},"content":[{"type":"paragraph","content":[{"type":"text","text":"0"}]}]}]}]}
{adf}</t>
  </si>
  <si>
    <t>We have successfully uploaded this batch. Please find the attached summary sheet and summary report.[^UCW-31080-Post Upload Status_V.2 (1).xlsx] [^Summary.zip] ;[^UCW-31080.xlsx]
Please find attached the sheet, where 5 options of Footwear have been listed.
Kindly update the price and inventory, and share the summary once completed.
{adf:display=block}
{"type":"table","attrs":{"isNumberColumnEnabled":false,"layout":"center","localId":"503416c6-4869-487c-8155-65a33267fd49"},"content":[{"type":"tableRow","content":[{"type":"tableCell","attrs":{"background":"#44b3e1"},"content":[{"type":"paragraph","content":[{"type":"text","text":"Ticket ID","marks":[{"type":"strong"}]}]}]},{"type":"tableCell","attrs":{"colspan":2,"background":"#44b3e1"},"content":[{"type":"paragraph","content":[{"type":"text","text":"UCW-31080","marks":[{"type":"strong"}]}]}]}]},{"type":"tableRow","content":[{"type":"tableCell","attrs":{"background":"#44b3e1"},"content":[{"type":"paragraph","content":[{"type":"text","text":"Brand Name","marks":[{"type":"strong"}]}]}]},{"type":"tableCell","attrs":{"colspan":2,"background":"#44b3e1"},"content":[{"type":"paragraph","content":[{"type":"text","text":"Tiny Bug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148"}]}]},{"type":"tableCell","attrs":{},"content":[{"type":"paragraph","content":[{"type":"text","text":"11"}]}]}]},{"type":"tableRow","content":[{"type":"tableCell","attrs":{"background":"white"},"content":[{"type":"paragraph","content":[{"type":"text","text":"Uploaded"}]}]},{"type":"tableCell","attrs":{},"content":[{"type":"paragraph","content":[{"type":"text","text":"64"}]}]},{"type":"tableCell","attrs":{},"content":[{"type":"paragraph","content":[{"type":"text","text":"5"}]}]}]},{"type":"tableRow","content":[{"type":"tableCell","attrs":{"background":"white"},"content":[{"type":"paragraph","content":[{"type":"text","text":"Already Listed"}]}]},{"type":"tableCell","attrs":{},"content":[{"type":"paragraph","content":[{"type":"text","text":"40"}]}]},{"type":"tableCell","attrs":{},"content":[{"type":"paragraph","content":[{"type":"text","text":"3"}]}]}]},{"type":"tableRow","content":[{"type":"tableCell","attrs":{"background":"white"},"content":[{"type":"paragraph","content":[{"type":"text","text":"SKUs Not Uploaded"}]}]},{"type":"tableCell","attrs":{},"content":[{"type":"paragraph","content":[{"type":"text","text":"44"}]}]},{"type":"tableCell","attrs":{},"content":[{"type":"paragraph","content":[{"type":"text","text":"3"}]}]}]},{"type":"tableRow","content":[{"type":"tableCell","attrs":{"background":"white"},"content":[{"type":"paragraph","content":[{"type":"text","text":"LIDs Shared"}]}]},{"type":"tableCell","attrs":{},"content":[{"type":"paragraph","content":[{"type":"text","text":"64"}]}]},{"type":"tableCell","attrs":{},"content":[{"type":"paragraph","content":[{"type":"text","text":"5"}]}]}]},{"type":"tableRow","content":[{"type":"tableCell","attrs":{"background":"white"},"content":[{"type":"paragraph","content":[{"type":"text","text":"LIDs Stuck in the System"}]}]},{"type":"tableCell","attrs":{},"content":[{"type":"paragraph","content":[{"type":"text","text":"0"}]}]},{"type":"tableCell","attrs":{},"content":[{"type":"paragraph","content":[{"type":"text","text":"0"}]}]}]}]}
{adf}</t>
  </si>
  <si>
    <t>We would like to inform you that your ticket has been successfully uploaded in our system.
Please find the attached summary files and post-upload file for your reference. We will share a further update once the listing IDs are generated.[^Summary.zip] [^UCW-31072 - Post Upload Status .xlsx] ;[^UCW-31072.xlsx]
Please find attached the sheet, where 23 options of Footwear have been listed.
Kindly update the price and inventory, and share the summary once completed.
{adf:display=block}
{"type":"table","attrs":{"isNumberColumnEnabled":false,"layout":"center","localId":"74a4dd47-1718-4d83-9fbc-d04bd8380a7d"},"content":[{"type":"tableRow","content":[{"type":"tableCell","attrs":{"background":"#44b3e1"},"content":[{"type":"paragraph","content":[{"type":"text","text":"Ticket ID","marks":[{"type":"strong"}]}]}]},{"type":"tableCell","attrs":{"colspan":2,"background":"#44b3e1"},"content":[{"type":"paragraph","content":[{"type":"text","text":"UCW-31072","marks":[{"type":"strong"}]}]}]}]},{"type":"tableRow","content":[{"type":"tableCell","attrs":{"background":"#44b3e1"},"content":[{"type":"paragraph","content":[{"type":"text","text":"Brand Name","marks":[{"type":"strong"}]}]}]},{"type":"tableCell","attrs":{"colspan":2,"background":"#44b3e1"},"content":[{"type":"paragraph","content":[{"type":"text","text":"Pantaloon Brand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194"}]}]},{"type":"tableCell","attrs":{},"content":[{"type":"paragraph","content":[{"type":"text","text":"33"}]}]}]},{"type":"tableRow","content":[{"type":"tableCell","attrs":{"background":"white"},"content":[{"type":"paragraph","content":[{"type":"text","text":"Uploaded"}]}]},{"type":"tableCell","attrs":{},"content":[{"type":"paragraph","content":[{"type":"text","text":"134"}]}]},{"type":"tableCell","attrs":{},"content":[{"type":"paragraph","content":[{"type":"text","text":"23"}]}]}]},{"type":"tableRow","content":[{"type":"tableCell","attrs":{"background":"white"},"content":[{"type":"paragraph","content":[{"type":"text","text":"Already Listed"}]}]},{"type":"tableCell","attrs":{},"content":[{"type":"paragraph","content":[{"type":"text","text":"60"}]}]},{"type":"tableCell","attrs":{},"content":[{"type":"paragraph","content":[{"type":"text","text":"10"}]}]}]},{"type":"tableRow","content":[{"type":"tableCell","attrs":{"background":"white"},"content":[{"type":"paragraph","content":[{"type":"text","text":"LIDs Shared"}]}]},{"type":"tableCell","attrs":{},"content":[{"type":"paragraph","content":[{"type":"text","text":"134"}]}]},{"type":"tableCell","attrs":{},"content":[{"type":"paragraph","content":[{"type":"text","text":"23"}]}]}]},{"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</si>
  <si>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report.[^Summary.zip] [^UCW-30163_Post Upload Status_V.2 (1).xlsx] ;[^UCW-31063.xlsx]
Please find attached the sheet, where 22 options have been listed.
Kindly update the price and inventory, and share the summary once completed.
{adf:display=block}
{"type":"table","attrs":{"isNumberColumnEnabled":false,"layout":"center","localId":"b6ebce44-f10a-430d-a604-cba25e8c171b"},"content":[{"type":"tableRow","content":[{"type":"tableCell","attrs":{"background":"#44b3e1"},"content":[{"type":"paragraph","content":[{"type":"text","text":"Ticket ID","marks":[{"type":"strong"}]}]}]},{"type":"tableCell","attrs":{"colspan":2,"background":"#44b3e1"},"content":[{"type":"paragraph","content":[{"type":"text","text":"UCW-31063","marks":[{"type":"strong"}]}]}]}]},{"type":"tableRow","content":[{"type":"tableCell","attrs":{"background":"#44b3e1"},"content":[{"type":"paragraph","content":[{"type":"text","text":"Brand Name","marks":[{"type":"strong"}]}]}]},{"type":"tableCell","attrs":{"colspan":2,"background":"#44b3e1"},"content":[{"type":"paragraph","content":[{"type":"text","text":"Tao Paris, Aria Nic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181"}]}]},{"type":"tableCell","attrs":{},"content":[{"type":"paragraph","content":[{"type":"text","text":"23"}]}]}]},{"type":"tableRow","content":[{"type":"tableCell","attrs":{"background":"white"},"content":[{"type":"paragraph","content":[{"type":"text","text":"Uploaded"}]}]},{"type":"tableCell","attrs":{},"content":[{"type":"paragraph","content":[{"type":"text","text":"173"}]}]},{"type":"tableCell","attrs":{},"content":[{"type":"paragraph","content":[{"type":"text","text":"22"}]}]}]},{"type":"tableRow","content":[{"type":"tableCell","attrs":{"background":"white"},"content":[{"type":"paragraph","content":[{"type":"text","text":"Already Listed"}]}]},{"type":"tableCell","attrs":{},"content":[{"type":"paragraph","content":[{"type":"text","text":"1"}]}]},{"type":"tableCell","attrs":{},"content":[{"type":"paragraph","content":[{"type":"text","text":"1"}]}]}]},{"type":"tableRow","content":[{"type":"tableCell","attrs":{"background":"white"},"content":[{"type":"paragraph","content":[{"type":"text","text":"SKUs not uploaded"}]}]},{"type":"tableCell","attrs":{},"content":[{"type":"paragraph","content":[{"type":"text","text":"7"}]}]},{"type":"tableCell","attrs":{},"content":[{"type":"paragraph","content":[{"type":"text","text":"0"}]}]}]},{"type":"tableRow","content":[{"type":"tableCell","attrs":{"background":"white"},"content":[{"type":"paragraph","content":[{"type":"text","text":"LIDs Shared"}]}]},{"type":"tableCell","attrs":{},"content":[{"type":"paragraph","content":[{"type":"text","text":"173"}]}]},{"type":"tableCell","attrs":{},"content":[{"type":"paragraph","content":[{"type":"text","text":"22"}]}]}]},{"type":"tableRow","content":[{"type":"tableCell","attrs":{"background":"white"},"content":[{"type":"paragraph","content":[{"type":"text","text":"LIDs Stuck in the System"}]}]},{"type":"tableCell","attrs":{},"content":[{"type":"paragraph","content":[{"type":"text","text":"0"}]}]},{"type":"tableCell","attrs":{},"content":[{"type":"paragraph","content":[{"type":"text","text":"0"}]}]}]}]}
{adf}</t>
  </si>
  <si>
    <t>[^UCW-31048_Post Upload Status_V.2 (1).xlsx]
[^Summary.zip]
;[^126456_product_retrigger_BULK_UPLOAD_summary.csv]
Retriggered ;[^UCW-31048.xlsx]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413ba733-efb8-4cd8-95c7-62ac16af989a"},"content":[{"type":"tableRow","content":[{"type":"tableCell","attrs":{"background":"#44b3e1"},"content":[{"type":"paragraph","content":[{"type":"text","text":"Ticket ID","marks":[{"type":"strong"}]}]}]},{"type":"tableCell","attrs":{"colspan":2,"background":"#44b3e1"},"content":[{"type":"paragraph","content":[{"type":"text","text":"UCW-31048","marks":[{"type":"strong"}]}]}]}]},{"type":"tableRow","content":[{"type":"tableCell","attrs":{"background":"#44b3e1"},"content":[{"type":"paragraph","content":[{"type":"text","text":"Brand Name","marks":[{"type":"strong"}]}]}]},{"type":"tableCell","attrs":{"colspan":2,"background":"#44b3e1"},"content":[{"type":"paragraph","content":[{"type":"text","text":"Glob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10"}]}]},{"type":"tableCell","attrs":{},"content":[{"type":"paragraph","content":[{"type":"text","text":"10"}]}]}]},{"type":"tableRow","content":[{"type":"tableCell","attrs":{"background":"white"},"content":[{"type":"paragraph","content":[{"type":"text","text":"Uploaded"}]}]},{"type":"tableCell","attrs":{},"content":[{"type":"paragraph","content":[{"type":"text","text":"10"}]}]},{"type":"tableCell","attrs":{},"content":[{"type":"paragraph","content":[{"type":"text","text":"10"}]}]}]},{"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10"}]}]},{"type":"tableCell","attrs":{},"content":[{"type":"paragraph","content":[{"type":"text","text":"10"}]}]}]},{"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</si>
  <si>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Uploading has been successfully completed. PFA The Post Uploaded status and summary sheet
[^Post Upload Status_V.2 (1) (2).xlsx]
[^Summary.zip]
;Please find attached the sheet, where 6 options have been listed of Footwear.
 Kindly update the price and inventory, and share the summary once completed.
{adf:display=block}
{"type":"table","attrs":{"isNumberColumnEnabled":false,"layout":"center","localId":"29d79eae-d6be-4b21-9787-ea1f17e7fcae"},"content":[{"type":"tableRow","content":[{"type":"tableCell","attrs":{"background":"#44b3e1"},"content":[{"type":"paragraph","content":[{"type":"text","text":"Ticket ID","marks":[{"type":"strong"}]}]}]},{"type":"tableCell","attrs":{"colspan":2,"background":"#44b3e1"},"content":[{"type":"paragraph","content":[{"type":"text","text":"UCW-21426","marks":[{"type":"strong"}]}]}]}]},{"type":"tableRow","content":[{"type":"tableCell","attrs":{"background":"#44b3e1"},"content":[{"type":"paragraph","content":[{"type":"text","text":"Brand Name","marks":[{"type":"strong"}]}]}]},{"type":"tableCell","attrs":{"colspan":2,"background":"#44b3e1"},"content":[{"type":"paragraph","content":[{"type":"text","text":"adid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674"}]}]},{"type":"tableCell","attrs":{"background":"white"},"content":[{"type":"paragraph","content":[{"type":"text","text":"80"}]}]}]},{"type":"tableRow","content":[{"type":"tableCell","attrs":{"background":"white"},"content":[{"type":"paragraph","content":[{"type":"text","text":"Uploaded"}]}]},{"type":"tableCell","attrs":{"background":"white"},"content":[{"type":"paragraph","content":[{"type":"text","text":"53"}]}]},{"type":"tableCell","attrs":{"background":"white"},"content":[{"type":"paragraph","content":[{"type":"text","text":"6"}]}]}]},{"type":"tableRow","content":[{"type":"tableCell","attrs":{"background":"white"},"content":[{"type":"paragraph","content":[{"type":"text","text":"Skus not uploaded(already listed)"}]}]},{"type":"tableCell","attrs":{"background":"white"},"content":[{"type":"paragraph","content":[{"type":"text","text":"621"}]}]},{"type":"tableCell","attrs":{"background":"white"},"content":[{"type":"paragraph","content":[{"type":"text","text":"74"}]}]}]},{"type":"tableRow","content":[{"type":"tableCell","attrs":{"background":"white"},"content":[{"type":"paragraph","content":[{"type":"text","text":"LIDs Shared"}]}]},{"type":"tableCell","attrs":{"background":"white"},"content":[{"type":"paragraph","content":[{"type":"text","text":"53"}]}]},{"type":"tableCell","attrs":{"background":"white"},"content":[{"type":"paragraph","content":[{"type":"text","text":"6"}]}]}]},{"type":"tableRow","content":[{"type":"tableCell","attrs":{"background":"white"},"content":[{"type":"paragraph","content":[{"type":"text","text":"LIDs Stuck in the System"}]}]},{"type":"tableCell","attrs":{"background":"white"},"content":[{"type":"paragraph","content":[{"type":"text","text":"0"}]}]},{"type":"tableCell","attrs":{"background":"white"},"content":[{"type":"paragraph","content":[{"type":"text","text":"0"}]}]}]}]}
{adf}
[^UCW-21426.xlsx]
;Please find attached the sheet, where 35 options have been listed for Luxury platform.
Kindly update the price and inventory, and share the summary once completed.
{adf:display=block}
{"type":"table","attrs":{"isNumberColumnEnabled":false,"layout":"center","localId":"33cd7b55-3ad8-4c81-8cec-5a559e40b542"},"content":[{"type":"tableRow","content":[{"type":"tableCell","attrs":{"background":"#44b3e1"},"content":[{"type":"paragraph","content":[{"type":"text","text":"Ticket ID","marks":[{"type":"strong"}]}]}]},{"type":"tableCell","attrs":{"colspan":2,"background":"#44b3e1"},"content":[{"type":"paragraph","content":[{"type":"text","text":"UCW-21426","marks":[{"type":"strong"}]}]}]}]},{"type":"tableRow","content":[{"type":"tableCell","attrs":{"background":"#44b3e1"},"content":[{"type":"paragraph","content":[{"type":"text","text":"Brand Name","marks":[{"type":"strong"}]}]}]},{"type":"tableCell","attrs":{"colspan":2,"background":"#44b3e1"},"content":[{"type":"paragraph","content":[{"type":"text","text":"Adida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472"}]}]},{"type":"tableCell","attrs":{"background":"white"},"content":[{"type":"paragraph","content":[{"type":"text","text":"53"}]}]}]},{"type":"tableRow","content":[{"type":"tableCell","attrs":{"background":"white"},"content":[{"type":"paragraph","content":[{"type":"text","text":"Uploaded"}]}]},{"type":"tableCell","attrs":{"background":"white"},"content":[{"type":"paragraph","content":[{"type":"text","text":"472"}]}]},{"type":"tableCell","attrs":{"background":"white"},"content":[{"type":"paragraph","content":[{"type":"text","text":"53"}]}]}]},{"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289"}]}]},{"type":"tableCell","attrs":{"background":"white"},"content":[{"type":"paragraph","content":[{"type":"text","text":"35"}]}]}]},{"type":"tableRow","content":[{"type":"tableCell","attrs":{"background":"white"},"content":[{"type":"paragraph","content":[{"type":"text","text":"LIDs Stuck in the System"}]}]},{"type":"tableCell","attrs":{"background":"white"},"content":[{"type":"paragraph","content":[{"type":"text","text":"183"}]}]},{"type":"tableCell","attrs":{"background":"white"},"content":[{"type":"paragraph","content":[{"type":"text","text":"18"}]}]}]}]}
{adf}
183 SKUs is stuck in SFA. Will share the update once resolved.
[^UCW-21426_Luxury.xlsx]
;[^UCW-21426_Luxury (b9d62617-b1a5-48d7-a4d6-63b92681a360).xlsx]
Please find attached the sheet, where 53 options have been listed for Luxury platform.
Kindly update the price and inventory, and share the summary once completed.
{adf:display=block}
{"type":"table","attrs":{"isNumberColumnEnabled":false,"layout":"center","localId":"b3a84fbb-f471-49c0-8905-214b3d5afa77"},"content":[{"type":"tableRow","content":[{"type":"tableCell","attrs":{"background":"#44b3e1"},"content":[{"type":"paragraph","content":[{"type":"text","text":"Ticket ID","marks":[{"type":"strong"}]}]}]},{"type":"tableCell","attrs":{"colspan":2,"background":"#44b3e1"},"content":[{"type":"paragraph","content":[{"type":"text","text":"UCW-21426","marks":[{"type":"strong"}]}]}]}]},{"type":"tableRow","content":[{"type":"tableCell","attrs":{"background":"#44b3e1"},"content":[{"type":"paragraph","content":[{"type":"text","text":"Brand Name","marks":[{"type":"strong"}]}]}]},{"type":"tableCell","attrs":{"colspan":2,"background":"#44b3e1"},"content":[{"type":"paragraph","content":[{"type":"text","text":"Adida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472"}]}]},{"type":"tableCell","attrs":{"background":"white"},"content":[{"type":"paragraph","content":[{"type":"text","text":"53"}]}]}]},{"type":"tableRow","content":[{"type":"tableCell","attrs":{"background":"white"},"content":[{"type":"paragraph","content":[{"type":"text","text":"Uploaded"}]}]},{"type":"tableCell","attrs":{"background":"white"},"content":[{"type":"paragraph","content":[{"type":"text","text":"472"}]}]},{"type":"tableCell","attrs":{"background":"white"},"content":[{"type":"paragraph","content":[{"type":"text","text":"53"}]}]}]},{"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472"}]}]},{"type":"tableCell","attrs":{"background":"white"},"content":[{"type":"paragraph","content":[{"type":"text","text":"53"}]}]}]},{"type":"tableRow","content":[{"type":"tableCell","attrs":{"background":"white"},"content":[{"type":"paragraph","content":[{"type":"text","text":"LIDs Stuck in the System"}]}]},{"type":"tableCell","attrs":{"background":"white"},"content":[{"type":"paragraph","content":[{"type":"text","text":"0"}]}]},{"type":"tableCell","attrs":{"background":"white"},"content":[{"type":"paragraph","content":[{"type":"text","text":"0"}]}]}]}]}
{adf};L1 ticket- [https://tatacliqhelpdesk.freshservice.com/support/tickets/212022|https://tatacliqhelpdesk.freshservice.com/support/tickets/212022]</t>
  </si>
  <si>
    <t>We would like to inform you that your ticket has been successfully uploaded in our system.
Please find the attached summary files and post-upload file for your reference. We will share a further update once the listing IDs are generated.
Please note that some styles are pending due to improper images. Once we receive the correct images, we will proceed with uploading the remaining styles.[^Post Upload Status_V.2 (1).xlsx] [^Summary.zip] ;[^UCW-30995.xlsx]
Please find attached the sheet, where 140 options of Women's Apparel have been listed.
Kindly update the price and inventory, and share the summary once completed.
{adf:display=block}
{"type":"table","attrs":{"isNumberColumnEnabled":false,"layout":"center","localId":"44fb9b5b-88fa-4c97-8e2e-dd64a0db1771"},"content":[{"type":"tableRow","content":[{"type":"tableCell","attrs":{"background":"#44b3e1"},"content":[{"type":"paragraph","content":[{"type":"text","text":"Ticket ID","marks":[{"type":"strong"}]}]}]},{"type":"tableCell","attrs":{"colspan":2,"background":"#44b3e1"},"content":[{"type":"paragraph","content":[{"type":"text","text":"UCW-30995","marks":[{"type":"strong"}]}]}]}]},{"type":"tableRow","content":[{"type":"tableCell","attrs":{"background":"#44b3e1"},"content":[{"type":"paragraph","content":[{"type":"text","text":"Brand Name","marks":[{"type":"strong"}]}]}]},{"type":"tableCell","attrs":{"colspan":2,"background":"#44b3e1"},"content":[{"type":"paragraph","content":[{"type":"text","text":"Inc.5","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1090"}]}]},{"type":"tableCell","attrs":{},"content":[{"type":"paragraph","content":[{"type":"text","text":"142"}]}]}]},{"type":"tableRow","content":[{"type":"tableCell","attrs":{"background":"white"},"content":[{"type":"paragraph","content":[{"type":"text","text":"Uploaded"}]}]},{"type":"tableCell","attrs":{},"content":[{"type":"paragraph","content":[{"type":"text","text":"1077"}]}]},{"type":"tableCell","attrs":{},"content":[{"type":"paragraph","content":[{"type":"text","text":"140"}]}]}]},{"type":"tableRow","content":[{"type":"tableCell","attrs":{"background":"white"},"content":[{"type":"paragraph","content":[{"type":"text","text":"SKUs Not Uploaded "}]}]},{"type":"tableCell","attrs":{},"content":[{"type":"paragraph","content":[{"type":"text","text":"13"}]}]},{"type":"tableCell","attrs":{},"content":[{"type":"paragraph","content":[{"type":"text","text":"2"}]}]}]},{"type":"tableRow","content":[{"type":"tableCell","attrs":{"background":"white"},"content":[{"type":"paragraph","content":[{"type":"text","text":"LIDs Shared"}]}]},{"type":"tableCell","attrs":{},"content":[{"type":"paragraph","content":[{"type":"text","text":"1074"}]}]},{"type":"tableCell","attrs":{},"content":[{"type":"paragraph","content":[{"type":"text","text":"140"}]}]}]},{"type":"tableRow","content":[{"type":"tableCell","attrs":{"background":"white"},"content":[{"type":"paragraph","content":[{"type":"text","text":"LIDs Stuck in the System"}]}]},{"type":"tableCell","attrs":{},"content":[{"type":"paragraph","content":[{"type":"text","text":"3"}]}]},{"type":"tableCell","attrs":{},"content":[{"type":"paragraph","content":[{"type":"text","text":"0"}]}]}]}]}
{adf}
3 SKUs are currently stuck in the system. We will inform you once the issue is resolved.;Retrigger Done.
[^100149_SKUEDITRETRIGGER__Sandal(MPH1312101100)_20260521_071147_477_summary.csv]
[^100149_SKUEDITRETRIGGER__Sandal(MPH1312105100)_20260521_070702_798_summary.csv]
;[^UCW-30995 (163e6f80-5216-4324-b4d7-43a087ae5a65).xlsx]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20cf49cc-63f7-4b73-a2a0-abc132a13bf0"},"content":[{"type":"tableRow","content":[{"type":"tableCell","attrs":{"background":"#44b3e1"},"content":[{"type":"paragraph","content":[{"type":"text","text":"Ticket ID","marks":[{"type":"strong"}]}]}]},{"type":"tableCell","attrs":{"colspan":2,"background":"#44b3e1"},"content":[{"type":"paragraph","content":[{"type":"text","text":"UCW-30995","marks":[{"type":"strong"}]}]}]}]},{"type":"tableRow","content":[{"type":"tableCell","attrs":{"background":"#44b3e1"},"content":[{"type":"paragraph","content":[{"type":"text","text":"Brand Name","marks":[{"type":"strong"}]}]}]},{"type":"tableCell","attrs":{"colspan":2,"background":"#44b3e1"},"content":[{"type":"paragraph","content":[{"type":"text","text":"Inc.5","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1090"}]}]},{"type":"tableCell","attrs":{},"content":[{"type":"paragraph","content":[{"type":"text","text":"142"}]}]}]},{"type":"tableRow","content":[{"type":"tableCell","attrs":{"background":"white"},"content":[{"type":"paragraph","content":[{"type":"text","text":"Uploaded"}]}]},{"type":"tableCell","attrs":{},"content":[{"type":"paragraph","content":[{"type":"text","text":"1077"}]}]},{"type":"tableCell","attrs":{},"content":[{"type":"paragraph","content":[{"type":"text","text":"140"}]}]}]},{"type":"tableRow","content":[{"type":"tableCell","attrs":{"background":"white"},"content":[{"type":"paragraph","content":[{"type":"text","text":"SKUs Not Uploaded "}]}]},{"type":"tableCell","attrs":{},"content":[{"type":"paragraph","content":[{"type":"text","text":"13"}]}]},{"type":"tableCell","attrs":{},"content":[{"type":"paragraph","content":[{"type":"text","text":"2"}]}]}]},{"type":"tableRow","content":[{"type":"tableCell","attrs":{"background":"white"},"content":[{"type":"paragraph","content":[{"type":"text","text":"LIDs Shared"}]}]},{"type":"tableCell","attrs":{},"content":[{"type":"paragraph","content":[{"type":"text","text":"1077"}]}]},{"type":"tableCell","attrs":{},"content":[{"type":"paragraph","content":[{"type":"text","text":"140"}]}]}]},{"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</si>
  <si>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PFA the Post Upload Sheet &amp; Summary.
[^Post Upload Status_UCW-30993.xlsx]
[^Summary.zip]
;[^UCW-30993.xlsx]
Please find attached the sheet, where 73 options have been listed.
Kindly update the price and inventory, and share the summary once completed.
{adf:display=block}
{"type":"table","attrs":{"isNumberColumnEnabled":false,"layout":"center","localId":"144dbfb0-01c7-4ce5-a8a2-3c68fc367ccb"},"content":[{"type":"tableRow","content":[{"type":"tableCell","attrs":{"background":"#44b3e1"},"content":[{"type":"paragraph","content":[{"type":"text","text":"Ticket ID","marks":[{"type":"strong"}]}]}]},{"type":"tableCell","attrs":{"colspan":2,"background":"#44b3e1"},"content":[{"type":"paragraph","content":[{"type":"text","text":"UCW-30993","marks":[{"type":"strong"}]}]}]}]},{"type":"tableRow","content":[{"type":"tableCell","attrs":{"background":"#44b3e1"},"content":[{"type":"paragraph","content":[{"type":"text","text":"Brand Name","marks":[{"type":"strong"}]}]}]},{"type":"tableCell","attrs":{"colspan":2,"background":"#44b3e1"},"content":[{"type":"paragraph","content":[{"type":"text","text":"Lib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413"}]}]},{"type":"tableCell","attrs":{},"content":[{"type":"paragraph","content":[{"type":"text","text":"75"}]}]}]},{"type":"tableRow","content":[{"type":"tableCell","attrs":{"background":"white"},"content":[{"type":"paragraph","content":[{"type":"text","text":"Uploaded"}]}]},{"type":"tableCell","attrs":{},"content":[{"type":"paragraph","content":[{"type":"text","text":"402"}]}]},{"type":"tableCell","attrs":{},"content":[{"type":"paragraph","content":[{"type":"text","text":"73"}]}]}]},{"type":"tableRow","content":[{"type":"tableCell","attrs":{"background":"white"},"content":[{"type":"paragraph","content":[{"type":"text","text":"Already Listed"}]}]},{"type":"tableCell","attrs":{},"content":[{"type":"paragraph","content":[{"type":"text","text":"11"}]}]},{"type":"tableCell","attrs":{},"content":[{"type":"paragraph","content":[{"type":"text","text":"2"}]}]}]},{"type":"tableRow","content":[{"type":"tableCell","attrs":{"background":"white"},"content":[{"type":"paragraph","content":[{"type":"text","text":"LIDs Shared"}]}]},{"type":"tableCell","attrs":{},"content":[{"type":"paragraph","content":[{"type":"text","text":"402"}]}]},{"type":"tableCell","attrs":{},"content":[{"type":"paragraph","content":[{"type":"text","text":"73"}]}]}]},{"type":"tableRow","content":[{"type":"tableCell","attrs":{"background":"white"},"content":[{"type":"paragraph","content":[{"type":"text","text":"LIDs Stuck in the System"}]}]},{"type":"tableCell","attrs":{},"content":[{"type":"paragraph","content":[{"type":"text","text":"0"}]}]},{"type":"tableCell","attrs":{},"content":[{"type":"paragraph","content":[{"type":"text","text":"0"}]}]}]}]}
{adf}</t>
  </si>
  <si>
    <t>{adf:display=block}
{"type":"table","attrs":{"isNumberColumnEnabled":false,"layout":"center","localId":"836cb30a-255f-411c-bc9e-64c18fe54915"},"content":[{"type":"tableRow","content":[{"type":"tableCell","attrs":{},"content":[{"type":"paragraph","content":[{"type":"text","text":"Ticket ID"}]}]},{"type":"tableCell","attrs":{"colspan":2},"content":[{"type":"paragraph","content":[{"type":"text","text":"UCW-30992"}]}]}]},{"type":"tableRow","content":[{"type":"tableCell","attrs":{},"content":[{"type":"paragraph","content":[{"type":"text","text":"Brand Name"}]}]},{"type":"tableCell","attrs":{"colspan":2},"content":[{"type":"paragraph","content":[{"type":"text","text":"Soch"}]}]}]},{"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11"}]}]},{"type":"tableCell","attrs":{},"content":[{"type":"paragraph","content":[{"type":"text","text":"5"}]}]}]},{"type":"tableRow","content":[{"type":"tableCell","attrs":{},"content":[{"type":"paragraph","content":[{"type":"text","text":"Uploaded"}]}]},{"type":"tableCell","attrs":{},"content":[{"type":"paragraph","content":[{"type":"text","text":"11"}]}]},{"type":"tableCell","attrs":{},"content":[{"type":"paragraph","content":[{"type":"text","text":"5"}]}]}]}]}
{adf}
[^Status of UCW-30992.xlsx]
[^Summery.zip]
;The changes have been successfully reflected. Please find the attached screenshot for your reference.
We are now closing this ticket. If you require any further assistance, please feel free to reach out to us.
!image-20260519-082907.png|width=534,alt="image-20260519-082907.png"!
!image-20260519-082918.png|width=519,alt="image-20260519-082918.png"!
!image-20260519-082925.png|width=519,alt="image-20260519-082925.png"!
!image-20260519-082935.png|width=519,alt="image-20260519-082935.png"!
!image-20260519-082944.png|width=519,alt="image-20260519-082944.png"!
!image-20260519-082951.png|width=519,alt="image-20260519-082951.png"!
!image-20260519-082958.png|width=519,alt="image-20260519-082958.png"!
!image-20260519-083006.png|width=519,alt="image-20260519-083006.png"!</t>
  </si>
  <si>
    <t>We have updated the images. Please find the attached summary sheet for your reference.
{adf:display=block}
{"type":"table","attrs":{"isNumberColumnEnabled":false,"layout":"center","localId":"b0ea186f-06df-441e-a354-44508b5cfbf7"},"content":[{"type":"tableRow","content":[{"type":"tableCell","attrs":{},"content":[{"type":"paragraph","content":[{"type":"text","text":"Ticket ID"}]}]},{"type":"tableCell","attrs":{"colspan":2},"content":[{"type":"paragraph","content":[{"type":"text","text":"UCW-30990"}]}]}]},{"type":"tableRow","content":[{"type":"tableCell","attrs":{},"content":[{"type":"paragraph","content":[{"type":"text","text":"Brand Name"}]}]},{"type":"tableCell","attrs":{"colspan":2},"content":[{"type":"paragraph","content":[{"type":"text","text":"eCraftIndia"}]}]}]},{"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type":"tableCell","attrs":{},"content":[{"type":"paragraph","content":[{"type":"text","text":"1"}]}]}]},{"type":"tableRow","content":[{"type":"tableCell","attrs":{},"content":[{"type":"paragraph","content":[{"type":"text","text":"Uploaded"}]}]},{"type":"tableCell","attrs":{},"content":[{"type":"paragraph","content":[{"type":"text","text":"1"}]}]},{"type":"tableCell","attrs":{},"content":[{"type":"paragraph","content":[{"type":"text","text":"1"}]}]}]}]}
{adf}
[^Status of UCW-30990.xlsx]
[^126323_SKUEDITRETRIGGER__Art_Pieces(MPH2112103100)_20260516_052816_304_summary.csv]
;The changes have been successfully reflected. Please find the attached screenshot for your reference.
We are now closing this ticket. If you require any further assistance, please feel free to reach out to us.
!image-20260519-081213.png|width=534,alt="image-20260519-081213.png"!
!image-20260519-081223.png|width=519,alt="image-20260519-081223.png"!
!image-20260519-081233.png|width=519,alt="image-20260519-081233.png"!</t>
  </si>
  <si>
    <t>We would like to inform you that your ticket has been successfully uploaded in our system.
Please find the attached summary file and post-upload file for your reference. We will share a further update once the listing IDs are generated.[^Summary.zip] [^UCW-30985 - Post Upload Status .xlsx] ;[^UCW-30985.xlsx]
Please find attached the sheet, where 1 option has been listed.
Kindly update the price and inventory, and share the summary once completed.
{adf:display=block}
{"type":"table","attrs":{"isNumberColumnEnabled":false,"layout":"center","localId":"f8c9fc95-ad1e-4e1b-bf2d-fa9514b05c51"},"content":[{"type":"tableRow","content":[{"type":"tableCell","attrs":{"background":"#44b3e1"},"content":[{"type":"paragraph","content":[{"type":"text","text":"Ticket ID","marks":[{"type":"strong"}]}]}]},{"type":"tableCell","attrs":{"colspan":2,"background":"#44b3e1"},"content":[{"type":"paragraph","content":[{"type":"text","text":"UCW-30985","marks":[{"type":"strong"}]}]}]}]},{"type":"tableRow","content":[{"type":"tableCell","attrs":{"background":"#44b3e1"},"content":[{"type":"paragraph","content":[{"type":"text","text":"Brand Name","marks":[{"type":"strong"}]}]}]},{"type":"tableCell","attrs":{"colspan":2,"background":"#44b3e1"},"content":[{"type":"paragraph","content":[{"type":"text","text":"Pum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</si>
  <si>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Pre processing query -
1. Duplicate SKU codes - 379 SKUs;We would like to inform you that your ticket has been successfully uploaded in our system.
Please find the attached summary files and post-upload file for your reference. We will share a further update once the listing IDs are generated.
Please note that some styles are pending due to improper images. Once we receive the correct images, we will proceed with uploading the remaining styles.[^UCW-30983-Post Upload Status_V.2 (1).xlsx] [^Summary.zip] ;[^UCW-30983.xlsx]
Please find attached the sheet, where 70 options of Footwear have been listed.
Kindly update the price and inventory, and share the summary once completed.
{adf:display=block}
{"type":"table","attrs":{"isNumberColumnEnabled":false,"layout":"center","localId":"617d9ed0-83b4-45bc-a25c-3e7635f412a3"},"content":[{"type":"tableRow","content":[{"type":"tableCell","attrs":{},"content":[{"type":"paragraph","content":[{"type":"text","text":"Ticket ID","marks":[{"type":"strong"}]}]}]},{"type":"tableCell","attrs":{"colspan":3},"content":[{"type":"paragraph","content":[{"type":"text","text":"UCW-30983","marks":[{"type":"strong"}]}]}]}]},{"type":"tableRow","content":[{"type":"tableCell","attrs":{},"content":[{"type":"paragraph","content":[{"type":"text","text":"Brand Name","marks":[{"type":"strong"}]}]}]},{"type":"tableCell","attrs":{"colspan":3},"content":[{"type":"paragraph","content":[{"type":"text","text":"Adidas","marks":[{"type":"strong"}]}]}]}]},{"type":"tableRow","content":[{"type":"tableCell","attrs":{},"content":[{"type":"paragraph","content":[{"type":"text","text":"Platform","marks":[{"type":"strong"}]}]}]},{"type":"tableCell","attrs":{"colspan":3},"content":[{"type":"paragraph","content":[{"type":"text","text":"Marketplace","marks":[{"type":"strong"}]}]}]}]},{"type":"tableRow","content":[{"type":"tableCell","attrs":{},"content":[{"type":"paragraph","content":[{"type":"text","text":"Particulars","marks":[{"type":"strong"}]}]}]},{"type":"tableCell","attrs":{},"content":[{"type":"paragraph","content":[{"type":"text","text":"SKU Count","marks":[{"type":"strong"}]}]}]},{"type":"tableCell","attrs":{},"content":[{"type":"paragraph","content":[{"type":"text","text":"Option Count","marks":[{"type":"strong"}]}]}]},{"type":"tableCell","attrs":{},"content":[{"type":"paragraph"}]}]},{"type":"tableRow","content":[{"type":"tableCell","attrs":{},"content":[{"type":"paragraph","content":[{"type":"text","text":"Received","marks":[{"type":"strong"}]}]}]},{"type":"tableCell","attrs":{},"content":[{"type":"paragraph","content":[{"type":"text","text":"378","marks":[{"type":"strong"}]}]}]},{"type":"tableCell","attrs":{},"content":[{"type":"paragraph","content":[{"type":"text","text":"77","marks":[{"type":"strong"}]}]}]},{"type":"tableCell","attrs":{},"content":[{"type":"paragraph"}]}]},{"type":"tableRow","content":[{"type":"tableCell","attrs":{},"content":[{"type":"paragraph","content":[{"type":"text","text":"Uploaded","marks":[{"type":"strong"}]}]}]},{"type":"tableCell","attrs":{},"content":[{"type":"paragraph","content":[{"type":"text","text":"343","marks":[{"type":"strong"}]}]}]},{"type":"tableCell","attrs":{},"content":[{"type":"paragraph","content":[{"type":"text","text":"70","marks":[{"type":"strong"}]}]}]},{"type":"tableCell","attrs":{},"content":[{"type":"paragraph"}]}]},{"type":"tableRow","content":[{"type":"tableCell","attrs":{},"content":[{"type":"paragraph","content":[{"type":"text","text":"SKUs Not Uploaded","marks":[{"type":"strong"}]}]}]},{"type":"tableCell","attrs":{},"content":[{"type":"paragraph","content":[{"type":"text","text":"29","marks":[{"type":"strong"}]}]}]},{"type":"tableCell","attrs":{},"content":[{"type":"paragraph","content":[{"type":"text","text":"6","marks":[{"type":"strong"}]}]}]},{"type":"tableCell","attrs":{},"content":[{"type":"paragraph"}]}]},{"type":"tableRow","content":[{"type":"tableCell","attrs":{},"content":[{"type":"paragraph","content":[{"type":"text","text":"Already Listed","marks":[{"type":"strong"}]}]}]},{"type":"tableCell","attrs":{},"content":[{"type":"paragraph","content":[{"type":"text","text":"6","marks":[{"type":"strong"}]}]}]},{"type":"tableCell","attrs":{},"content":[{"type":"paragraph","content":[{"type":"text","text":"1","marks":[{"type":"strong"}]}]}]},{"type":"tableCell","attrs":{},"content":[{"type":"paragraph"}]}]},{"type":"tableRow","content":[{"type":"tableCell","attrs":{},"content":[{"type":"paragraph","content":[{"type":"text","text":"LIDs Shared","marks":[{"type":"strong"}]}]}]},{"type":"tableCell","attrs":{},"content":[{"type":"paragraph","content":[{"type":"text","text":"341","marks":[{"type":"strong"}]}]}]},{"type":"tableCell","attrs":{},"content":[{"type":"paragraph","content":[{"type":"text","text":"70","marks":[{"type":"strong"}]}]}]},{"type":"tableCell","attrs":{},"content":[{"type":"paragraph"}]}]},{"type":"tableRow","content":[{"type":"tableCell","attrs":{},"content":[{"type":"paragraph","content":[{"type":"text","text":"LIDs Stuck in the System","marks":[{"type":"strong"}]}]}]},{"type":"tableCell","attrs":{},"content":[{"type":"paragraph","content":[{"type":"text","text":"2","marks":[{"type":"strong"}]}]}]},{"type":"tableCell","attrs":{},"content":[{"type":"paragraph","content":[{"type":"text","text":"0","marks":[{"type":"strong"}]}]}]},{"type":"tableCell","attrs":{},"content":[{"type":"paragraph"}]}]}]}
{adf}
As we found that the right-side view image has not been provided for some SKUs and the sizes are not continuous, we kindly request you to please review the post-upload sheet and the shared data.;[^129417_SKUEDITRETRIGGER__Football(MPH1311103104)_20260518_021926_765_summary.csv]
Retriggered for 2 SKUs which stuck in SFA</t>
  </si>
  <si>
    <t>We have successfully uploaded this batch. Please find the summary of this batch. and attach Summary zip and Post upload Sheet.
[^Post Upload Status_V.2 (1) (1).xlsx] [^Summary.zip] ;[^UCW-30955.xlsx]
Please find attached the sheet, where 17 options have been listed.
Kindly update the price and inventory, and share the summary once completed.
{adf:display=block}
{"type":"table","attrs":{"isNumberColumnEnabled":false,"layout":"center","localId":"f1e5bef0-1a15-4c0b-8f5e-97df3328b817"},"content":[{"type":"tableRow","content":[{"type":"tableCell","attrs":{"background":"#44b3e1"},"content":[{"type":"paragraph","content":[{"type":"text","text":"Ticket ID","marks":[{"type":"strong"}]}]}]},{"type":"tableCell","attrs":{"colspan":2,"background":"#44b3e1"},"content":[{"type":"paragraph","content":[{"type":"text","text":"UCW-30955","marks":[{"type":"strong"}]}]}]}]},{"type":"tableRow","content":[{"type":"tableCell","attrs":{"background":"#44b3e1"},"content":[{"type":"paragraph","content":[{"type":"text","text":"Brand Name","marks":[{"type":"strong"}]}]}]},{"type":"tableCell","attrs":{"colspan":2,"background":"#44b3e1"},"content":[{"type":"paragraph","content":[{"type":"text","text":"The Souled Stor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116"}]}]},{"type":"tableCell","attrs":{},"content":[{"type":"paragraph","content":[{"type":"text","text":"17"}]}]}]},{"type":"tableRow","content":[{"type":"tableCell","attrs":{"background":"white"},"content":[{"type":"paragraph","content":[{"type":"text","text":"Uploaded"}]}]},{"type":"tableCell","attrs":{},"content":[{"type":"paragraph","content":[{"type":"text","text":"116"}]}]},{"type":"tableCell","attrs":{},"content":[{"type":"paragraph","content":[{"type":"text","text":"17"}]}]}]},{"type":"tableRow","content":[{"type":"tableCell","attrs":{"background":"white"},"content":[{"type":"paragraph","content":[{"type":"text","text":"LIDs Shared"}]}]},{"type":"tableCell","attrs":{},"content":[{"type":"paragraph","content":[{"type":"text","text":"116"}]}]},{"type":"tableCell","attrs":{},"content":[{"type":"paragraph","content":[{"type":"text","text":"17"}]}]}]},{"type":"tableRow","content":[{"type":"tableCell","attrs":{"background":"white"},"content":[{"type":"paragraph","content":[{"type":"text","text":"LIDs Stuck in the System"}]}]},{"type":"tableCell","attrs":{},"content":[{"type":"paragraph","content":[{"type":"text","text":"0"}]}]},{"type":"tableCell","attrs":{},"content":[{"type":"paragraph","content":[{"type":"text","text":"0"}]}]}]}]}
{adf}</t>
  </si>
  <si>
    <t>PFA the Summary &amp; Post-Uploaded sheet[^UCW-30936 Post Upload Status_V.2 (1).xlsx] [^Summary.zip] ;[^UCW-30936.xlsx]
Please find attached the sheet, where 443 options of Jewellery have been listed.
Kindly update the price and inventory, and share the summary once completed.
{adf:display=block}
{"type":"table","attrs":{"isNumberColumnEnabled":false,"layout":"center","localId":"cf6d91c4-eb48-423b-9e3d-0ab2928e32b8"},"content":[{"type":"tableRow","content":[{"type":"tableCell","attrs":{"background":"#44b3e1"},"content":[{"type":"paragraph","content":[{"type":"text","text":"Ticket ID","marks":[{"type":"strong"}]}]}]},{"type":"tableCell","attrs":{"colspan":2,"background":"#44b3e1"},"content":[{"type":"paragraph","content":[{"type":"text","text":"UCW-30936","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499"}]}]},{"type":"tableCell","attrs":{},"content":[{"type":"paragraph","content":[{"type":"text","text":"499"}]}]}]},{"type":"tableRow","content":[{"type":"tableCell","attrs":{"background":"white"},"content":[{"type":"paragraph","content":[{"type":"text","text":"Uploaded"}]}]},{"type":"tableCell","attrs":{},"content":[{"type":"paragraph","content":[{"type":"text","text":"443"}]}]},{"type":"tableCell","attrs":{},"content":[{"type":"paragraph","content":[{"type":"text","text":"443"}]}]}]},{"type":"tableRow","content":[{"type":"tableCell","attrs":{"background":"white"},"content":[{"type":"paragraph","content":[{"type":"text","text":"Already Listed"}]}]},{"type":"tableCell","attrs":{},"content":[{"type":"paragraph","content":[{"type":"text","text":"56"}]}]},{"type":"tableCell","attrs":{},"content":[{"type":"paragraph","content":[{"type":"text","text":"56"}]}]}]},{"type":"tableRow","content":[{"type":"tableCell","attrs":{"background":"white"},"content":[{"type":"paragraph","content":[{"type":"text","text":"LIDs Shared"}]}]},{"type":"tableCell","attrs":{},"content":[{"type":"paragraph","content":[{"type":"text","text":"443"}]}]},{"type":"tableCell","attrs":{},"content":[{"type":"paragraph","content":[{"type":"text","text":"443"}]}]}]},{"type":"tableRow","content":[{"type":"tableCell","attrs":{"background":"white"},"content":[{"type":"paragraph","content":[{"type":"text","text":"LIDs Stuck in the System"}]}]},{"type":"tableCell","attrs":{},"content":[{"type":"paragraph","content":[{"type":"text","text":"0"}]}]},{"type":"tableCell","attrs":{},"content":[{"type":"paragraph","content":[{"type":"text","text":"0"}]}]}]}]}
{adf}</t>
  </si>
  <si>
    <t>PFA the Summary &amp; Post-uploaded sheet[^Summary.zip] [^UCW-30935 Post Upload Status_V.2 (1).xlsx] ;[^UCW-30935.xlsx]
Please find attached the sheet, where 241 options of Jewellery have been listed.
Kindly update the price and inventory, and share the summary once completed.
{adf:display=block}
{"type":"table","attrs":{"isNumberColumnEnabled":false,"layout":"center","localId":"c8c2dcbd-319f-40c7-9608-ccc1dc9f43a3"},"content":[{"type":"tableRow","content":[{"type":"tableCell","attrs":{"background":"#44b3e1"},"content":[{"type":"paragraph","content":[{"type":"text","text":"Ticket ID","marks":[{"type":"strong"}]}]}]},{"type":"tableCell","attrs":{"colspan":2,"background":"#44b3e1"},"content":[{"type":"paragraph","content":[{"type":"text","text":"UCW-30935","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243"}]}]},{"type":"tableCell","attrs":{},"content":[{"type":"paragraph","content":[{"type":"text","text":"243"}]}]}]},{"type":"tableRow","content":[{"type":"tableCell","attrs":{"background":"white"},"content":[{"type":"paragraph","content":[{"type":"text","text":"Uploaded"}]}]},{"type":"tableCell","attrs":{},"content":[{"type":"paragraph","content":[{"type":"text","text":"241"}]}]},{"type":"tableCell","attrs":{},"content":[{"type":"paragraph","content":[{"type":"text","text":"241"}]}]}]},{"type":"tableRow","content":[{"type":"tableCell","attrs":{"background":"white"},"content":[{"type":"paragraph","content":[{"type":"text","text":"Already Listed"}]}]},{"type":"tableCell","attrs":{},"content":[{"type":"paragraph","content":[{"type":"text","text":"2"}]}]},{"type":"tableCell","attrs":{},"content":[{"type":"paragraph","content":[{"type":"text","text":"2"}]}]}]},{"type":"tableRow","content":[{"type":"tableCell","attrs":{"background":"white"},"content":[{"type":"paragraph","content":[{"type":"text","text":"LIDs Shared"}]}]},{"type":"tableCell","attrs":{},"content":[{"type":"paragraph","content":[{"type":"text","text":"241"}]}]},{"type":"tableCell","attrs":{},"content":[{"type":"paragraph","content":[{"type":"text","text":"241"}]}]}]},{"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</si>
  <si>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report.[^Post Upload Status_V.2 (1).xlsx] [^Summary.zip] ;[^UCW-30933.xlsx]
Please find attached the sheet, where 8 options have been listed.
Kindly update the price and inventory, and share the summary once completed.
{adf:display=block}
{"type":"table","attrs":{"isNumberColumnEnabled":false,"layout":"center","localId":"723287d6-2e7d-49da-aae6-adc7e9403938"},"content":[{"type":"tableRow","content":[{"type":"tableCell","attrs":{"background":"#44b3e1"},"content":[{"type":"paragraph","content":[{"type":"text","text":"Ticket ID","marks":[{"type":"strong"}]}]}]},{"type":"tableCell","attrs":{"colspan":2,"background":"#44b3e1"},"content":[{"type":"paragraph","content":[{"type":"text","text":"UCW-30933","marks":[{"type":"strong"}]}]}]}]},{"type":"tableRow","content":[{"type":"tableCell","attrs":{"background":"#44b3e1"},"content":[{"type":"paragraph","content":[{"type":"text","text":"Brand Name","marks":[{"type":"strong"}]}]}]},{"type":"tableCell","attrs":{"colspan":2,"background":"#44b3e1"},"content":[{"type":"paragraph","content":[{"type":"text","text":"Lotto","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58"}]}]},{"type":"tableCell","attrs":{},"content":[{"type":"paragraph","content":[{"type":"text","text":"9"}]}]}]},{"type":"tableRow","content":[{"type":"tableCell","attrs":{"background":"white"},"content":[{"type":"paragraph","content":[{"type":"text","text":"Uploaded"}]}]},{"type":"tableCell","attrs":{},"content":[{"type":"paragraph","content":[{"type":"text","text":"58"}]}]},{"type":"tableCell","attrs":{},"content":[{"type":"paragraph","content":[{"type":"text","text":"9"}]}]}]},{"type":"tableRow","content":[{"type":"tableCell","attrs":{"background":"white"},"content":[{"type":"paragraph","content":[{"type":"text","text":"LIDs Shared"}]}]},{"type":"tableCell","attrs":{},"content":[{"type":"paragraph","content":[{"type":"text","text":"52"}]}]},{"type":"tableCell","attrs":{},"content":[{"type":"paragraph","content":[{"type":"text","text":"8"}]}]}]},{"type":"tableRow","content":[{"type":"tableCell","attrs":{"background":"white"},"content":[{"type":"paragraph","content":[{"type":"text","text":"LIDs Stuck in the System"}]}]},{"type":"tableCell","attrs":{},"content":[{"type":"paragraph","content":[{"type":"text","text":"6"}]}]},{"type":"tableCell","attrs":{},"content":[{"type":"paragraph","content":[{"type":"text","text":"1"}]}]}]}]}
{adf}
1option is stuck in the system. We are working on it and will inform you once it is resolved.;Retrigger Done.
[^129247_SKUEDITRETRIGGER_AGILITAS_BRANDS_PRIVATE_LIMITED(129247)_Running(MPH1312103100)_20260521_064448_612_summary (1).csv]
;[^UCW-30933 (e1fe5fb4-efac-4f62-b98c-48ff2dd626e0).xlsx]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dc510e9-0512-413d-889b-37e8bdd9aef6"},"content":[{"type":"tableRow","content":[{"type":"tableCell","attrs":{"background":"#44b3e1"},"content":[{"type":"paragraph","content":[{"type":"text","text":"Ticket ID","marks":[{"type":"strong"}]}]}]},{"type":"tableCell","attrs":{"colspan":2,"background":"#44b3e1"},"content":[{"type":"paragraph","content":[{"type":"text","text":"UCW-30933","marks":[{"type":"strong"}]}]}]}]},{"type":"tableRow","content":[{"type":"tableCell","attrs":{"background":"#44b3e1"},"content":[{"type":"paragraph","content":[{"type":"text","text":"Brand Name","marks":[{"type":"strong"}]}]}]},{"type":"tableCell","attrs":{"colspan":2,"background":"#44b3e1"},"content":[{"type":"paragraph","content":[{"type":"text","text":"Lotto","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58"}]}]},{"type":"tableCell","attrs":{},"content":[{"type":"paragraph","content":[{"type":"text","text":"9"}]}]}]},{"type":"tableRow","content":[{"type":"tableCell","attrs":{"background":"white"},"content":[{"type":"paragraph","content":[{"type":"text","text":"Uploaded"}]}]},{"type":"tableCell","attrs":{},"content":[{"type":"paragraph","content":[{"type":"text","text":"58"}]}]},{"type":"tableCell","attrs":{},"content":[{"type":"paragraph","content":[{"type":"text","text":"9"}]}]}]},{"type":"tableRow","content":[{"type":"tableCell","attrs":{"background":"white"},"content":[{"type":"paragraph","content":[{"type":"text","text":"LIDs Shared"}]}]},{"type":"tableCell","attrs":{},"content":[{"type":"paragraph","content":[{"type":"text","text":"58"}]}]},{"type":"tableCell","attrs":{},"content":[{"type":"paragraph","content":[{"type":"text","text":"9"}]}]}]},{"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</si>
  <si>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We have successfully uploaded this batch. Please find the attached summary sheet and summary report.[^Summary.zip] [^UCW-30932-Post Upload Status_V.2 (1).xlsx] ;[^UCW-30932.xlsx]
Please find attached the sheet, where 5 options have been listed.
Kindly update the price and inventory, and share the summary once completed.
{adf:display=block}
{"type":"table","attrs":{"isNumberColumnEnabled":false,"layout":"center","localId":"24843037-7388-4d9c-9f45-8f713c8916cb"},"content":[{"type":"tableRow","content":[{"type":"tableCell","attrs":{"background":"#44b3e1"},"content":[{"type":"paragraph","content":[{"type":"text","text":"Ticket ID","marks":[{"type":"strong"}]}]}]},{"type":"tableCell","attrs":{"colspan":2,"background":"#44b3e1"},"content":[{"type":"paragraph","content":[{"type":"text","text":"UCW-30932","marks":[{"type":"strong"}]}]}]}]},{"type":"tableRow","content":[{"type":"tableCell","attrs":{"background":"#44b3e1"},"content":[{"type":"paragraph","content":[{"type":"text","text":"Brand Name","marks":[{"type":"strong"}]}]}]},{"type":"tableCell","attrs":{"colspan":2,"background":"#44b3e1"},"content":[{"type":"paragraph","content":[{"type":"text","text":"U.S. Polo Assn.","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30"}]}]},{"type":"tableCell","attrs":{},"content":[{"type":"paragraph","content":[{"type":"text","text":"5"}]}]}]},{"type":"tableRow","content":[{"type":"tableCell","attrs":{"background":"white"},"content":[{"type":"paragraph","content":[{"type":"text","text":"Uploaded"}]}]},{"type":"tableCell","attrs":{},"content":[{"type":"paragraph","content":[{"type":"text","text":"30"}]}]},{"type":"tableCell","attrs":{},"content":[{"type":"paragraph","content":[{"type":"text","text":"5"}]}]}]},{"type":"tableRow","content":[{"type":"tableCell","attrs":{"background":"white"},"content":[{"type":"paragraph","content":[{"type":"text","text":"LIDs Shared"}]}]},{"type":"tableCell","attrs":{},"content":[{"type":"paragraph","content":[{"type":"text","text":"29"}]}]},{"type":"tableCell","attrs":{},"content":[{"type":"paragraph","content":[{"type":"text","text":"5"}]}]}]},{"type":"tableRow","content":[{"type":"tableCell","attrs":{"background":"white"},"content":[{"type":"paragraph","content":[{"type":"text","text":"LIDs Stuck in the System"}]}]},{"type":"tableCell","attrs":{},"content":[{"type":"paragraph","content":[{"type":"text","text":"1"}]}]},{"type":"tableCell","attrs":{},"content":[{"type":"paragraph","content":[{"type":"text","text":"0"}]}]}]}]}
{adf}
1 SKU is currently stuck in the system. We are working on it and trying to resolve the issue. We will inform you once it is resolved.;Rerigger Done.
[^124848_SKUEDITRETRIGGER_Arvind_Life_Style_Brands_Ltd(124848)_Clog(MPH1311102101)_20260521_063500_047_summary.csv]
;[^UCW-30932 (64c88dc2-3480-43fd-89a9-8764c6cc8b15).xlsx]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14337999-d299-4e2a-870c-009bc8f5eab8"},"content":[{"type":"tableRow","content":[{"type":"tableCell","attrs":{"background":"#44b3e1"},"content":[{"type":"paragraph","content":[{"type":"text","text":"Ticket ID","marks":[{"type":"strong"}]}]}]},{"type":"tableCell","attrs":{"colspan":2,"background":"#44b3e1"},"content":[{"type":"paragraph","content":[{"type":"text","text":"UCW-30932","marks":[{"type":"strong"}]}]}]}]},{"type":"tableRow","content":[{"type":"tableCell","attrs":{"background":"#44b3e1"},"content":[{"type":"paragraph","content":[{"type":"text","text":"Brand Name","marks":[{"type":"strong"}]}]}]},{"type":"tableCell","attrs":{"colspan":2,"background":"#44b3e1"},"content":[{"type":"paragraph","content":[{"type":"text","text":"U.S. Polo Assn.","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30"}]}]},{"type":"tableCell","attrs":{},"content":[{"type":"paragraph","content":[{"type":"text","text":"5"}]}]}]},{"type":"tableRow","content":[{"type":"tableCell","attrs":{"background":"white"},"content":[{"type":"paragraph","content":[{"type":"text","text":"Uploaded"}]}]},{"type":"tableCell","attrs":{},"content":[{"type":"paragraph","content":[{"type":"text","text":"30"}]}]},{"type":"tableCell","attrs":{},"content":[{"type":"paragraph","content":[{"type":"text","text":"5"}]}]}]},{"type":"tableRow","content":[{"type":"tableCell","attrs":{"background":"white"},"content":[{"type":"paragraph","content":[{"type":"text","text":"LIDs Shared"}]}]},{"type":"tableCell","attrs":{},"content":[{"type":"paragraph","content":[{"type":"text","text":"30"}]}]},{"type":"tableCell","attrs":{},"content":[{"type":"paragraph","content":[{"type":"text","text":"5"}]}]}]},{"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</si>
  <si>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We have successfully uploaded this batch. Please find the summary of this batch. and attach Summary zip and Post upload Sheet.
[^Summary.zip] [^Post Upload Status_V.2 (1) (1).xlsx] ;[^UCW-30931.xlsx]
Please find attached the sheet, where 17 options of Footwear have been listed.
Kindly update the price and inventory, and share the summary once completed.
{adf:display=block}
{"type":"table","attrs":{"isNumberColumnEnabled":false,"layout":"center","localId":"173ff678-28a6-4bf4-aa23-2dbcbf22efa8"},"content":[{"type":"tableRow","content":[{"type":"tableCell","attrs":{"background":"#44b3e1"},"content":[{"type":"paragraph","content":[{"type":"text","text":"Ticket ID","marks":[{"type":"strong"}]}]}]},{"type":"tableCell","attrs":{"colspan":2,"background":"#44b3e1"},"content":[{"type":"paragraph","content":[{"type":"text","text":"UCW-30931","marks":[{"type":"strong"}]}]}]}]},{"type":"tableRow","content":[{"type":"tableCell","attrs":{"background":"#44b3e1"},"content":[{"type":"paragraph","content":[{"type":"text","text":"Brand Name","marks":[{"type":"strong"}]}]}]},{"type":"tableCell","attrs":{"colspan":2,"background":"#44b3e1"},"content":[{"type":"paragraph","content":[{"type":"text","text":"Oroh","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119"}]}]},{"type":"tableCell","attrs":{},"content":[{"type":"paragraph","content":[{"type":"text","text":"17"}]}]}]},{"type":"tableRow","content":[{"type":"tableCell","attrs":{"background":"white"},"content":[{"type":"paragraph","content":[{"type":"text","text":"Uploaded"}]}]},{"type":"tableCell","attrs":{},"content":[{"type":"paragraph","content":[{"type":"text","text":"119"}]}]},{"type":"tableCell","attrs":{},"content":[{"type":"paragraph","content":[{"type":"text","text":"17"}]}]}]},{"type":"tableRow","content":[{"type":"tableCell","attrs":{"background":"white"},"content":[{"type":"paragraph","content":[{"type":"text","text":"LIDs Shared"}]}]},{"type":"tableCell","attrs":{},"content":[{"type":"paragraph","content":[{"type":"text","text":"119"}]}]},{"type":"tableCell","attrs":{},"content":[{"type":"paragraph","content":[{"type":"text","text":"17"}]}]}]},{"type":"tableRow","content":[{"type":"tableCell","attrs":{"background":"white"},"content":[{"type":"paragraph","content":[{"type":"text","text":"LIDs Stuck in the System"}]}]},{"type":"tableCell","attrs":{},"content":[{"type":"paragraph","content":[{"type":"text","text":"0"}]}]},{"type":"tableCell","attrs":{},"content":[{"type":"paragraph","content":[{"type":"text","text":"0"}]}]}]}]}
{adf}</t>
  </si>
  <si>
    <t>PFA the Post Upload Sheet &amp; Summary.
[^Post Upload Status_UCW-30929.xlsx]
[^Summary.zip]
;[^UCW-30929.xlsx]
Please find attached the sheet, where 305 options of Women's Apparel have been listed.
Kindly update the price and inventory, and share the summary once completed.
{adf:display=block}
{"type":"table","attrs":{"isNumberColumnEnabled":false,"layout":"center","localId":"d87d75ac-0181-4e84-bf1c-de38df7e4d1f"},"content":[{"type":"tableRow","content":[{"type":"tableCell","attrs":{"background":"#44b3e1"},"content":[{"type":"paragraph","content":[{"type":"text","text":"Ticket ID","marks":[{"type":"strong"}]}]}]},{"type":"tableCell","attrs":{"colspan":2,"background":"#44b3e1"},"content":[{"type":"paragraph","content":[{"type":"text","text":"UCW-30929","marks":[{"type":"strong"}]}]}]}]},{"type":"tableRow","content":[{"type":"tableCell","attrs":{"background":"#44b3e1"},"content":[{"type":"paragraph","content":[{"type":"text","text":"Brand Name","marks":[{"type":"strong"}]}]}]},{"type":"tableCell","attrs":{"colspan":2,"background":"#44b3e1"},"content":[{"type":"paragraph","content":[{"type":"text","text":"Soc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598"}]}]},{"type":"tableCell","attrs":{},"content":[{"type":"paragraph","content":[{"type":"text","text":"340"}]}]}]},{"type":"tableRow","content":[{"type":"tableCell","attrs":{"background":"white"},"content":[{"type":"paragraph","content":[{"type":"text","text":"Uploaded"}]}]},{"type":"tableCell","attrs":{},"content":[{"type":"paragraph","content":[{"type":"text","text":"528"}]}]},{"type":"tableCell","attrs":{},"content":[{"type":"paragraph","content":[{"type":"text","text":"305"}]}]}]},{"type":"tableRow","content":[{"type":"tableCell","attrs":{"background":"white"},"content":[{"type":"paragraph","content":[{"type":"text","text":"SKUs not Uploaded-Less Than 3 sizes present in 1 cluster"}]}]},{"type":"tableCell","attrs":{},"content":[{"type":"paragraph","content":[{"type":"text","text":"70"}]}]},{"type":"tableCell","attrs":{},"content":[{"type":"paragraph","content":[{"type":"text","text":"35"}]}]}]},{"type":"tableRow","content":[{"type":"tableCell","attrs":{"background":"white"},"content":[{"type":"paragraph","content":[{"type":"text","text":"LIDs Shared"}]}]},{"type":"tableCell","attrs":{},"content":[{"type":"paragraph","content":[{"type":"text","text":"528"}]}]},{"type":"tableCell","attrs":{},"content":[{"type":"paragraph","content":[{"type":"text","text":"305"}]}]}]},{"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</si>
  <si>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 (256b46d8-19c4-47ac-a364-ce752b2110c5).zip] [^Post Upload Status_V.2 (1).xlsx] ;[^UCW-30924.xlsx]
Please find attached the sheet, where 126 options of Luxury have been listed.
Kindly update the price and inventory, and share the summary once completed.

{color:#ffffff}__{color}
{adf:display=block}
{"type":"table","attrs":{"isNumberColumnEnabled":false,"layout":"center","localId":"e16194c5-1610-4ddc-8f09-84766a10fe0e"},"content":[{"type":"tableRow","content":[{"type":"tableCell","attrs":{"background":"#44b3e1"},"content":[{"type":"paragraph","content":[{"type":"text","text":"Ticket ID","marks":[{"type":"strong"}]}]}]},{"type":"tableCell","attrs":{"colspan":4,"background":"#44b3e1"},"content":[{"type":"paragraph","content":[{"type":"text","text":"UCW-30924","marks":[{"type":"strong"}]}]}]}]},{"type":"tableRow","content":[{"type":"tableCell","attrs":{"background":"#44b3e1"},"content":[{"type":"paragraph","content":[{"type":"text","text":"Brand Name","marks":[{"type":"strong"}]}]}]},{"type":"tableCell","attrs":{"colspan":4,"background":"#44b3e1"},"content":[{"type":"paragraph","content":[{"type":"text","text":"Under Armour","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706"}]}]},{"type":"tableCell","attrs":{"background":"white"},"content":[{"type":"paragraph","content":[{"type":"text","text":"126"}]}]},{"type":"tableCell","attrs":{"background":"white"},"content":[{"type":"paragraph","content":[{"type":"text","text":"706"}]}]},{"type":"tableCell","attrs":{"background":"white"},"content":[{"type":"paragraph","content":[{"type":"text","text":"126"}]}]}]},{"type":"tableRow","content":[{"type":"tableCell","attrs":{"background":"white"},"content":[{"type":"paragraph","content":[{"type":"text","text":"Uploaded"}]}]},{"type":"tableCell","attrs":{"background":"white"},"content":[{"type":"paragraph","content":[{"type":"text","text":"706"}]}]},{"type":"tableCell","attrs":{"background":"white"},"content":[{"type":"paragraph","content":[{"type":"text","text":"126"}]}]},{"type":"tableCell","attrs":{"background":"white"},"content":[{"type":"paragraph","content":[{"type":"text","text":"706"}]}]},{"type":"tableCell","attrs":{"background":"white"},"content":[{"type":"paragraph","content":[{"type":"text","text":"126"}]}]}]},{"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706"}]}]},{"type":"tableCell","attrs":{"background":"white"},"content":[{"type":"paragraph","content":[{"type":"text","text":"126"}]}]},{"type":"tableCell","attrs":{"background":"white"},"content":[{"type":"paragraph","content":[{"type":"text","text":"0"}]}]},{"type":"tableCell","attrs":{"background":"white"},"content":[{"type":"paragraph","content":[{"type":"text","text":"0"}]}]}]},{"type":"tableRow","content":[{"type":"tableCell","attrs":{"background":"white"},"content":[{"type":"paragraph","content":[{"type":"text","text":"LIDs Stuck in the System"}]}]},{"type":"tableCell","attrs":{},"content":[{"type":"paragraph","content":[{"type":"text","text":"0"}]}]},{"type":"tableCell","attrs":{"background":"white"},"content":[{"type":"paragraph","content":[{"type":"text","text":"0"}]}]},{"type":"tableCell","attrs":{},"content":[{"type":"paragraph","content":[{"type":"text","text":"706"}]}]},{"type":"tableCell","attrs":{"background":"white"},"content":[{"type":"paragraph","content":[{"type":"text","text":"126"}]}]}]}]}
{adf}
We working on 126 options of Marketplace. Once its resolved we will inform you;Retrigger Done.
[^128456_SKUEDITRETRIGGER__Sandal(MPH1311102100)_20260523_125920_522_summary.csv]
[^128456_SKUEDITRETRIGGER__Running(MPH1312103100)_20260523_032824_406_summary.csv]
[^128456_SKUEDITRETRIGGER__Running(MPH1311103100)_20260523_012826_753_summary.csv]
[^128456_SKUEDITRETRIGGER__Outdoor(MPH1311103109)_20260523_012341_856_summary.csv]
[^128456_SKUEDITRETRIGGER__Football(MPH1311103104)_20260523_011728_644_summary.csv]
[^128456_SKUEDITRETRIGGER__Basketball(MPH1311103106)_20260523_010833_071_summary.csv]
[^128456_SKUEDITRETRIGGER_Underdog_Athletics_India_PVT_LTD(128456)_Sneaker(MPH1311101104)_20260523_124120_034_summary.csv]
[^128456_SKUEDITRETRIGGER__Training(MPH1312103101)_20260523_034709_919_summary.csv]
[^128456_SKUEDITRETRIGGER__Training(MPH1311103101)_20260523_030123_459_summary.csv]
[^128456_SKUEDITRETRIGGER__Sneaker(MPH1312101103)_20260523_031408_515_summary.csv]
[^128456_SKUEDITRETRIGGER__Sandal(MPH1312102100)_20260523_032054_999_summary.csv]
;[^UCW-30924 (1).xlsx]
Please find attached the sheet, where 126 options of Luxury &amp; 125 options of Marketplace have been listed.
Kindly update the price and inventory, and share the summary once completed.
{color:#ffffff}__{color}
{adf:display=block}
{"type":"table","attrs":{"isNumberColumnEnabled":false,"layout":"center","localId":"e9112cdb-6fac-4625-b42c-e7f5f811cb33"},"content":[{"type":"tableRow","content":[{"type":"tableCell","attrs":{"background":"#44b3e1"},"content":[{"type":"paragraph","content":[{"type":"text","text":"Ticket ID","marks":[{"type":"strong"}]}]}]},{"type":"tableCell","attrs":{"colspan":4,"background":"#44b3e1"},"content":[{"type":"paragraph","content":[{"type":"text","text":"UCW-30924","marks":[{"type":"strong"}]}]}]}]},{"type":"tableRow","content":[{"type":"tableCell","attrs":{"background":"#44b3e1"},"content":[{"type":"paragraph","content":[{"type":"text","text":"Brand Name","marks":[{"type":"strong"}]}]}]},{"type":"tableCell","attrs":{"colspan":4,"background":"#44b3e1"},"content":[{"type":"paragraph","content":[{"type":"text","text":"Under Armour","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706"}]}]},{"type":"tableCell","attrs":{"background":"white"},"content":[{"type":"paragraph","content":[{"type":"text","text":"126"}]}]},{"type":"tableCell","attrs":{"background":"white"},"content":[{"type":"paragraph","content":[{"type":"text","text":"706"}]}]},{"type":"tableCell","attrs":{"background":"white"},"content":[{"type":"paragraph","content":[{"type":"text","text":"126"}]}]}]},{"type":"tableRow","content":[{"type":"tableCell","attrs":{"background":"white"},"content":[{"type":"paragraph","content":[{"type":"text","text":"Uploaded"}]}]},{"type":"tableCell","attrs":{"background":"white"},"content":[{"type":"paragraph","content":[{"type":"text","text":"706"}]}]},{"type":"tableCell","attrs":{"background":"white"},"content":[{"type":"paragraph","content":[{"type":"text","text":"126"}]}]},{"type":"tableCell","attrs":{"background":"white"},"content":[{"type":"paragraph","content":[{"type":"text","text":"706"}]}]},{"type":"tableCell","attrs":{"background":"white"},"content":[{"type":"paragraph","content":[{"type":"text","text":"126"}]}]}]},{"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706"}]}]},{"type":"tableCell","attrs":{"background":"white"},"content":[{"type":"paragraph","content":[{"type":"text","text":"126"}]}]},{"type":"tableCell","attrs":{"background":"white"},"content":[{"type":"paragraph","content":[{"type":"text","text":"701"}]}]},{"type":"tableCell","attrs":{"background":"white"},"content":[{"type":"paragraph","content":[{"type":"text","text":"125"}]}]}]},{"type":"tableRow","content":[{"type":"tableCell","attrs":{"background":"white"},"content":[{"type":"paragraph","content":[{"type":"text","text":"LIDs Stuck in the System"}]}]},{"type":"tableCell","attrs":{},"content":[{"type":"paragraph","content":[{"type":"text","text":"0"}]}]},{"type":"tableCell","attrs":{"background":"white"},"content":[{"type":"paragraph","content":[{"type":"text","text":"0"}]}]},{"type":"tableCell","attrs":{},"content":[{"type":"paragraph","content":[{"type":"text","text":"5"}]}]},{"type":"tableCell","attrs":{"background":"white"},"content":[{"type":"paragraph","content":[{"type":"text","text":"1"}]}]}]}]}
{adf}
1 Option is Stuck in system. We're working on it. Once resolve we'll inform you.
[https://tatacliqhelpdesk.freshservice.com/support/tickets/214730|https://tatacliqhelpdesk.freshservice.com/support/tickets/214730]</t>
  </si>
  <si>
    <t>We have successfully uploaded this batch. Please find the attached summary sheet and summary report.[^Post Upload Status.xlsx] ;[^UCW-30915.xlsx]
Please find attached the sheet, where 157 options of Beauty &amp; Grooming have been listed.
Kindly update the price and inventory, and share the summary once completed.
{adf:display=block}
{"type":"table","attrs":{"isNumberColumnEnabled":false,"layout":"center","localId":"df2c5591-6ccc-4b40-bad3-006155c86ed6"},"content":[{"type":"tableRow","content":[{"type":"tableCell","attrs":{"background":"#44b3e1"},"content":[{"type":"paragraph","content":[{"type":"text","text":"Ticket ID","marks":[{"type":"strong"}]}]}]},{"type":"tableCell","attrs":{"colspan":2,"background":"#44b3e1"},"content":[{"type":"paragraph","content":[{"type":"text","text":"UCW-30915","marks":[{"type":"strong"}]}]}]}]},{"type":"tableRow","content":[{"type":"tableCell","attrs":{"background":"#44b3e1"},"content":[{"type":"paragraph","content":[{"type":"text","text":"Brand Name","marks":[{"type":"strong"}]}]}]},{"type":"tableCell","attrs":{"colspan":2,"background":"#44b3e1"},"content":[{"type":"paragraph","content":[{"type":"text","text":"Himalaya","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198"}]}]},{"type":"tableCell","attrs":{},"content":[{"type":"paragraph","content":[{"type":"text","text":"198"}]}]}]},{"type":"tableRow","content":[{"type":"tableCell","attrs":{"background":"white"},"content":[{"type":"paragraph","content":[{"type":"text","text":"Uploaded"}]}]},{"type":"tableCell","attrs":{},"content":[{"type":"paragraph","content":[{"type":"text","text":"157"}]}]},{"type":"tableCell","attrs":{},"content":[{"type":"paragraph","content":[{"type":"text","text":"157"}]}]}]},{"type":"tableRow","content":[{"type":"tableCell","attrs":{"background":"white"},"content":[{"type":"paragraph","content":[{"type":"text","text":"SKUs Not Uploaded"}]}]},{"type":"tableCell","attrs":{},"content":[{"type":"paragraph","content":[{"type":"text","text":"41"}]}]},{"type":"tableCell","attrs":{},"content":[{"type":"paragraph","content":[{"type":"text","text":"41"}]}]}]},{"type":"tableRow","content":[{"type":"tableCell","attrs":{"background":"white"},"content":[{"type":"paragraph","content":[{"type":"text","text":"LIDs Shared"}]}]},{"type":"tableCell","attrs":{},"content":[{"type":"paragraph","content":[{"type":"text","text":"157"}]}]},{"type":"tableCell","attrs":{},"content":[{"type":"paragraph","content":[{"type":"text","text":"157"}]}]}]},{"type":"tableRow","content":[{"type":"tableCell","attrs":{"background":"white"},"content":[{"type":"paragraph","content":[{"type":"text","text":"LIDs Stuck in the System"}]}]},{"type":"tableCell","attrs":{},"content":[{"type":"paragraph","content":[{"type":"text","text":"0"}]}]},{"type":"tableCell","attrs":{},"content":[{"type":"paragraph","content":[{"type":"text","text":"0"}]}]}]}]}
{adf}
41 SKUs-We found that the image names and content titles do not match. Kindly share the revised data.
Additionally, we observed that multiple EANs are duplicated. Please review and provide the corrected dataset.</t>
  </si>
  <si>
    <t xml:space="preserve">We have updated the images. Please find the attached summary sheet for your reference.
{adf:display=block}
{"type":"table","attrs":{"isNumberColumnEnabled":false,"layout":"center","localId":"a6fb6bf5-d9fe-4338-b081-133071070844"},"content":[{"type":"tableRow","content":[{"type":"tableCell","attrs":{},"content":[{"type":"paragraph","content":[{"type":"text","text":"Ticket ID"}]}]},{"type":"tableCell","attrs":{"colspan":2},"content":[{"type":"paragraph","content":[{"type":"text","text":"UCW-30886"}]}]}]},{"type":"tableRow","content":[{"type":"tableCell","attrs":{},"content":[{"type":"paragraph","content":[{"type":"text","text":"Brand Name"}]}]},{"type":"tableCell","attrs":{"colspan":2},"content":[{"type":"paragraph","content":[{"type":"text","text":"LOUIS STITCH"}]}]}]},{"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306"}]}]},{"type":"tableCell","attrs":{},"content":[{"type":"paragraph","content":[{"type":"text","text":"47"}]}]}]},{"type":"tableRow","content":[{"type":"tableCell","attrs":{},"content":[{"type":"paragraph","content":[{"type":"text","text":"Uploaded"}]}]},{"type":"tableCell","attrs":{},"content":[{"type":"paragraph","content":[{"type":"text","text":"306"}]}]},{"type":"tableCell","attrs":{},"content":[{"type":"paragraph","content":[{"type":"text","text":"47"}]}]}]}]}
{adf}
[^Summery.zip]
[^Status of UCW-30886.xlsx]
</t>
  </si>
  <si>
    <t>We would like to inform you that your ticket has been successfully uploaded in our system.
Please find the attached summary files and post-upload file for your reference. We will share a further update once the listing IDs are generated.[^Summary.zip] [^UCW-30884 - Post Upload Status .xlsx] ;[^UCW-30884.xlsx]
Please find attached the sheet, where 10 options have been listed.
Kindly update the price and inventory, and share the summary once completed.
{adf:display=block}
{"type":"table","attrs":{"isNumberColumnEnabled":false,"layout":"center","localId":"14117c2c-a859-45da-93d9-1f2e9526b178"},"content":[{"type":"tableRow","content":[{"type":"tableCell","attrs":{"background":"#44b3e1"},"content":[{"type":"paragraph","content":[{"type":"text","text":"Ticket ID","marks":[{"type":"strong"}]}]}]},{"type":"tableCell","attrs":{"colspan":2,"background":"#44b3e1"},"content":[{"type":"paragraph","content":[{"type":"text","text":"UCW-30884","marks":[{"type":"strong"}]}]}]}]},{"type":"tableRow","content":[{"type":"tableCell","attrs":{"background":"#44b3e1"},"content":[{"type":"paragraph","content":[{"type":"text","text":"Brand Name","marks":[{"type":"strong"}]}]}]},{"type":"tableCell","attrs":{"colspan":2,"background":"#44b3e1"},"content":[{"type":"paragraph","content":[{"type":"text","text":"SCL Steelo","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10"}]}]},{"type":"tableCell","attrs":{},"content":[{"type":"paragraph","content":[{"type":"text","text":"10"}]}]}]},{"type":"tableRow","content":[{"type":"tableCell","attrs":{"background":"white"},"content":[{"type":"paragraph","content":[{"type":"text","text":"Uploaded"}]}]},{"type":"tableCell","attrs":{},"content":[{"type":"paragraph","content":[{"type":"text","text":"10"}]}]},{"type":"tableCell","attrs":{},"content":[{"type":"paragraph","content":[{"type":"text","text":"10"}]}]}]},{"type":"tableRow","content":[{"type":"tableCell","attrs":{"background":"white"},"content":[{"type":"paragraph","content":[{"type":"text","text":"LIDs Shared"}]}]},{"type":"tableCell","attrs":{},"content":[{"type":"paragraph","content":[{"type":"text","text":"10"}]}]},{"type":"tableCell","attrs":{},"content":[{"type":"paragraph","content":[{"type":"text","text":"10"}]}]}]},{"type":"tableRow","content":[{"type":"tableCell","attrs":{"background":"white"},"content":[{"type":"paragraph","content":[{"type":"text","text":"LIDs Stuck in the System"}]}]},{"type":"tableCell","attrs":{},"content":[{"type":"paragraph","content":[{"type":"text","text":"0"}]}]},{"type":"tableCell","attrs":{},"content":[{"type":"paragraph","content":[{"type":"text","text":"0"}]}]}]}]}
{adf}</t>
  </si>
  <si>
    <t>[^UCW-30874_Post Upload Status_V.2 (1).xlsx]
[^Summary.zip]
;[^UCW-30874.xlsx]
Please find attached the sheet, where 1 option has been listed.
Kindly update the price and inventory, and share the summary once completed.
{adf:display=block}
{"type":"table","attrs":{"isNumberColumnEnabled":false,"layout":"center","localId":"02586916-06cb-435c-ade7-d3e3fb85ae34"},"content":[{"type":"tableRow","content":[{"type":"tableCell","attrs":{"background":"#44b3e1"},"content":[{"type":"paragraph","content":[{"type":"text","text":"Ticket ID","marks":[{"type":"strong"}]}]}]},{"type":"tableCell","attrs":{"colspan":2,"background":"#44b3e1"},"content":[{"type":"paragraph","content":[{"type":"text","text":"UCW-30874","marks":[{"type":"strong"}]}]}]}]},{"type":"tableRow","content":[{"type":"tableCell","attrs":{"background":"#44b3e1"},"content":[{"type":"paragraph","content":[{"type":"text","text":"Brand Name","marks":[{"type":"strong"}]}]}]},{"type":"tableCell","attrs":{"colspan":2,"background":"#44b3e1"},"content":[{"type":"paragraph","content":[{"type":"text","text":"Banderas ","marks":[{"type":"strong"}]}]}]}]},{"type":"tableRow","content":[{"type":"tableCell","attrs":{"background":"#ace5fe"},"content":[{"type":"paragraph","content":[{"type":"text","text":"Platform","marks":[{"type":"strong"}]}]}]},{"type":"tableCell","attrs":{"colspan":2,"background":"#ace5fe"},"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</si>
  <si>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report.[^Post Upload Status_V.2 (1) (1).xlsx] [^Summary.zip] ;[^UCW-30868.xlsx]
Please find attached the sheet, where 423 options of Footwear have been listed.
Kindly update the price and inventory, and share the summary once completed.
{color:#ffffff}__{color}
{adf:display=block}
{"type":"table","attrs":{"isNumberColumnEnabled":false,"layout":"center","localId":"50d29661-c651-4258-86d2-fbb000e8ebba"},"content":[{"type":"tableRow","content":[{"type":"tableCell","attrs":{"background":"#44b3e1"},"content":[{"type":"paragraph","content":[{"type":"text","text":"Ticket ID","marks":[{"type":"strong"}]}]}]},{"type":"tableCell","attrs":{"colspan":2,"background":"#44b3e1"},"content":[{"type":"paragraph","content":[{"type":"text","text":"UCW-30868","marks":[{"type":"strong"}]}]}]}]},{"type":"tableRow","content":[{"type":"tableCell","attrs":{"background":"#44b3e1"},"content":[{"type":"paragraph","content":[{"type":"text","text":"Brand Name","marks":[{"type":"strong"}]}]}]},{"type":"tableCell","attrs":{"colspan":2,"background":"#44b3e1"},"content":[{"type":"paragraph","content":[{"type":"text","text":" Cheemo, Da Vinchi, J.fontini, Metro, Mochi","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5153"}]}]},{"type":"tableCell","attrs":{},"content":[{"type":"paragraph","content":[{"type":"text","text":"871"}]}]}]},{"type":"tableRow","content":[{"type":"tableCell","attrs":{"background":"white"},"content":[{"type":"paragraph","content":[{"type":"text","text":"Uploaded"}]}]},{"type":"tableCell","attrs":{},"content":[{"type":"paragraph","content":[{"type":"text","text":"3181"}]}]},{"type":"tableCell","attrs":{},"content":[{"type":"paragraph","content":[{"type":"text","text":"423"}]}]}]},{"type":"tableRow","content":[{"type":"tableCell","attrs":{"background":"white"},"content":[{"type":"paragraph","content":[{"type":"text","text":"SKUs not uploaded- Multiple Issue"}]}]},{"type":"tableCell","attrs":{},"content":[{"type":"paragraph","content":[{"type":"text","text":"1770"}]}]},{"type":"tableCell","attrs":{},"content":[{"type":"paragraph","content":[{"type":"text","text":"410"}]}]}]},{"type":"tableRow","content":[{"type":"tableCell","attrs":{"background":"white"},"content":[{"type":"paragraph","content":[{"type":"text","text":"Already Listed"}]}]},{"type":"tableCell","attrs":{},"content":[{"type":"paragraph","content":[{"type":"text","text":"45"}]}]},{"type":"tableCell","attrs":{},"content":[{"type":"paragraph","content":[{"type":"text","text":"7"}]}]}]},{"type":"tableRow","content":[{"type":"tableCell","attrs":{"background":"white"},"content":[{"type":"paragraph","content":[{"type":"text","text":"Already Listed- Required Revised EAN"}]}]},{"type":"tableCell","attrs":{},"content":[{"type":"paragraph","content":[{"type":"text","text":"157"}]}]},{"type":"tableCell","attrs":{},"content":[{"type":"paragraph","content":[{"type":"text","text":"31"}]}]}]},{"type":"tableRow","content":[{"type":"tableCell","attrs":{"background":"white"},"content":[{"type":"paragraph","content":[{"type":"text","text":"LIDs Shared"}]}]},{"type":"tableCell","attrs":{},"content":[{"type":"paragraph","content":[{"type":"text","text":"3172"}]}]},{"type":"tableCell","attrs":{},"content":[{"type":"paragraph","content":[{"type":"text","text":"423"}]}]}]},{"type":"tableRow","content":[{"type":"tableCell","attrs":{"background":"white"},"content":[{"type":"paragraph","content":[{"type":"text","text":"LIDs Stuck in the System"}]}]},{"type":"tableCell","attrs":{},"content":[{"type":"paragraph","content":[{"type":"text","text":"9"}]}]},{"type":"tableCell","attrs":{},"content":[{"type":"paragraph","content":[{"type":"text","text":"0"}]}]}]}]}
{adf}
9 SKUs stuck in the System, once its resolve we will inform you accordingly.
We require revised EANs for 7 options. Request you to kindly share the updated EAN details.;Retrigger Done.
[^100031_SKUEDITRETRIGGER__Shoe_Slip-on(MPH1311104100)_20260521_052434_302_summary.csv]
[^100031_SKUEDITRETRIGGER__Shoe_Slip-on(MPH1311101102)_20260521_054437_554_summary (1).csv]
[^100031_SKUEDITRETRIGGER__Sandal(MPH1312101100)_20260521_053529_183_summary.csv]
[^100031_SKUEDITRETRIGGER__Shoe(MPH1312101101)_20260521_052926_643_summary.csv]
[^100031_SKUEDITRETRIGGER__Sneaker(MPH1311101104)_20260521_055054_844_summary.csv]
;[^UCW-30868 (13fca811-4fb5-4a1a-8e62-a0cfe4256bd8).xlsx]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1215939b-c8a9-4f86-891e-4935e9637e42"},"content":[{"type":"tableRow","content":[{"type":"tableCell","attrs":{"background":"#44b3e1"},"content":[{"type":"paragraph","content":[{"type":"text","text":"Ticket ID","marks":[{"type":"strong"}]}]}]},{"type":"tableCell","attrs":{"colspan":2,"background":"#44b3e1"},"content":[{"type":"paragraph","content":[{"type":"text","text":"UCW-30868","marks":[{"type":"strong"}]}]}]}]},{"type":"tableRow","content":[{"type":"tableCell","attrs":{"background":"#44b3e1"},"content":[{"type":"paragraph","content":[{"type":"text","text":"Brand Name","marks":[{"type":"strong"}]}]}]},{"type":"tableCell","attrs":{"colspan":2,"background":"#44b3e1"},"content":[{"type":"paragraph","content":[{"type":"text","text":" Cheemo, Da Vinchi, J.fontini, Metro, Mochi","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5153"}]}]},{"type":"tableCell","attrs":{},"content":[{"type":"paragraph","content":[{"type":"text","text":"871"}]}]}]},{"type":"tableRow","content":[{"type":"tableCell","attrs":{"background":"white"},"content":[{"type":"paragraph","content":[{"type":"text","text":"Uploaded"}]}]},{"type":"tableCell","attrs":{},"content":[{"type":"paragraph","content":[{"type":"text","text":"3181"}]}]},{"type":"tableCell","attrs":{},"content":[{"type":"paragraph","content":[{"type":"text","text":"423"}]}]}]},{"type":"tableRow","content":[{"type":"tableCell","attrs":{"background":"white"},"content":[{"type":"paragraph","content":[{"type":"text","text":"SKUs not uploaded- Multiple Issue"}]}]},{"type":"tableCell","attrs":{},"content":[{"type":"paragraph","content":[{"type":"text","text":"1770"}]}]},{"type":"tableCell","attrs":{},"content":[{"type":"paragraph","content":[{"type":"text","text":"410"}]}]}]},{"type":"tableRow","content":[{"type":"tableCell","attrs":{"background":"white"},"content":[{"type":"paragraph","content":[{"type":"text","text":"Already Listed"}]}]},{"type":"tableCell","attrs":{},"content":[{"type":"paragraph","content":[{"type":"text","text":"45"}]}]},{"type":"tableCell","attrs":{},"content":[{"type":"paragraph","content":[{"type":"text","text":"7"}]}]}]},{"type":"tableRow","content":[{"type":"tableCell","attrs":{"background":"white"},"content":[{"type":"paragraph","content":[{"type":"text","text":"Already Listed- Required Revised EAN"}]}]},{"type":"tableCell","attrs":{},"content":[{"type":"paragraph","content":[{"type":"text","text":"157"}]}]},{"type":"tableCell","attrs":{},"content":[{"type":"paragraph","content":[{"type":"text","text":"31"}]}]}]},{"type":"tableRow","content":[{"type":"tableCell","attrs":{"background":"white"},"content":[{"type":"paragraph","content":[{"type":"text","text":"LIDs Shared"}]}]},{"type":"tableCell","attrs":{},"content":[{"type":"paragraph","content":[{"type":"text","text":"3181"}]}]},{"type":"tableCell","attrs":{},"content":[{"type":"paragraph","content":[{"type":"text","text":"423"}]}]}]},{"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</si>
  <si>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[^UCW-30861 Post Upload Status_V.2 (1).xlsx]
[^Summary.zip]
;[^UCW-30861.xlsx]
Please find attached the sheet, where 1 option has been listed.
Kindly update the price and inventory, and share the summary once completed.
{adf:display=block}
{"type":"table","attrs":{"isNumberColumnEnabled":false,"layout":"center","localId":"bfb09889-53e0-4ef0-8302-98bb48b6ea69"},"content":[{"type":"tableRow","content":[{"type":"tableCell","attrs":{"background":"#44b3e1"},"content":[{"type":"paragraph","content":[{"type":"text","text":"Ticket ID","marks":[{"type":"strong"}]}]}]},{"type":"tableCell","attrs":{"colspan":2,"background":"#44b3e1"},"content":[{"type":"paragraph","content":[{"type":"text","text":"UCW-30861","marks":[{"type":"strong"}]}]}]}]},{"type":"tableRow","content":[{"type":"tableCell","attrs":{"background":"#44b3e1"},"content":[{"type":"paragraph","content":[{"type":"text","text":"Brand Name","marks":[{"type":"strong"}]}]}]},{"type":"tableCell","attrs":{"colspan":2,"background":"#44b3e1"},"content":[{"type":"paragraph","content":[{"type":"text","text":"Lancome","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</si>
  <si>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[^Post Upload Status.xlsx]
[^ProductBulkUpload_128383_Beauty__Grooming(MPH22)_Makeup(MPH2214)_Face(MPH2214101)_Compact(MPH2214101104)_43028_1778932112110_20260516_051832_299_summary.csv]
We have successfully uploaded this batch. Please find the attached summary sheet and summary report.;[^UCW-30855.xlsx]
Please find attached the sheet, where 4 options of Beauty &amp; Grooming have been listed.
Kindly update the price and inventory, and share the summary once completed.
{adf:display=block}
{"type":"table","attrs":{"isNumberColumnEnabled":false,"layout":"center","localId":"f649864f-b32f-477d-a06e-21c4e4782d2a"},"content":[{"type":"tableRow","content":[{"type":"tableCell","attrs":{"background":"#44b3e1"},"content":[{"type":"paragraph","content":[{"type":"text","text":"Ticket ID","marks":[{"type":"strong"}]}]}]},{"type":"tableCell","attrs":{"colspan":2,"background":"#44b3e1"},"content":[{"type":"paragraph","content":[{"type":"text","text":"UCW-30855","marks":[{"type":"strong"}]}]}]}]},{"type":"tableRow","content":[{"type":"tableCell","attrs":{"background":"#44b3e1"},"content":[{"type":"paragraph","content":[{"type":"text","text":"Brand Name","marks":[{"type":"strong"}]}]}]},{"type":"tableCell","attrs":{"colspan":2,"background":"#44b3e1"},"content":[{"type":"paragraph","content":[{"type":"text","text":"Glam21","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6"}]}]},{"type":"tableCell","attrs":{},"content":[{"type":"paragraph","content":[{"type":"text","text":"6"}]}]}]},{"type":"tableRow","content":[{"type":"tableCell","attrs":{"background":"white"},"content":[{"type":"paragraph","content":[{"type":"text","text":"Uploaded"}]}]},{"type":"tableCell","attrs":{},"content":[{"type":"paragraph","content":[{"type":"text","text":"4"}]}]},{"type":"tableCell","attrs":{},"content":[{"type":"paragraph","content":[{"type":"text","text":"4"}]}]}]},{"type":"tableRow","content":[{"type":"tableCell","attrs":{"background":"white"},"content":[{"type":"paragraph","content":[{"type":"text","text":"Already Listed"}]}]},{"type":"tableCell","attrs":{},"content":[{"type":"paragraph","content":[{"type":"text","text":"2"}]}]},{"type":"tableCell","attrs":{},"content":[{"type":"paragraph","content":[{"type":"text","text":"2"}]}]}]},{"type":"tableRow","content":[{"type":"tableCell","attrs":{"background":"white"},"content":[{"type":"paragraph","content":[{"type":"text","text":"LIDs Shared"}]}]},{"type":"tableCell","attrs":{},"content":[{"type":"paragraph","content":[{"type":"text","text":"4"}]}]},{"type":"tableCell","attrs":{},"content":[{"type":"paragraph","content":[{"type":"text","text":"4"}]}]}]},{"type":"tableRow","content":[{"type":"tableCell","attrs":{"background":"white"},"content":[{"type":"paragraph","content":[{"type":"text","text":"LIDs Stuck in the System"}]}]},{"type":"tableCell","attrs":{},"content":[{"type":"paragraph","content":[{"type":"text","text":"0"}]}]},{"type":"tableCell","attrs":{},"content":[{"type":"paragraph","content":[{"type":"text","text":"0"}]}]}]}]}
{adf}
2 SKUs are stuck in save as draft. We have raised [*Tech Ticket*|https://tatacliqhelpdesk.freshservice.com/support/tickets/213052] and will be taking action accordingly in order to generate the LIDs.</t>
  </si>
  <si>
    <t>PFA the Post Upload Sheet &amp; Summary.
[^Post Upload Status_UCW-30848.xlsx]
[^Summary.zip]
;[^UCW-30848.xlsx]
Please find attached the sheet, where 257 options have been listed.
Kindly update the price and inventory, and share the summary once completed.
{adf:display=block}
{"type":"table","attrs":{"isNumberColumnEnabled":false,"layout":"center","localId":"eb037fa9-e39b-4ce4-af4c-febf13f3e3d0"},"content":[{"type":"tableRow","content":[{"type":"tableCell","attrs":{"background":"#44b3e1"},"content":[{"type":"paragraph","content":[{"type":"text","text":"Ticket ID","marks":[{"type":"strong"}]}]}]},{"type":"tableCell","attrs":{"colspan":2,"background":"#44b3e1"},"content":[{"type":"paragraph","content":[{"type":"text","text":"UCW-30848","marks":[{"type":"strong"}]}]}]}]},{"type":"tableRow","content":[{"type":"tableCell","attrs":{"background":"#44b3e1"},"content":[{"type":"paragraph","content":[{"type":"text","text":"Brand Name","marks":[{"type":"strong"}]}]}]},{"type":"tableCell","attrs":{"colspan":2,"background":"#44b3e1"},"content":[{"type":"paragraph","content":[{"type":"text","text":"Meena Bazaar","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275"}]}]},{"type":"tableCell","attrs":{},"content":[{"type":"paragraph","content":[{"type":"text","text":"275"}]}]}]},{"type":"tableRow","content":[{"type":"tableCell","attrs":{"background":"white"},"content":[{"type":"paragraph","content":[{"type":"text","text":"Uploaded"}]}]},{"type":"tableCell","attrs":{},"content":[{"type":"paragraph","content":[{"type":"text","text":"257"}]}]},{"type":"tableCell","attrs":{},"content":[{"type":"paragraph","content":[{"type":"text","text":"257"}]}]}]},{"type":"tableRow","content":[{"type":"tableCell","attrs":{},"content":[{"type":"paragraph","content":[{"type":"text","text":"SKU Not Uploaded-Stylecode length is greater than 50 / Image Issue(Back View Image Missing)"}]}]},{"type":"tableCell","attrs":{},"content":[{"type":"paragraph","content":[{"type":"text","text":"18"}]}]},{"type":"tableCell","attrs":{},"content":[{"type":"paragraph","content":[{"type":"text","text":"18"}]}]}]},{"type":"tableRow","content":[{"type":"tableCell","attrs":{"background":"white"},"content":[{"type":"paragraph","content":[{"type":"text","text":"LIDs Shared"}]}]},{"type":"tableCell","attrs":{},"content":[{"type":"paragraph","content":[{"type":"text","text":"257"}]}]},{"type":"tableCell","attrs":{},"content":[{"type":"paragraph","content":[{"type":"text","text":"257"}]}]}]},{"type":"tableRow","content":[{"type":"tableCell","attrs":{"background":"white"},"content":[{"type":"paragraph","content":[{"type":"text","text":"LIDs Stuck in the System"}]}]},{"type":"tableCell","attrs":{},"content":[{"type":"paragraph","content":[{"type":"text","text":"0"}]}]},{"type":"tableCell","attrs":{},"content":[{"type":"paragraph","content":[{"type":"text","text":"0"}]}]}]}]}
{adf}</t>
  </si>
  <si>
    <t>PFA the SUmmary &amp; Post-Uploaded sheet[^UCW-30846vPost Upload Status_V.2 (1).xlsx] [^Summary.zip] ;[^UCW-30846.xlsx]
Please find attached the sheet, where 299 options of Women's Apparel have been listed.
Kindly update the price and inventory, and share the summary once completed.
{adf:display=block}
{"type":"table","attrs":{"isNumberColumnEnabled":false,"layout":"center","localId":"053496e8-b56c-403f-87e4-832411ca7e6a"},"content":[{"type":"tableRow","content":[{"type":"tableCell","attrs":{"background":"#44b3e1"},"content":[{"type":"paragraph","content":[{"type":"text","text":"Ticket ID","marks":[{"type":"strong"}]}]}]},{"type":"tableCell","attrs":{"colspan":2,"background":"#44b3e1"},"content":[{"type":"paragraph","content":[{"type":"text","text":"UCW-30846","marks":[{"type":"strong"}]}]}]}]},{"type":"tableRow","content":[{"type":"tableCell","attrs":{"background":"#44b3e1"},"content":[{"type":"paragraph","content":[{"type":"text","text":"Brand Name","marks":[{"type":"strong"}]}]}]},{"type":"tableCell","attrs":{"colspan":2,"background":"#44b3e1"},"content":[{"type":"paragraph","content":[{"type":"text","text":"Meena Bazaar","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329"}]}]},{"type":"tableCell","attrs":{},"content":[{"type":"paragraph","content":[{"type":"text","text":"329"}]}]}]},{"type":"tableRow","content":[{"type":"tableCell","attrs":{"background":"white"},"content":[{"type":"paragraph","content":[{"type":"text","text":"Uploaded"}]}]},{"type":"tableCell","attrs":{},"content":[{"type":"paragraph","content":[{"type":"text","text":"299"}]}]},{"type":"tableCell","attrs":{},"content":[{"type":"paragraph","content":[{"type":"text","text":"299"}]}]}]},{"type":"tableRow","content":[{"type":"tableCell","attrs":{"background":"white"},"content":[{"type":"paragraph","content":[{"type":"text","text":"Already Listed"}]}]},{"type":"tableCell","attrs":{},"content":[{"type":"paragraph","content":[{"type":"text","text":"29"}]}]},{"type":"tableCell","attrs":{},"content":[{"type":"paragraph","content":[{"type":"text","text":"29"}]}]}]},{"type":"tableRow","content":[{"type":"tableCell","attrs":{},"content":[{"type":"paragraph","content":[{"type":"text","text":"SKU Not Uploaded-Duplicated EAN Value Provided by Brand"}]}]},{"type":"tableCell","attrs":{},"content":[{"type":"paragraph","content":[{"type":"text","text":"1"}]}]},{"type":"tableCell","attrs":{},"content":[{"type":"paragraph","content":[{"type":"text","text":"1"}]}]}]},{"type":"tableRow","content":[{"type":"tableCell","attrs":{"background":"white"},"content":[{"type":"paragraph","content":[{"type":"text","text":"LIDs Shared"}]}]},{"type":"tableCell","attrs":{},"content":[{"type":"paragraph","content":[{"type":"text","text":"299"}]}]},{"type":"tableCell","attrs":{},"content":[{"type":"paragraph","content":[{"type":"text","text":"299"}]}]}]},{"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</si>
  <si>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report.[^Summary.zip] [^Post Upload Status_V.2 (1).xlsx] ;[^UCW-30841.xlsx]
Please find attached the sheet, where 23 options of Footwear have been listed.
Kindly update the price and inventory, and share the summary once completed.
{adf:display=block}
{"type":"table","attrs":{"isNumberColumnEnabled":false,"layout":"center","localId":"ea6998a2-9af5-482d-923e-16d4e9bc0ac4"},"content":[{"type":"tableRow","content":[{"type":"tableCell","attrs":{"background":"#44b3e1"},"content":[{"type":"paragraph","content":[{"type":"text","text":"Ticket ID","marks":[{"type":"strong"}]}]}]},{"type":"tableCell","attrs":{"colspan":2,"background":"#44b3e1"},"content":[{"type":"paragraph","content":[{"type":"text","text":"UCW-30841","marks":[{"type":"strong"}]}]}]}]},{"type":"tableRow","content":[{"type":"tableCell","attrs":{"background":"#44b3e1"},"content":[{"type":"paragraph","content":[{"type":"text","text":"Brand Name","marks":[{"type":"strong"}]}]}]},{"type":"tableCell","attrs":{"colspan":2,"background":"#44b3e1"},"content":[{"type":"paragraph","content":[{"type":"text","text":"Hoversoul","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138"}]}]},{"type":"tableCell","attrs":{},"content":[{"type":"paragraph","content":[{"type":"text","text":"23"}]}]}]},{"type":"tableRow","content":[{"type":"tableCell","attrs":{"background":"white"},"content":[{"type":"paragraph","content":[{"type":"text","text":"Uploaded"}]}]},{"type":"tableCell","attrs":{},"content":[{"type":"paragraph","content":[{"type":"text","text":"138"}]}]},{"type":"tableCell","attrs":{},"content":[{"type":"paragraph","content":[{"type":"text","text":"23"}]}]}]},{"type":"tableRow","content":[{"type":"tableCell","attrs":{"background":"white"},"content":[{"type":"paragraph","content":[{"type":"text","text":"LIDs Shared"}]}]},{"type":"tableCell","attrs":{},"content":[{"type":"paragraph","content":[{"type":"text","text":"138"}]}]},{"type":"tableCell","attrs":{},"content":[{"type":"paragraph","content":[{"type":"text","text":"23"}]}]}]},{"type":"tableRow","content":[{"type":"tableCell","attrs":{"background":"white"},"content":[{"type":"paragraph","content":[{"type":"text","text":"LIDs Stuck in the System"}]}]},{"type":"tableCell","attrs":{},"content":[{"type":"paragraph","content":[{"type":"text","text":"0"}]}]},{"type":"tableCell","attrs":{},"content":[{"type":"paragraph","content":[{"type":"text","text":"0"}]}]}]}]}
{adf}</t>
  </si>
  <si>
    <t>[^UCW-30830_Post Upload Status_V.2 (1).xlsx]
[^Summary.zip]
;[^UCW-30830.xlsx]
Please find attached the sheet, where 4 options have been listed.
Kindly update the price and inventory, and share the summary once completed.
{adf:display=block}
{"type":"table","attrs":{"isNumberColumnEnabled":false,"layout":"center","localId":"3fce0d1e-4815-4033-97c4-187155ebba04"},"content":[{"type":"tableRow","content":[{"type":"tableCell","attrs":{"background":"#44b3e1"},"content":[{"type":"paragraph","content":[{"type":"text","text":"Ticket ID","marks":[{"type":"strong"}]}]}]},{"type":"tableCell","attrs":{"colspan":2,"background":"#44b3e1"},"content":[{"type":"paragraph","content":[{"type":"text","text":"UCW-30830","marks":[{"type":"strong"}]}]}]}]},{"type":"tableRow","content":[{"type":"tableCell","attrs":{"background":"#44b3e1"},"content":[{"type":"paragraph","content":[{"type":"text","text":"Brand Name","marks":[{"type":"strong"}]}]}]},{"type":"tableCell","attrs":{"colspan":2,"background":"#44b3e1"},"content":[{"type":"paragraph","content":[{"type":"text","text":"Streax","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type":"tableCell","attrs":{},"content":[{"type":"paragraph","content":[{"type":"text","text":"4"}]}]}]},{"type":"tableRow","content":[{"type":"tableCell","attrs":{"background":"white"},"content":[{"type":"paragraph","content":[{"type":"text","text":"Uploaded"}]}]},{"type":"tableCell","attrs":{},"content":[{"type":"paragraph","content":[{"type":"text","text":"4"}]}]},{"type":"tableCell","attrs":{},"content":[{"type":"paragraph","content":[{"type":"text","text":"4"}]}]}]},{"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4"}]}]},{"type":"tableCell","attrs":{},"content":[{"type":"paragraph","content":[{"type":"text","text":"4"}]}]}]},{"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</si>
  <si>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report.[^Post Upload Status_V.2 (1).xlsx] [^Summary.zip] ;[^UCW-30829.xlsx]
Please find attached the sheet, where 1 option has been listed.
Kindly update the price and inventory, and share the summary once completed.
{adf:display=block}
{"type":"table","attrs":{"isNumberColumnEnabled":false,"layout":"center","localId":"5bf746eb-2bf9-401a-a825-5516f604a44d"},"content":[{"type":"tableRow","content":[{"type":"tableCell","attrs":{"background":"#44b3e1"},"content":[{"type":"paragraph","content":[{"type":"text","text":"Ticket ID","marks":[{"type":"strong"}]}]}]},{"type":"tableCell","attrs":{"colspan":2,"background":"#44b3e1"},"content":[{"type":"paragraph","content":[{"type":"text","text":"UCW-30829","marks":[{"type":"strong"}]}]}]}]},{"type":"tableRow","content":[{"type":"tableCell","attrs":{"background":"#44b3e1"},"content":[{"type":"paragraph","content":[{"type":"text","text":"Brand Name","marks":[{"type":"strong"}]}]}]},{"type":"tableCell","attrs":{"colspan":2,"background":"#44b3e1"},"content":[{"type":"paragraph","content":[{"type":"text","text":"Adidas Original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21"}]}]},{"type":"tableCell","attrs":{},"content":[{"type":"paragraph","content":[{"type":"text","text":"1"}]}]}]},{"type":"tableRow","content":[{"type":"tableCell","attrs":{"background":"white"},"content":[{"type":"paragraph","content":[{"type":"text","text":"Uploaded"}]}]},{"type":"tableCell","attrs":{},"content":[{"type":"paragraph","content":[{"type":"text","text":"21"}]}]},{"type":"tableCell","attrs":{},"content":[{"type":"paragraph","content":[{"type":"text","text":"1"}]}]}]},{"type":"tableRow","content":[{"type":"tableCell","attrs":{"background":"white"},"content":[{"type":"paragraph","content":[{"type":"text","text":"LIDs Shared"}]}]},{"type":"tableCell","attrs":{},"content":[{"type":"paragraph","content":[{"type":"text","text":"21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</si>
  <si>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[^UCW-30826_Post Upload Status_V.2 (1).xlsx]
[^Summary.zip]
;[^UCW-30826.xlsx]
Please find attached the sheet, where 2 options have been listed.
Kindly update the price and inventory, and share the summary once completed.
{adf:display=block}
{"type":"table","attrs":{"isNumberColumnEnabled":false,"layout":"center","localId":"a7e44d81-997a-4e88-8c3b-31fe7a5d2615"},"content":[{"type":"tableRow","content":[{"type":"tableCell","attrs":{"background":"#44b3e1"},"content":[{"type":"paragraph","content":[{"type":"text","text":"Ticket ID","marks":[{"type":"strong"}]}]}]},{"type":"tableCell","attrs":{"colspan":2,"background":"#44b3e1"},"content":[{"type":"paragraph","content":[{"type":"text","text":"UCW-30826","marks":[{"type":"strong"}]}]}]}]},{"type":"tableRow","content":[{"type":"tableCell","attrs":{"background":"#44b3e1"},"content":[{"type":"paragraph","content":[{"type":"text","text":"Brand Name","marks":[{"type":"strong"}]}]}]},{"type":"tableCell","attrs":{"colspan":2,"background":"#44b3e1"},"content":[{"type":"paragraph","content":[{"type":"text","text":"Biotop","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type":"tableCell","attrs":{},"content":[{"type":"paragraph","content":[{"type":"text","text":"2"}]}]}]},{"type":"tableRow","content":[{"type":"tableCell","attrs":{"background":"white"},"content":[{"type":"paragraph","content":[{"type":"text","text":"Uploaded"}]}]},{"type":"tableCell","attrs":{},"content":[{"type":"paragraph","content":[{"type":"text","text":"2"}]}]},{"type":"tableCell","attrs":{},"content":[{"type":"paragraph","content":[{"type":"text","text":"2"}]}]}]},{"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2"}]}]},{"type":"tableCell","attrs":{},"content":[{"type":"paragraph","content":[{"type":"text","text":"2"}]}]}]},{"type":"tableRow","content":[{"type":"tableCell","attrs":{"background":"white"},"content":[{"type":"paragraph","content":[{"type":"text","text":"LIDs Stuck in the System"}]}]},{"type":"tableCell","attrs":{},"content":[{"type":"paragraph","content":[{"type":"text","text":"0"}]}]},{"type":"tableCell","attrs":{},"content":[{"type":"paragraph","content":[{"type":"text","text":"0"}]}]}]}]}
{adf}</t>
  </si>
  <si>
    <t>E2E - cataloging team;[^UCW-30798_Post Upload Status_V.2 (1).xlsx]
[^Summary.zip]
;[^UCW-30798.xlsx]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c8217cb-8127-4dfe-8e96-25f600de4299"},"content":[{"type":"tableRow","content":[{"type":"tableCell","attrs":{"background":"#44b3e1"},"content":[{"type":"paragraph","content":[{"type":"text","text":"Ticket ID","marks":[{"type":"strong"}]}]}]},{"type":"tableCell","attrs":{"colspan":2,"background":"#44b3e1"},"content":[{"type":"paragraph","content":[{"type":"text","text":"UCW-30798","marks":[{"type":"strong"}]}]}]}]},{"type":"tableRow","content":[{"type":"tableCell","attrs":{"background":"#44b3e1"},"content":[{"type":"paragraph","content":[{"type":"text","text":"Brand Name","marks":[{"type":"strong"}]}]}]},{"type":"tableCell","attrs":{"colspan":2,"background":"#44b3e1"},"content":[{"type":"paragraph","content":[{"type":"text","text":"Marc Jacob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type":"tableCell","attrs":{},"content":[{"type":"paragraph","content":[{"type":"text","text":"4"}]}]}]},{"type":"tableRow","content":[{"type":"tableCell","attrs":{"background":"white"},"content":[{"type":"paragraph","content":[{"type":"text","text":"Uploaded"}]}]},{"type":"tableCell","attrs":{},"content":[{"type":"paragraph","content":[{"type":"text","text":"4"}]}]},{"type":"tableCell","attrs":{},"content":[{"type":"paragraph","content":[{"type":"text","text":"4"}]}]}]},{"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4"}]}]},{"type":"tableCell","attrs":{},"content":[{"type":"paragraph","content":[{"type":"text","text":"4"}]}]}]},{"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</si>
  <si>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We would like to inform you that your ticket has been successfully uploaded in our system.
Please find the attached summary files and post-upload file for your reference. We will share a further update once the listing IDs are generated.[^Summary Accessories.zip] [^Summary Footwear.zip] [^UCW-30774 - Accessories - Post Upload Status.xlsx] [^UCW-30774 - Footwear - Post Upload Status .xlsx] ;[^UCW-30774 - Footwear - Post Upload Status.xlsx]
[^UCW-30774 - Accessories - Post Upload Status (bb43fb4a-9009-4755-b44d-47878a8adc05).xlsx]
Please find attached the sheet, where 8 options of Footwear and 22 options of Accessories have been listed.
Kindly update the price and inventory, and share the summary once completed.
{adf:display=block}
{"type":"table","attrs":{"isNumberColumnEnabled":false,"layout":"center","localId":"09612997-c699-49b8-a9d9-2addd413ed0a"},"content":[{"type":"tableRow","content":[{"type":"tableCell","attrs":{"background":"#44b3e1"},"content":[{"type":"paragraph","content":[{"type":"text","text":"Ticket ID","marks":[{"type":"strong"}]}]}]},{"type":"tableCell","attrs":{"colspan":4,"background":"#44b3e1"},"content":[{"type":"paragraph","content":[{"type":"text","text":"UCW-30774","marks":[{"type":"strong"}]}]}]}]},{"type":"tableRow","content":[{"type":"tableCell","attrs":{"background":"#44b3e1"},"content":[{"type":"paragraph","content":[{"type":"text","text":"Brand Name","marks":[{"type":"strong"}]}]}]},{"type":"tableCell","attrs":{"colspan":4,"background":"#44b3e1"},"content":[{"type":"paragraph","content":[{"type":"text","text":"Red Tape, Bond Street By Red Tape ","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Mall","marks":[{"type":"strong"}]}]}]}]},{"type":"tableRow","content":[{"type":"tableCell","attrs":{"background":"#ace5fe"},"content":[{"type":"paragraph","content":[{"type":"text","text":"Category","marks":[{"type":"strong"}]}]}]},{"type":"tableCell","attrs":{"colspan":2,"background":"#ace5fe"},"content":[{"type":"paragraph","content":[{"type":"text","text":"Footwear","marks":[{"type":"strong"}]}]}]},{"type":"tableCell","attrs":{"colspan":2,"background":"#ace5fe"},"content":[{"type":"paragraph","content":[{"type":"text","text":"Accessories","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40"}]}]},{"type":"tableCell","attrs":{},"content":[{"type":"paragraph","content":[{"type":"text","text":"8"}]}]},{"type":"tableCell","attrs":{},"content":[{"type":"paragraph","content":[{"type":"text","text":"22"}]}]},{"type":"tableCell","attrs":{},"content":[{"type":"paragraph","content":[{"type":"text","text":"22"}]}]}]},{"type":"tableRow","content":[{"type":"tableCell","attrs":{"background":"white"},"content":[{"type":"paragraph","content":[{"type":"text","text":"Uploaded"}]}]},{"type":"tableCell","attrs":{},"content":[{"type":"paragraph","content":[{"type":"text","text":"40"}]}]},{"type":"tableCell","attrs":{},"content":[{"type":"paragraph","content":[{"type":"text","text":"8"}]}]},{"type":"tableCell","attrs":{},"content":[{"type":"paragraph","content":[{"type":"text","text":"22"}]}]},{"type":"tableCell","attrs":{},"content":[{"type":"paragraph","content":[{"type":"text","text":"22"}]}]}]},{"type":"tableRow","content":[{"type":"tableCell","attrs":{"background":"white"},"content":[{"type":"paragraph","content":[{"type":"text","text":"LIDs Shared"}]}]},{"type":"tableCell","attrs":{},"content":[{"type":"paragraph","content":[{"type":"text","text":"40"}]}]},{"type":"tableCell","attrs":{},"content":[{"type":"paragraph","content":[{"type":"text","text":"8"}]}]},{"type":"tableCell","attrs":{},"content":[{"type":"paragraph","content":[{"type":"text","text":"22"}]}]},{"type":"tableCell","attrs":{},"content":[{"type":"paragraph","content":[{"type":"text","text":"22"}]}]}]},{"type":"tableRow","content":[{"type":"tableCell","attrs":{"background":"white"},"content":[{"type":"paragraph","content":[{"type":"text","text":"LIDs Stuck in the System"}]}]},{"type":"tableCell","attrs":{},"content":[{"type":"paragraph","content":[{"type":"text","text":"0"}]}]},{"type":"tableCell","attrs":{},"content":[{"type":"paragraph","content":[{"type":"text","text":"0"}]}]},{"type":"tableCell","attrs":{},"content":[{"type":"paragraph","content":[{"type":"text","text":"0"}]}]},{"type":"tableCell","attrs":{},"content":[{"type":"paragraph","content":[{"type":"text","text":"0"}]}]}]}]}
{adf}</t>
  </si>
  <si>
    <t>We would like to inform you that your ticket has been successfully uploaded in our system.
Please find the attached summary files and post-upload file for your reference. We will share a further update once the listing IDs are generated.[^Summary.zip] [^UCW-30770 - Post Upload Status .xlsx] ;[^UCW-30770.xlsx] Please find attached the sheet, where 80 options have been listed.
Kindly update the price and inventory, and share the summary once completed.
{adf:display=block}
{"type":"table","attrs":{"isNumberColumnEnabled":false,"layout":"center","localId":"a814ce90-a182-4b98-bd7f-ee09a10b42a1"},"content":[{"type":"tableRow","content":[{"type":"tableCell","attrs":{"background":"#44b3e1"},"content":[{"type":"paragraph","content":[{"type":"text","text":"Ticket ID","marks":[{"type":"strong"}]}]}]},{"type":"tableCell","attrs":{"colspan":2,"background":"#44b3e1"},"content":[{"type":"paragraph","content":[{"type":"text","text":"UCW-30770","marks":[{"type":"strong"}]}]}]}]},{"type":"tableRow","content":[{"type":"tableCell","attrs":{"background":"#44b3e1"},"content":[{"type":"paragraph","content":[{"type":"text","text":"Brand Name","marks":[{"type":"strong"}]}]}]},{"type":"tableCell","attrs":{"colspan":2,"background":"#44b3e1"},"content":[{"type":"paragraph","content":[{"type":"text","text":"Leeford","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80"}]}]},{"type":"tableCell","attrs":{},"content":[{"type":"paragraph","content":[{"type":"text","text":"80"}]}]}]},{"type":"tableRow","content":[{"type":"tableCell","attrs":{"background":"white"},"content":[{"type":"paragraph","content":[{"type":"text","text":"Uploaded"}]}]},{"type":"tableCell","attrs":{},"content":[{"type":"paragraph","content":[{"type":"text","text":"80"}]}]},{"type":"tableCell","attrs":{},"content":[{"type":"paragraph","content":[{"type":"text","text":"80"}]}]}]},{"type":"tableRow","content":[{"type":"tableCell","attrs":{"background":"white"},"content":[{"type":"paragraph","content":[{"type":"text","text":"LIDs Shared"}]}]},{"type":"tableCell","attrs":{},"content":[{"type":"paragraph","content":[{"type":"text","text":"80"}]}]},{"type":"tableCell","attrs":{},"content":[{"type":"paragraph","content":[{"type":"text","text":"80"}]}]}]},{"type":"tableRow","content":[{"type":"tableCell","attrs":{"background":"white"},"content":[{"type":"paragraph","content":[{"type":"text","text":"LIDs Stuck in the System"}]}]},{"type":"tableCell","attrs":{},"content":[{"type":"paragraph","content":[{"type":"text","text":"0"}]}]},{"type":"tableCell","attrs":{},"content":[{"type":"paragraph","content":[{"type":"text","text":"0"}]}]}]}]}
{adf}</t>
  </si>
  <si>
    <t>We have uploaded those SKUs under seller code 126934. Please find the attached summary sheet for your reference. Once the LID is successfully generated, we will keep you updated.
{adf:display=block}
{"type":"table","attrs":{"isNumberColumnEnabled":false,"layout":"center","localId":"0fa63323-7a67-44e0-ab2f-70e561f04208"},"content":[{"type":"tableRow","content":[{"type":"tableCell","attrs":{},"content":[{"type":"paragraph","content":[{"type":"text","text":"Ticket ID"}]}]},{"type":"tableCell","attrs":{"colspan":2},"content":[{"type":"paragraph","content":[{"type":"text","text":"UCW-30763"}]}]}]},{"type":"tableRow","content":[{"type":"tableCell","attrs":{},"content":[{"type":"paragraph","content":[{"type":"text","text":"Brand Name"}]}]},{"type":"tableCell","attrs":{"colspan":2},"content":[{"type":"paragraph","content":[{"type":"text","text":"Rockport"}]}]}]},{"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70"}]}]},{"type":"tableCell","attrs":{},"content":[{"type":"paragraph","content":[{"type":"text","text":"11"}]}]}]},{"type":"tableRow","content":[{"type":"tableCell","attrs":{},"content":[{"type":"paragraph","content":[{"type":"text","text":"Failed"}]}]},{"type":"tableCell","attrs":{},"content":[{"type":"paragraph","content":[{"type":"text","text":"3"}]}]},{"type":"tableCell","attrs":{},"content":[{"type":"paragraph","content":[{"type":"text","text":"3"}]}]}]},{"type":"tableRow","content":[{"type":"tableCell","attrs":{},"content":[{"type":"paragraph","content":[{"type":"text","text":"Uploaded"}]}]},{"type":"tableCell","attrs":{},"content":[{"type":"paragraph","content":[{"type":"text","text":"67"}]}]},{"type":"tableCell","attrs":{},"content":[{"type":"paragraph","content":[{"type":"text","text":"8"}]}]}]}]}
{adf}
[^Summery.zip]
[^Status of UCW-30763.xlsx]
;[^LID of UCW-30763.xlsx] 
Hi [@Vicky BMR|mailto:vicky@brandmanretail.com],
The LIDs have been generated. Please refer to the below table for the report. Please find attached the LID file for your reference.
{adf:display=block}
{"type":"table","attrs":{"isNumberColumnEnabled":false,"layout":"center","localId":"ba65f2ad-4559-4939-8ecc-c6f6885e4822"},"content":[{"type":"tableRow","content":[{"type":"tableCell","attrs":{"background":"#61cbf3"},"content":[{"type":"paragraph","content":[{"type":"text","text":"Ticket ID","marks":[{"type":"strong"}]}]}]},{"type":"tableCell","attrs":{"colspan":2,"background":"#61cbf3"},"content":[{"type":"paragraph","content":[{"type":"text","text":"UCW-30763","marks":[{"type":"strong"}]}]}]}]},{"type":"tableRow","content":[{"type":"tableCell","attrs":{"background":"#61cbf3"},"content":[{"type":"paragraph","content":[{"type":"text","text":"Brand Name","marks":[{"type":"strong"}]}]}]},{"type":"tableCell","attrs":{"colspan":2,"background":"#61cbf3"},"content":[{"type":"paragraph","content":[{"type":"text","text":"Rockport","marks":[{"type":"strong"}]}]}]}]},{"type":"tableRow","content":[{"type":"tableCell","attrs":{"background":"#61cbf3"},"content":[{"type":"paragraph","content":[{"type":"text","text":"Platform","marks":[{"type":"strong"}]}]}]},{"type":"tableCell","attrs":{"colspan":2,"background":"#61cbf3"},"content":[{"type":"paragraph","content":[{"type":"text","text":"Marketplace","marks":[{"type":"strong"}]}]}]}]},{"type":"tableRow","content":[{"type":"tableCell","attrs":{"background":"#61cbf3"},"content":[{"type":"paragraph","content":[{"type":"text","text":"Particulars","marks":[{"type":"strong"}]}]}]},{"type":"tableCell","attrs":{"background":"#61cbf3"},"content":[{"type":"paragraph","content":[{"type":"text","text":"SKU Count","marks":[{"type":"strong"}]}]}]},{"type":"tableCell","attrs":{"background":"#61cbf3"},"content":[{"type":"paragraph","content":[{"type":"text","text":"Option Count","marks":[{"type":"strong"}]}]}]}]},{"type":"tableRow","content":[{"type":"tableCell","attrs":{"background":"white"},"content":[{"type":"paragraph","content":[{"type":"text","text":"Received"}]}]},{"type":"tableCell","attrs":{"background":"white"},"content":[{"type":"paragraph","content":[{"type":"text","text":"70"}]}]},{"type":"tableCell","attrs":{"background":"white"},"content":[{"type":"paragraph","content":[{"type":"text","text":"11"}]}]}]},{"type":"tableRow","content":[{"type":"tableCell","attrs":{"background":"white"},"content":[{"type":"paragraph","content":[{"type":"text","text":"Fail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67"}]}]},{"type":"tableCell","attrs":{"background":"white"},"content":[{"type":"paragraph","content":[{"type":"text","text":"8"}]}]}]},{"type":"tableRow","content":[{"type":"tableCell","attrs":{"background":"white"},"content":[{"type":"paragraph","content":[{"type":"text","text":"Stuck in Rejected"}]}]},{"type":"tableCell","attrs":{"background":"white"},"content":[{"type":"paragraph","content":[{"type":"text","text":"8"}]}]},{"type":"tableCell","attrs":{"background":"white"},"content":[{"type":"paragraph","content":[{"type":"text","text":"0"}]}]}]},{"type":"tableRow","content":[{"type":"tableCell","attrs":{"background":"white"},"content":[{"type":"paragraph","content":[{"type":"text","text":"LID Shared"}]}]},{"type":"tableCell","attrs":{"background":"white"},"content":[{"type":"paragraph","content":[{"type":"text","text":"59"}]}]},{"type":"tableCell","attrs":{"background":"white"},"content":[{"type":"paragraph","content":[{"type":"text","text":"8"}]}]}]}]}
{adf}
Regards,
Team Netscribes</t>
  </si>
  <si>
    <t>We have successfully uploaded this batch. Please find the attached summary sheet and summary report.[^Post Upload Status_V.2 (1).xlsx] [^Summary.zip] ;[^UCW-30752_LID.xlsx]
Hi [@Sahil Sonawane|mailto:sahil.sonawane@thesouledstore.com],
Please find attached the sheet, where 25 options have been listed. Kindly update the price and inventory, and share the summary once completed.
{adf:display=block}
{"type":"table","attrs":{"isNumberColumnEnabled":false,"layout":"center","localId":"2f66b77e-d383-4cf6-9105-90a79560baa0"},"content":[{"type":"tableRow","content":[{"type":"tableCell","attrs":{"background":"#44b3e1"},"content":[{"type":"paragraph","content":[{"type":"text","text":"Ticket ID","marks":[{"type":"strong"}]}]}]},{"type":"tableCell","attrs":{"colspan":2,"background":"#44b3e1"},"content":[{"type":"paragraph","content":[{"type":"text","text":"UCW-30752","marks":[{"type":"strong"}]}]}]}]},{"type":"tableRow","content":[{"type":"tableCell","attrs":{"background":"#44b3e1"},"content":[{"type":"paragraph","content":[{"type":"text","text":"Brand Name","marks":[{"type":"strong"}]}]}]},{"type":"tableCell","attrs":{"colspan":2,"background":"#44b3e1"},"content":[{"type":"paragraph","content":[{"type":"text","text":"The Souled Stor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160"}]}]},{"type":"tableCell","attrs":{"background":"white"},"content":[{"type":"paragraph","content":[{"type":"text","text":"25"}]}]}]},{"type":"tableRow","content":[{"type":"tableCell","attrs":{"background":"white"},"content":[{"type":"paragraph","content":[{"type":"text","text":"Uploaded"}]}]},{"type":"tableCell","attrs":{"background":"white"},"content":[{"type":"paragraph","content":[{"type":"text","text":"160"}]}]},{"type":"tableCell","attrs":{"background":"white"},"content":[{"type":"paragraph","content":[{"type":"text","text":"25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160"}]}]},{"type":"tableCell","attrs":{"background":"white"},"content":[{"type":"paragraph","content":[{"type":"text","text":"25"}]}]}]},{"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</si>
  <si>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We would like to inform you that your ticket has been successfully uploaded in our system.
Please find the attached summary files and post-upload file for your reference. We will share a further update once the listing IDs are generated.[^Summary.zip] [^UCW-30751 - Post Upload Status .xlsx] ;[^UCW-30751.xlsx]
Please find attached the sheet, where 19 options of Accessories have been listed.
Kindly update the price and inventory, and share the summary once completed.
{adf:display=block}
{"type":"table","attrs":{"isNumberColumnEnabled":false,"layout":"center","localId":"96500313-1f1f-49e9-9678-0ff2a55907fa"},"content":[{"type":"tableRow","content":[{"type":"tableCell","attrs":{"background":"#44b3e1"},"content":[{"type":"paragraph","content":[{"type":"text","text":"Ticket ID","marks":[{"type":"strong"}]}]}]},{"type":"tableCell","attrs":{"colspan":2,"background":"#44b3e1"},"content":[{"type":"paragraph","content":[{"type":"text","text":"UCW-30751","marks":[{"type":"strong"}]}]}]}]},{"type":"tableRow","content":[{"type":"tableCell","attrs":{"background":"#44b3e1"},"content":[{"type":"paragraph","content":[{"type":"text","text":"Brand Name","marks":[{"type":"strong"}]}]}]},{"type":"tableCell","attrs":{"colspan":2,"background":"#44b3e1"},"content":[{"type":"paragraph","content":[{"type":"text","text":"Mi Arc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20"}]}]},{"type":"tableCell","attrs":{},"content":[{"type":"paragraph","content":[{"type":"text","text":"20"}]}]}]},{"type":"tableRow","content":[{"type":"tableCell","attrs":{"background":"white"},"content":[{"type":"paragraph","content":[{"type":"text","text":"Uploaded"}]}]},{"type":"tableCell","attrs":{},"content":[{"type":"paragraph","content":[{"type":"text","text":"19"}]}]},{"type":"tableCell","attrs":{},"content":[{"type":"paragraph","content":[{"type":"text","text":"19"}]}]}]},{"type":"tableRow","content":[{"type":"tableCell","attrs":{"background":"white"},"content":[{"type":"paragraph","content":[{"type":"text","text":"SKUs Not Uploaded- Image Issue"}]}]},{"type":"tableCell","attrs":{},"content":[{"type":"paragraph","content":[{"type":"text","text":"1"}]}]},{"type":"tableCell","attrs":{},"content":[{"type":"paragraph","content":[{"type":"text","text":"1"}]}]}]},{"type":"tableRow","content":[{"type":"tableCell","attrs":{"background":"white"},"content":[{"type":"paragraph","content":[{"type":"text","text":"LIDs Shared"}]}]},{"type":"tableCell","attrs":{},"content":[{"type":"paragraph","content":[{"type":"text","text":"19"}]}]},{"type":"tableCell","attrs":{},"content":[{"type":"paragraph","content":[{"type":"text","text":"19"}]}]}]},{"type":"tableRow","content":[{"type":"tableCell","attrs":{"background":"white"},"content":[{"type":"paragraph","content":[{"type":"text","text":"LIDs Stuck in the System"}]}]},{"type":"tableCell","attrs":{},"content":[{"type":"paragraph","content":[{"type":"text","text":"0"}]}]},{"type":"tableCell","attrs":{},"content":[{"type":"paragraph","content":[{"type":"text","text":"0"}]}]}]}]}
{adf}</t>
  </si>
  <si>
    <t>We would like to inform you that your ticket has been successfully uploaded in our system.
Please find the attached summary files and post-upload file for your reference. We will share a further update once the listing IDs are generated.[^Summary.zip] [^UCW-30748 - Post Upload Status .xlsx] ;[^UCW-30748.xlsx]
Please find attached the sheet, where 17 options have been listed.
Kindly update the price and inventory, and share the summary once completed.
{adf:display=block}
{"type":"table","attrs":{"isNumberColumnEnabled":false,"layout":"center","localId":"19a12a0f-f25f-4149-9bc8-3073138ab5e4"},"content":[{"type":"tableRow","content":[{"type":"tableCell","attrs":{"background":"#44b3e1"},"content":[{"type":"paragraph","content":[{"type":"text","text":"Ticket ID","marks":[{"type":"strong"}]}]}]},{"type":"tableCell","attrs":{"colspan":2,"background":"#44b3e1"},"content":[{"type":"paragraph","content":[{"type":"text","text":"UCW-30748","marks":[{"type":"strong"}]}]}]}]},{"type":"tableRow","content":[{"type":"tableCell","attrs":{"background":"#44b3e1"},"content":[{"type":"paragraph","content":[{"type":"text","text":"Brand Name","marks":[{"type":"strong"}]}]}]},{"type":"tableCell","attrs":{"colspan":2,"background":"#44b3e1"},"content":[{"type":"paragraph","content":[{"type":"text","text":"Miarc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17"}]}]},{"type":"tableCell","attrs":{},"content":[{"type":"paragraph","content":[{"type":"text","text":"17"}]}]}]},{"type":"tableRow","content":[{"type":"tableCell","attrs":{"background":"white"},"content":[{"type":"paragraph","content":[{"type":"text","text":"Uploaded"}]}]},{"type":"tableCell","attrs":{},"content":[{"type":"paragraph","content":[{"type":"text","text":"17"}]}]},{"type":"tableCell","attrs":{},"content":[{"type":"paragraph","content":[{"type":"text","text":"17"}]}]}]},{"type":"tableRow","content":[{"type":"tableCell","attrs":{"background":"white"},"content":[{"type":"paragraph","content":[{"type":"text","text":"LIDs Shared"}]}]},{"type":"tableCell","attrs":{},"content":[{"type":"paragraph","content":[{"type":"text","text":"17"}]}]},{"type":"tableCell","attrs":{},"content":[{"type":"paragraph","content":[{"type":"text","text":"17"}]}]}]},{"type":"tableRow","content":[{"type":"tableCell","attrs":{"background":"white"},"content":[{"type":"paragraph","content":[{"type":"text","text":"LIDs Stuck in the System"}]}]},{"type":"tableCell","attrs":{},"content":[{"type":"paragraph","content":[{"type":"text","text":"0"}]}]},{"type":"tableCell","attrs":{},"content":[{"type":"paragraph","content":[{"type":"text","text":"0"}]}]}]}]}
{adf}</t>
  </si>
  <si>
    <t>We would like to inform you that your ticket has been successfully uploaded in our system.
Please find the attached summary files and post-processing file for your reference. We will share a further update once the listing IDs are generated.[^Summary.zip] [^UCW-30746 - Post Upload Status .xlsx] ;[^UCW-30746.xlsx]
Please find attached the sheet, where 15 options have been listed.
Kindly update the price and inventory, and share the summary once completed.
{adf:display=block}
{"type":"table","attrs":{"isNumberColumnEnabled":false,"layout":"center","localId":"5a12a480-4099-41d0-9d58-b42de96b65d2"},"content":[{"type":"tableRow","content":[{"type":"tableCell","attrs":{"background":"#44b3e1"},"content":[{"type":"paragraph","content":[{"type":"text","text":"Ticket ID","marks":[{"type":"strong"}]}]}]},{"type":"tableCell","attrs":{"colspan":2,"background":"#44b3e1"},"content":[{"type":"paragraph","content":[{"type":"text","text":"UCW-30746","marks":[{"type":"strong"}]}]}]}]},{"type":"tableRow","content":[{"type":"tableCell","attrs":{"background":"#44b3e1"},"content":[{"type":"paragraph","content":[{"type":"text","text":"Brand Name","marks":[{"type":"strong"}]}]}]},{"type":"tableCell","attrs":{"colspan":2,"background":"#44b3e1"},"content":[{"type":"paragraph","content":[{"type":"text","text":"Miarc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15"}]}]},{"type":"tableCell","attrs":{},"content":[{"type":"paragraph","content":[{"type":"text","text":"15"}]}]}]},{"type":"tableRow","content":[{"type":"tableCell","attrs":{"background":"white"},"content":[{"type":"paragraph","content":[{"type":"text","text":"Uploaded"}]}]},{"type":"tableCell","attrs":{},"content":[{"type":"paragraph","content":[{"type":"text","text":"15"}]}]},{"type":"tableCell","attrs":{},"content":[{"type":"paragraph","content":[{"type":"text","text":"15"}]}]}]},{"type":"tableRow","content":[{"type":"tableCell","attrs":{"background":"white"},"content":[{"type":"paragraph","content":[{"type":"text","text":"LIDs Shared"}]}]},{"type":"tableCell","attrs":{},"content":[{"type":"paragraph","content":[{"type":"text","text":"15"}]}]},{"type":"tableCell","attrs":{},"content":[{"type":"paragraph","content":[{"type":"text","text":"15"}]}]}]},{"type":"tableRow","content":[{"type":"tableCell","attrs":{"background":"white"},"content":[{"type":"paragraph","content":[{"type":"text","text":"LIDs Stuck in the System"}]}]},{"type":"tableCell","attrs":{},"content":[{"type":"paragraph","content":[{"type":"text","text":"0"}]}]},{"type":"tableCell","attrs":{},"content":[{"type":"paragraph","content":[{"type":"text","text":"0"}]}]}]}]}
{adf}</t>
  </si>
  <si>
    <t>PFA the Summary &amp; Post-uploaded sheet[^Summary Remanning (2).zip]  [^UCW-28713 Post Upload Status_V.2 (1).xlsx] ;[^UCW-30745_LID.xlsx]
Hi [@Noyra India|mailto:noyra.co.in@gmail.com],
5 options have been listed. Kindly update the price and inventory details and share the summary once the updates are completed.
Please find the consolidated report attached below.
{adf:display=block}
{"type":"table","attrs":{"isNumberColumnEnabled":false,"layout":"center","localId":"2bd3dfc2-f877-4d4e-8a08-aaefb65bdd70"},"content":[{"type":"tableRow","content":[{"type":"tableCell","attrs":{"background":"#44b3e1"},"content":[{"type":"paragraph","content":[{"type":"text","text":"Ticket ID","marks":[{"type":"strong"}]}]}]},{"type":"tableCell","attrs":{"colspan":2,"background":"#44b3e1"},"content":[{"type":"paragraph","content":[{"type":"text","text":"UCW-30745","marks":[{"type":"strong"}]}]}]}]},{"type":"tableRow","content":[{"type":"tableCell","attrs":{"background":"#44b3e1"},"content":[{"type":"paragraph","content":[{"type":"text","text":"Brand Name","marks":[{"type":"strong"}]}]}]},{"type":"tableCell","attrs":{"colspan":2,"background":"#44b3e1"},"content":[{"type":"paragraph","content":[{"type":"text","text":"NOYRA","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111"}]}]},{"type":"tableCell","attrs":{"background":"white"},"content":[{"type":"paragraph","content":[{"type":"text","text":"111"}]}]}]},{"type":"tableRow","content":[{"type":"tableCell","attrs":{"background":"white"},"content":[{"type":"paragraph","content":[{"type":"text","text":"Uploaded"}]}]},{"type":"tableCell","attrs":{"background":"white"},"content":[{"type":"paragraph","content":[{"type":"text","text":"44"}]}]},{"type":"tableCell","attrs":{"background":"white"},"content":[{"type":"paragraph","content":[{"type":"text","text":"44"}]}]}]},{"type":"tableRow","content":[{"type":"tableCell","attrs":{"background":"white"},"content":[{"type":"paragraph","content":[{"type":"text","text":"Not Uploaded"}]}]},{"type":"tableCell","attrs":{"background":"white"},"content":[{"type":"paragraph","content":[{"type":"text","text":"67"}]}]},{"type":"tableCell","attrs":{"background":"white"},"content":[{"type":"paragraph","content":[{"type":"text","text":"67"}]}]}]},{"type":"tableRow","content":[{"type":"tableCell","attrs":{"background":"white"},"content":[{"type":"paragraph","content":[{"type":"text","text":"LIDs Shared"}]}]},{"type":"tableCell","attrs":{"background":"white"},"content":[{"type":"paragraph","content":[{"type":"text","text":"44"}]}]},{"type":"tableCell","attrs":{"background":"white"},"content":[{"type":"paragraph","content":[{"type":"text","text":"44"}]}]}]},{"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</si>
  <si>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We have successfully uploaded this batch. Please find the attached summary sheet and summary report.[^Post Upload Status_V.2 (1).xlsx] [^Summary.zip] ;[^UCW-30744.xlsx]
Please find attached the sheet, where 15 options have been listed.
Kindly update the price and inventory, and share the summary once completed.
{adf:display=block}
{"type":"table","attrs":{"isNumberColumnEnabled":false,"layout":"center","localId":"d350b65f-cdf1-4d0a-8fd4-d49699209985"},"content":[{"type":"tableRow","content":[{"type":"tableCell","attrs":{"background":"#44b3e1"},"content":[{"type":"paragraph","content":[{"type":"text","text":"Ticket ID","marks":[{"type":"strong"}]}]}]},{"type":"tableCell","attrs":{"colspan":2,"background":"#44b3e1"},"content":[{"type":"paragraph","content":[{"type":"text","text":"UCW-30744","marks":[{"type":"strong"}]}]}]}]},{"type":"tableRow","content":[{"type":"tableCell","attrs":{"background":"#44b3e1"},"content":[{"type":"paragraph","content":[{"type":"text","text":"Brand Name","marks":[{"type":"strong"}]}]}]},{"type":"tableCell","attrs":{"colspan":2,"background":"#44b3e1"},"content":[{"type":"paragraph","content":[{"type":"text","text":"Neeman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104"}]}]},{"type":"tableCell","attrs":{},"content":[{"type":"paragraph","content":[{"type":"text","text":"15"}]}]}]},{"type":"tableRow","content":[{"type":"tableCell","attrs":{"background":"white"},"content":[{"type":"paragraph","content":[{"type":"text","text":"Uploaded"}]}]},{"type":"tableCell","attrs":{},"content":[{"type":"paragraph","content":[{"type":"text","text":"104"}]}]},{"type":"tableCell","attrs":{},"content":[{"type":"paragraph","content":[{"type":"text","text":"15"}]}]}]},{"type":"tableRow","content":[{"type":"tableCell","attrs":{"background":"white"},"content":[{"type":"paragraph","content":[{"type":"text","text":"LIDs Shared"}]}]},{"type":"tableCell","attrs":{},"content":[{"type":"paragraph","content":[{"type":"text","text":"104"}]}]},{"type":"tableCell","attrs":{},"content":[{"type":"paragraph","content":[{"type":"text","text":"15"}]}]}]},{"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</si>
  <si>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report.[^Post Upload Status.xlsx] [^ProductBulkUpload_125928_Beauty__Grooming(MPH22)_Fragrances_and_Perfumes(MPH2211)_Fragrances(MPH2211100)_Perfumes(MPH2211100104)_33887_1778487431461_20260511_014711_669_summary.csv] ;[^UCW-30733.xlsx]
Please find attached the sheet, where 12 options have been listed.
Kindly update the price and inventory, and share the summary once completed.
{adf:display=block}
{"type":"table","attrs":{"isNumberColumnEnabled":false,"layout":"center","localId":"3d8c6fe0-19d3-4676-9bb8-d18914ae0e61"},"content":[{"type":"tableRow","content":[{"type":"tableCell","attrs":{"background":"#44b3e1"},"content":[{"type":"paragraph","content":[{"type":"text","text":"Ticket ID","marks":[{"type":"strong"}]}]}]},{"type":"tableCell","attrs":{"colspan":2,"background":"#44b3e1"},"content":[{"type":"paragraph","content":[{"type":"text","text":"UCW-30733","marks":[{"type":"strong"}]}]}]}]},{"type":"tableRow","content":[{"type":"tableCell","attrs":{"background":"#44b3e1"},"content":[{"type":"paragraph","content":[{"type":"text","text":"Brand Name","marks":[{"type":"strong"}]}]}]},{"type":"tableCell","attrs":{"colspan":2,"background":"#44b3e1"},"content":[{"type":"paragraph","content":[{"type":"text","text":"Versace ","marks":[{"type":"strong"}]}]}]}]},{"type":"tableRow","content":[{"type":"tableCell","attrs":{"background":"#ace5fe"},"content":[{"type":"paragraph","content":[{"type":"text","text":"Platform","marks":[{"type":"strong"}]}]}]},{"type":"tableCell","attrs":{"colspan":2,"background":"#ace5fe"},"content":[{"type":"paragraph","content":[{"type":"text","text":"Mall +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type":"tableCell","attrs":{},"content":[{"type":"paragraph","content":[{"type":"text","text":"12"}]}]}]},{"type":"tableRow","content":[{"type":"tableCell","attrs":{"background":"white"},"content":[{"type":"paragraph","content":[{"type":"text","text":"Uploaded"}]}]},{"type":"tableCell","attrs":{},"content":[{"type":"paragraph","content":[{"type":"text","text":"12"}]}]},{"type":"tableCell","attrs":{},"content":[{"type":"paragraph","content":[{"type":"text","text":"12"}]}]}]},{"type":"tableRow","content":[{"type":"tableCell","attrs":{"background":"white"},"content":[{"type":"paragraph","content":[{"type":"text","text":"LIDs Shared"}]}]},{"type":"tableCell","attrs":{},"content":[{"type":"paragraph","content":[{"type":"text","text":"12"}]}]},{"type":"tableCell","attrs":{},"content":[{"type":"paragraph","content":[{"type":"text","text":"12"}]}]}]},{"type":"tableRow","content":[{"type":"tableCell","attrs":{"background":"white"},"content":[{"type":"paragraph","content":[{"type":"text","text":"LIDs Stuck in the System"}]}]},{"type":"tableCell","attrs":{},"content":[{"type":"paragraph","content":[{"type":"text","text":"0"}]}]},{"type":"tableCell","attrs":{},"content":[{"type":"paragraph","content":[{"type":"text","text":"0"}]}]}]}]}
{adf}</t>
  </si>
  <si>
    <t>[^Summary.zip]
[^UCW-30723_Post Upload Status_V.2 (1).xlsx]
;*Please ignore the previous mail.*
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
[^UCW-30723_Post Upload Status_V.2 (1) (f02d3a1b-d4f3-414c-b212-a6c1b447215a).xlsx]
[^Summary (95540ff1-65a6-49ba-aa86-0db5c786467d).zip]
;[^UCW-30723.xlsx]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39bdb1c6-ae3c-4a08-a7dc-748030555d91"},"content":[{"type":"tableRow","content":[{"type":"tableCell","attrs":{"background":"#44b3e1"},"content":[{"type":"paragraph","content":[{"type":"text","text":"Ticket ID","marks":[{"type":"strong"}]}]}]},{"type":"tableCell","attrs":{"colspan":2,"background":"#44b3e1"},"content":[{"type":"paragraph","content":[{"type":"text","text":"UCW-30723","marks":[{"type":"strong"}]}]}]}]},{"type":"tableRow","content":[{"type":"tableCell","attrs":{"background":"#44b3e1"},"content":[{"type":"paragraph","content":[{"type":"text","text":"Brand Name","marks":[{"type":"strong"}]}]}]},{"type":"tableCell","attrs":{"colspan":2,"background":"#44b3e1"},"content":[{"type":"paragraph","content":[{"type":"text","text":"Yves Saint Laurent","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14"}]}]},{"type":"tableCell","attrs":{},"content":[{"type":"paragraph","content":[{"type":"text","text":"14"}]}]}]},{"type":"tableRow","content":[{"type":"tableCell","attrs":{"background":"white"},"content":[{"type":"paragraph","content":[{"type":"text","text":"Uploaded"}]}]},{"type":"tableCell","attrs":{},"content":[{"type":"paragraph","content":[{"type":"text","text":"6"}]}]},{"type":"tableCell","attrs":{},"content":[{"type":"paragraph","content":[{"type":"text","text":"6"}]}]}]},{"type":"tableRow","content":[{"type":"tableCell","attrs":{"background":"white"},"content":[{"type":"paragraph","content":[{"type":"text","text":"SKUs not uploaded"}]}]},{"type":"tableCell","attrs":{},"content":[{"type":"paragraph","content":[{"type":"text","text":"2"}]}]},{"type":"tableCell","attrs":{},"content":[{"type":"paragraph","content":[{"type":"text","text":"2"}]}]}]},{"type":"tableRow","content":[{"type":"tableCell","attrs":{"background":"white"},"content":[{"type":"paragraph","content":[{"type":"text","text":"Already Listed"}]}]},{"type":"tableCell","attrs":{},"content":[{"type":"paragraph","content":[{"type":"text","text":"6"}]}]},{"type":"tableCell","attrs":{},"content":[{"type":"paragraph","content":[{"type":"text","text":"6"}]}]}]},{"type":"tableRow","content":[{"type":"tableCell","attrs":{"background":"white"},"content":[{"type":"paragraph","content":[{"type":"text","text":"LIDs Shared"}]}]},{"type":"tableCell","attrs":{},"content":[{"type":"paragraph","content":[{"type":"text","text":"6"}]}]},{"type":"tableCell","attrs":{},"content":[{"type":"paragraph","content":[{"type":"text","text":"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</si>
  <si>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[^Summary.zip]
[^UCW-30719 Post Upload Status_V.2 (1).xlsx]
;[^UCW-30719.xlsx]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a9c59c3-6a72-4c13-b386-49d0cdc39ade"},"content":[{"type":"tableRow","content":[{"type":"tableCell","attrs":{"background":"#44b3e1"},"content":[{"type":"paragraph","content":[{"type":"text","text":"Ticket ID","marks":[{"type":"strong"}]}]}]},{"type":"tableCell","attrs":{"colspan":2,"background":"#44b3e1"},"content":[{"type":"paragraph","content":[{"type":"text","text":"UCW-30719","marks":[{"type":"strong"}]}]}]}]},{"type":"tableRow","content":[{"type":"tableCell","attrs":{"background":"#44b3e1"},"content":[{"type":"paragraph","content":[{"type":"text","text":"Brand Name","marks":[{"type":"strong"}]}]}]},{"type":"tableCell","attrs":{"colspan":2,"background":"#44b3e1"},"content":[{"type":"paragraph","content":[{"type":"text","text":"Khadlaj","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33"}]}]},{"type":"tableCell","attrs":{},"content":[{"type":"paragraph","content":[{"type":"text","text":"33"}]}]}]},{"type":"tableRow","content":[{"type":"tableCell","attrs":{"background":"white"},"content":[{"type":"paragraph","content":[{"type":"text","text":"Uploaded"}]}]},{"type":"tableCell","attrs":{},"content":[{"type":"paragraph","content":[{"type":"text","text":"33"}]}]},{"type":"tableCell","attrs":{},"content":[{"type":"paragraph","content":[{"type":"text","text":"33"}]}]}]},{"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33"}]}]},{"type":"tableCell","attrs":{},"content":[{"type":"paragraph","content":[{"type":"text","text":"33"}]}]}]},{"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</si>
  <si>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We have successfully uploaded this batch. Please find the attached summary sheet and summary report.[^Post Upload Status_V.2 (1).xlsx] [^Summary.zip] ;[^UCW-30698_LID.xlsx]
Hi [@Sakshi@rossobrunello.com|mailto:ecommerce@rossobrunello.com],
Please find attached the sheet, where 10 options have been listed. Kindly update the price and inventory, and share the summary once completed.
{adf:display=block}
{"type":"table","attrs":{"isNumberColumnEnabled":false,"layout":"center","localId":"c52b10eb-9a84-4542-bc86-9887a0539f5a"},"content":[{"type":"tableRow","content":[{"type":"tableCell","attrs":{"background":"#44b3e1"},"content":[{"type":"paragraph","content":[{"type":"text","text":"Ticket ID","marks":[{"type":"strong"}]}]}]},{"type":"tableCell","attrs":{"colspan":2,"background":"#44b3e1"},"content":[{"type":"paragraph","content":[{"type":"text","text":"UCW-30698","marks":[{"type":"strong"}]}]}]}]},{"type":"tableRow","content":[{"type":"tableCell","attrs":{"background":"#44b3e1"},"content":[{"type":"paragraph","content":[{"type":"text","text":"Brand Name","marks":[{"type":"strong"}]}]}]},{"type":"tableCell","attrs":{"colspan":2,"background":"#44b3e1"},"content":[{"type":"paragraph","content":[{"type":"text","text":"Rosso Brunello","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76"}]}]},{"type":"tableCell","attrs":{"background":"white"},"content":[{"type":"paragraph","content":[{"type":"text","text":"10"}]}]}]},{"type":"tableRow","content":[{"type":"tableCell","attrs":{"background":"white"},"content":[{"type":"paragraph","content":[{"type":"text","text":"Uploaded"}]}]},{"type":"tableCell","attrs":{"background":"white"},"content":[{"type":"paragraph","content":[{"type":"text","text":"76"}]}]},{"type":"tableCell","attrs":{"background":"white"},"content":[{"type":"paragraph","content":[{"type":"text","text":"10"}]}]}]},{"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76"}]}]},{"type":"tableCell","attrs":{"background":"white"},"content":[{"type":"paragraph","content":[{"type":"text","text":"10"}]}]}]},{"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</si>
  <si>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We have successfully uploaded this batch. Please find the attached summary sheet and summary report.[^Post Upload Status_V.2 (1).xlsx] [^Summary.zip] ;[^UCW-30696_LID.xlsx]
Hi [@Malik Yogita|mailto:Yogita.Malik@guess.eu],
Please find attached the sheet, where 31 options on Luxury 31 options on  Mall have been listed. Kindly update the price and inventory, and share the summary once completed.
{adf:display=block}
{"type":"table","attrs":{"isNumberColumnEnabled":false,"layout":"center","localId":"285f9d84-6bf1-4a73-ac95-66aa53e757b1"},"content":[{"type":"tableRow","content":[{"type":"tableCell","attrs":{"background":"#4d93d9"},"content":[{"type":"paragraph","content":[{"type":"text","text":"Ticket ID","marks":[{"type":"strong"}]}]}]},{"type":"tableCell","attrs":{"colspan":4,"background":"#4d93d9"},"content":[{"type":"paragraph","content":[{"type":"text","text":"UCW-30696","marks":[{"type":"strong"}]}]}]}]},{"type":"tableRow","content":[{"type":"tableCell","attrs":{"background":"#4d93d9"},"content":[{"type":"paragraph","content":[{"type":"text","text":"Brand Name","marks":[{"type":"strong"}]}]}]},{"type":"tableCell","attrs":{"colspan":4,"background":"#4d93d9"},"content":[{"type":"paragraph","content":[{"type":"text","text":"Guess","marks":[{"type":"strong"}]}]}]}]},{"type":"tableRow","content":[{"type":"tableCell","attrs":{"background":"#ace5fe"},"content":[{"type":"paragraph","content":[{"type":"text","text":"Platform","marks":[{"type":"strong"}]}]}]},{"type":"tableCell","attrs":{"colspan":2,"background":"#ace5fe"},"content":[{"type":"paragraph","content":[{"type":"text","text":"Luxury","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157"}]}]},{"type":"tableCell","attrs":{"background":"white"},"content":[{"type":"paragraph","content":[{"type":"text","text":"31"}]}]},{"type":"tableCell","attrs":{"background":"white"},"content":[{"type":"paragraph","content":[{"type":"text","text":"157"}]}]},{"type":"tableCell","attrs":{"background":"white"},"content":[{"type":"paragraph","content":[{"type":"text","text":"31"}]}]}]},{"type":"tableRow","content":[{"type":"tableCell","attrs":{"background":"white"},"content":[{"type":"paragraph","content":[{"type":"text","text":"Uploaded"}]}]},{"type":"tableCell","attrs":{"background":"white"},"content":[{"type":"paragraph","content":[{"type":"text","text":"157"}]}]},{"type":"tableCell","attrs":{"background":"white"},"content":[{"type":"paragraph","content":[{"type":"text","text":"31"}]}]},{"type":"tableCell","attrs":{"background":"white"},"content":[{"type":"paragraph","content":[{"type":"text","text":"157"}]}]},{"type":"tableCell","attrs":{"background":"white"},"content":[{"type":"paragraph","content":[{"type":"text","text":"31"}]}]}]},{"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157"}]}]},{"type":"tableCell","attrs":{"background":"white"},"content":[{"type":"paragraph","content":[{"type":"text","text":"31"}]}]},{"type":"tableCell","attrs":{"background":"white"},"content":[{"type":"paragraph","content":[{"type":"text","text":"157"}]}]},{"type":"tableCell","attrs":{"background":"white"},"content":[{"type":"paragraph","content":[{"type":"text","text":"31"}]}]}]},{"type":"tableRow","content":[{"type":"tableCell","attrs":{"background":"white"},"content":[{"type":"paragraph","content":[{"type":"text","text":"LIDs 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
Regards,
Team Netscribes</t>
  </si>
  <si>
    <t>We have successfully uploaded this batch. Please find the attached summary sheet and summary report.[^Summary.zip] [^Post Upload Status_V.2 (1).xlsx] ;[^UCW-30690.xlsx]
Please find attached the sheet, where 20 options have been listed.
Kindly update the price and inventory, and share the summary once completed.
{adf:display=block}
{"type":"table","attrs":{"isNumberColumnEnabled":false,"layout":"center","localId":"69231b6d-5342-4f7b-80c5-f60b91736843"},"content":[{"type":"tableRow","content":[{"type":"tableCell","attrs":{"background":"#44b3e1"},"content":[{"type":"paragraph","content":[{"type":"text","text":"Ticket ID","marks":[{"type":"strong"}]}]}]},{"type":"tableCell","attrs":{"colspan":2,"background":"#44b3e1"},"content":[{"type":"paragraph","content":[{"type":"text","text":"UCW-30690","marks":[{"type":"strong"}]}]}]}]},{"type":"tableRow","content":[{"type":"tableCell","attrs":{"background":"#44b3e1"},"content":[{"type":"paragraph","content":[{"type":"text","text":"Brand Name","marks":[{"type":"strong"}]}]}]},{"type":"tableCell","attrs":{"colspan":2,"background":"#44b3e1"},"content":[{"type":"paragraph","content":[{"type":"text","text":"Cordwainers","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120"}]}]},{"type":"tableCell","attrs":{},"content":[{"type":"paragraph","content":[{"type":"text","text":"20"}]}]}]},{"type":"tableRow","content":[{"type":"tableCell","attrs":{"background":"white"},"content":[{"type":"paragraph","content":[{"type":"text","text":"Uploaded"}]}]},{"type":"tableCell","attrs":{},"content":[{"type":"paragraph","content":[{"type":"text","text":"120"}]}]},{"type":"tableCell","attrs":{},"content":[{"type":"paragraph","content":[{"type":"text","text":"20"}]}]}]},{"type":"tableRow","content":[{"type":"tableCell","attrs":{"background":"white"},"content":[{"type":"paragraph","content":[{"type":"text","text":"LIDs Shared"}]}]},{"type":"tableCell","attrs":{},"content":[{"type":"paragraph","content":[{"type":"text","text":"120"}]}]},{"type":"tableCell","attrs":{},"content":[{"type":"paragraph","content":[{"type":"text","text":"20"}]}]}]},{"type":"tableRow","content":[{"type":"tableCell","attrs":{"background":"white"},"content":[{"type":"paragraph","content":[{"type":"text","text":"LIDs Stuck in the System"}]}]},{"type":"tableCell","attrs":{},"content":[{"type":"paragraph","content":[{"type":"text","text":"0"}]}]},{"type":"tableCell","attrs":{},"content":[{"type":"paragraph","content":[{"type":"text","text":"0"}]}]}]}]}
{adf}</t>
  </si>
  <si>
    <t>[^UCW-30686 Post Upload Status_V.2 (1).xlsx]
[^Summary.zip]
;[^UCW-30686.xlsx]
Please find attached the sheet, where 26 options of Beauty &amp; Grooming have been listed.
Kindly update the price and inventory, and share the summary once completed.
{adf:display=block}
{"type":"table","attrs":{"isNumberColumnEnabled":false,"layout":"center","localId":"d2100fd8-3095-428e-b8ca-e1f851324232"},"content":[{"type":"tableRow","content":[{"type":"tableCell","attrs":{"background":"#44b3e1"},"content":[{"type":"paragraph","content":[{"type":"text","text":"Ticket ID","marks":[{"type":"strong"}]}]}]},{"type":"tableCell","attrs":{"colspan":2,"background":"#44b3e1"},"content":[{"type":"paragraph","content":[{"type":"text","text":"UCW-30686","marks":[{"type":"strong"}]}]}]}]},{"type":"tableRow","content":[{"type":"tableCell","attrs":{"background":"#44b3e1"},"content":[{"type":"paragraph","content":[{"type":"text","text":"Brand Name","marks":[{"type":"strong"}]}]}]},{"type":"tableCell","attrs":{"colspan":2,"background":"#44b3e1"},"content":[{"type":"paragraph","content":[{"type":"text","text":"Oteri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38"}]}]},{"type":"tableCell","attrs":{},"content":[{"type":"paragraph","content":[{"type":"text","text":"38"}]}]}]},{"type":"tableRow","content":[{"type":"tableCell","attrs":{"background":"white"},"content":[{"type":"paragraph","content":[{"type":"text","text":"Uploaded"}]}]},{"type":"tableCell","attrs":{},"content":[{"type":"paragraph","content":[{"type":"text","text":"26"}]}]},{"type":"tableCell","attrs":{},"content":[{"type":"paragraph","content":[{"type":"text","text":"26"}]}]}]},{"type":"tableRow","content":[{"type":"tableCell","attrs":{"background":"white"},"content":[{"type":"paragraph","content":[{"type":"text","text":"SKUs not uploaded"}]}]},{"type":"tableCell","attrs":{},"content":[{"type":"paragraph","content":[{"type":"text","text":"12"}]}]},{"type":"tableCell","attrs":{},"content":[{"type":"paragraph","content":[{"type":"text","text":"12"}]}]}]},{"type":"tableRow","content":[{"type":"tableCell","attrs":{"background":"white"},"content":[{"type":"paragraph","content":[{"type":"text","text":"LIDs Shared"}]}]},{"type":"tableCell","attrs":{},"content":[{"type":"paragraph","content":[{"type":"text","text":"26"}]}]},{"type":"tableCell","attrs":{},"content":[{"type":"paragraph","content":[{"type":"text","text":"26"}]}]}]},{"type":"tableRow","content":[{"type":"tableCell","attrs":{"background":"white"},"content":[{"type":"paragraph","content":[{"type":"text","text":"LIDs Stuck in the System"}]}]},{"type":"tableCell","attrs":{},"content":[{"type":"paragraph","content":[{"type":"text","text":"0"}]}]},{"type":"tableCell","attrs":{},"content":[{"type":"paragraph","content":[{"type":"text","text":"0"}]}]}]}]}
{adf}
*Call out-12 options were not uploaded due to various issues. We observed that the images are blurred and the size mentioned in the title does not match the size shown in the image. Therefore, we request you to kindly review the post-upload sheet and share the revised details accordingly.*</t>
  </si>
  <si>
    <t>We would like to inform you that your ticket has been successfully uploaded in our system.
Please find the attached summary files and post-upload file for your reference. We will share a further update once the listing IDs are generated.
Please note that some styles are pending due to insufficient images. Once we receive the correct images, we will proceed with uploading the remaining styles.[^Post Upload Status_V.2 (1).xlsx] [^Summary.zip] ;[^UCW-30685.xlsx]
Please find attached the sheet, where 53 options of Footwear have been listed.
Kindly update the price and inventory, and share the summary once completed.
{adf:display=block}
{"type":"table","attrs":{"isNumberColumnEnabled":false,"layout":"center","localId":"06e9782f-4168-40b5-9425-f3d9979ce595"},"content":[{"type":"tableRow","content":[{"type":"tableCell","attrs":{"background":"#44b3e1"},"content":[{"type":"paragraph","content":[{"type":"text","text":"Ticket ID","marks":[{"type":"strong"}]}]}]},{"type":"tableCell","attrs":{"colspan":2,"background":"#44b3e1"},"content":[{"type":"paragraph","content":[{"type":"text","text":"UCW-30685","marks":[{"type":"strong"}]}]}]}]},{"type":"tableRow","content":[{"type":"tableCell","attrs":{"background":"#44b3e1"},"content":[{"type":"paragraph","content":[{"type":"text","text":"Brand Name","marks":[{"type":"strong"}]}]}]},{"type":"tableCell","attrs":{"colspan":2,"background":"#44b3e1"},"content":[{"type":"paragraph","content":[{"type":"text","text":"Pum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286"}]}]},{"type":"tableCell","attrs":{},"content":[{"type":"paragraph","content":[{"type":"text","text":"61"}]}]}]},{"type":"tableRow","content":[{"type":"tableCell","attrs":{"background":"white"},"content":[{"type":"paragraph","content":[{"type":"text","text":"Uploaded"}]}]},{"type":"tableCell","attrs":{},"content":[{"type":"paragraph","content":[{"type":"text","text":"246"}]}]},{"type":"tableCell","attrs":{},"content":[{"type":"paragraph","content":[{"type":"text","text":"53"}]}]}]},{"type":"tableRow","content":[{"type":"tableCell","attrs":{"background":"white"},"content":[{"type":"paragraph","content":[{"type":"text","text":"Already Listed"}]}]},{"type":"tableCell","attrs":{},"content":[{"type":"paragraph","content":[{"type":"text","text":"1"}]}]},{"type":"tableCell","attrs":{},"content":[{"type":"paragraph","content":[{"type":"text","text":"1"}]}]}]},{"type":"tableRow","content":[{"type":"tableCell","attrs":{"background":"white"},"content":[{"type":"paragraph","content":[{"type":"text","text":"SKUs Not Uploaded"}]}]},{"type":"tableCell","attrs":{},"content":[{"type":"paragraph","content":[{"type":"text","text":"39"}]}]},{"type":"tableCell","attrs":{},"content":[{"type":"paragraph","content":[{"type":"text","text":"7"}]}]}]},{"type":"tableRow","content":[{"type":"tableCell","attrs":{"background":"white"},"content":[{"type":"paragraph","content":[{"type":"text","text":"LIDs Shared"}]}]},{"type":"tableCell","attrs":{},"content":[{"type":"paragraph","content":[{"type":"text","text":"246"}]}]},{"type":"tableCell","attrs":{},"content":[{"type":"paragraph","content":[{"type":"text","text":"53"}]}]}]},{"type":"tableRow","content":[{"type":"tableCell","attrs":{"background":"white"},"content":[{"type":"paragraph","content":[{"type":"text","text":"LIDs Stuck in the System"}]}]},{"type":"tableCell","attrs":{},"content":[{"type":"paragraph","content":[{"type":"text","text":"0"}]}]},{"type":"tableCell","attrs":{},"content":[{"type":"paragraph","content":[{"type":"text","text":"0"}]}]}]}]}
{adf}</t>
  </si>
  <si>
    <t>[^UCW-30684_Post Upload Status_V.2 (1).xlsx]
[^Summary.zip]
;[^UCW-30684_Post Upload Status_V.2 (1) (8e7d5320-5fe0-4d8c-be2a-9e53f067d3b6).xlsx]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12d224dd-af27-4ef6-9f46-f138d21ed9ca"},"content":[{"type":"tableRow","content":[{"type":"tableCell","attrs":{"background":"#44b3e1"},"content":[{"type":"paragraph","content":[{"type":"text","text":"Ticket ID","marks":[{"type":"strong"}]}]}]},{"type":"tableCell","attrs":{"colspan":2,"background":"#44b3e1"},"content":[{"type":"paragraph","content":[{"type":"text","text":"UCW-30684","marks":[{"type":"strong"}]}]}]}]},{"type":"tableRow","content":[{"type":"tableCell","attrs":{"background":"#44b3e1"},"content":[{"type":"paragraph","content":[{"type":"text","text":"Brand Name","marks":[{"type":"strong"}]}]}]},{"type":"tableCell","attrs":{"colspan":2,"background":"#44b3e1"},"content":[{"type":"paragraph","content":[{"type":"text","text":"Torriden ","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25"}]}]},{"type":"tableCell","attrs":{},"content":[{"type":"paragraph","content":[{"type":"text","text":"25"}]}]}]},{"type":"tableRow","content":[{"type":"tableCell","attrs":{"background":"white"},"content":[{"type":"paragraph","content":[{"type":"text","text":"Uploaded"}]}]},{"type":"tableCell","attrs":{},"content":[{"type":"paragraph","content":[{"type":"text","text":"25"}]}]},{"type":"tableCell","attrs":{},"content":[{"type":"paragraph","content":[{"type":"text","text":"25"}]}]}]},{"type":"tableRow","content":[{"type":"tableCell","attrs":{"background":"white"},"content":[{"type":"paragraph","content":[{"type":"text","text":"SKUs not uploaded"}]}]},{"type":"tableCell","attrs":{},"content":[{"type":"paragraph","content":[{"type":"text","text":"-"}]}]},{"type":"tableCell","attrs":{},"content":[{"type":"paragraph","content":[{"type":"text","text":"-"}]}]}]},{"type":"tableRow","content":[{"type":"tableCell","attrs":{"background":"white"},"content":[{"type":"paragraph","content":[{"type":"text","text":"Already Listed"}]}]},{"type":"tableCell","attrs":{},"content":[{"type":"paragraph","content":[{"type":"text","text":"-"}]}]},{"type":"tableCell","attrs":{},"content":[{"type":"paragraph","content":[{"type":"text","text":"-"}]}]}]},{"type":"tableRow","content":[{"type":"tableCell","attrs":{"background":"white"},"content":[{"type":"paragraph","content":[{"type":"text","text":"LIDs Shared"}]}]},{"type":"tableCell","attrs":{},"content":[{"type":"paragraph","content":[{"type":"text","text":"25"}]}]},{"type":"tableCell","attrs":{},"content":[{"type":"paragraph","content":[{"type":"text","text":"25"}]}]}]},{"type":"tableRow","content":[{"type":"tableCell","attrs":{"background":"white"},"content":[{"type":"paragraph","content":[{"type":"text","text":"LIDs Stuck in the System"}]}]},{"type":"tableCell","attrs":{},"content":[{"type":"paragraph","content":[{"type":"text","text":"-"}]}]},{"type":"tableCell","attrs":{},"content":[{"type":"paragraph","content":[{"type":"text","text":"-"}]}]}]}]}
{adf}
With this, we are closing this request from our end.
Thank you for your patience, support, and cooperation throughout the process. Your brand is important to us, and we look forward to assisting you again.</t>
  </si>
  <si>
    <t xml:space="preserve">We would like to inform you that your ticket has been successfully uploaded in our system.
Please find the attached summary files and post-upload file for footwear for your reference. We will share a further update once the listing IDs are generated.
[^UCW-30678 - Post Upload Status .xlsx] [^Summary.zip] ;[^UCW-30678 - Post Upload Status.xlsx] 
We are pleased to inform you that the listing IDs have been generated successfully.
Please find the attached file for your reference, along with the summary table below. You may now proceed with price and inventory pushing from your end.{color:#ffffff}__{color}
{adf:display=block}
{"type":"table","attrs":{"isNumberColumnEnabled":false,"layout":"center","localId":"6695b0d3-8524-46b9-b91f-b298db9a5da1","width":509},"content":[{"type":"tableRow","content":[{"type":"tableCell","attrs":{"background":"#44b3e1"},"content":[{"type":"paragraph","content":[{"type":"text","text":"Ticket ID","marks":[{"type":"strong"}]}]}]},{"type":"tableCell","attrs":{"colspan":2,"background":"#44b3e1"},"content":[{"type":"paragraph","content":[{"type":"text","text":"UCW-30678","marks":[{"type":"strong"}]}]}]}]},{"type":"tableRow","content":[{"type":"tableCell","attrs":{"background":"#44b3e1"},"content":[{"type":"paragraph","content":[{"type":"text","text":"Brand Name","marks":[{"type":"strong"}]}]}]},{"type":"tableCell","attrs":{"colspan":2,"background":"#44b3e1"},"content":[{"type":"paragraph","content":[{"type":"text","text":"U.S.Polo Ass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type":"tableCell","attrs":{},"content":[{"type":"paragraph","content":[{"type":"text","text":"80"}]}]}]},{"type":"tableRow","content":[{"type":"tableCell","attrs":{"background":"white"},"content":[{"type":"paragraph","content":[{"type":"text","text":"Uploaded"}]}]},{"type":"tableCell","attrs":{},"content":[{"type":"paragraph","content":[{"type":"text","text":"16"}]}]},{"type":"tableCell","attrs":{},"content":[{"type":"paragraph","content":[{"type":"text","text":"80"}]}]}]},{"type":"tableRow","content":[{"type":"tableCell","attrs":{"background":"white"},"content":[{"type":"paragraph","content":[{"type":"text","text":"SKUs not uploaded"}]}]},{"type":"tableCell","attrs":{},"content":[{"type":"paragraph","content":[{"type":"text","text":"-"}]}]},{"type":"tableCell","attrs":{},"content":[{"type":"paragraph","content":[{"type":"text","text":"-"}]}]}]},{"type":"tableRow","content":[{"type":"tableCell","attrs":{"background":"white"},"content":[{"type":"paragraph","content":[{"type":"text","text":"Already Listed"}]}]},{"type":"tableCell","attrs":{},"content":[{"type":"paragraph","content":[{"type":"text","text":"-"}]}]},{"type":"tableCell","attrs":{},"content":[{"type":"paragraph","content":[{"type":"text","text":"-"}]}]}]},{"type":"tableRow","content":[{"type":"tableCell","attrs":{"background":"white"},"content":[{"type":"paragraph","content":[{"type":"text","text":"LIDs Shared"}]}]},{"type":"tableCell","attrs":{},"content":[{"type":"paragraph","content":[{"type":"text","text":"16"}]}]},{"type":"tableCell","attrs":{},"content":[{"type":"paragraph","content":[{"type":"text","text":"80"}]}]}]},{"type":"tableRow","content":[{"type":"tableCell","attrs":{"background":"white"},"content":[{"type":"paragraph","content":[{"type":"text","text":"LIDs Stuck in the System"}]}]},{"type":"tableCell","attrs":{},"content":[{"type":"paragraph","content":[{"type":"text","text":"-"}]}]},{"type":"tableCell","attrs":{},"content":[{"type":"paragraph","content":[{"type":"text","text":"-"}]}]}]}]}
{adf}
For the accessories we have created a clone and will proceed accordingly with uploads -
[https://tataunistore.atlassian.net/browse/UCW-31328|https://tataunistore.atlassian.net/browse/UCW-31328|smart-link] </t>
  </si>
  <si>
    <t xml:space="preserve">[^UCW-30673_Post Upload Status_V.2 (1).xlsx]
[^Summary.zip]
;[^UCW-30673_Post Upload Status_V.2 (1) (994131e9-ae52-4ced-b529-0650b9be1d4a).xlsx]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e13ad43-2274-418c-81b6-eb7df691b142"},"content":[{"type":"tableRow","content":[{"type":"tableCell","attrs":{"background":"#44b3e1"},"content":[{"type":"paragraph","content":[{"type":"text","text":"Ticket ID","marks":[{"type":"strong"}]}]}]},{"type":"tableCell","attrs":{"colspan":2,"background":"#44b3e1"},"content":[{"type":"paragraph","content":[{"type":"text","text":"UCW-30673","marks":[{"type":"strong"}]}]}]}]},{"type":"tableRow","content":[{"type":"tableCell","attrs":{"background":"#44b3e1"},"content":[{"type":"paragraph","content":[{"type":"text","text":"Brand Name","marks":[{"type":"strong"}]}]}]},{"type":"tableCell","attrs":{"colspan":2,"background":"#44b3e1"},"content":[{"type":"paragraph","content":[{"type":"text","text":"Colors Queen ","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7"}]}]},{"type":"tableCell","attrs":{},"content":[{"type":"paragraph","content":[{"type":"text","text":"7"}]}]}]},{"type":"tableRow","content":[{"type":"tableCell","attrs":{"background":"white"},"content":[{"type":"paragraph","content":[{"type":"text","text":"Uploaded"}]}]},{"type":"tableCell","attrs":{},"content":[{"type":"paragraph","content":[{"type":"text","text":"7"}]}]},{"type":"tableCell","attrs":{},"content":[{"type":"paragraph","content":[{"type":"text","text":"7"}]}]}]},{"type":"tableRow","content":[{"type":"tableCell","attrs":{"background":"white"},"content":[{"type":"paragraph","content":[{"type":"text","text":"SKUs not uploaded"}]}]},{"type":"tableCell","attrs":{},"content":[{"type":"paragraph","content":[{"type":"text","text":"-"}]}]},{"type":"tableCell","attrs":{},"content":[{"type":"paragraph","content":[{"type":"text","text":"-"}]}]}]},{"type":"tableRow","content":[{"type":"tableCell","attrs":{"background":"white"},"content":[{"type":"paragraph","content":[{"type":"text","text":"Already Listed"}]}]},{"type":"tableCell","attrs":{},"content":[{"type":"paragraph","content":[{"type":"text","text":"-"}]}]},{"type":"tableCell","attrs":{},"content":[{"type":"paragraph","content":[{"type":"text","text":"-"}]}]}]},{"type":"tableRow","content":[{"type":"tableCell","attrs":{"background":"white"},"content":[{"type":"paragraph","content":[{"type":"text","text":"LIDs Shared"}]}]},{"type":"tableCell","attrs":{},"content":[{"type":"paragraph","content":[{"type":"text","text":"7"}]}]},{"type":"tableCell","attrs":{},"content":[{"type":"paragraph","content":[{"type":"text","text":"7"}]}]}]},{"type":"tableRow","content":[{"type":"tableCell","attrs":{"background":"white"},"content":[{"type":"paragraph","content":[{"type":"text","text":"LIDs Stuck in the System"}]}]},{"type":"tableCell","attrs":{},"content":[{"type":"paragraph","content":[{"type":"text","text":"-"}]}]},{"type":"tableCell","attrs":{},"content":[{"type":"paragraph","content":[{"type":"text","text":"-"}]}]}]}]}
{adf}
With this, we are closing this request from our end.
Thank you for your patience, support, and cooperation throughout the process. Your brand is important to us, and we look forward to assisting you again. </t>
  </si>
  <si>
    <t>We have successfully uploaded this batch. Please find the attached summary sheet and summary report.[^ProductBulkUpload_125928_Beauty__Grooming(MPH22)_Makeup(MPH2214)_Face(MPH2214101)_Face_Primer(MPH2214101110)_33887_1778480782990_20260511_115623_213_summary.csv] [^Post Upload Status.xlsx] ;[^UCW-30657.xlsx]
Please find attached the sheet, where 1 option has been listed.
Kindly update the price and inventory, and share the summary once completed.
{adf:display=block}
{"type":"table","attrs":{"isNumberColumnEnabled":false,"layout":"center","localId":"caced251-8085-4ed1-8595-20787eea7f3d"},"content":[{"type":"tableRow","content":[{"type":"tableCell","attrs":{"background":"#44b3e1"},"content":[{"type":"paragraph","content":[{"type":"text","text":"Ticket ID","marks":[{"type":"strong"}]}]}]},{"type":"tableCell","attrs":{"colspan":2,"background":"#44b3e1"},"content":[{"type":"paragraph","content":[{"type":"text","text":"UCW-30657","marks":[{"type":"strong"}]}]}]}]},{"type":"tableRow","content":[{"type":"tableCell","attrs":{"background":"#44b3e1"},"content":[{"type":"paragraph","content":[{"type":"text","text":"Brand Name","marks":[{"type":"strong"}]}]}]},{"type":"tableCell","attrs":{"colspan":2,"background":"#44b3e1"},"content":[{"type":"paragraph","content":[{"type":"text","text":"Bobbi Brown","marks":[{"type":"strong"}]}]}]}]},{"type":"tableRow","content":[{"type":"tableCell","attrs":{"background":"#ace5fe"},"content":[{"type":"paragraph","content":[{"type":"text","text":"Platform","marks":[{"type":"strong"}]}]}]},{"type":"tableCell","attrs":{"colspan":2,"background":"#ace5fe"},"content":[{"type":"paragraph","content":[{"type":"text","text":"Mall +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</si>
  <si>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report.[^Summary.zip] [^Post Upload Status_V.2 (1).xlsx] ;[^UCW-30646.xlsx]
Please find attached the sheet, where 27 options of Footwear have been listed.
Kindly update the price and inventory, and share the summary once completed.
{adf:display=block}
{"type":"table","attrs":{"isNumberColumnEnabled":false,"layout":"center","localId":"972cfd73-d7e0-4d77-8b15-1a71401c2aac"},"content":[{"type":"tableRow","content":[{"type":"tableCell","attrs":{"background":"#44b3e1"},"content":[{"type":"paragraph","content":[{"type":"text","text":"Ticket ID","marks":[{"type":"strong"}]}]}]},{"type":"tableCell","attrs":{"colspan":2,"background":"#44b3e1"},"content":[{"type":"paragraph","content":[{"type":"text","text":"UCW-30646","marks":[{"type":"strong"}]}]}]}]},{"type":"tableRow","content":[{"type":"tableCell","attrs":{"background":"#44b3e1"},"content":[{"type":"paragraph","content":[{"type":"text","text":"Brand Name","marks":[{"type":"strong"}]}]}]},{"type":"tableCell","attrs":{"colspan":2,"background":"#44b3e1"},"content":[{"type":"paragraph","content":[{"type":"text","text":"Charles &amp; Keit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174"}]}]},{"type":"tableCell","attrs":{},"content":[{"type":"paragraph","content":[{"type":"text","text":"27"}]}]}]},{"type":"tableRow","content":[{"type":"tableCell","attrs":{"background":"white"},"content":[{"type":"paragraph","content":[{"type":"text","text":"Uploaded"}]}]},{"type":"tableCell","attrs":{},"content":[{"type":"paragraph","content":[{"type":"text","text":"174"}]}]},{"type":"tableCell","attrs":{},"content":[{"type":"paragraph","content":[{"type":"text","text":"27"}]}]}]},{"type":"tableRow","content":[{"type":"tableCell","attrs":{"background":"white"},"content":[{"type":"paragraph","content":[{"type":"text","text":"LIDs Shared"}]}]},{"type":"tableCell","attrs":{},"content":[{"type":"paragraph","content":[{"type":"text","text":"174"}]}]},{"type":"tableCell","attrs":{},"content":[{"type":"paragraph","content":[{"type":"text","text":"27"}]}]}]},{"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</si>
  <si>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report.[^Summary.zip] [^Post Upload Status_V.2 (1).xlsx] ;[^UCW-30644_LID.xlsx]
Hi [@Vijay Shettiyar|mailto:vijays@regalshoes.co.in],
Please find attached the sheet, where 16 options have been listed. Kindly update the price and inventory, and share the summary once completed.
{adf:display=block}
{"type":"table","attrs":{"isNumberColumnEnabled":false,"layout":"center","localId":"c3e5ec96-a4fd-465b-922d-6cd70740ff94"},"content":[{"type":"tableRow","content":[{"type":"tableCell","attrs":{"background":"#44b3e1"},"content":[{"type":"paragraph","content":[{"type":"text","text":"Ticket ID","marks":[{"type":"strong"}]}]}]},{"type":"tableCell","attrs":{"colspan":2,"background":"#44b3e1"},"content":[{"type":"paragraph","content":[{"type":"text","text":"UCW-30644","marks":[{"type":"strong"}]}]}]}]},{"type":"tableRow","content":[{"type":"tableCell","attrs":{"background":"#44b3e1"},"content":[{"type":"paragraph","content":[{"type":"text","text":"Brand Name","marks":[{"type":"strong"}]}]}]},{"type":"tableCell","attrs":{"colspan":2,"background":"#44b3e1"},"content":[{"type":"paragraph","content":[{"type":"text","text":"Regal, Imperio","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96"}]}]},{"type":"tableCell","attrs":{"background":"white"},"content":[{"type":"paragraph","content":[{"type":"text","text":"16"}]}]}]},{"type":"tableRow","content":[{"type":"tableCell","attrs":{"background":"white"},"content":[{"type":"paragraph","content":[{"type":"text","text":"Uploaded"}]}]},{"type":"tableCell","attrs":{"background":"white"},"content":[{"type":"paragraph","content":[{"type":"text","text":"96"}]}]},{"type":"tableCell","attrs":{"background":"white"},"content":[{"type":"paragraph","content":[{"type":"text","text":"16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96"}]}]},{"type":"tableCell","attrs":{"background":"white"},"content":[{"type":"paragraph","content":[{"type":"text","text":"16"}]}]}]},{"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</si>
  <si>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[^UCW-30634 Post Upload Status_V.2 (1).xlsx]
[^Summary.zip]
;[^UCW-30634 Post Upload Status_V.2 (1) (f6545426-a34c-4b5f-b5b2-4436b92daf66).xlsx]
Please find attached the sheet, where 1 option of Beauty &amp; Grooming has been listed.
Kindly update the price and inventory, and share the summary once completed.
{adf:display=block}
{"type":"table","attrs":{"isNumberColumnEnabled":false,"layout":"center","localId":"91caafd2-6bc7-41e5-966e-553634361325"},"content":[{"type":"tableRow","content":[{"type":"tableCell","attrs":{"background":"#44b3e1"},"content":[{"type":"paragraph","content":[{"type":"text","text":"Ticket ID","marks":[{"type":"strong"}]}]}]},{"type":"tableCell","attrs":{"colspan":2,"background":"#44b3e1"},"content":[{"type":"paragraph","content":[{"type":"text","text":"UCW-30634","marks":[{"type":"strong"}]}]}]}]},{"type":"tableRow","content":[{"type":"tableCell","attrs":{"background":"#44b3e1"},"content":[{"type":"paragraph","content":[{"type":"text","text":"Brand Name","marks":[{"type":"strong"}]}]}]},{"type":"tableCell","attrs":{"colspan":2,"background":"#44b3e1"},"content":[{"type":"paragraph","content":[{"type":"text","text":"Forest Essential","marks":[{"type":"strong"}]}]}]}]},{"type":"tableRow","content":[{"type":"tableCell","attrs":{"background":"#ace5fe"},"content":[{"type":"paragraph","content":[{"type":"text","text":"Platform","marks":[{"type":"strong"}]}]}]},{"type":"tableCell","attrs":{"colspan":2,"background":"#ace5fe"},"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t>
  </si>
  <si>
    <t>[^UCW-30630 Post Upload Status_V.2 (1).xlsx]
[^Summary.zip]
;[^UCW-30630 Post Upload Status_V.2 (1) (5131fae7-250c-43db-9b68-98dbc29267f8).xlsx]
Please find attached the sheet, where 4 options of Beauty &amp; Grooming have been listed.
Kindly update the price and inventory, and share the summary once completed.
{adf:display=block}
{"type":"table","attrs":{"isNumberColumnEnabled":false,"layout":"center","localId":"dc8eafab-281b-47b7-bdde-e2d25fc97f6a"},"content":[{"type":"tableRow","content":[{"type":"tableCell","attrs":{"background":"#44b3e1"},"content":[{"type":"paragraph","content":[{"type":"text","text":"Ticket ID","marks":[{"type":"strong"}]}]}]},{"type":"tableCell","attrs":{"colspan":2,"background":"#44b3e1"},"content":[{"type":"paragraph","content":[{"type":"text","text":"UCW-30630","marks":[{"type":"strong"}]}]}]}]},{"type":"tableRow","content":[{"type":"tableCell","attrs":{"background":"#44b3e1"},"content":[{"type":"paragraph","content":[{"type":"text","text":"Brand Name","marks":[{"type":"strong"}]}]}]},{"type":"tableCell","attrs":{"colspan":2,"background":"#44b3e1"},"content":[{"type":"paragraph","content":[{"type":"text","text":"Brillar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type":"tableCell","attrs":{},"content":[{"type":"paragraph","content":[{"type":"text","text":"4"}]}]}]},{"type":"tableRow","content":[{"type":"tableCell","attrs":{"background":"white"},"content":[{"type":"paragraph","content":[{"type":"text","text":"Uploaded"}]}]},{"type":"tableCell","attrs":{},"content":[{"type":"paragraph","content":[{"type":"text","text":"4"}]}]},{"type":"tableCell","attrs":{},"content":[{"type":"paragraph","content":[{"type":"text","text":"4"}]}]}]},{"type":"tableRow","content":[{"type":"tableCell","attrs":{"background":"white"},"content":[{"type":"paragraph","content":[{"type":"text","text":"LIDs Shared"}]}]},{"type":"tableCell","attrs":{},"content":[{"type":"paragraph","content":[{"type":"text","text":"4"}]}]},{"type":"tableCell","attrs":{},"content":[{"type":"paragraph","content":[{"type":"text","text":"4"}]}]}]},{"type":"tableRow","content":[{"type":"tableCell","attrs":{"background":"white"},"content":[{"type":"paragraph","content":[{"type":"text","text":"LIDs Stuck in the System"}]}]},{"type":"tableCell","attrs":{},"content":[{"type":"paragraph","content":[{"type":"text","text":"0"}]}]},{"type":"tableCell","attrs":{},"content":[{"type":"paragraph","content":[{"type":"text","text":"0"}]}]}]}]}
{adf}</t>
  </si>
  <si>
    <t>[^UCW-30629_Post Upload Status_V.2.xlsx]
[^Summary.zip]
;[^125790_product_retrigger_BULK_UPLOAD_summary.csv]
[^125790_SKUEDITRETRIGGER__Perfumes(MPH2211100104)_20260512_025130_753_summary.csv]
Stuck in Rejected due to Image Ratio: INVALID. we retriggered by correcting the image Ratio;[^UCW-30629_Post Upload Status_V.2 (c610e65c-bb9f-42a5-98c7-f100f4be9d94).xlsx]
Please find attached the sheet, where 5 options have been listed.
Kindly update the price and inventory, and share the summary once completed.
{adf:display=block}
{"type":"table","attrs":{"isNumberColumnEnabled":false,"layout":"center","localId":"cf604f7e-c0b7-4568-af9b-94a571993a9a"},"content":[{"type":"tableRow","content":[{"type":"tableCell","attrs":{"background":"#44b3e1"},"content":[{"type":"paragraph","content":[{"type":"text","text":"Ticket ID","marks":[{"type":"strong"}]}]}]},{"type":"tableCell","attrs":{"colspan":2,"background":"#44b3e1"},"content":[{"type":"paragraph","content":[{"type":"text","text":"UCW-30629","marks":[{"type":"strong"}]}]}]}]},{"type":"tableRow","content":[{"type":"tableCell","attrs":{"background":"#44b3e1"},"content":[{"type":"paragraph","content":[{"type":"text","text":"Brand Name","marks":[{"type":"strong"}]}]}]},{"type":"tableCell","attrs":{"colspan":2,"background":"#44b3e1"},"content":[{"type":"paragraph","content":[{"type":"text","text":"Ajmal","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type":"tableCell","attrs":{},"content":[{"type":"paragraph","content":[{"type":"text","text":"5"}]}]}]},{"type":"tableRow","content":[{"type":"tableCell","attrs":{"background":"white"},"content":[{"type":"paragraph","content":[{"type":"text","text":"Uploaded"}]}]},{"type":"tableCell","attrs":{},"content":[{"type":"paragraph","content":[{"type":"text","text":"5"}]}]},{"type":"tableCell","attrs":{},"content":[{"type":"paragraph","content":[{"type":"text","text":"5"}]}]}]},{"type":"tableRow","content":[{"type":"tableCell","attrs":{"background":"white"},"content":[{"type":"paragraph","content":[{"type":"text","text":"LIDs Shared"}]}]},{"type":"tableCell","attrs":{},"content":[{"type":"paragraph","content":[{"type":"text","text":"5"}]}]},{"type":"tableCell","attrs":{},"content":[{"type":"paragraph","content":[{"type":"text","text":"5"}]}]}]},{"type":"tableRow","content":[{"type":"tableCell","attrs":{"background":"white"},"content":[{"type":"paragraph","content":[{"type":"text","text":"LIDs Stuck in the System"}]}]},{"type":"tableCell","attrs":{},"content":[{"type":"paragraph","content":[{"type":"text","text":"0"}]}]},{"type":"tableCell","attrs":{},"content":[{"type":"paragraph","content":[{"type":"text","text":"0"}]}]}]}]}
{adf}</t>
  </si>
  <si>
    <t>We have updated the images. Please find the attached summary sheet for your reference. Once the images are successfully reflected, we will let you know.
{adf:display=block}
{"type":"table","attrs":{"isNumberColumnEnabled":false,"layout":"center","localId":"d6b63170-bf9f-4d13-9b82-3d3154cb9e03"},"content":[{"type":"tableRow","content":[{"type":"tableCell","attrs":{},"content":[{"type":"paragraph","content":[{"type":"text","text":"Ticket ID"}]}]},{"type":"tableCell","attrs":{"colspan":2},"content":[{"type":"paragraph","content":[{"type":"text","text":"UCW-30610"}]}]}]},{"type":"tableRow","content":[{"type":"tableCell","attrs":{},"content":[{"type":"paragraph","content":[{"type":"text","text":"Brand Name"}]}]},{"type":"tableCell","attrs":{"colspan":2},"content":[{"type":"paragraph","content":[{"type":"text","text":"Andamen"}]}]}]},{"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55"}]}]},{"type":"tableCell","attrs":{},"content":[{"type":"paragraph","content":[{"type":"text","text":"11"}]}]}]},{"type":"tableRow","content":[{"type":"tableCell","attrs":{},"content":[{"type":"paragraph","content":[{"type":"text","text":"Uploaded"}]}]},{"type":"tableCell","attrs":{},"content":[{"type":"paragraph","content":[{"type":"text","text":"55"}]}]},{"type":"tableCell","attrs":{},"content":[{"type":"paragraph","content":[{"type":"text","text":"11"}]}]}]}]}
{adf}
[^Summery.zip]
[^Status of UCW-30610.xlsx]
;The images have been successfully reflected. Please find the attached screenshot for your reference.
We are closing this ticket for now. If any issues arise or if you require further assistance, please feel free to reach out to us.
!image-20260520-065746.png|width=534,alt="image-20260520-065746.png"!
!image-20260520-065753.png|width=519,alt="image-20260520-065753.png"!
!image-20260520-065800.png|width=519,alt="image-20260520-065800.png"!
!image-20260520-065808.png|width=519,alt="image-20260520-065808.png"!
!image-20260520-065814.png|width=519,alt="image-20260520-065814.png"!
!image-20260520-065820.png|width=519,alt="image-20260520-065820.png"!
!image-20260520-065826.png|width=519,alt="image-20260520-065826.png"!
!image-20260520-065833.png|width=519,alt="image-20260520-065833.png"!</t>
  </si>
  <si>
    <t>We have updated the images. Please find the attached summary sheet for your reference. Once the images are successfully reflected, we will let you know.
{adf:display=block}
{"type":"table","attrs":{"isNumberColumnEnabled":false,"layout":"center","localId":"8468dc17-827c-44e2-8b58-2d9ba796c53c"},"content":[{"type":"tableRow","content":[{"type":"tableCell","attrs":{},"content":[{"type":"paragraph","content":[{"type":"text","text":"Ticket ID"}]}]},{"type":"tableCell","attrs":{"colspan":2},"content":[{"type":"paragraph","content":[{"type":"text","text":"UCW-30607"}]}]}]},{"type":"tableRow","content":[{"type":"tableCell","attrs":{},"content":[{"type":"paragraph","content":[{"type":"text","text":"Brand Name"}]}]},{"type":"tableCell","attrs":{"colspan":2},"content":[{"type":"paragraph","content":[{"type":"text","text":"The Sleep Company"}]}]}]},{"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25"}]}]},{"type":"tableCell","attrs":{},"content":[{"type":"paragraph","content":[{"type":"text","text":"25"}]}]}]},{"type":"tableRow","content":[{"type":"tableCell","attrs":{},"content":[{"type":"paragraph","content":[{"type":"text","text":"Uploaded"}]}]},{"type":"tableCell","attrs":{},"content":[{"type":"paragraph","content":[{"type":"text","text":"25"}]}]},{"type":"tableCell","attrs":{},"content":[{"type":"paragraph","content":[{"type":"text","text":"25"}]}]}]}]}
{adf}
[^Status of UCW-30607.xlsx]
[^Summery.zip]
;The images have been successfully reflected. Therefore, we are closing the ticket for now. If you require any further assistance, please feel free to connect with us at any time.
|MP000000026499783|
|MP000000026499930|
|MP000000026499931|
|MP000000026500151|
|MP000000026500228|
|MP000000019621717|
|MP000000019621726|
|MP000000019621727|
|MP000000025366426|
|MP000000025366427|
|MP000000026283054|
|MP000000026283057|
|MP000000026283058|
|MP000000026283060|
|MP000000026283065|
|MP000000026283067|
|MP000000026283068|
|MP000000026283602|
|MP000000026283603|
|MP000000026283606|
|MP000000026283607|
|MP000000026283612|
|MP000000026283620|
|MP000000026283623|
|MP000000026283625|</t>
  </si>
  <si>
    <t>We have updated the title and images. Once the changes are reflected, we will let you know.
{adf:display=block}
{"type":"table","attrs":{"isNumberColumnEnabled":false,"layout":"center","localId":"0d2989a4-58a9-40aa-90dc-9d8a18513723"},"content":[{"type":"tableRow","content":[{"type":"tableCell","attrs":{},"content":[{"type":"paragraph","content":[{"type":"text","text":"Ticket ID"}]}]},{"type":"tableCell","attrs":{"colspan":2},"content":[{"type":"paragraph","content":[{"type":"text","text":"UCW-30605"}]}]}]},{"type":"tableRow","content":[{"type":"tableCell","attrs":{},"content":[{"type":"paragraph","content":[{"type":"text","text":"Brand Name"}]}]},{"type":"tableCell","attrs":{"colspan":2},"content":[{"type":"paragraph","content":[{"type":"text","text":"The Sleep Company"}]}]}]},{"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3"}]}]},{"type":"tableCell","attrs":{},"content":[{"type":"paragraph","content":[{"type":"text","text":"3"}]}]}]},{"type":"tableRow","content":[{"type":"tableCell","attrs":{},"content":[{"type":"paragraph","content":[{"type":"text","text":"Uploaded"}]}]},{"type":"tableCell","attrs":{},"content":[{"type":"paragraph","content":[{"type":"text","text":"3"}]}]},{"type":"tableCell","attrs":{},"content":[{"type":"paragraph","content":[{"type":"text","text":"3"}]}]}]}]}
{adf}
[^Status of UCW-30605.xlsx]
[^127275_SKUEDITRETRIGGER__Others_3(MPH2115102107)_20260507_035025_143_summary.csv]
;The images and title have been successfully reflected. Therefore, we are closing the ticket for now. If you require any further assistance, please feel free to connect with us at any time.
|MP000000019621727|
|MP000000019621717|
|MP000000019621726|
!image-20260509-094312.png|width=517,alt="image-20260509-094312.png"!
!image-20260509-094321.png|width=502,alt="image-20260509-094321.png"!</t>
  </si>
  <si>
    <t>[^UCW-30602 Post Upload Status_V.2 (1).xlsx]
[^Summary.zip]
;[^128628_product_retrigger_BULK_UPLOAD_summary.csv]
[^128628_SKUEDITRETRIGGER__Roll_Ons(MPH2211100105)_20260512_125547_216_summary.csv]
Stuck in Rejected due to image aspect Ratio Invalid. we retriggered by correct the Image RATIO.;[^UCW-30602.xlsx]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4a6f767-44de-4cc5-a837-8076e21e1650"},"content":[{"type":"tableRow","content":[{"type":"tableCell","attrs":{"background":"#44b3e1"},"content":[{"type":"paragraph","content":[{"type":"text","text":"Ticket ID","marks":[{"type":"strong"}]}]}]},{"type":"tableCell","attrs":{"colspan":2,"background":"#44b3e1"},"content":[{"type":"paragraph","content":[{"type":"text","text":"UCW-30602","marks":[{"type":"strong"}]}]}]}]},{"type":"tableRow","content":[{"type":"tableCell","attrs":{"background":"#44b3e1"},"content":[{"type":"paragraph","content":[{"type":"text","text":"Brand Name","marks":[{"type":"strong"}]}]}]},{"type":"tableCell","attrs":{"colspan":2,"background":"#44b3e1"},"content":[{"type":"paragraph","content":[{"type":"text","text":"Foxtale","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type":"tableCell","attrs":{},"content":[{"type":"paragraph","content":[{"type":"text","text":"1"}]}]}]},{"type":"tableRow","content":[{"type":"tableCell","attrs":{"background":"white"},"content":[{"type":"paragraph","content":[{"type":"text","text":"Uploaded"}]}]},{"type":"tableCell","attrs":{},"content":[{"type":"paragraph","content":[{"type":"text","text":"1"}]}]},{"type":"tableCell","attrs":{},"content":[{"type":"paragraph","content":[{"type":"text","text":"1"}]}]}]},{"type":"tableRow","content":[{"type":"tableCell","attrs":{"background":"white"},"content":[{"type":"paragraph","content":[{"type":"text","text":"LIDs Shared"}]}]},{"type":"tableCell","attrs":{},"content":[{"type":"paragraph","content":[{"type":"text","text":"1"}]}]},{"type":"tableCell","attrs":{},"content":[{"type":"paragraph","content":[{"type":"text","text":"1"}]}]}]},{"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</si>
  <si>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[^UCW-26534_Mall.xlsx]
[^UCW-26534_Luxury.xlsx]
As requested, please find all the LIDs and SKUs wise details in the attached files. Please refer the table below for the summary.
Additionally, 1 SKU of MP an LUX each, are not uploaded as the image mismatched with content. So, we requested the brand to share the revised images, post that we will proceed with the listings.
As all the actions are taken from our end, we are closing the ticket. Upon receiving the image details, we will create a clone and proceed.
{adf:display=block}
{"type":"table","attrs":{"isNumberColumnEnabled":false,"layout":"center","localId":"b0409f7f-f8d7-4319-8235-c129ebedbcfb"},"content":[{"type":"tableRow","content":[{"type":"tableCell","attrs":{"background":"#44b3e1"},"content":[{"type":"paragraph","content":[{"type":"text","text":"Ticket ID","marks":[{"type":"strong"}]}]}]},{"type":"tableCell","attrs":{"colspan":4,"background":"#44b3e1"},"content":[{"type":"paragraph","content":[{"type":"text","text":"UCW-28432 / UCW-30599","marks":[{"type":"strong"}]}]}]}]},{"type":"tableRow","content":[{"type":"tableCell","attrs":{"background":"#44b3e1"},"content":[{"type":"paragraph","content":[{"type":"text","text":"Brand Name","marks":[{"type":"strong"}]}]}]},{"type":"tableCell","attrs":{"colspan":4,"background":"#0f9ed5"},"content":[{"type":"paragraph","content":[{"type":"text","text":"PUMA","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1205"}]}]},{"type":"tableCell","attrs":{},"content":[{"type":"paragraph","content":[{"type":"text","text":"664"}]}]},{"type":"tableCell","attrs":{},"content":[{"type":"paragraph","content":[{"type":"text","text":"1205"}]}]},{"type":"tableCell","attrs":{},"content":[{"type":"paragraph","content":[{"type":"text","text":"664"}]}]}]},{"type":"tableRow","content":[{"type":"tableCell","attrs":{"background":"white"},"content":[{"type":"paragraph","content":[{"type":"text","text":"Uploaded"}]}]},{"type":"tableCell","attrs":{},"content":[{"type":"paragraph","content":[{"type":"text","text":"1165"}]}]},{"type":"tableCell","attrs":{},"content":[{"type":"paragraph","content":[{"type":"text","text":"637"}]}]},{"type":"tableCell","attrs":{},"content":[{"type":"paragraph","content":[{"type":"text","text":"1136"}]}]},{"type":"tableCell","attrs":{},"content":[{"type":"paragraph","content":[{"type":"text","text":"595"}]}]}]},{"type":"tableRow","content":[{"type":"tableCell","attrs":{"background":"white"},"content":[{"type":"paragraph","content":[{"type":"text","text":"SKUs not uploaded-Image mismatched with content"}]}]},{"type":"tableCell","attrs":{},"content":[{"type":"paragraph","content":[{"type":"text","text":"1"}]}]},{"type":"tableCell","attrs":{},"content":[{"type":"paragraph","content":[{"type":"text","text":"1"}]}]},{"type":"tableCell","attrs":{},"content":[{"type":"paragraph","content":[{"type":"text","text":"1"}]}]},{"type":"tableCell","attrs":{},"content":[{"type":"paragraph","content":[{"type":"text","text":"1"}]}]}]},{"type":"tableRow","content":[{"type":"tableCell","attrs":{"background":"white"},"content":[{"type":"paragraph","content":[{"type":"text","text":"SKUs not uploaded- Drop down not available in this seller code"}]}]},{"type":"tableCell","attrs":{},"content":[{"type":"paragraph","content":[{"type":"text","text":"-"}]}]},{"type":"tableCell","attrs":{},"content":[{"type":"paragraph","content":[{"type":"text","text":"-"}]}]},{"type":"tableCell","attrs":{},"content":[{"type":"paragraph","content":[{"type":"text","text":"67"}]}]},{"type":"tableCell","attrs":{},"content":[{"type":"paragraph","content":[{"type":"text","text":"67"}]}]}]},{"type":"tableRow","content":[{"type":"tableCell","attrs":{"background":"white"},"content":[{"type":"paragraph","content":[{"type":"text","text":"Already Listed"}]}]},{"type":"tableCell","attrs":{},"content":[{"type":"paragraph","content":[{"type":"text","text":"39"}]}]},{"type":"tableCell","attrs":{},"content":[{"type":"paragraph","content":[{"type":"text","text":"26"}]}]},{"type":"tableCell","attrs":{},"content":[{"type":"paragraph","content":[{"type":"text","text":"1"}]}]},{"type":"tableCell","attrs":{},"content":[{"type":"paragraph","content":[{"type":"text","text":"1"}]}]}]},{"type":"tableRow","content":[{"type":"tableCell","attrs":{"background":"white"},"content":[{"type":"paragraph","content":[{"type":"text","text":"LIDs Shared"}]}]},{"type":"tableCell","attrs":{},"content":[{"type":"paragraph","content":[{"type":"text","text":"1165"}]}]},{"type":"tableCell","attrs":{},"content":[{"type":"paragraph","content":[{"type":"text","text":"637"}]}]},{"type":"tableCell","attrs":{},"content":[{"type":"paragraph","content":[{"type":"text","text":"1136"}]}]},{"type":"tableCell","attrs":{},"content":[{"type":"paragraph","content":[{"type":"text","text":"595"}]}]}]},{"type":"tableRow","content":[{"type":"tableCell","attrs":{"background":"white"},"content":[{"type":"paragraph","content":[{"type":"text","text":"LIDs Stuck in the System"}]}]},{"type":"tableCell","attrs":{},"content":[{"type":"paragraph","content":[{"type":"text","text":"0"}]}]},{"type":"tableCell","attrs":{},"content":[{"type":"paragraph","content":[{"type":"text","text":"0"}]}]},{"type":"tableCell","attrs":{},"content":[{"type":"paragraph","content":[{"type":"text","text":"0"}]}]},{"type":"tableCell","attrs":{},"content":[{"type":"paragraph","content":[{"type":"text","text":"0"}]}]}]}]}
{adf}</t>
  </si>
  <si>
    <t xml:space="preserve">[^UCW-30574 Post Upload Status_V.2 (1).xlsx]
[^Summary.zip]
;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1cb6d57-383a-495c-b682-c7905b8f2490"},"content":[{"type":"tableRow","content":[{"type":"tableCell","attrs":{"background":"#44b3e1"},"content":[{"type":"paragraph","content":[{"type":"text","text":"Ticket ID","marks":[{"type":"strong"}]}]}]},{"type":"tableCell","attrs":{"colspan":2,"background":"#44b3e1"},"content":[{"type":"paragraph","content":[{"type":"text","text":"UCW-30574","marks":[{"type":"strong"}]}]}]}]},{"type":"tableRow","content":[{"type":"tableCell","attrs":{"background":"#44b3e1"},"content":[{"type":"paragraph","content":[{"type":"text","text":"Brand Name","marks":[{"type":"strong"}]}]}]},{"type":"tableCell","attrs":{"colspan":2,"background":"#44b3e1"},"content":[{"type":"paragraph","content":[{"type":"text","text":"CareVeda","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38"}]}]},{"type":"tableCell","attrs":{},"content":[{"type":"paragraph","content":[{"type":"text","text":"38"}]}]}]},{"type":"tableRow","content":[{"type":"tableCell","attrs":{"background":"white"},"content":[{"type":"paragraph","content":[{"type":"text","text":"Uploaded"}]}]},{"type":"tableCell","attrs":{},"content":[{"type":"paragraph","content":[{"type":"text","text":"38"}]}]},{"type":"tableCell","attrs":{},"content":[{"type":"paragraph","content":[{"type":"text","text":"38"}]}]}]},{"type":"tableRow","content":[{"type":"tableCell","attrs":{"background":"white"},"content":[{"type":"paragraph","content":[{"type":"text","text":"SKUs not uploaded"}]}]},{"type":"tableCell","attrs":{},"content":[{"type":"paragraph","content":[{"type":"text","text":"-"}]}]},{"type":"tableCell","attrs":{},"content":[{"type":"paragraph","content":[{"type":"text","text":"-"}]}]}]},{"type":"tableRow","content":[{"type":"tableCell","attrs":{"background":"white"},"content":[{"type":"paragraph","content":[{"type":"text","text":"Already Listed"}]}]},{"type":"tableCell","attrs":{},"content":[{"type":"paragraph","content":[{"type":"text","text":"-"}]}]},{"type":"tableCell","attrs":{},"content":[{"type":"paragraph","content":[{"type":"text","text":"-"}]}]}]},{"type":"tableRow","content":[{"type":"tableCell","attrs":{"background":"white"},"content":[{"type":"paragraph","content":[{"type":"text","text":"LIDs Shared"}]}]},{"type":"tableCell","attrs":{},"content":[{"type":"paragraph","content":[{"type":"text","text":"38"}]}]},{"type":"tableCell","attrs":{},"content":[{"type":"paragraph","content":[{"type":"text","text":"38"}]}]}]},{"type":"tableRow","content":[{"type":"tableCell","attrs":{"background":"white"},"content":[{"type":"paragraph","content":[{"type":"text","text":"LIDs Stuck in the System"}]}]},{"type":"tableCell","attrs":{},"content":[{"type":"paragraph","content":[{"type":"text","text":"-"}]}]},{"type":"tableCell","attrs":{},"content":[{"type":"paragraph","content":[{"type":"text","text":"-"}]}]}]}]}
{adf}
With this, we are closing this request from our end.
Thank you for your patience, support, and cooperation throughout the process. Your brand is important to us, and we look forward to assisting you again.[^UCW-30574 Post Upload Status_V.2 (1) (110ee1c8-1f29-4577-99d2-5ddc1d8e37bb).xlsx] </t>
  </si>
  <si>
    <t xml:space="preserve">[^UCW-30557 Post Upload Status_V.2 (1).xlsx]
[^Summary.zip]
;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8589c2e4-7522-4ef0-8968-f2343ea79e9d"},"content":[{"type":"tableRow","content":[{"type":"tableCell","attrs":{"background":"#44b3e1"},"content":[{"type":"paragraph","content":[{"type":"text","text":"Ticket ID","marks":[{"type":"strong"}]}]}]},{"type":"tableCell","attrs":{"colspan":2,"background":"#44b3e1"},"content":[{"type":"paragraph","content":[{"type":"text","text":"UCW-30557","marks":[{"type":"strong"}]}]}]}]},{"type":"tableRow","content":[{"type":"tableCell","attrs":{"background":"#44b3e1"},"content":[{"type":"paragraph","content":[{"type":"text","text":"Brand Name","marks":[{"type":"strong"}]}]}]},{"type":"tableCell","attrs":{"colspan":2,"background":"#44b3e1"},"content":[{"type":"paragraph","content":[{"type":"text","text":"Multiple","marks":[{"type":"strong"}]}]}]}]},{"type":"tableRow","content":[{"type":"tableCell","attrs":{"background":"#ace5fe"},"content":[{"type":"paragraph","content":[{"type":"text","text":"Platform","marks":[{"type":"strong"}]}]}]},{"type":"tableCell","attrs":{"colspan":2,"background":"#ace5fe"},"content":[{"type":"paragraph","content":[{"type":"text","text":"LUX","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21"}]}]},{"type":"tableCell","attrs":{},"content":[{"type":"paragraph","content":[{"type":"text","text":"21"}]}]}]},{"type":"tableRow","content":[{"type":"tableCell","attrs":{"background":"white"},"content":[{"type":"paragraph","content":[{"type":"text","text":"Uploaded"}]}]},{"type":"tableCell","attrs":{},"content":[{"type":"paragraph","content":[{"type":"text","text":"18"}]}]},{"type":"tableCell","attrs":{},"content":[{"type":"paragraph","content":[{"type":"text","text":"18"}]}]}]},{"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Already Listed"}]}]},{"type":"tableCell","attrs":{},"content":[{"type":"paragraph","content":[{"type":"text","text":"3"}]}]},{"type":"tableCell","attrs":{},"content":[{"type":"paragraph","content":[{"type":"text","text":"3"}]}]}]},{"type":"tableRow","content":[{"type":"tableCell","attrs":{"background":"white"},"content":[{"type":"paragraph","content":[{"type":"text","text":"LIDs Shared"}]}]},{"type":"tableCell","attrs":{},"content":[{"type":"paragraph","content":[{"type":"text","text":"18"}]}]},{"type":"tableCell","attrs":{},"content":[{"type":"paragraph","content":[{"type":"text","text":"18"}]}]}]},{"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again.[^UCW-30557 Post Upload Status_V.2 (1) (54f2d411-e2be-450c-a74f-87f6357ee4dd).xlsx] </t>
  </si>
  <si>
    <t>[^UCW-30536 Post Upload Status_V.2 (1).xlsx]
[^Summary.zip]
;[^UCW-30536_LID.xlsx]
Hi [@Shobhakant|mailto:Shobhakant@mkexim.co.in],
Please find attached the sheet, where 1 options have been listed. Kindly update the price and inventory, and share the summary once completed.
{adf:display=block}
{"type":"table","attrs":{"isNumberColumnEnabled":false,"layout":"center","localId":"fb22e979-1634-4ff0-8d9b-fe24054db616"},"content":[{"type":"tableRow","content":[{"type":"tableCell","attrs":{"background":"#44b3e1"},"content":[{"type":"paragraph","content":[{"type":"text","text":"Ticket ID","marks":[{"type":"strong"}]}]}]},{"type":"tableCell","attrs":{"colspan":2,"background":"#44b3e1"},"content":[{"type":"paragraph","content":[{"type":"text","text":"UCW-30536","marks":[{"type":"strong"}]}]}]}]},{"type":"tableRow","content":[{"type":"tableCell","attrs":{"background":"#44b3e1"},"content":[{"type":"paragraph","content":[{"type":"text","text":"Brand Name","marks":[{"type":"strong"}]}]}]},{"type":"tableCell","attrs":{"colspan":2,"background":"#44b3e1"},"content":[{"type":"paragraph","content":[{"type":"text","text":"K18","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</si>
  <si>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PFA the Post Upload Sheet &amp; Summary.
[^Summary.zip]
[^Post Upload Status_UCW-30535.xlsx]
;[^UCW-30535_LID.xlsx]
Hi [@Ganesh Rolekar|mailto:ganeshr@globusmail.com],
Please find attached the sheet, where 22 options have been listed. Kindly update the price and inventory, and share the summary once completed.
{adf:display=block}
{"type":"table","attrs":{"isNumberColumnEnabled":false,"layout":"center","localId":"a34b7cf4-694c-4b22-8adc-831f4001456a"},"content":[{"type":"tableRow","content":[{"type":"tableCell","attrs":{"background":"#44b3e1"},"content":[{"type":"paragraph","content":[{"type":"text","text":"Ticket ID","marks":[{"type":"strong"}]}]}]},{"type":"tableCell","attrs":{"colspan":2,"background":"#44b3e1"},"content":[{"type":"paragraph","content":[{"type":"text","text":"UCW-30535","marks":[{"type":"strong"}]}]}]}]},{"type":"tableRow","content":[{"type":"tableCell","attrs":{"background":"#44b3e1"},"content":[{"type":"paragraph","content":[{"type":"text","text":"Brand Name","marks":[{"type":"strong"}]}]}]},{"type":"tableCell","attrs":{"colspan":2,"background":"#44b3e1"},"content":[{"type":"paragraph","content":[{"type":"text","text":"Globus ","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88"}]}]},{"type":"tableCell","attrs":{"background":"white"},"content":[{"type":"paragraph","content":[{"type":"text","text":"22"}]}]}]},{"type":"tableRow","content":[{"type":"tableCell","attrs":{"background":"white"},"content":[{"type":"paragraph","content":[{"type":"text","text":"Uploaded"}]}]},{"type":"tableCell","attrs":{"background":"white"},"content":[{"type":"paragraph","content":[{"type":"text","text":"88"}]}]},{"type":"tableCell","attrs":{"background":"white"},"content":[{"type":"paragraph","content":[{"type":"text","text":"22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88"}]}]},{"type":"tableCell","attrs":{"background":"white"},"content":[{"type":"paragraph","content":[{"type":"text","text":"22"}]}]}]},{"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</si>
  <si>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PFA the Post Upload Sheet &amp; Summary.
[^Post Upload Status_30534.xlsx]
[^Summary.zip]
;[^UCW-30534_LID.xlsx]
Hi [@Jainam Overseas Pvt Ltd|mailto:info@rajnandinifashion.com],
Please find attached the sheet, where 55 options have been listed. Kindly update the price and inventory, and share the summary once completed.
{adf:display=block}
{"type":"table","attrs":{"isNumberColumnEnabled":false,"layout":"center","localId":"f362f5e3-cd32-4f18-8082-fed7cdad9924"},"content":[{"type":"tableRow","content":[{"type":"tableCell","attrs":{"background":"#44b3e1"},"content":[{"type":"paragraph","content":[{"type":"text","text":"Ticket ID","marks":[{"type":"strong"}]}]}]},{"type":"tableCell","attrs":{"colspan":2,"background":"#44b3e1"},"content":[{"type":"paragraph","content":[{"type":"text","text":"UCW-30534","marks":[{"type":"strong"}]}]}]}]},{"type":"tableRow","content":[{"type":"tableCell","attrs":{"background":"#44b3e1"},"content":[{"type":"paragraph","content":[{"type":"text","text":"Brand Name","marks":[{"type":"strong"}]}]}]},{"type":"tableCell","attrs":{"colspan":2,"background":"#44b3e1"},"content":[{"type":"paragraph","content":[{"type":"text","text":"Rajnandini","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342"}]}]},{"type":"tableCell","attrs":{"background":"white"},"content":[{"type":"paragraph","content":[{"type":"text","text":"57"}]}]}]},{"type":"tableRow","content":[{"type":"tableCell","attrs":{"background":"white"},"content":[{"type":"paragraph","content":[{"type":"text","text":"Uploaded"}]}]},{"type":"tableCell","attrs":{"background":"white"},"content":[{"type":"paragraph","content":[{"type":"text","text":"332"}]}]},{"type":"tableCell","attrs":{"background":"white"},"content":[{"type":"paragraph","content":[{"type":"text","text":"55"}]}]}]},{"type":"tableRow","content":[{"type":"tableCell","attrs":{"background":"white"},"content":[{"type":"paragraph","content":[{"type":"text","text":"Not Uploaded"}]}]},{"type":"tableCell","attrs":{"background":"white"},"content":[{"type":"paragraph","content":[{"type":"text","text":"10"}]}]},{"type":"tableCell","attrs":{"background":"white"},"content":[{"type":"paragraph","content":[{"type":"text","text":"2"}]}]}]},{"type":"tableRow","content":[{"type":"tableCell","attrs":{"background":"white"},"content":[{"type":"paragraph","content":[{"type":"text","text":"LIDs Shared"}]}]},{"type":"tableCell","attrs":{"background":"white"},"content":[{"type":"paragraph","content":[{"type":"text","text":"332"}]}]},{"type":"tableCell","attrs":{"background":"white"},"content":[{"type":"paragraph","content":[{"type":"text","text":"55"}]}]}]},{"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</si>
  <si>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PFA the Post Upload Sheet &amp; Summary.
[^Post Upload Status_UCW-30533.xlsx]
[^Summary.zip]
;[^UCW-30533_LID.xlsx]
Hi [@chandramohan Juniper|mailto:chandramohan@juniperfashion.com],
Please find attached the sheet, where 17 options have been listed. Kindly update the price and inventory, and share the summary once completed.
{adf:display=block}
{"type":"table","attrs":{"isNumberColumnEnabled":false,"layout":"center","localId":"bf77685b-d7d5-4317-a398-70d1e447105a"},"content":[{"type":"tableRow","content":[{"type":"tableCell","attrs":{"background":"#44b3e1"},"content":[{"type":"paragraph","content":[{"type":"text","text":"Ticket ID","marks":[{"type":"strong"}]}]}]},{"type":"tableCell","attrs":{"colspan":2,"background":"#44b3e1"},"content":[{"type":"paragraph","content":[{"type":"text","text":"UCW-30533","marks":[{"type":"strong"}]}]}]}]},{"type":"tableRow","content":[{"type":"tableCell","attrs":{"background":"#44b3e1"},"content":[{"type":"paragraph","content":[{"type":"text","text":"Brand Name","marks":[{"type":"strong"}]}]}]},{"type":"tableCell","attrs":{"colspan":2,"background":"#44b3e1"},"content":[{"type":"paragraph","content":[{"type":"text","text":"Juniper","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107"}]}]},{"type":"tableCell","attrs":{"background":"white"},"content":[{"type":"paragraph","content":[{"type":"text","text":"21"}]}]}]},{"type":"tableRow","content":[{"type":"tableCell","attrs":{"background":"white"},"content":[{"type":"paragraph","content":[{"type":"text","text":"Uploaded"}]}]},{"type":"tableCell","attrs":{"background":"white"},"content":[{"type":"paragraph","content":[{"type":"text","text":"84"}]}]},{"type":"tableCell","attrs":{"background":"white"},"content":[{"type":"paragraph","content":[{"type":"text","text":"17"}]}]}]},{"type":"tableRow","content":[{"type":"tableCell","attrs":{"background":"white"},"content":[{"type":"paragraph","content":[{"type":"text","text":"Not Uploaded"}]}]},{"type":"tableCell","attrs":{"background":"white"},"content":[{"type":"paragraph","content":[{"type":"text","text":"23"}]}]},{"type":"tableCell","attrs":{"background":"white"},"content":[{"type":"paragraph","content":[{"type":"text","text":"4"}]}]}]},{"type":"tableRow","content":[{"type":"tableCell","attrs":{"background":"white"},"content":[{"type":"paragraph","content":[{"type":"text","text":"LIDs Shared"}]}]},{"type":"tableCell","attrs":{"background":"white"},"content":[{"type":"paragraph","content":[{"type":"text","text":"84"}]}]},{"type":"tableCell","attrs":{"background":"white"},"content":[{"type":"paragraph","content":[{"type":"text","text":"17"}]}]}]},{"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</si>
  <si>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PFA the Post Upload Sheet &amp; Summary.
[^Post Upload Status_UCW-30531.xlsx]
[^Summary.zip]
;[^Post Upload Status_UCW-30531 (2cce4ea3-b227-4d35-a7f5-9c50af3dbd64).xlsx]
Please find attached the sheet, where 228 options of Women's Apparel have been listed.
Kindly update the price and inventory, and share the summary once completed.
{color:#ffffff}__{color}
{adf:display=block}
{"type":"table","attrs":{"isNumberColumnEnabled":false,"layout":"center","localId":"87860848-2008-47fa-832b-193ecbcbe1e8"},"content":[{"type":"tableRow","content":[{"type":"tableCell","attrs":{"background":"#44b3e1"},"content":[{"type":"paragraph","content":[{"type":"text","text":"Ticket ID","marks":[{"type":"strong"}]}]}]},{"type":"tableCell","attrs":{"colspan":2,"background":"#44b3e1"},"content":[{"type":"paragraph","content":[{"type":"text","text":"UCW-30531","marks":[{"type":"strong"}]}]}]}]},{"type":"tableRow","content":[{"type":"tableCell","attrs":{"background":"#44b3e1"},"content":[{"type":"paragraph","content":[{"type":"text","text":"Brand Name","marks":[{"type":"strong"}]}]}]},{"type":"tableCell","attrs":{"colspan":2,"background":"#44b3e1"},"content":[{"type":"paragraph","content":[{"type":"text","text":"Lib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228"}]}]},{"type":"tableCell","attrs":{},"content":[{"type":"paragraph","content":[{"type":"text","text":"228"}]}]}]},{"type":"tableRow","content":[{"type":"tableCell","attrs":{"background":"white"},"content":[{"type":"paragraph","content":[{"type":"text","text":"Uploaded"}]}]},{"type":"tableCell","attrs":{},"content":[{"type":"paragraph","content":[{"type":"text","text":"228"}]}]},{"type":"tableCell","attrs":{},"content":[{"type":"paragraph","content":[{"type":"text","text":"228"}]}]}]},{"type":"tableRow","content":[{"type":"tableCell","attrs":{"background":"white"},"content":[{"type":"paragraph","content":[{"type":"text","text":"LIDs Shared"}]}]},{"type":"tableCell","attrs":{},"content":[{"type":"paragraph","content":[{"type":"text","text":"228"}]}]},{"type":"tableCell","attrs":{},"content":[{"type":"paragraph","content":[{"type":"text","text":"228"}]}]}]},{"type":"tableRow","content":[{"type":"tableCell","attrs":{"background":"white"},"content":[{"type":"paragraph","content":[{"type":"text","text":"LIDs Stuck in the System"}]}]},{"type":"tableCell","attrs":{},"content":[{"type":"paragraph","content":[{"type":"text","text":"0"}]}]},{"type":"tableCell","attrs":{},"content":[{"type":"paragraph","content":[{"type":"text","text":"0"}]}]}]}]}
{adf}</t>
  </si>
  <si>
    <t>We have successfully uploaded this batch. Please find the attached summary sheet and summary report.[^Post Upload Status_V.2 (1).xlsx] [^Summary.zip] ;[^UCW-30523_LID.xlsx]
Hi [@Amit Kumar|mailto:amit@bhaane.com],
Please find attached the sheet, where 9 options have been listed on Luxury and 11 options have been listed on Marketplace platform. Kindly update the price and inventory, and share the summary once completed.
{adf:display=block}
{"type":"table","attrs":{"isNumberColumnEnabled":false,"layout":"center","localId":"53f03b1a-a495-44eb-b6f6-c3f00175a829"},"content":[{"type":"tableRow","content":[{"type":"tableCell","attrs":{"background":"#4d93d9"},"content":[{"type":"paragraph","content":[{"type":"text","text":"Ticket ID","marks":[{"type":"strong"}]}]}]},{"type":"tableCell","attrs":{"colspan":4,"background":"#4d93d9"},"content":[{"type":"paragraph","content":[{"type":"text","text":"UCW-30523","marks":[{"type":"strong"}]}]}]}]},{"type":"tableRow","content":[{"type":"tableCell","attrs":{"background":"#4d93d9"},"content":[{"type":"paragraph","content":[{"type":"text","text":"Brand Name","marks":[{"type":"strong"}]}]}]},{"type":"tableCell","attrs":{"colspan":4,"background":"#4d93d9"},"content":[{"type":"paragraph","content":[{"type":"text","text":"Converse","marks":[{"type":"strong"}]}]}]}]},{"type":"tableRow","content":[{"type":"tableCell","attrs":{"background":"#ace5fe"},"content":[{"type":"paragraph","content":[{"type":"text","text":"Platform","marks":[{"type":"strong"}]}]}]},{"type":"tableCell","attrs":{"colspan":2,"background":"#ace5fe"},"content":[{"type":"paragraph","content":[{"type":"text","text":"Luxury","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59"}]}]},{"type":"tableCell","attrs":{"background":"white"},"content":[{"type":"paragraph","content":[{"type":"text","text":"11"}]}]},{"type":"tableCell","attrs":{"background":"white"},"content":[{"type":"paragraph","content":[{"type":"text","text":"59"}]}]},{"type":"tableCell","attrs":{"background":"white"},"content":[{"type":"paragraph","content":[{"type":"text","text":"11"}]}]}]},{"type":"tableRow","content":[{"type":"tableCell","attrs":{"background":"white"},"content":[{"type":"paragraph","content":[{"type":"text","text":"Uploaded"}]}]},{"type":"tableCell","attrs":{"background":"white"},"content":[{"type":"paragraph","content":[{"type":"text","text":"49"}]}]},{"type":"tableCell","attrs":{"background":"white"},"content":[{"type":"paragraph","content":[{"type":"text","text":"9"}]}]},{"type":"tableCell","attrs":{"background":"white"},"content":[{"type":"paragraph","content":[{"type":"text","text":"59"}]}]},{"type":"tableCell","attrs":{"background":"white"},"content":[{"type":"paragraph","content":[{"type":"text","text":"11"}]}]}]},{"type":"tableRow","content":[{"type":"tableCell","attrs":{"background":"white"},"content":[{"type":"paragraph","content":[{"type":"text","text":"SKUs Not Uploaded"}]}]},{"type":"tableCell","attrs":{"background":"white"},"content":[{"type":"paragraph","content":[{"type":"text","text":"10"}]}]},{"type":"tableCell","attrs":{"background":"white"},"content":[{"type":"paragraph","content":[{"type":"text","text":"2"}]}]},{"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49"}]}]},{"type":"tableCell","attrs":{"background":"white"},"content":[{"type":"paragraph","content":[{"type":"text","text":"9"}]}]},{"type":"tableCell","attrs":{"background":"white"},"content":[{"type":"paragraph","content":[{"type":"text","text":"59"}]}]},{"type":"tableCell","attrs":{"background":"white"},"content":[{"type":"paragraph","content":[{"type":"text","text":"11"}]}]}]},{"type":"tableRow","content":[{"type":"tableCell","attrs":{"background":"white"},"content":[{"type":"paragraph","content":[{"type":"text","text":"LIDs 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
Regards,
Team Netscribes</t>
  </si>
  <si>
    <t>We have successfully uploaded this batch. Please find the attached summary sheet and summary report.[^Summary.zip] [^Post Upload Status_V.2 (1).xlsx] ;[^UCW-30497_LID.xlsx]
Hi [@Sagar|mailto:sagar@saintgshoes.com],
Please find attached the sheet, where 6 options on Mall and 6 options on Luxury have been listed. Kindly update the price and inventory, and share the summary once completed.
{adf:display=block}
{"type":"table","attrs":{"isNumberColumnEnabled":false,"layout":"center","localId":"23970458-106d-4aff-b4bf-ffaa8c29047f"},"content":[{"type":"tableRow","content":[{"type":"tableCell","attrs":{"background":"#4d93d9"},"content":[{"type":"paragraph","content":[{"type":"text","text":"Ticket ID","marks":[{"type":"strong"}]}]}]},{"type":"tableCell","attrs":{"colspan":4,"background":"#4d93d9"},"content":[{"type":"paragraph","content":[{"type":"text","text":"UCW-30497","marks":[{"type":"strong"}]}]}]}]},{"type":"tableRow","content":[{"type":"tableCell","attrs":{"background":"#4d93d9"},"content":[{"type":"paragraph","content":[{"type":"text","text":"Brand Name","marks":[{"type":"strong"}]}]}]},{"type":"tableCell","attrs":{"colspan":4,"background":"#4d93d9"},"content":[{"type":"paragraph","content":[{"type":"text","text":"Saint G","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468"}]}]},{"type":"tableCell","attrs":{"background":"white"},"content":[{"type":"paragraph","content":[{"type":"text","text":"78"}]}]},{"type":"tableCell","attrs":{"background":"white"},"content":[{"type":"paragraph","content":[{"type":"text","text":"468"}]}]},{"type":"tableCell","attrs":{"background":"white"},"content":[{"type":"paragraph","content":[{"type":"text","text":"78"}]}]}]},{"type":"tableRow","content":[{"type":"tableCell","attrs":{"background":"white"},"content":[{"type":"paragraph","content":[{"type":"text","text":"Uploaded"}]}]},{"type":"tableCell","attrs":{"background":"white"},"content":[{"type":"paragraph","content":[{"type":"text","text":"36"}]}]},{"type":"tableCell","attrs":{"background":"white"},"content":[{"type":"paragraph","content":[{"type":"text","text":"6"}]}]},{"type":"tableCell","attrs":{"background":"white"},"content":[{"type":"paragraph","content":[{"type":"text","text":"36"}]}]},{"type":"tableCell","attrs":{"background":"white"},"content":[{"type":"paragraph","content":[{"type":"text","text":"6"}]}]}]},{"type":"tableRow","content":[{"type":"tableCell","attrs":{"background":"white"},"content":[{"type":"paragraph","content":[{"type":"text","text":"SKUs Not Uploaded"}]}]},{"type":"tableCell","attrs":{"background":"white"},"content":[{"type":"paragraph","content":[{"type":"text","text":"432"}]}]},{"type":"tableCell","attrs":{"background":"white"},"content":[{"type":"paragraph","content":[{"type":"text","text":"72"}]}]},{"type":"tableCell","attrs":{"background":"white"},"content":[{"type":"paragraph","content":[{"type":"text","text":"432"}]}]},{"type":"tableCell","attrs":{"background":"white"},"content":[{"type":"paragraph","content":[{"type":"text","text":"72"}]}]}]},{"type":"tableRow","content":[{"type":"tableCell","attrs":{"background":"white"},"content":[{"type":"paragraph","content":[{"type":"text","text":"LIDs Shared"}]}]},{"type":"tableCell","attrs":{"background":"white"},"content":[{"type":"paragraph","content":[{"type":"text","text":"36"}]}]},{"type":"tableCell","attrs":{"background":"white"},"content":[{"type":"paragraph","content":[{"type":"text","text":"6"}]}]},{"type":"tableCell","attrs":{"background":"white"},"content":[{"type":"paragraph","content":[{"type":"text","text":"36"}]}]},{"type":"tableCell","attrs":{"background":"white"},"content":[{"type":"paragraph","content":[{"type":"text","text":"6"}]}]}]},{"type":"tableRow","content":[{"type":"tableCell","attrs":{"background":"white"},"content":[{"type":"paragraph","content":[{"type":"text","text":"LIDs 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
Regards,
Team Netscribes</t>
  </si>
  <si>
    <t>PFA the Summary &amp; Post-uploaded sheet[^UCW-30488 Post Upload Status_V.2 (1).xlsx] [^Summary.zip] ;[^UCW-30488_LID.xlsx]
Hi [@Haripriya Nagaraj|mailto:haripriyanr@joyalukkas.com],
Please find attached the sheet, where 310 options have been listed. Kindly update the price and inventory, and share the summary once completed.
{adf:display=block}
{"type":"table","attrs":{"isNumberColumnEnabled":false,"layout":"center","localId":"6a66edf7-d329-4239-87f3-34b68a6ec4a3"},"content":[{"type":"tableRow","content":[{"type":"tableCell","attrs":{"background":"#44b3e1"},"content":[{"type":"paragraph","content":[{"type":"text","text":"Ticket ID","marks":[{"type":"strong"}]}]}]},{"type":"tableCell","attrs":{"colspan":2,"background":"#44b3e1"},"content":[{"type":"paragraph","content":[{"type":"text","text":"UCW-30488","marks":[{"type":"strong"}]}]}]}]},{"type":"tableRow","content":[{"type":"tableCell","attrs":{"background":"#44b3e1"},"content":[{"type":"paragraph","content":[{"type":"text","text":"Brand Name","marks":[{"type":"strong"}]}]}]},{"type":"tableCell","attrs":{"colspan":2,"background":"#44b3e1"},"content":[{"type":"paragraph","content":[{"type":"text","text":"Joyalukka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310"}]}]},{"type":"tableCell","attrs":{"background":"white"},"content":[{"type":"paragraph","content":[{"type":"text","text":"310"}]}]}]},{"type":"tableRow","content":[{"type":"tableCell","attrs":{"background":"white"},"content":[{"type":"paragraph","content":[{"type":"text","text":"Uploaded"}]}]},{"type":"tableCell","attrs":{"background":"white"},"content":[{"type":"paragraph","content":[{"type":"text","text":"310"}]}]},{"type":"tableCell","attrs":{"background":"white"},"content":[{"type":"paragraph","content":[{"type":"text","text":"310"}]}]}]},{"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310"}]}]},{"type":"tableCell","attrs":{"background":"white"},"content":[{"type":"paragraph","content":[{"type":"text","text":"310"}]}]}]},{"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</si>
  <si>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PFA the Summary &amp; Post-Uploaded sheet[^UCW-30466 Post Upload Status_V.2 (1).xlsx] [^Summary.zip] ;[^UCW-30466_LID.xlsx]
Hi [@Rajiv Saraf|mailto:hbtraders1973@gmail.com],
Please find attached the sheet, where 0 options have been listed. Kindly update the price and inventory, and share the summary once completed.
{adf:display=block}
{"type":"table","attrs":{"isNumberColumnEnabled":false,"layout":"center","localId":"d5a19c3b-6809-4370-90ac-f019e899de0c"},"content":[{"type":"tableRow","content":[{"type":"tableCell","attrs":{"background":"#44b3e1"},"content":[{"type":"paragraph","content":[{"type":"text","text":"Ticket ID","marks":[{"type":"strong"}]}]}]},{"type":"tableCell","attrs":{"colspan":2,"background":"#44b3e1"},"content":[{"type":"paragraph","content":[{"type":"text","text":"UCW-30466","marks":[{"type":"strong"}]}]}]}]},{"type":"tableRow","content":[{"type":"tableCell","attrs":{"background":"#44b3e1"},"content":[{"type":"paragraph","content":[{"type":"text","text":"Brand Name","marks":[{"type":"strong"}]}]}]},{"type":"tableCell","attrs":{"colspan":2,"background":"#44b3e1"},"content":[{"type":"paragraph","content":[{"type":"text","text":"Saraf RS Jewellery","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type":"tableCell","attrs":{"background":"white"},"content":[{"type":"paragraph","content":[{"type":"text","text":"4"}]}]}]},{"type":"tableRow","content":[{"type":"tableCell","attrs":{"background":"white"},"content":[{"type":"paragraph","content":[{"type":"text","text":"Uploaded"}]}]},{"type":"tableCell","attrs":{"background":"white"},"content":[{"type":"paragraph","content":[{"type":"text","text":"4"}]}]},{"type":"tableCell","attrs":{"background":"white"},"content":[{"type":"paragraph","content":[{"type":"text","text":"0"}]}]}]},{"type":"tableRow","content":[{"type":"tableCell","attrs":{"background":"white"},"content":[{"type":"paragraph","content":[{"type":"text","text":"Not Uploaded"}]}]},{"type":"tableCell","attrs":{"background":"white"},"content":[{"type":"paragraph","content":[{"type":"text","text":"0"}]}]},{"type":"tableCell","attrs":{"background":"white"},"content":[{"type":"paragraph","content":[{"type":"text","text":"4"}]}]}]},{"type":"tableRow","content":[{"type":"tableCell","attrs":{"background":"white"},"content":[{"type":"paragraph","content":[{"type":"text","text":"LIDs Shared"}]}]},{"type":"tableCell","attrs":{"background":"white"},"content":[{"type":"paragraph","content":[{"type":"text","text":"4"}]}]},{"type":"tableCell","attrs":{"background":"white"},"content":[{"type":"paragraph","content":[{"type":"text","text":"0"}]}]}]},{"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</si>
  <si>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UCW-10919</t>
  </si>
  <si>
    <t>UCW-10930</t>
  </si>
  <si>
    <t>UCW-10931</t>
  </si>
  <si>
    <t>UCW-10947</t>
  </si>
  <si>
    <t>UCW-10950</t>
  </si>
  <si>
    <t>UCW-10952</t>
  </si>
  <si>
    <t>UCW-10963</t>
  </si>
  <si>
    <t>UCW-10971</t>
  </si>
  <si>
    <t>UCW-11084</t>
  </si>
  <si>
    <t>UCW-11106</t>
  </si>
  <si>
    <t>UCW-11107</t>
  </si>
  <si>
    <t>UCW-11302</t>
  </si>
  <si>
    <t>UCW-11356</t>
  </si>
  <si>
    <t>UCW-11364</t>
  </si>
  <si>
    <t>UCW-11384</t>
  </si>
  <si>
    <t>UCW-11406</t>
  </si>
  <si>
    <t>UCW-11408</t>
  </si>
  <si>
    <t>UCW-11418</t>
  </si>
  <si>
    <t>UCW-11425</t>
  </si>
  <si>
    <t>UCW-11441</t>
  </si>
  <si>
    <t>UCW-11605</t>
  </si>
  <si>
    <t>UCW-11716</t>
  </si>
  <si>
    <t>UCW-11732</t>
  </si>
  <si>
    <t>UCW-11746</t>
  </si>
  <si>
    <t>UCW-11864</t>
  </si>
  <si>
    <t>UCW-11871</t>
  </si>
  <si>
    <t>UCW-11912</t>
  </si>
  <si>
    <t>UCW-12028</t>
  </si>
  <si>
    <t>UCW-12031</t>
  </si>
  <si>
    <t>UCW-12033</t>
  </si>
  <si>
    <t>UCW-12049</t>
  </si>
  <si>
    <t>UCW-12050</t>
  </si>
  <si>
    <t>UCW-12055</t>
  </si>
  <si>
    <t>UCW-12057</t>
  </si>
  <si>
    <t>UCW-12064</t>
  </si>
  <si>
    <t>UCW-12107</t>
  </si>
  <si>
    <t>UCW-12108</t>
  </si>
  <si>
    <t>UCW-12109</t>
  </si>
  <si>
    <t>UCW-12201</t>
  </si>
  <si>
    <t>UCW-12202</t>
  </si>
  <si>
    <t>UCW-12212</t>
  </si>
  <si>
    <t>UCW-12213</t>
  </si>
  <si>
    <t>UCW-12249</t>
  </si>
  <si>
    <t>UCW-12252</t>
  </si>
  <si>
    <t>UCW-12255</t>
  </si>
  <si>
    <t>UCW-12260</t>
  </si>
  <si>
    <t>UCW-12261</t>
  </si>
  <si>
    <t>UCW-12265</t>
  </si>
  <si>
    <t>UCW-12266</t>
  </si>
  <si>
    <t>UCW-12379</t>
  </si>
  <si>
    <t>UCW-12386</t>
  </si>
  <si>
    <t>UCW-12535</t>
  </si>
  <si>
    <t>UCW-12538</t>
  </si>
  <si>
    <t>UCW-12585</t>
  </si>
  <si>
    <t>UCW-12637</t>
  </si>
  <si>
    <t>UCW-12639</t>
  </si>
  <si>
    <t>UCW-12641</t>
  </si>
  <si>
    <t>UCW-12647</t>
  </si>
  <si>
    <t>UCW-12648</t>
  </si>
  <si>
    <t>UCW-12652</t>
  </si>
  <si>
    <t>UCW-12657</t>
  </si>
  <si>
    <t>UCW-12659</t>
  </si>
  <si>
    <t>UCW-12717</t>
  </si>
  <si>
    <t>UCW-12726</t>
  </si>
  <si>
    <t>UCW-12728</t>
  </si>
  <si>
    <t>UCW-12731</t>
  </si>
  <si>
    <t>UCW-12734</t>
  </si>
  <si>
    <t>UCW-12735</t>
  </si>
  <si>
    <t>UCW-12950</t>
  </si>
  <si>
    <t>UCW-13034</t>
  </si>
  <si>
    <t>UCW-13070</t>
  </si>
  <si>
    <t>UCW-13185</t>
  </si>
  <si>
    <t>UCW-13204</t>
  </si>
  <si>
    <t>UCW-13227</t>
  </si>
  <si>
    <t>UCW-13229</t>
  </si>
  <si>
    <t>UCW-13362</t>
  </si>
  <si>
    <t>UCW-13372</t>
  </si>
  <si>
    <t>UCW-13373</t>
  </si>
  <si>
    <t>UCW-13379</t>
  </si>
  <si>
    <t>UCW-13381</t>
  </si>
  <si>
    <t>UCW-13383</t>
  </si>
  <si>
    <t>UCW-13506</t>
  </si>
  <si>
    <t>UCW-13507</t>
  </si>
  <si>
    <t>UCW-13511</t>
  </si>
  <si>
    <t>UCW-13647</t>
  </si>
  <si>
    <t>UCW-13648</t>
  </si>
  <si>
    <t>UCW-13649</t>
  </si>
  <si>
    <t>UCW-13661</t>
  </si>
  <si>
    <t>UCW-13662</t>
  </si>
  <si>
    <t>UCW-13663</t>
  </si>
  <si>
    <t>UCW-13664</t>
  </si>
  <si>
    <t>UCW-13720</t>
  </si>
  <si>
    <t>UCW-13721</t>
  </si>
  <si>
    <t>UCW-13756</t>
  </si>
  <si>
    <t>UCW-13760</t>
  </si>
  <si>
    <t>UCW-13797</t>
  </si>
  <si>
    <t>UCW-13798</t>
  </si>
  <si>
    <t>UCW-13810</t>
  </si>
  <si>
    <t>UCW-13813</t>
  </si>
  <si>
    <t>UCW-13815</t>
  </si>
  <si>
    <t>UCW-13818</t>
  </si>
  <si>
    <t>UCW-13846</t>
  </si>
  <si>
    <t>UCW-13932</t>
  </si>
  <si>
    <t>UCW-14015</t>
  </si>
  <si>
    <t>UCW-14016</t>
  </si>
  <si>
    <t>UCW-14021</t>
  </si>
  <si>
    <t>UCW-14025</t>
  </si>
  <si>
    <t>UCW-14030</t>
  </si>
  <si>
    <t>UCW-14031</t>
  </si>
  <si>
    <t>UCW-14041</t>
  </si>
  <si>
    <t>UCW-14042</t>
  </si>
  <si>
    <t>UCW-14046</t>
  </si>
  <si>
    <t>UCW-14179</t>
  </si>
  <si>
    <t>UCW-14183</t>
  </si>
  <si>
    <t>UCW-14184</t>
  </si>
  <si>
    <t>UCW-14189</t>
  </si>
  <si>
    <t>UCW-14195</t>
  </si>
  <si>
    <t>UCW-14196</t>
  </si>
  <si>
    <t>UCW-14197</t>
  </si>
  <si>
    <t>UCW-14304</t>
  </si>
  <si>
    <t>UCW-14355</t>
  </si>
  <si>
    <t>UCW-14358</t>
  </si>
  <si>
    <t>UCW-14360</t>
  </si>
  <si>
    <t>UCW-14365</t>
  </si>
  <si>
    <t>UCW-14372</t>
  </si>
  <si>
    <t>UCW-14373</t>
  </si>
  <si>
    <t>UCW-14375</t>
  </si>
  <si>
    <t>UCW-14427</t>
  </si>
  <si>
    <t>UCW-14510</t>
  </si>
  <si>
    <t>UCW-14544</t>
  </si>
  <si>
    <t>UCW-14586</t>
  </si>
  <si>
    <t>UCW-14661</t>
  </si>
  <si>
    <t>UCW-14668</t>
  </si>
  <si>
    <t>UCW-14669</t>
  </si>
  <si>
    <t>UCW-14681</t>
  </si>
  <si>
    <t>UCW-14684</t>
  </si>
  <si>
    <t>UCW-14732</t>
  </si>
  <si>
    <t>UCW-14735</t>
  </si>
  <si>
    <t>UCW-14736</t>
  </si>
  <si>
    <t>UCW-14811</t>
  </si>
  <si>
    <t>UCW-14816</t>
  </si>
  <si>
    <t>UCW-14818</t>
  </si>
  <si>
    <t>UCW-14820</t>
  </si>
  <si>
    <t>UCW-14821</t>
  </si>
  <si>
    <t>UCW-14826</t>
  </si>
  <si>
    <t>UCW-14828</t>
  </si>
  <si>
    <t>UCW-14928</t>
  </si>
  <si>
    <t>UCW-14932</t>
  </si>
  <si>
    <t>UCW-14955</t>
  </si>
  <si>
    <t>UCW-15026</t>
  </si>
  <si>
    <t>UCW-15028</t>
  </si>
  <si>
    <t>UCW-15029</t>
  </si>
  <si>
    <t>UCW-15030</t>
  </si>
  <si>
    <t>UCW-15031</t>
  </si>
  <si>
    <t>UCW-15032</t>
  </si>
  <si>
    <t>UCW-15034</t>
  </si>
  <si>
    <t>UCW-15078</t>
  </si>
  <si>
    <t>UCW-15081</t>
  </si>
  <si>
    <t>UCW-15199</t>
  </si>
  <si>
    <t>UCW-15201</t>
  </si>
  <si>
    <t>UCW-15202</t>
  </si>
  <si>
    <t>UCW-15207</t>
  </si>
  <si>
    <t>UCW-15208</t>
  </si>
  <si>
    <t>UCW-15220</t>
  </si>
  <si>
    <t>UCW-15257</t>
  </si>
  <si>
    <t>UCW-15392</t>
  </si>
  <si>
    <t>UCW-15393</t>
  </si>
  <si>
    <t>UCW-15481</t>
  </si>
  <si>
    <t>UCW-15510</t>
  </si>
  <si>
    <t>UCW-15549</t>
  </si>
  <si>
    <t>UCW-15551</t>
  </si>
  <si>
    <t>UCW-15585</t>
  </si>
  <si>
    <t>UCW-15637</t>
  </si>
  <si>
    <t>UCW-15639</t>
  </si>
  <si>
    <t>UCW-15707</t>
  </si>
  <si>
    <t>UCW-15759</t>
  </si>
  <si>
    <t>UCW-15760</t>
  </si>
  <si>
    <t>UCW-15761</t>
  </si>
  <si>
    <t>UCW-15800</t>
  </si>
  <si>
    <t>UCW-15853</t>
  </si>
  <si>
    <t>UCW-15865</t>
  </si>
  <si>
    <t>UCW-15870</t>
  </si>
  <si>
    <t>UCW-15895</t>
  </si>
  <si>
    <t>UCW-15896</t>
  </si>
  <si>
    <t>UCW-15925</t>
  </si>
  <si>
    <t>UCW-16004</t>
  </si>
  <si>
    <t>UCW-16029</t>
  </si>
  <si>
    <t>UCW-16038</t>
  </si>
  <si>
    <t>UCW-16041</t>
  </si>
  <si>
    <t>UCW-16043</t>
  </si>
  <si>
    <t>UCW-16045</t>
  </si>
  <si>
    <t>UCW-16048</t>
  </si>
  <si>
    <t>UCW-16051</t>
  </si>
  <si>
    <t>UCW-16052</t>
  </si>
  <si>
    <t>UCW-16159</t>
  </si>
  <si>
    <t>UCW-16170</t>
  </si>
  <si>
    <t>UCW-16173</t>
  </si>
  <si>
    <t>UCW-16175</t>
  </si>
  <si>
    <t>UCW-16180</t>
  </si>
  <si>
    <t>UCW-16192</t>
  </si>
  <si>
    <t>UCW-16193</t>
  </si>
  <si>
    <t>UCW-16195</t>
  </si>
  <si>
    <t>UCW-16207</t>
  </si>
  <si>
    <t>UCW-16212</t>
  </si>
  <si>
    <t>UCW-16263</t>
  </si>
  <si>
    <t>UCW-16301</t>
  </si>
  <si>
    <t>UCW-16322</t>
  </si>
  <si>
    <t>UCW-16324</t>
  </si>
  <si>
    <t>UCW-16365</t>
  </si>
  <si>
    <t>UCW-16373</t>
  </si>
  <si>
    <t>UCW-16450</t>
  </si>
  <si>
    <t>UCW-16454</t>
  </si>
  <si>
    <t>UCW-16515</t>
  </si>
  <si>
    <t>UCW-16558</t>
  </si>
  <si>
    <t>UCW-16570</t>
  </si>
  <si>
    <t>UCW-16577</t>
  </si>
  <si>
    <t>UCW-16596</t>
  </si>
  <si>
    <t>UCW-16620</t>
  </si>
  <si>
    <t>UCW-16629</t>
  </si>
  <si>
    <t>UCW-16630</t>
  </si>
  <si>
    <t>UCW-16653</t>
  </si>
  <si>
    <t>UCW-16654</t>
  </si>
  <si>
    <t>UCW-16660</t>
  </si>
  <si>
    <t>UCW-16666</t>
  </si>
  <si>
    <t>UCW-16685</t>
  </si>
  <si>
    <t>UCW-16698</t>
  </si>
  <si>
    <t>UCW-16720</t>
  </si>
  <si>
    <t>UCW-16735</t>
  </si>
  <si>
    <t>UCW-16760</t>
  </si>
  <si>
    <t>UCW-16779</t>
  </si>
  <si>
    <t>UCW-16807</t>
  </si>
  <si>
    <t>UCW-16814</t>
  </si>
  <si>
    <t>UCW-16829</t>
  </si>
  <si>
    <t>UCW-16891</t>
  </si>
  <si>
    <t>UCW-16903</t>
  </si>
  <si>
    <t>UCW-16933</t>
  </si>
  <si>
    <t>UCW-16937</t>
  </si>
  <si>
    <t>UCW-16977</t>
  </si>
  <si>
    <t>UCW-16979</t>
  </si>
  <si>
    <t>UCW-16993</t>
  </si>
  <si>
    <t>UCW-17006</t>
  </si>
  <si>
    <t>UCW-17008</t>
  </si>
  <si>
    <t>UCW-17009</t>
  </si>
  <si>
    <t>UCW-17010</t>
  </si>
  <si>
    <t>UCW-17021</t>
  </si>
  <si>
    <t>UCW-17036</t>
  </si>
  <si>
    <t>UCW-17039</t>
  </si>
  <si>
    <t>UCW-17074</t>
  </si>
  <si>
    <t>UCW-17086</t>
  </si>
  <si>
    <t>UCW-17160</t>
  </si>
  <si>
    <t>UCW-17163</t>
  </si>
  <si>
    <t>UCW-17196</t>
  </si>
  <si>
    <t>UCW-17202</t>
  </si>
  <si>
    <t>UCW-17281</t>
  </si>
  <si>
    <t>UCW-17304</t>
  </si>
  <si>
    <t>UCW-17343</t>
  </si>
  <si>
    <t>UCW-17384</t>
  </si>
  <si>
    <t>UCW-17396</t>
  </si>
  <si>
    <t>UCW-17424</t>
  </si>
  <si>
    <t>UCW-17470</t>
  </si>
  <si>
    <t>UCW-17472</t>
  </si>
  <si>
    <t>UCW-17528</t>
  </si>
  <si>
    <t>UCW-17577</t>
  </si>
  <si>
    <t>UCW-17584</t>
  </si>
  <si>
    <t>UCW-17596</t>
  </si>
  <si>
    <t>UCW-17600</t>
  </si>
  <si>
    <t>UCW-17601</t>
  </si>
  <si>
    <t>UCW-17613</t>
  </si>
  <si>
    <t>UCW-17700</t>
  </si>
  <si>
    <t>UCW-17701</t>
  </si>
  <si>
    <t>UCW-17702</t>
  </si>
  <si>
    <t>UCW-17704</t>
  </si>
  <si>
    <t>UCW-17715</t>
  </si>
  <si>
    <t>UCW-17719</t>
  </si>
  <si>
    <t>UCW-17722</t>
  </si>
  <si>
    <t>UCW-17740</t>
  </si>
  <si>
    <t>UCW-17744</t>
  </si>
  <si>
    <t>UCW-17803</t>
  </si>
  <si>
    <t>UCW-17806</t>
  </si>
  <si>
    <t>UCW-17834</t>
  </si>
  <si>
    <t>UCW-17837</t>
  </si>
  <si>
    <t>UCW-17840</t>
  </si>
  <si>
    <t>UCW-17845</t>
  </si>
  <si>
    <t>UCW-17861</t>
  </si>
  <si>
    <t>UCW-17870</t>
  </si>
  <si>
    <t>UCW-17933</t>
  </si>
  <si>
    <t>UCW-17934</t>
  </si>
  <si>
    <t>UCW-17955</t>
  </si>
  <si>
    <t>UCW-17965</t>
  </si>
  <si>
    <t>UCW-18016</t>
  </si>
  <si>
    <t>UCW-18055</t>
  </si>
  <si>
    <t>UCW-18073</t>
  </si>
  <si>
    <t>UCW-18083</t>
  </si>
  <si>
    <t>UCW-18103</t>
  </si>
  <si>
    <t>UCW-18114</t>
  </si>
  <si>
    <t>UCW-18117</t>
  </si>
  <si>
    <t>UCW-18145</t>
  </si>
  <si>
    <t>UCW-18153</t>
  </si>
  <si>
    <t>UCW-18156</t>
  </si>
  <si>
    <t>UCW-18157</t>
  </si>
  <si>
    <t>UCW-18185</t>
  </si>
  <si>
    <t>UCW-18190</t>
  </si>
  <si>
    <t>UCW-18224</t>
  </si>
  <si>
    <t>UCW-18230</t>
  </si>
  <si>
    <t>UCW-18231</t>
  </si>
  <si>
    <t>UCW-18235</t>
  </si>
  <si>
    <t>UCW-18298</t>
  </si>
  <si>
    <t>UCW-18314</t>
  </si>
  <si>
    <t>UCW-18362</t>
  </si>
  <si>
    <t>UCW-18401</t>
  </si>
  <si>
    <t>UCW-18416</t>
  </si>
  <si>
    <t>UCW-18421</t>
  </si>
  <si>
    <t>UCW-18424</t>
  </si>
  <si>
    <t>UCW-18469</t>
  </si>
  <si>
    <t>UCW-18524</t>
  </si>
  <si>
    <t>UCW-18536</t>
  </si>
  <si>
    <t>UCW-18560</t>
  </si>
  <si>
    <t>UCW-18657</t>
  </si>
  <si>
    <t>UCW-18727</t>
  </si>
  <si>
    <t>UCW-18752</t>
  </si>
  <si>
    <t>UCW-18759</t>
  </si>
  <si>
    <t>UCW-18808</t>
  </si>
  <si>
    <t>UCW-18852</t>
  </si>
  <si>
    <t>UCW-18866</t>
  </si>
  <si>
    <t>UCW-18876</t>
  </si>
  <si>
    <t>UCW-18877</t>
  </si>
  <si>
    <t>UCW-18898</t>
  </si>
  <si>
    <t>UCW-18899</t>
  </si>
  <si>
    <t>UCW-18900</t>
  </si>
  <si>
    <t>UCW-18901</t>
  </si>
  <si>
    <t>UCW-18903</t>
  </si>
  <si>
    <t>UCW-18918</t>
  </si>
  <si>
    <t>UCW-18947</t>
  </si>
  <si>
    <t>UCW-18948</t>
  </si>
  <si>
    <t>UCW-18990</t>
  </si>
  <si>
    <t>UCW-19002</t>
  </si>
  <si>
    <t>UCW-19005</t>
  </si>
  <si>
    <t>UCW-19012</t>
  </si>
  <si>
    <t>UCW-19013</t>
  </si>
  <si>
    <t>UCW-19072</t>
  </si>
  <si>
    <t>UCW-19082</t>
  </si>
  <si>
    <t>UCW-19107</t>
  </si>
  <si>
    <t>UCW-19109</t>
  </si>
  <si>
    <t>UCW-19118</t>
  </si>
  <si>
    <t>UCW-19182</t>
  </si>
  <si>
    <t>UCW-19190</t>
  </si>
  <si>
    <t>UCW-19194</t>
  </si>
  <si>
    <t>UCW-19202</t>
  </si>
  <si>
    <t>UCW-19251</t>
  </si>
  <si>
    <t>UCW-19264</t>
  </si>
  <si>
    <t>UCW-19315</t>
  </si>
  <si>
    <t>UCW-19318</t>
  </si>
  <si>
    <t>UCW-19330</t>
  </si>
  <si>
    <t>UCW-19376</t>
  </si>
  <si>
    <t>UCW-19513</t>
  </si>
  <si>
    <t>UCW-19516</t>
  </si>
  <si>
    <t>UCW-19521</t>
  </si>
  <si>
    <t>UCW-19523</t>
  </si>
  <si>
    <t>UCW-19613</t>
  </si>
  <si>
    <t>UCW-19744</t>
  </si>
  <si>
    <t>UCW-19750</t>
  </si>
  <si>
    <t>UCW-19769</t>
  </si>
  <si>
    <t>UCW-19830</t>
  </si>
  <si>
    <t>UCW-19836</t>
  </si>
  <si>
    <t>UCW-19870</t>
  </si>
  <si>
    <t>UCW-19914</t>
  </si>
  <si>
    <t>UCW-19983</t>
  </si>
  <si>
    <t>UCW-20124</t>
  </si>
  <si>
    <t>UCW-20210</t>
  </si>
  <si>
    <t>UCW-20378</t>
  </si>
  <si>
    <t>UCW-20379</t>
  </si>
  <si>
    <t>UCW-20380</t>
  </si>
  <si>
    <t>UCW-20402</t>
  </si>
  <si>
    <t>UCW-20417</t>
  </si>
  <si>
    <t>UCW-20418</t>
  </si>
  <si>
    <t>UCW-20423</t>
  </si>
  <si>
    <t>UCW-20468</t>
  </si>
  <si>
    <t>UCW-20489</t>
  </si>
  <si>
    <t>UCW-20490</t>
  </si>
  <si>
    <t>UCW-20519</t>
  </si>
  <si>
    <t>UCW-20523</t>
  </si>
  <si>
    <t>UCW-20549</t>
  </si>
  <si>
    <t>UCW-20558</t>
  </si>
  <si>
    <t>UCW-20585</t>
  </si>
  <si>
    <t>UCW-20625</t>
  </si>
  <si>
    <t>UCW-20631</t>
  </si>
  <si>
    <t>UCW-20632</t>
  </si>
  <si>
    <t>UCW-20665</t>
  </si>
  <si>
    <t>UCW-20677</t>
  </si>
  <si>
    <t>UCW-20681</t>
  </si>
  <si>
    <t>UCW-20686</t>
  </si>
  <si>
    <t>UCW-20718</t>
  </si>
  <si>
    <t>UCW-20739</t>
  </si>
  <si>
    <t>UCW-20770</t>
  </si>
  <si>
    <t>UCW-20778</t>
  </si>
  <si>
    <t>UCW-20789</t>
  </si>
  <si>
    <t>UCW-20809</t>
  </si>
  <si>
    <t>UCW-20814</t>
  </si>
  <si>
    <t>UCW-20818</t>
  </si>
  <si>
    <t>UCW-20860</t>
  </si>
  <si>
    <t>UCW-20861</t>
  </si>
  <si>
    <t>UCW-20892</t>
  </si>
  <si>
    <t>UCW-20894</t>
  </si>
  <si>
    <t>UCW-20895</t>
  </si>
  <si>
    <t>UCW-20955</t>
  </si>
  <si>
    <t>UCW-20959</t>
  </si>
  <si>
    <t>UCW-20977</t>
  </si>
  <si>
    <t>UCW-20988</t>
  </si>
  <si>
    <t>UCW-20990</t>
  </si>
  <si>
    <t>UCW-20995</t>
  </si>
  <si>
    <t>UCW-21018</t>
  </si>
  <si>
    <t>UCW-21093</t>
  </si>
  <si>
    <t>UCW-21104</t>
  </si>
  <si>
    <t>UCW-21107</t>
  </si>
  <si>
    <t>UCW-21126</t>
  </si>
  <si>
    <t>UCW-21141</t>
  </si>
  <si>
    <t>UCW-21162</t>
  </si>
  <si>
    <t>UCW-21204</t>
  </si>
  <si>
    <t>UCW-21214</t>
  </si>
  <si>
    <t>UCW-21237</t>
  </si>
  <si>
    <t>UCW-21250</t>
  </si>
  <si>
    <t>UCW-21272</t>
  </si>
  <si>
    <t>UCW-21275</t>
  </si>
  <si>
    <t>UCW-21287</t>
  </si>
  <si>
    <t>UCW-22989</t>
  </si>
  <si>
    <t>UCW-22988</t>
  </si>
  <si>
    <t>UCW-21294</t>
  </si>
  <si>
    <t>UCW-21295</t>
  </si>
  <si>
    <t>UCW-21298</t>
  </si>
  <si>
    <t>UCW-21301</t>
  </si>
  <si>
    <t>UCW-21331</t>
  </si>
  <si>
    <t>UCW-21361</t>
  </si>
  <si>
    <t>UCW-21364</t>
  </si>
  <si>
    <t>UCW-21365</t>
  </si>
  <si>
    <t>UCW-22967</t>
  </si>
  <si>
    <t>UCW-22966</t>
  </si>
  <si>
    <t>UCW-21377</t>
  </si>
  <si>
    <t>UCW-21431</t>
  </si>
  <si>
    <t>UCW-21432</t>
  </si>
  <si>
    <t>UCW-21435</t>
  </si>
  <si>
    <t>UCW-21441</t>
  </si>
  <si>
    <t>UCW-21447</t>
  </si>
  <si>
    <t>UCW-21449</t>
  </si>
  <si>
    <t>UCW-21484</t>
  </si>
  <si>
    <t>UCW-21486</t>
  </si>
  <si>
    <t>UCW-21488</t>
  </si>
  <si>
    <t>UCW-21489</t>
  </si>
  <si>
    <t>UCW-21498</t>
  </si>
  <si>
    <t>UCW-21507</t>
  </si>
  <si>
    <t>UCW-21526</t>
  </si>
  <si>
    <t>UCW-21527</t>
  </si>
  <si>
    <t>UCW-21557</t>
  </si>
  <si>
    <t>UCW-22907</t>
  </si>
  <si>
    <t>UCW-22902</t>
  </si>
  <si>
    <t>UCW-21591</t>
  </si>
  <si>
    <t>UCW-22897</t>
  </si>
  <si>
    <t>UCW-22895</t>
  </si>
  <si>
    <t>UCW-22893</t>
  </si>
  <si>
    <t>UCW-21613</t>
  </si>
  <si>
    <t>UCW-21656</t>
  </si>
  <si>
    <t>UCW-21660</t>
  </si>
  <si>
    <t>UCW-21740</t>
  </si>
  <si>
    <t>UCW-22851</t>
  </si>
  <si>
    <t>UCW-21798</t>
  </si>
  <si>
    <t>UCW-21799</t>
  </si>
  <si>
    <t>UCW-22838</t>
  </si>
  <si>
    <t>UCW-21848</t>
  </si>
  <si>
    <t>UCW-21849</t>
  </si>
  <si>
    <t>UCW-21850</t>
  </si>
  <si>
    <t>UCW-22834</t>
  </si>
  <si>
    <t>UCW-21855</t>
  </si>
  <si>
    <t>UCW-21868</t>
  </si>
  <si>
    <t>UCW-21882</t>
  </si>
  <si>
    <t>UCW-21883</t>
  </si>
  <si>
    <t>UCW-21884</t>
  </si>
  <si>
    <t>UCW-21916</t>
  </si>
  <si>
    <t>UCW-21987</t>
  </si>
  <si>
    <t>UCW-21999</t>
  </si>
  <si>
    <t>UCW-22002</t>
  </si>
  <si>
    <t>UCW-22025</t>
  </si>
  <si>
    <t>UCW-22037</t>
  </si>
  <si>
    <t>UCW-22042</t>
  </si>
  <si>
    <t>UCW-22043</t>
  </si>
  <si>
    <t>UCW-22047</t>
  </si>
  <si>
    <t>UCW-22048</t>
  </si>
  <si>
    <t>UCW-22780</t>
  </si>
  <si>
    <t>UCW-22052</t>
  </si>
  <si>
    <t>UCW-22778</t>
  </si>
  <si>
    <t>UCW-22777</t>
  </si>
  <si>
    <t>UCW-22776</t>
  </si>
  <si>
    <t>UCW-22053</t>
  </si>
  <si>
    <t>UCW-22054</t>
  </si>
  <si>
    <t>UCW-22062</t>
  </si>
  <si>
    <t>UCW-22072</t>
  </si>
  <si>
    <t>UCW-22075</t>
  </si>
  <si>
    <t>UCW-22129</t>
  </si>
  <si>
    <t>UCW-22134</t>
  </si>
  <si>
    <t>UCW-22751</t>
  </si>
  <si>
    <t>UCW-22749</t>
  </si>
  <si>
    <t>UCW-22748</t>
  </si>
  <si>
    <t>UCW-22151</t>
  </si>
  <si>
    <t>UCW-22153</t>
  </si>
  <si>
    <t>UCW-22155</t>
  </si>
  <si>
    <t>UCW-22156</t>
  </si>
  <si>
    <t>UCW-22165</t>
  </si>
  <si>
    <t>UCW-22207</t>
  </si>
  <si>
    <t>UCW-22210</t>
  </si>
  <si>
    <t>UCW-22288</t>
  </si>
  <si>
    <t>UCW-22289</t>
  </si>
  <si>
    <t>UCW-22305</t>
  </si>
  <si>
    <t>UCW-22308</t>
  </si>
  <si>
    <t>UCW-22310</t>
  </si>
  <si>
    <t>UCW-22339</t>
  </si>
  <si>
    <t>UCW-22344</t>
  </si>
  <si>
    <t>UCW-22368</t>
  </si>
  <si>
    <t>UCW-22370</t>
  </si>
  <si>
    <t>UCW-22696</t>
  </si>
  <si>
    <t>UCW-22695</t>
  </si>
  <si>
    <t>UCW-22374</t>
  </si>
  <si>
    <t>UCW-22377</t>
  </si>
  <si>
    <t>UCW-22691</t>
  </si>
  <si>
    <t>UCW-22384</t>
  </si>
  <si>
    <t>UCW-22397</t>
  </si>
  <si>
    <t>UCW-22399</t>
  </si>
  <si>
    <t>UCW-22403</t>
  </si>
  <si>
    <t>UCW-22446</t>
  </si>
  <si>
    <t>UCW-22473</t>
  </si>
  <si>
    <t>UCW-22479</t>
  </si>
  <si>
    <t>UCW-22533</t>
  </si>
  <si>
    <t>UCW-22536</t>
  </si>
  <si>
    <t>UCW-22538</t>
  </si>
  <si>
    <t>UCW-22545</t>
  </si>
  <si>
    <t>UCW-22554</t>
  </si>
  <si>
    <t>UCW-22574</t>
  </si>
  <si>
    <t>UCW-22576</t>
  </si>
  <si>
    <t>UCW-22589</t>
  </si>
  <si>
    <t>UCW-11457</t>
  </si>
  <si>
    <t>UCW-11611</t>
  </si>
  <si>
    <t>UCW-11948</t>
  </si>
  <si>
    <t>UCW-12667</t>
  </si>
  <si>
    <t>UCW-12692</t>
  </si>
  <si>
    <t>UCW-12757</t>
  </si>
  <si>
    <t>UCW-12866</t>
  </si>
  <si>
    <t>UCW-12871</t>
  </si>
  <si>
    <t>UCW-12873</t>
  </si>
  <si>
    <t>UCW-12884</t>
  </si>
  <si>
    <t>UCW-12885</t>
  </si>
  <si>
    <t>UCW-12886</t>
  </si>
  <si>
    <t>UCW-12948</t>
  </si>
  <si>
    <t>UCW-12954</t>
  </si>
  <si>
    <t>UCW-12974</t>
  </si>
  <si>
    <t>UCW-12980</t>
  </si>
  <si>
    <t>UCW-13100</t>
  </si>
  <si>
    <t>UCW-13219</t>
  </si>
  <si>
    <t>UCW-13224</t>
  </si>
  <si>
    <t>UCW-13272</t>
  </si>
  <si>
    <t>UCW-13291</t>
  </si>
  <si>
    <t>UCW-13292</t>
  </si>
  <si>
    <t>UCW-13394</t>
  </si>
  <si>
    <t>UCW-13396</t>
  </si>
  <si>
    <t>UCW-13397</t>
  </si>
  <si>
    <t>UCW-13401</t>
  </si>
  <si>
    <t>UCW-13402</t>
  </si>
  <si>
    <t>UCW-13405</t>
  </si>
  <si>
    <t>UCW-13420</t>
  </si>
  <si>
    <t>UCW-13447</t>
  </si>
  <si>
    <t>UCW-13452</t>
  </si>
  <si>
    <t>UCW-13482</t>
  </si>
  <si>
    <t>UCW-13499</t>
  </si>
  <si>
    <t>UCW-13549</t>
  </si>
  <si>
    <t>UCW-13578</t>
  </si>
  <si>
    <t>UCW-13631</t>
  </si>
  <si>
    <t>UCW-13774</t>
  </si>
  <si>
    <t>UCW-13975</t>
  </si>
  <si>
    <t>UCW-14382</t>
  </si>
  <si>
    <t>UCW-14595</t>
  </si>
  <si>
    <t>UCW-14599</t>
  </si>
  <si>
    <t>UCW-14643</t>
  </si>
  <si>
    <t>UCW-14891</t>
  </si>
  <si>
    <t>UCW-15020</t>
  </si>
  <si>
    <t>UCW-15299</t>
  </si>
  <si>
    <t>UCW-15362</t>
  </si>
  <si>
    <t>UCW-15364</t>
  </si>
  <si>
    <t>UCW-16662</t>
  </si>
  <si>
    <t>UCW-16957</t>
  </si>
  <si>
    <t>UCW-17101</t>
  </si>
  <si>
    <t>UCW-17370</t>
  </si>
  <si>
    <t>UCW-18243</t>
  </si>
  <si>
    <t>UCW-18413</t>
  </si>
  <si>
    <t>UCW-18444</t>
  </si>
  <si>
    <t>UCW-18447</t>
  </si>
  <si>
    <t>UCW-18485</t>
  </si>
  <si>
    <t>UCW-18809</t>
  </si>
  <si>
    <t>UCW-19387</t>
  </si>
  <si>
    <t>UCW-20146</t>
  </si>
  <si>
    <t>UCW-20198</t>
  </si>
  <si>
    <t>UCW-20469</t>
  </si>
  <si>
    <t>UCW-20838</t>
  </si>
  <si>
    <t>UCW-21235</t>
  </si>
  <si>
    <t>UCW-21524</t>
  </si>
  <si>
    <t>UCW-22818</t>
  </si>
  <si>
    <t>UCW-22177</t>
  </si>
  <si>
    <t>UCW-22692</t>
  </si>
  <si>
    <t>UCW-11395</t>
  </si>
  <si>
    <t>UCW-11396</t>
  </si>
  <si>
    <t>UCW-11431</t>
  </si>
  <si>
    <t>UCW-11609</t>
  </si>
  <si>
    <t>UCW-11717</t>
  </si>
  <si>
    <t>UCW-11946</t>
  </si>
  <si>
    <t>UCW-11975</t>
  </si>
  <si>
    <t>UCW-12096</t>
  </si>
  <si>
    <t>UCW-12342</t>
  </si>
  <si>
    <t>UCW-12684</t>
  </si>
  <si>
    <t>UCW-12685</t>
  </si>
  <si>
    <t>UCW-12687</t>
  </si>
  <si>
    <t>UCW-12854</t>
  </si>
  <si>
    <t>UCW-12933</t>
  </si>
  <si>
    <t>UCW-12983</t>
  </si>
  <si>
    <t>UCW-13028</t>
  </si>
  <si>
    <t>UCW-13042</t>
  </si>
  <si>
    <t>UCW-13044</t>
  </si>
  <si>
    <t>UCW-13049</t>
  </si>
  <si>
    <t>UCW-13130</t>
  </si>
  <si>
    <t>UCW-13147</t>
  </si>
  <si>
    <t>UCW-13276</t>
  </si>
  <si>
    <t>UCW-13317</t>
  </si>
  <si>
    <t>UCW-13321</t>
  </si>
  <si>
    <t>UCW-13328</t>
  </si>
  <si>
    <t>UCW-13341</t>
  </si>
  <si>
    <t>UCW-13346</t>
  </si>
  <si>
    <t>UCW-13417</t>
  </si>
  <si>
    <t>UCW-13568</t>
  </si>
  <si>
    <t>UCW-13590</t>
  </si>
  <si>
    <t>UCW-13603</t>
  </si>
  <si>
    <t>UCW-13604</t>
  </si>
  <si>
    <t>UCW-13606</t>
  </si>
  <si>
    <t>UCW-13793</t>
  </si>
  <si>
    <t>UCW-13911</t>
  </si>
  <si>
    <t>UCW-14061</t>
  </si>
  <si>
    <t>UCW-14127</t>
  </si>
  <si>
    <t>UCW-14137</t>
  </si>
  <si>
    <t>UCW-14141</t>
  </si>
  <si>
    <t>UCW-14257</t>
  </si>
  <si>
    <t>UCW-14810</t>
  </si>
  <si>
    <t>UCW-14812</t>
  </si>
  <si>
    <t>UCW-14981</t>
  </si>
  <si>
    <t>UCW-14983</t>
  </si>
  <si>
    <t>UCW-15001</t>
  </si>
  <si>
    <t>UCW-15042</t>
  </si>
  <si>
    <t>UCW-15102</t>
  </si>
  <si>
    <t>UCW-15144</t>
  </si>
  <si>
    <t>UCW-15306</t>
  </si>
  <si>
    <t>UCW-15307</t>
  </si>
  <si>
    <t>UCW-15385</t>
  </si>
  <si>
    <t>UCW-15532</t>
  </si>
  <si>
    <t>UCW-15677</t>
  </si>
  <si>
    <t>UCW-15693</t>
  </si>
  <si>
    <t>UCW-15733</t>
  </si>
  <si>
    <t>UCW-15741</t>
  </si>
  <si>
    <t>UCW-15742</t>
  </si>
  <si>
    <t>UCW-15988</t>
  </si>
  <si>
    <t>UCW-16065</t>
  </si>
  <si>
    <t>UCW-16378</t>
  </si>
  <si>
    <t>UCW-16385</t>
  </si>
  <si>
    <t>UCW-16394</t>
  </si>
  <si>
    <t>UCW-16396</t>
  </si>
  <si>
    <t>UCW-16409</t>
  </si>
  <si>
    <t>UCW-16507</t>
  </si>
  <si>
    <t>UCW-16532</t>
  </si>
  <si>
    <t>UCW-16553</t>
  </si>
  <si>
    <t>UCW-16684</t>
  </si>
  <si>
    <t>UCW-16936</t>
  </si>
  <si>
    <t>UCW-17064</t>
  </si>
  <si>
    <t>UCW-17223</t>
  </si>
  <si>
    <t>UCW-17273</t>
  </si>
  <si>
    <t>UCW-17391</t>
  </si>
  <si>
    <t>UCW-17431</t>
  </si>
  <si>
    <t>UCW-17439</t>
  </si>
  <si>
    <t>UCW-17582</t>
  </si>
  <si>
    <t>UCW-17663</t>
  </si>
  <si>
    <t>UCW-17800</t>
  </si>
  <si>
    <t>UCW-17907</t>
  </si>
  <si>
    <t>UCW-17945</t>
  </si>
  <si>
    <t>UCW-18029</t>
  </si>
  <si>
    <t>UCW-18129</t>
  </si>
  <si>
    <t>UCW-18263</t>
  </si>
  <si>
    <t>UCW-18272</t>
  </si>
  <si>
    <t>UCW-18274</t>
  </si>
  <si>
    <t>UCW-18275</t>
  </si>
  <si>
    <t>UCW-18318</t>
  </si>
  <si>
    <t>UCW-18340</t>
  </si>
  <si>
    <t>UCW-18358</t>
  </si>
  <si>
    <t>UCW-18465</t>
  </si>
  <si>
    <t>UCW-18551</t>
  </si>
  <si>
    <t>UCW-18565</t>
  </si>
  <si>
    <t>UCW-18668</t>
  </si>
  <si>
    <t>UCW-18671</t>
  </si>
  <si>
    <t>UCW-18691</t>
  </si>
  <si>
    <t>UCW-18707</t>
  </si>
  <si>
    <t>UCW-18745</t>
  </si>
  <si>
    <t>UCW-18765</t>
  </si>
  <si>
    <t>UCW-18881</t>
  </si>
  <si>
    <t>UCW-18909</t>
  </si>
  <si>
    <t>UCW-18910</t>
  </si>
  <si>
    <t>UCW-18912</t>
  </si>
  <si>
    <t>UCW-18913</t>
  </si>
  <si>
    <t>UCW-18979</t>
  </si>
  <si>
    <t>UCW-19087</t>
  </si>
  <si>
    <t>UCW-19091</t>
  </si>
  <si>
    <t>UCW-19310</t>
  </si>
  <si>
    <t>UCW-19551</t>
  </si>
  <si>
    <t>UCW-19606</t>
  </si>
  <si>
    <t>UCW-19747</t>
  </si>
  <si>
    <t>UCW-19971</t>
  </si>
  <si>
    <t>UCW-20366</t>
  </si>
  <si>
    <t>UCW-20403</t>
  </si>
  <si>
    <t>UCW-20425</t>
  </si>
  <si>
    <t>UCW-20482</t>
  </si>
  <si>
    <t>UCW-20487</t>
  </si>
  <si>
    <t>UCW-20488</t>
  </si>
  <si>
    <t>UCW-20623</t>
  </si>
  <si>
    <t>UCW-20687</t>
  </si>
  <si>
    <t>UCW-20738</t>
  </si>
  <si>
    <t>UCW-20756</t>
  </si>
  <si>
    <t>UCW-20787</t>
  </si>
  <si>
    <t>UCW-20790</t>
  </si>
  <si>
    <t>UCW-20870</t>
  </si>
  <si>
    <t>UCW-20902</t>
  </si>
  <si>
    <t>UCW-20926</t>
  </si>
  <si>
    <t>UCW-20952</t>
  </si>
  <si>
    <t>UCW-21139</t>
  </si>
  <si>
    <t>UCW-21143</t>
  </si>
  <si>
    <t>UCW-21144</t>
  </si>
  <si>
    <t>UCW-21146</t>
  </si>
  <si>
    <t>UCW-21213</t>
  </si>
  <si>
    <t>UCW-21230</t>
  </si>
  <si>
    <t>UCW-21371</t>
  </si>
  <si>
    <t>UCW-21422</t>
  </si>
  <si>
    <t>UCW-21424</t>
  </si>
  <si>
    <t>UCW-21443</t>
  </si>
  <si>
    <t>UCW-21444</t>
  </si>
  <si>
    <t>UCW-22938</t>
  </si>
  <si>
    <t>UCW-21667</t>
  </si>
  <si>
    <t>UCW-21701</t>
  </si>
  <si>
    <t>UCW-21737</t>
  </si>
  <si>
    <t>UCW-21767</t>
  </si>
  <si>
    <t>UCW-21786</t>
  </si>
  <si>
    <t>UCW-21871</t>
  </si>
  <si>
    <t>UCW-22213</t>
  </si>
  <si>
    <t>UCW-22214</t>
  </si>
  <si>
    <t>UCW-22330</t>
  </si>
  <si>
    <t>UCW-22365</t>
  </si>
  <si>
    <t>UCW-22457</t>
  </si>
  <si>
    <t>UCW-22612</t>
  </si>
  <si>
    <t>UCW-10914</t>
  </si>
  <si>
    <t>UCW-10917</t>
  </si>
  <si>
    <t>UCW-10923</t>
  </si>
  <si>
    <t>UCW-10932</t>
  </si>
  <si>
    <t>UCW-10935</t>
  </si>
  <si>
    <t>UCW-10943</t>
  </si>
  <si>
    <t>UCW-10944</t>
  </si>
  <si>
    <t>UCW-10953</t>
  </si>
  <si>
    <t>UCW-10960</t>
  </si>
  <si>
    <t>UCW-10966</t>
  </si>
  <si>
    <t>UCW-10981</t>
  </si>
  <si>
    <t>UCW-10990</t>
  </si>
  <si>
    <t>UCW-10999</t>
  </si>
  <si>
    <t>UCW-11002</t>
  </si>
  <si>
    <t>UCW-11006</t>
  </si>
  <si>
    <t>UCW-11007</t>
  </si>
  <si>
    <t>UCW-11017</t>
  </si>
  <si>
    <t>UCW-11038</t>
  </si>
  <si>
    <t>UCW-11044</t>
  </si>
  <si>
    <t>UCW-11045</t>
  </si>
  <si>
    <t>UCW-11048</t>
  </si>
  <si>
    <t>UCW-11071</t>
  </si>
  <si>
    <t>UCW-11072</t>
  </si>
  <si>
    <t>UCW-11078</t>
  </si>
  <si>
    <t>UCW-11087</t>
  </si>
  <si>
    <t>UCW-11094</t>
  </si>
  <si>
    <t>UCW-11101</t>
  </si>
  <si>
    <t>UCW-11102</t>
  </si>
  <si>
    <t>UCW-11115</t>
  </si>
  <si>
    <t>UCW-11130</t>
  </si>
  <si>
    <t>UCW-11132</t>
  </si>
  <si>
    <t>UCW-11136</t>
  </si>
  <si>
    <t>UCW-11137</t>
  </si>
  <si>
    <t>UCW-11138</t>
  </si>
  <si>
    <t>UCW-11141</t>
  </si>
  <si>
    <t>UCW-11142</t>
  </si>
  <si>
    <t>UCW-11146</t>
  </si>
  <si>
    <t>UCW-11147</t>
  </si>
  <si>
    <t>UCW-11155</t>
  </si>
  <si>
    <t>UCW-11158</t>
  </si>
  <si>
    <t>UCW-11170</t>
  </si>
  <si>
    <t>UCW-11173</t>
  </si>
  <si>
    <t>UCW-11176</t>
  </si>
  <si>
    <t>UCW-11178</t>
  </si>
  <si>
    <t>UCW-11180</t>
  </si>
  <si>
    <t>UCW-11181</t>
  </si>
  <si>
    <t>UCW-11183</t>
  </si>
  <si>
    <t>UCW-11185</t>
  </si>
  <si>
    <t>UCW-11188</t>
  </si>
  <si>
    <t>UCW-11192</t>
  </si>
  <si>
    <t>UCW-11194</t>
  </si>
  <si>
    <t>UCW-11196</t>
  </si>
  <si>
    <t>UCW-11201</t>
  </si>
  <si>
    <t>UCW-11209</t>
  </si>
  <si>
    <t>UCW-11234</t>
  </si>
  <si>
    <t>UCW-11245</t>
  </si>
  <si>
    <t>UCW-11255</t>
  </si>
  <si>
    <t>UCW-11256</t>
  </si>
  <si>
    <t>UCW-11259</t>
  </si>
  <si>
    <t>UCW-11261</t>
  </si>
  <si>
    <t>UCW-11263</t>
  </si>
  <si>
    <t>UCW-11266</t>
  </si>
  <si>
    <t>UCW-11271</t>
  </si>
  <si>
    <t>UCW-11274</t>
  </si>
  <si>
    <t>UCW-11275</t>
  </si>
  <si>
    <t>UCW-11292</t>
  </si>
  <si>
    <t>UCW-11304</t>
  </si>
  <si>
    <t>UCW-11305</t>
  </si>
  <si>
    <t>UCW-11307</t>
  </si>
  <si>
    <t>UCW-11316</t>
  </si>
  <si>
    <t>UCW-11318</t>
  </si>
  <si>
    <t>UCW-11321</t>
  </si>
  <si>
    <t>UCW-11326</t>
  </si>
  <si>
    <t>UCW-11330</t>
  </si>
  <si>
    <t>UCW-11338</t>
  </si>
  <si>
    <t>UCW-11350</t>
  </si>
  <si>
    <t>UCW-11361</t>
  </si>
  <si>
    <t>UCW-11370</t>
  </si>
  <si>
    <t>UCW-11377</t>
  </si>
  <si>
    <t>UCW-11379</t>
  </si>
  <si>
    <t>UCW-11381</t>
  </si>
  <si>
    <t>UCW-11383</t>
  </si>
  <si>
    <t>UCW-11393</t>
  </si>
  <si>
    <t>UCW-11399</t>
  </si>
  <si>
    <t>UCW-11402</t>
  </si>
  <si>
    <t>UCW-11404</t>
  </si>
  <si>
    <t>UCW-11405</t>
  </si>
  <si>
    <t>UCW-11414</t>
  </si>
  <si>
    <t>UCW-11416</t>
  </si>
  <si>
    <t>UCW-11429</t>
  </si>
  <si>
    <t>UCW-11430</t>
  </si>
  <si>
    <t>UCW-11434</t>
  </si>
  <si>
    <t>UCW-11439</t>
  </si>
  <si>
    <t>UCW-11445</t>
  </si>
  <si>
    <t>UCW-11452</t>
  </si>
  <si>
    <t>UCW-11453</t>
  </si>
  <si>
    <t>UCW-11460</t>
  </si>
  <si>
    <t>UCW-11462</t>
  </si>
  <si>
    <t>UCW-11464</t>
  </si>
  <si>
    <t>UCW-11466</t>
  </si>
  <si>
    <t>UCW-11477</t>
  </si>
  <si>
    <t>UCW-11482</t>
  </si>
  <si>
    <t>UCW-11487</t>
  </si>
  <si>
    <t>UCW-11500</t>
  </si>
  <si>
    <t>UCW-11522</t>
  </si>
  <si>
    <t>UCW-11535</t>
  </si>
  <si>
    <t>UCW-11537</t>
  </si>
  <si>
    <t>UCW-11545</t>
  </si>
  <si>
    <t>UCW-11546</t>
  </si>
  <si>
    <t>UCW-11549</t>
  </si>
  <si>
    <t>UCW-11551</t>
  </si>
  <si>
    <t>UCW-11553</t>
  </si>
  <si>
    <t>UCW-11559</t>
  </si>
  <si>
    <t>UCW-11561</t>
  </si>
  <si>
    <t>UCW-11562</t>
  </si>
  <si>
    <t>UCW-11567</t>
  </si>
  <si>
    <t>UCW-11585</t>
  </si>
  <si>
    <t>UCW-11586</t>
  </si>
  <si>
    <t>UCW-11587</t>
  </si>
  <si>
    <t>UCW-11591</t>
  </si>
  <si>
    <t>UCW-11595</t>
  </si>
  <si>
    <t>UCW-11606</t>
  </si>
  <si>
    <t>UCW-11612</t>
  </si>
  <si>
    <t>UCW-11613</t>
  </si>
  <si>
    <t>UCW-11614</t>
  </si>
  <si>
    <t>UCW-11623</t>
  </si>
  <si>
    <t>UCW-11624</t>
  </si>
  <si>
    <t>UCW-11627</t>
  </si>
  <si>
    <t>UCW-11645</t>
  </si>
  <si>
    <t>UCW-11650</t>
  </si>
  <si>
    <t>UCW-11654</t>
  </si>
  <si>
    <t>UCW-11656</t>
  </si>
  <si>
    <t>UCW-11663</t>
  </si>
  <si>
    <t>UCW-11664</t>
  </si>
  <si>
    <t>UCW-11673</t>
  </si>
  <si>
    <t>UCW-11678</t>
  </si>
  <si>
    <t>UCW-11681</t>
  </si>
  <si>
    <t>UCW-11693</t>
  </si>
  <si>
    <t>UCW-11700</t>
  </si>
  <si>
    <t>UCW-11710</t>
  </si>
  <si>
    <t>UCW-11719</t>
  </si>
  <si>
    <t>UCW-11724</t>
  </si>
  <si>
    <t>UCW-11743</t>
  </si>
  <si>
    <t>UCW-11764</t>
  </si>
  <si>
    <t>UCW-11766</t>
  </si>
  <si>
    <t>UCW-11774</t>
  </si>
  <si>
    <t>UCW-11780</t>
  </si>
  <si>
    <t>UCW-11783</t>
  </si>
  <si>
    <t>UCW-11785</t>
  </si>
  <si>
    <t>UCW-11789</t>
  </si>
  <si>
    <t>UCW-11794</t>
  </si>
  <si>
    <t>UCW-11817</t>
  </si>
  <si>
    <t>UCW-11820</t>
  </si>
  <si>
    <t>UCW-11821</t>
  </si>
  <si>
    <t>UCW-11825</t>
  </si>
  <si>
    <t>UCW-11829</t>
  </si>
  <si>
    <t>UCW-11833</t>
  </si>
  <si>
    <t>UCW-11835</t>
  </si>
  <si>
    <t>UCW-11851</t>
  </si>
  <si>
    <t>UCW-11852</t>
  </si>
  <si>
    <t>UCW-11856</t>
  </si>
  <si>
    <t>UCW-11857</t>
  </si>
  <si>
    <t>UCW-11858</t>
  </si>
  <si>
    <t>UCW-11859</t>
  </si>
  <si>
    <t>UCW-11865</t>
  </si>
  <si>
    <t>UCW-11868</t>
  </si>
  <si>
    <t>UCW-11879</t>
  </si>
  <si>
    <t>UCW-11891</t>
  </si>
  <si>
    <t>UCW-11892</t>
  </si>
  <si>
    <t>UCW-11895</t>
  </si>
  <si>
    <t>UCW-11908</t>
  </si>
  <si>
    <t>UCW-11915</t>
  </si>
  <si>
    <t>UCW-11926</t>
  </si>
  <si>
    <t>UCW-11931</t>
  </si>
  <si>
    <t>UCW-11934</t>
  </si>
  <si>
    <t>UCW-11944</t>
  </si>
  <si>
    <t>UCW-11950</t>
  </si>
  <si>
    <t>UCW-11972</t>
  </si>
  <si>
    <t>UCW-11987</t>
  </si>
  <si>
    <t>UCW-11990</t>
  </si>
  <si>
    <t>UCW-11995</t>
  </si>
  <si>
    <t>UCW-11999</t>
  </si>
  <si>
    <t>UCW-12005</t>
  </si>
  <si>
    <t>UCW-25414</t>
  </si>
  <si>
    <t>UCW-12035</t>
  </si>
  <si>
    <t>UCW-25412</t>
  </si>
  <si>
    <t>UCW-12051</t>
  </si>
  <si>
    <t>UCW-12052</t>
  </si>
  <si>
    <t>UCW-12063</t>
  </si>
  <si>
    <t>UCW-12081</t>
  </si>
  <si>
    <t>UCW-12088</t>
  </si>
  <si>
    <t>UCW-12115</t>
  </si>
  <si>
    <t>UCW-12122</t>
  </si>
  <si>
    <t>UCW-12128</t>
  </si>
  <si>
    <t>UCW-12131</t>
  </si>
  <si>
    <t>UCW-12132</t>
  </si>
  <si>
    <t>UCW-12136</t>
  </si>
  <si>
    <t>UCW-12138</t>
  </si>
  <si>
    <t>UCW-12141</t>
  </si>
  <si>
    <t>UCW-12142</t>
  </si>
  <si>
    <t>UCW-12158</t>
  </si>
  <si>
    <t>UCW-12163</t>
  </si>
  <si>
    <t>UCW-12173</t>
  </si>
  <si>
    <t>UCW-12175</t>
  </si>
  <si>
    <t>UCW-12176</t>
  </si>
  <si>
    <t>UCW-12177</t>
  </si>
  <si>
    <t>UCW-12178</t>
  </si>
  <si>
    <t>UCW-12179</t>
  </si>
  <si>
    <t>UCW-12180</t>
  </si>
  <si>
    <t>UCW-12184</t>
  </si>
  <si>
    <t>UCW-12187</t>
  </si>
  <si>
    <t>UCW-12188</t>
  </si>
  <si>
    <t>UCW-12189</t>
  </si>
  <si>
    <t>UCW-12193</t>
  </si>
  <si>
    <t>UCW-12194</t>
  </si>
  <si>
    <t>UCW-12195</t>
  </si>
  <si>
    <t>UCW-12204</t>
  </si>
  <si>
    <t>UCW-12207</t>
  </si>
  <si>
    <t>UCW-12211</t>
  </si>
  <si>
    <t>UCW-12215</t>
  </si>
  <si>
    <t>UCW-12218</t>
  </si>
  <si>
    <t>UCW-12223</t>
  </si>
  <si>
    <t>UCW-12225</t>
  </si>
  <si>
    <t>UCW-12229</t>
  </si>
  <si>
    <t>UCW-12230</t>
  </si>
  <si>
    <t>UCW-12232</t>
  </si>
  <si>
    <t>UCW-12233</t>
  </si>
  <si>
    <t>UCW-12234</t>
  </si>
  <si>
    <t>UCW-12235</t>
  </si>
  <si>
    <t>UCW-12253</t>
  </si>
  <si>
    <t>UCW-12262</t>
  </si>
  <si>
    <t>UCW-12263</t>
  </si>
  <si>
    <t>UCW-12264</t>
  </si>
  <si>
    <t>UCW-12271</t>
  </si>
  <si>
    <t>UCW-12277</t>
  </si>
  <si>
    <t>UCW-25325</t>
  </si>
  <si>
    <t>UCW-12278</t>
  </si>
  <si>
    <t>UCW-12284</t>
  </si>
  <si>
    <t>UCW-12287</t>
  </si>
  <si>
    <t>UCW-12288</t>
  </si>
  <si>
    <t>UCW-12293</t>
  </si>
  <si>
    <t>UCW-12294</t>
  </si>
  <si>
    <t>UCW-12299</t>
  </si>
  <si>
    <t>UCW-12300</t>
  </si>
  <si>
    <t>UCW-12302</t>
  </si>
  <si>
    <t>UCW-12303</t>
  </si>
  <si>
    <t>UCW-12308</t>
  </si>
  <si>
    <t>UCW-12344</t>
  </si>
  <si>
    <t>UCW-12345</t>
  </si>
  <si>
    <t>UCW-12347</t>
  </si>
  <si>
    <t>UCW-12348</t>
  </si>
  <si>
    <t>UCW-12350</t>
  </si>
  <si>
    <t>UCW-12352</t>
  </si>
  <si>
    <t>UCW-12362</t>
  </si>
  <si>
    <t>UCW-12368</t>
  </si>
  <si>
    <t>UCW-12369</t>
  </si>
  <si>
    <t>UCW-12373</t>
  </si>
  <si>
    <t>UCW-12391</t>
  </si>
  <si>
    <t>UCW-12393</t>
  </si>
  <si>
    <t>UCW-12394</t>
  </si>
  <si>
    <t>UCW-12396</t>
  </si>
  <si>
    <t>UCW-12398</t>
  </si>
  <si>
    <t>UCW-12400</t>
  </si>
  <si>
    <t>UCW-12402</t>
  </si>
  <si>
    <t>UCW-12403</t>
  </si>
  <si>
    <t>UCW-12406</t>
  </si>
  <si>
    <t>UCW-12409</t>
  </si>
  <si>
    <t>UCW-12410</t>
  </si>
  <si>
    <t>UCW-12416</t>
  </si>
  <si>
    <t>UCW-12419</t>
  </si>
  <si>
    <t>UCW-12422</t>
  </si>
  <si>
    <t>UCW-12423</t>
  </si>
  <si>
    <t>UCW-12426</t>
  </si>
  <si>
    <t>UCW-12434</t>
  </si>
  <si>
    <t>UCW-12439</t>
  </si>
  <si>
    <t>UCW-12444</t>
  </si>
  <si>
    <t>UCW-12445</t>
  </si>
  <si>
    <t>UCW-12446</t>
  </si>
  <si>
    <t>UCW-12450</t>
  </si>
  <si>
    <t>UCW-12474</t>
  </si>
  <si>
    <t>UCW-12475</t>
  </si>
  <si>
    <t>UCW-12476</t>
  </si>
  <si>
    <t>UCW-12477</t>
  </si>
  <si>
    <t>UCW-12479</t>
  </si>
  <si>
    <t>UCW-12481</t>
  </si>
  <si>
    <t>UCW-12482</t>
  </si>
  <si>
    <t>UCW-12483</t>
  </si>
  <si>
    <t>UCW-12484</t>
  </si>
  <si>
    <t>UCW-12501</t>
  </si>
  <si>
    <t>UCW-12502</t>
  </si>
  <si>
    <t>UCW-12504</t>
  </si>
  <si>
    <t>UCW-12508</t>
  </si>
  <si>
    <t>UCW-12512</t>
  </si>
  <si>
    <t>UCW-12514</t>
  </si>
  <si>
    <t>UCW-12518</t>
  </si>
  <si>
    <t>UCW-12521</t>
  </si>
  <si>
    <t>UCW-12531</t>
  </si>
  <si>
    <t>UCW-12545</t>
  </si>
  <si>
    <t>UCW-12550</t>
  </si>
  <si>
    <t>UCW-12551</t>
  </si>
  <si>
    <t>UCW-12552</t>
  </si>
  <si>
    <t>UCW-12555</t>
  </si>
  <si>
    <t>UCW-12557</t>
  </si>
  <si>
    <t>UCW-12558</t>
  </si>
  <si>
    <t>UCW-12559</t>
  </si>
  <si>
    <t>UCW-12560</t>
  </si>
  <si>
    <t>UCW-12561</t>
  </si>
  <si>
    <t>UCW-12563</t>
  </si>
  <si>
    <t>UCW-12564</t>
  </si>
  <si>
    <t>UCW-12565</t>
  </si>
  <si>
    <t>UCW-12566</t>
  </si>
  <si>
    <t>UCW-12571</t>
  </si>
  <si>
    <t>UCW-12572</t>
  </si>
  <si>
    <t>UCW-12573</t>
  </si>
  <si>
    <t>UCW-12589</t>
  </si>
  <si>
    <t>UCW-12593</t>
  </si>
  <si>
    <t>UCW-12594</t>
  </si>
  <si>
    <t>UCW-12597</t>
  </si>
  <si>
    <t>UCW-12598</t>
  </si>
  <si>
    <t>UCW-12600</t>
  </si>
  <si>
    <t>UCW-12601</t>
  </si>
  <si>
    <t>UCW-12606</t>
  </si>
  <si>
    <t>UCW-12608</t>
  </si>
  <si>
    <t>UCW-12612</t>
  </si>
  <si>
    <t>UCW-12618</t>
  </si>
  <si>
    <t>UCW-12628</t>
  </si>
  <si>
    <t>UCW-12632</t>
  </si>
  <si>
    <t>UCW-12642</t>
  </si>
  <si>
    <t>UCW-12656</t>
  </si>
  <si>
    <t>UCW-12658</t>
  </si>
  <si>
    <t>UCW-12660</t>
  </si>
  <si>
    <t>UCW-12674</t>
  </si>
  <si>
    <t>UCW-12681</t>
  </si>
  <si>
    <t>UCW-12688</t>
  </si>
  <si>
    <t>UCW-12691</t>
  </si>
  <si>
    <t>UCW-12714</t>
  </si>
  <si>
    <t>UCW-12719</t>
  </si>
  <si>
    <t>UCW-12720</t>
  </si>
  <si>
    <t>UCW-12736</t>
  </si>
  <si>
    <t>UCW-12744</t>
  </si>
  <si>
    <t>UCW-12749</t>
  </si>
  <si>
    <t>UCW-12755</t>
  </si>
  <si>
    <t>UCW-12764</t>
  </si>
  <si>
    <t>UCW-12766</t>
  </si>
  <si>
    <t>UCW-12787</t>
  </si>
  <si>
    <t>UCW-12791</t>
  </si>
  <si>
    <t>UCW-12796</t>
  </si>
  <si>
    <t>UCW-12808</t>
  </si>
  <si>
    <t>UCW-12811</t>
  </si>
  <si>
    <t>UCW-12817</t>
  </si>
  <si>
    <t>UCW-12818</t>
  </si>
  <si>
    <t>UCW-12823</t>
  </si>
  <si>
    <t>UCW-12824</t>
  </si>
  <si>
    <t>UCW-12825</t>
  </si>
  <si>
    <t>UCW-12826</t>
  </si>
  <si>
    <t>UCW-12827</t>
  </si>
  <si>
    <t>UCW-12828</t>
  </si>
  <si>
    <t>UCW-12829</t>
  </si>
  <si>
    <t>UCW-12830</t>
  </si>
  <si>
    <t>UCW-12832</t>
  </si>
  <si>
    <t>UCW-12834</t>
  </si>
  <si>
    <t>UCW-12835</t>
  </si>
  <si>
    <t>UCW-12836</t>
  </si>
  <si>
    <t>UCW-12837</t>
  </si>
  <si>
    <t>UCW-12838</t>
  </si>
  <si>
    <t>UCW-12847</t>
  </si>
  <si>
    <t>UCW-12853</t>
  </si>
  <si>
    <t>UCW-12859</t>
  </si>
  <si>
    <t>UCW-12861</t>
  </si>
  <si>
    <t>UCW-12867</t>
  </si>
  <si>
    <t>UCW-12876</t>
  </si>
  <si>
    <t>UCW-12879</t>
  </si>
  <si>
    <t>UCW-12881</t>
  </si>
  <si>
    <t>UCW-12904</t>
  </si>
  <si>
    <t>UCW-12909</t>
  </si>
  <si>
    <t>UCW-12915</t>
  </si>
  <si>
    <t>UCW-12934</t>
  </si>
  <si>
    <t>UCW-12935</t>
  </si>
  <si>
    <t>UCW-12936</t>
  </si>
  <si>
    <t>UCW-12938</t>
  </si>
  <si>
    <t>UCW-12939</t>
  </si>
  <si>
    <t>UCW-12942</t>
  </si>
  <si>
    <t>UCW-12946</t>
  </si>
  <si>
    <t>UCW-12958</t>
  </si>
  <si>
    <t>UCW-12962</t>
  </si>
  <si>
    <t>UCW-12970</t>
  </si>
  <si>
    <t>UCW-12973</t>
  </si>
  <si>
    <t>UCW-12978</t>
  </si>
  <si>
    <t>UCW-12981</t>
  </si>
  <si>
    <t>UCW-12984</t>
  </si>
  <si>
    <t>UCW-12997</t>
  </si>
  <si>
    <t>UCW-13000</t>
  </si>
  <si>
    <t>UCW-13006</t>
  </si>
  <si>
    <t>UCW-13008</t>
  </si>
  <si>
    <t>UCW-13010</t>
  </si>
  <si>
    <t>UCW-13014</t>
  </si>
  <si>
    <t>UCW-13015</t>
  </si>
  <si>
    <t>UCW-13017</t>
  </si>
  <si>
    <t>UCW-13020</t>
  </si>
  <si>
    <t>UCW-13023</t>
  </si>
  <si>
    <t>UCW-13035</t>
  </si>
  <si>
    <t>UCW-13048</t>
  </si>
  <si>
    <t>UCW-13059</t>
  </si>
  <si>
    <t>UCW-13077</t>
  </si>
  <si>
    <t>UCW-13094</t>
  </si>
  <si>
    <t>UCW-13096</t>
  </si>
  <si>
    <t>UCW-13097</t>
  </si>
  <si>
    <t>UCW-13101</t>
  </si>
  <si>
    <t>UCW-13106</t>
  </si>
  <si>
    <t>UCW-13109</t>
  </si>
  <si>
    <t>UCW-13112</t>
  </si>
  <si>
    <t>UCW-13122</t>
  </si>
  <si>
    <t>UCW-13124</t>
  </si>
  <si>
    <t>UCW-13127</t>
  </si>
  <si>
    <t>UCW-13138</t>
  </si>
  <si>
    <t>UCW-13139</t>
  </si>
  <si>
    <t>UCW-13154</t>
  </si>
  <si>
    <t>UCW-13155</t>
  </si>
  <si>
    <t>UCW-13156</t>
  </si>
  <si>
    <t>UCW-13157</t>
  </si>
  <si>
    <t>UCW-13158</t>
  </si>
  <si>
    <t>UCW-13163</t>
  </si>
  <si>
    <t>UCW-13164</t>
  </si>
  <si>
    <t>UCW-13166</t>
  </si>
  <si>
    <t>UCW-13167</t>
  </si>
  <si>
    <t>UCW-13171</t>
  </si>
  <si>
    <t>UCW-13172</t>
  </si>
  <si>
    <t>UCW-13173</t>
  </si>
  <si>
    <t>UCW-13174</t>
  </si>
  <si>
    <t>UCW-13195</t>
  </si>
  <si>
    <t>UCW-13198</t>
  </si>
  <si>
    <t>UCW-13205</t>
  </si>
  <si>
    <t>UCW-13211</t>
  </si>
  <si>
    <t>UCW-13213</t>
  </si>
  <si>
    <t>UCW-13216</t>
  </si>
  <si>
    <t>UCW-13221</t>
  </si>
  <si>
    <t>UCW-13239</t>
  </si>
  <si>
    <t>UCW-13250</t>
  </si>
  <si>
    <t>UCW-13252</t>
  </si>
  <si>
    <t>UCW-13255</t>
  </si>
  <si>
    <t>UCW-13265</t>
  </si>
  <si>
    <t>UCW-13271</t>
  </si>
  <si>
    <t>UCW-13300</t>
  </si>
  <si>
    <t>UCW-13301</t>
  </si>
  <si>
    <t>UCW-13318</t>
  </si>
  <si>
    <t>UCW-13334</t>
  </si>
  <si>
    <t>UCW-13339</t>
  </si>
  <si>
    <t>UCW-13348</t>
  </si>
  <si>
    <t>UCW-13350</t>
  </si>
  <si>
    <t>UCW-13354</t>
  </si>
  <si>
    <t>UCW-13355</t>
  </si>
  <si>
    <t>UCW-13357</t>
  </si>
  <si>
    <t>UCW-13365</t>
  </si>
  <si>
    <t>UCW-13371</t>
  </si>
  <si>
    <t>UCW-13376</t>
  </si>
  <si>
    <t>UCW-13387</t>
  </si>
  <si>
    <t>UCW-13391</t>
  </si>
  <si>
    <t>UCW-13393</t>
  </si>
  <si>
    <t>UCW-13398</t>
  </si>
  <si>
    <t>UCW-13419</t>
  </si>
  <si>
    <t>UCW-13425</t>
  </si>
  <si>
    <t>UCW-13426</t>
  </si>
  <si>
    <t>UCW-13444</t>
  </si>
  <si>
    <t>UCW-13459</t>
  </si>
  <si>
    <t>UCW-13460</t>
  </si>
  <si>
    <t>UCW-13461</t>
  </si>
  <si>
    <t>UCW-13467</t>
  </si>
  <si>
    <t>UCW-13481</t>
  </si>
  <si>
    <t>UCW-13486</t>
  </si>
  <si>
    <t>UCW-13528</t>
  </si>
  <si>
    <t>UCW-13545</t>
  </si>
  <si>
    <t>UCW-13564</t>
  </si>
  <si>
    <t>UCW-13585</t>
  </si>
  <si>
    <t>UCW-13586</t>
  </si>
  <si>
    <t>UCW-13588</t>
  </si>
  <si>
    <t>UCW-13591</t>
  </si>
  <si>
    <t>UCW-13619</t>
  </si>
  <si>
    <t>UCW-13621</t>
  </si>
  <si>
    <t>UCW-13625</t>
  </si>
  <si>
    <t>UCW-13633</t>
  </si>
  <si>
    <t>UCW-13634</t>
  </si>
  <si>
    <t>UCW-13637</t>
  </si>
  <si>
    <t>UCW-13643</t>
  </si>
  <si>
    <t>UCW-13644</t>
  </si>
  <si>
    <t>UCW-13650</t>
  </si>
  <si>
    <t>UCW-13665</t>
  </si>
  <si>
    <t>UCW-13666</t>
  </si>
  <si>
    <t>UCW-13668</t>
  </si>
  <si>
    <t>UCW-13669</t>
  </si>
  <si>
    <t>UCW-13671</t>
  </si>
  <si>
    <t>UCW-13674</t>
  </si>
  <si>
    <t>UCW-13676</t>
  </si>
  <si>
    <t>UCW-13690</t>
  </si>
  <si>
    <t>UCW-13696</t>
  </si>
  <si>
    <t>UCW-13697</t>
  </si>
  <si>
    <t>UCW-13700</t>
  </si>
  <si>
    <t>UCW-13704</t>
  </si>
  <si>
    <t>UCW-13707</t>
  </si>
  <si>
    <t>UCW-13737</t>
  </si>
  <si>
    <t>UCW-13746</t>
  </si>
  <si>
    <t>UCW-13750</t>
  </si>
  <si>
    <t>UCW-13761</t>
  </si>
  <si>
    <t>UCW-13787</t>
  </si>
  <si>
    <t>UCW-13791</t>
  </si>
  <si>
    <t>UCW-13796</t>
  </si>
  <si>
    <t>UCW-13807</t>
  </si>
  <si>
    <t>UCW-13819</t>
  </si>
  <si>
    <t>UCW-13833</t>
  </si>
  <si>
    <t>UCW-13835</t>
  </si>
  <si>
    <t>UCW-13839</t>
  </si>
  <si>
    <t>UCW-13844</t>
  </si>
  <si>
    <t>UCW-13845</t>
  </si>
  <si>
    <t>UCW-13849</t>
  </si>
  <si>
    <t>UCW-13853</t>
  </si>
  <si>
    <t>UCW-13860</t>
  </si>
  <si>
    <t>UCW-13861</t>
  </si>
  <si>
    <t>UCW-13874</t>
  </si>
  <si>
    <t>UCW-13878</t>
  </si>
  <si>
    <t>UCW-13896</t>
  </si>
  <si>
    <t>UCW-13898</t>
  </si>
  <si>
    <t>UCW-13901</t>
  </si>
  <si>
    <t>UCW-13912</t>
  </si>
  <si>
    <t>UCW-13915</t>
  </si>
  <si>
    <t>UCW-13919</t>
  </si>
  <si>
    <t>UCW-13921</t>
  </si>
  <si>
    <t>UCW-13923</t>
  </si>
  <si>
    <t>UCW-13930</t>
  </si>
  <si>
    <t>UCW-13941</t>
  </si>
  <si>
    <t>UCW-13944</t>
  </si>
  <si>
    <t>UCW-13950</t>
  </si>
  <si>
    <t>UCW-13951</t>
  </si>
  <si>
    <t>UCW-13953</t>
  </si>
  <si>
    <t>UCW-13954</t>
  </si>
  <si>
    <t>UCW-13956</t>
  </si>
  <si>
    <t>UCW-13959</t>
  </si>
  <si>
    <t>UCW-13966</t>
  </si>
  <si>
    <t>UCW-13967</t>
  </si>
  <si>
    <t>UCW-13969</t>
  </si>
  <si>
    <t>UCW-13978</t>
  </si>
  <si>
    <t>UCW-13979</t>
  </si>
  <si>
    <t>UCW-13987</t>
  </si>
  <si>
    <t>UCW-13993</t>
  </si>
  <si>
    <t>UCW-13994</t>
  </si>
  <si>
    <t>UCW-13997</t>
  </si>
  <si>
    <t>UCW-14037</t>
  </si>
  <si>
    <t>UCW-14069</t>
  </si>
  <si>
    <t>UCW-14075</t>
  </si>
  <si>
    <t>UCW-14081</t>
  </si>
  <si>
    <t>UCW-14084</t>
  </si>
  <si>
    <t>UCW-14086</t>
  </si>
  <si>
    <t>UCW-14089</t>
  </si>
  <si>
    <t>UCW-14090</t>
  </si>
  <si>
    <t>UCW-14092</t>
  </si>
  <si>
    <t>UCW-14096</t>
  </si>
  <si>
    <t>UCW-14109</t>
  </si>
  <si>
    <t>UCW-14112</t>
  </si>
  <si>
    <t>UCW-14117</t>
  </si>
  <si>
    <t>UCW-14134</t>
  </si>
  <si>
    <t>UCW-14145</t>
  </si>
  <si>
    <t>UCW-14171</t>
  </si>
  <si>
    <t>UCW-14174</t>
  </si>
  <si>
    <t>UCW-14188</t>
  </si>
  <si>
    <t>UCW-14190</t>
  </si>
  <si>
    <t>UCW-14206</t>
  </si>
  <si>
    <t>UCW-14207</t>
  </si>
  <si>
    <t>UCW-14211</t>
  </si>
  <si>
    <t>UCW-14228</t>
  </si>
  <si>
    <t>UCW-14243</t>
  </si>
  <si>
    <t>UCW-14247</t>
  </si>
  <si>
    <t>UCW-14250</t>
  </si>
  <si>
    <t>UCW-14253</t>
  </si>
  <si>
    <t>UCW-14258</t>
  </si>
  <si>
    <t>UCW-14269</t>
  </si>
  <si>
    <t>UCW-14293</t>
  </si>
  <si>
    <t>UCW-14299</t>
  </si>
  <si>
    <t>UCW-14302</t>
  </si>
  <si>
    <t>UCW-14306</t>
  </si>
  <si>
    <t>UCW-14309</t>
  </si>
  <si>
    <t>UCW-14315</t>
  </si>
  <si>
    <t>UCW-14318</t>
  </si>
  <si>
    <t>UCW-14331</t>
  </si>
  <si>
    <t>UCW-14333</t>
  </si>
  <si>
    <t>UCW-14356</t>
  </si>
  <si>
    <t>UCW-14378</t>
  </si>
  <si>
    <t>UCW-14386</t>
  </si>
  <si>
    <t>UCW-14403</t>
  </si>
  <si>
    <t>UCW-14404</t>
  </si>
  <si>
    <t>UCW-14409</t>
  </si>
  <si>
    <t>UCW-14422</t>
  </si>
  <si>
    <t>UCW-14440</t>
  </si>
  <si>
    <t>UCW-14454</t>
  </si>
  <si>
    <t>UCW-14461</t>
  </si>
  <si>
    <t>UCW-14478</t>
  </si>
  <si>
    <t>UCW-14481</t>
  </si>
  <si>
    <t>UCW-14491</t>
  </si>
  <si>
    <t>UCW-14506</t>
  </si>
  <si>
    <t>UCW-14517</t>
  </si>
  <si>
    <t>UCW-14519</t>
  </si>
  <si>
    <t>UCW-14521</t>
  </si>
  <si>
    <t>UCW-14529</t>
  </si>
  <si>
    <t>UCW-14534</t>
  </si>
  <si>
    <t>UCW-14538</t>
  </si>
  <si>
    <t>UCW-14562</t>
  </si>
  <si>
    <t>UCW-14566</t>
  </si>
  <si>
    <t>UCW-14575</t>
  </si>
  <si>
    <t>UCW-14597</t>
  </si>
  <si>
    <t>UCW-14598</t>
  </si>
  <si>
    <t>UCW-14609</t>
  </si>
  <si>
    <t>UCW-14623</t>
  </si>
  <si>
    <t>UCW-14624</t>
  </si>
  <si>
    <t>UCW-14627</t>
  </si>
  <si>
    <t>UCW-14630</t>
  </si>
  <si>
    <t>UCW-14631</t>
  </si>
  <si>
    <t>UCW-14648</t>
  </si>
  <si>
    <t>UCW-14650</t>
  </si>
  <si>
    <t>UCW-14673</t>
  </si>
  <si>
    <t>UCW-14676</t>
  </si>
  <si>
    <t>UCW-14677</t>
  </si>
  <si>
    <t>UCW-14688</t>
  </si>
  <si>
    <t>UCW-14716</t>
  </si>
  <si>
    <t>UCW-14739</t>
  </si>
  <si>
    <t>UCW-14744</t>
  </si>
  <si>
    <t>UCW-14745</t>
  </si>
  <si>
    <t>UCW-14748</t>
  </si>
  <si>
    <t>UCW-14763</t>
  </si>
  <si>
    <t>UCW-14767</t>
  </si>
  <si>
    <t>UCW-14779</t>
  </si>
  <si>
    <t>UCW-14785</t>
  </si>
  <si>
    <t>UCW-14822</t>
  </si>
  <si>
    <t>UCW-14837</t>
  </si>
  <si>
    <t>UCW-14846</t>
  </si>
  <si>
    <t>UCW-14856</t>
  </si>
  <si>
    <t>UCW-14858</t>
  </si>
  <si>
    <t>UCW-14859</t>
  </si>
  <si>
    <t>UCW-14860</t>
  </si>
  <si>
    <t>UCW-14865</t>
  </si>
  <si>
    <t>UCW-14866</t>
  </si>
  <si>
    <t>UCW-14868</t>
  </si>
  <si>
    <t>UCW-14876</t>
  </si>
  <si>
    <t>UCW-14877</t>
  </si>
  <si>
    <t>UCW-14878</t>
  </si>
  <si>
    <t>UCW-14881</t>
  </si>
  <si>
    <t>UCW-14883</t>
  </si>
  <si>
    <t>UCW-14887</t>
  </si>
  <si>
    <t>UCW-14888</t>
  </si>
  <si>
    <t>UCW-14894</t>
  </si>
  <si>
    <t>UCW-14908</t>
  </si>
  <si>
    <t>UCW-14915</t>
  </si>
  <si>
    <t>UCW-14930</t>
  </si>
  <si>
    <t>UCW-14937</t>
  </si>
  <si>
    <t>UCW-14940</t>
  </si>
  <si>
    <t>UCW-14944</t>
  </si>
  <si>
    <t>UCW-14945</t>
  </si>
  <si>
    <t>UCW-14949</t>
  </si>
  <si>
    <t>UCW-14950</t>
  </si>
  <si>
    <t>UCW-14952</t>
  </si>
  <si>
    <t>UCW-14961</t>
  </si>
  <si>
    <t>UCW-14972</t>
  </si>
  <si>
    <t>UCW-14977</t>
  </si>
  <si>
    <t>UCW-14978</t>
  </si>
  <si>
    <t>UCW-14988</t>
  </si>
  <si>
    <t>UCW-14989</t>
  </si>
  <si>
    <t>UCW-14991</t>
  </si>
  <si>
    <t>UCW-14995</t>
  </si>
  <si>
    <t>UCW-15005</t>
  </si>
  <si>
    <t>UCW-15008</t>
  </si>
  <si>
    <t>UCW-15018</t>
  </si>
  <si>
    <t>UCW-15021</t>
  </si>
  <si>
    <t>UCW-15025</t>
  </si>
  <si>
    <t>UCW-15047</t>
  </si>
  <si>
    <t>UCW-15049</t>
  </si>
  <si>
    <t>UCW-15057</t>
  </si>
  <si>
    <t>UCW-15065</t>
  </si>
  <si>
    <t>UCW-15067</t>
  </si>
  <si>
    <t>UCW-15072</t>
  </si>
  <si>
    <t>UCW-15074</t>
  </si>
  <si>
    <t>UCW-15095</t>
  </si>
  <si>
    <t>UCW-15106</t>
  </si>
  <si>
    <t>UCW-15112</t>
  </si>
  <si>
    <t>UCW-15113</t>
  </si>
  <si>
    <t>UCW-15116</t>
  </si>
  <si>
    <t>UCW-15117</t>
  </si>
  <si>
    <t>UCW-15118</t>
  </si>
  <si>
    <t>UCW-15125</t>
  </si>
  <si>
    <t>UCW-15127</t>
  </si>
  <si>
    <t>UCW-15130</t>
  </si>
  <si>
    <t>UCW-15132</t>
  </si>
  <si>
    <t>UCW-15143</t>
  </si>
  <si>
    <t>UCW-15146</t>
  </si>
  <si>
    <t>UCW-15148</t>
  </si>
  <si>
    <t>UCW-15151</t>
  </si>
  <si>
    <t>UCW-15153</t>
  </si>
  <si>
    <t>UCW-15164</t>
  </si>
  <si>
    <t>UCW-15166</t>
  </si>
  <si>
    <t>UCW-15172</t>
  </si>
  <si>
    <t>UCW-15176</t>
  </si>
  <si>
    <t>UCW-15183</t>
  </si>
  <si>
    <t>UCW-15218</t>
  </si>
  <si>
    <t>UCW-15226</t>
  </si>
  <si>
    <t>UCW-15237</t>
  </si>
  <si>
    <t>UCW-15244</t>
  </si>
  <si>
    <t>UCW-15247</t>
  </si>
  <si>
    <t>UCW-15255</t>
  </si>
  <si>
    <t>UCW-15259</t>
  </si>
  <si>
    <t>UCW-15283</t>
  </si>
  <si>
    <t>UCW-15288</t>
  </si>
  <si>
    <t>UCW-15289</t>
  </si>
  <si>
    <t>UCW-15298</t>
  </si>
  <si>
    <t>UCW-15347</t>
  </si>
  <si>
    <t>UCW-15348</t>
  </si>
  <si>
    <t>UCW-15350</t>
  </si>
  <si>
    <t>UCW-15358</t>
  </si>
  <si>
    <t>UCW-15368</t>
  </si>
  <si>
    <t>UCW-15372</t>
  </si>
  <si>
    <t>UCW-15373</t>
  </si>
  <si>
    <t>UCW-15378</t>
  </si>
  <si>
    <t>UCW-15386</t>
  </si>
  <si>
    <t>UCW-15387</t>
  </si>
  <si>
    <t>UCW-15399</t>
  </si>
  <si>
    <t>UCW-15401</t>
  </si>
  <si>
    <t>UCW-15402</t>
  </si>
  <si>
    <t>UCW-15403</t>
  </si>
  <si>
    <t>UCW-15404</t>
  </si>
  <si>
    <t>UCW-15423</t>
  </si>
  <si>
    <t>UCW-15429</t>
  </si>
  <si>
    <t>UCW-15437</t>
  </si>
  <si>
    <t>UCW-15440</t>
  </si>
  <si>
    <t>UCW-15441</t>
  </si>
  <si>
    <t>UCW-15442</t>
  </si>
  <si>
    <t>UCW-15447</t>
  </si>
  <si>
    <t>UCW-15450</t>
  </si>
  <si>
    <t>UCW-15451</t>
  </si>
  <si>
    <t>UCW-15452</t>
  </si>
  <si>
    <t>UCW-15455</t>
  </si>
  <si>
    <t>UCW-15457</t>
  </si>
  <si>
    <t>UCW-15486</t>
  </si>
  <si>
    <t>UCW-15490</t>
  </si>
  <si>
    <t>UCW-15491</t>
  </si>
  <si>
    <t>UCW-15501</t>
  </si>
  <si>
    <t>UCW-15504</t>
  </si>
  <si>
    <t>UCW-15505</t>
  </si>
  <si>
    <t>UCW-15518</t>
  </si>
  <si>
    <t>UCW-15525</t>
  </si>
  <si>
    <t>UCW-15526</t>
  </si>
  <si>
    <t>UCW-15536</t>
  </si>
  <si>
    <t>UCW-15538</t>
  </si>
  <si>
    <t>UCW-15550</t>
  </si>
  <si>
    <t>UCW-15555</t>
  </si>
  <si>
    <t>UCW-15575</t>
  </si>
  <si>
    <t>UCW-15587</t>
  </si>
  <si>
    <t>UCW-15597</t>
  </si>
  <si>
    <t>UCW-15600</t>
  </si>
  <si>
    <t>UCW-15602</t>
  </si>
  <si>
    <t>UCW-15612</t>
  </si>
  <si>
    <t>UCW-15625</t>
  </si>
  <si>
    <t>UCW-15631</t>
  </si>
  <si>
    <t>UCW-15640</t>
  </si>
  <si>
    <t>UCW-15652</t>
  </si>
  <si>
    <t>UCW-15676</t>
  </si>
  <si>
    <t>UCW-15681</t>
  </si>
  <si>
    <t>UCW-15682</t>
  </si>
  <si>
    <t>UCW-15683</t>
  </si>
  <si>
    <t>UCW-15685</t>
  </si>
  <si>
    <t>UCW-15686</t>
  </si>
  <si>
    <t>UCW-15689</t>
  </si>
  <si>
    <t>UCW-15690</t>
  </si>
  <si>
    <t>UCW-15691</t>
  </si>
  <si>
    <t>UCW-15712</t>
  </si>
  <si>
    <t>UCW-15720</t>
  </si>
  <si>
    <t>UCW-15723</t>
  </si>
  <si>
    <t>UCW-15725</t>
  </si>
  <si>
    <t>UCW-15739</t>
  </si>
  <si>
    <t>UCW-15743</t>
  </si>
  <si>
    <t>UCW-15744</t>
  </si>
  <si>
    <t>UCW-15782</t>
  </si>
  <si>
    <t>UCW-15787</t>
  </si>
  <si>
    <t>UCW-15791</t>
  </si>
  <si>
    <t>UCW-15794</t>
  </si>
  <si>
    <t>UCW-15795</t>
  </si>
  <si>
    <t>UCW-15798</t>
  </si>
  <si>
    <t>UCW-15816</t>
  </si>
  <si>
    <t>UCW-15826</t>
  </si>
  <si>
    <t>UCW-15832</t>
  </si>
  <si>
    <t>UCW-15835</t>
  </si>
  <si>
    <t>UCW-15848</t>
  </si>
  <si>
    <t>UCW-15872</t>
  </si>
  <si>
    <t>UCW-15875</t>
  </si>
  <si>
    <t>UCW-15879</t>
  </si>
  <si>
    <t>UCW-15883</t>
  </si>
  <si>
    <t>UCW-15885</t>
  </si>
  <si>
    <t>UCW-15887</t>
  </si>
  <si>
    <t>UCW-15889</t>
  </si>
  <si>
    <t>UCW-15891</t>
  </si>
  <si>
    <t>UCW-15894</t>
  </si>
  <si>
    <t>UCW-15897</t>
  </si>
  <si>
    <t>UCW-15898</t>
  </si>
  <si>
    <t>UCW-15899</t>
  </si>
  <si>
    <t>UCW-15930</t>
  </si>
  <si>
    <t>UCW-15937</t>
  </si>
  <si>
    <t>UCW-15942</t>
  </si>
  <si>
    <t>UCW-15948</t>
  </si>
  <si>
    <t>UCW-15958</t>
  </si>
  <si>
    <t>UCW-15963</t>
  </si>
  <si>
    <t>UCW-15964</t>
  </si>
  <si>
    <t>UCW-15965</t>
  </si>
  <si>
    <t>UCW-15967</t>
  </si>
  <si>
    <t>UCW-15979</t>
  </si>
  <si>
    <t>UCW-15991</t>
  </si>
  <si>
    <t>UCW-15999</t>
  </si>
  <si>
    <t>UCW-16008</t>
  </si>
  <si>
    <t>UCW-16009</t>
  </si>
  <si>
    <t>UCW-16017</t>
  </si>
  <si>
    <t>UCW-16026</t>
  </si>
  <si>
    <t>UCW-16028</t>
  </si>
  <si>
    <t>UCW-16034</t>
  </si>
  <si>
    <t>UCW-16036</t>
  </si>
  <si>
    <t>UCW-16040</t>
  </si>
  <si>
    <t>UCW-16066</t>
  </si>
  <si>
    <t>UCW-16070</t>
  </si>
  <si>
    <t>UCW-16077</t>
  </si>
  <si>
    <t>UCW-16079</t>
  </si>
  <si>
    <t>UCW-16080</t>
  </si>
  <si>
    <t>UCW-16082</t>
  </si>
  <si>
    <t>UCW-16086</t>
  </si>
  <si>
    <t>UCW-16104</t>
  </si>
  <si>
    <t>UCW-16142</t>
  </si>
  <si>
    <t>UCW-16144</t>
  </si>
  <si>
    <t>UCW-16148</t>
  </si>
  <si>
    <t>UCW-16156</t>
  </si>
  <si>
    <t>UCW-16158</t>
  </si>
  <si>
    <t>UCW-16164</t>
  </si>
  <si>
    <t>UCW-16178</t>
  </si>
  <si>
    <t>UCW-16187</t>
  </si>
  <si>
    <t>UCW-16196</t>
  </si>
  <si>
    <t>UCW-16214</t>
  </si>
  <si>
    <t>UCW-16218</t>
  </si>
  <si>
    <t>UCW-16221</t>
  </si>
  <si>
    <t>UCW-16222</t>
  </si>
  <si>
    <t>UCW-16224</t>
  </si>
  <si>
    <t>UCW-16226</t>
  </si>
  <si>
    <t>UCW-16228</t>
  </si>
  <si>
    <t>UCW-16231</t>
  </si>
  <si>
    <t>UCW-16232</t>
  </si>
  <si>
    <t>UCW-16233</t>
  </si>
  <si>
    <t>UCW-16235</t>
  </si>
  <si>
    <t>UCW-16246</t>
  </si>
  <si>
    <t>UCW-16256</t>
  </si>
  <si>
    <t>UCW-16261</t>
  </si>
  <si>
    <t>UCW-16265</t>
  </si>
  <si>
    <t>UCW-16267</t>
  </si>
  <si>
    <t>UCW-16269</t>
  </si>
  <si>
    <t>UCW-16282</t>
  </si>
  <si>
    <t>UCW-16295</t>
  </si>
  <si>
    <t>UCW-16325</t>
  </si>
  <si>
    <t>UCW-16326</t>
  </si>
  <si>
    <t>UCW-16327</t>
  </si>
  <si>
    <t>UCW-16339</t>
  </si>
  <si>
    <t>UCW-16342</t>
  </si>
  <si>
    <t>UCW-16344</t>
  </si>
  <si>
    <t>UCW-16348</t>
  </si>
  <si>
    <t>UCW-16359</t>
  </si>
  <si>
    <t>UCW-16368</t>
  </si>
  <si>
    <t>UCW-16372</t>
  </si>
  <si>
    <t>UCW-16375</t>
  </si>
  <si>
    <t>UCW-16376</t>
  </si>
  <si>
    <t>UCW-16382</t>
  </si>
  <si>
    <t>UCW-16410</t>
  </si>
  <si>
    <t>UCW-16412</t>
  </si>
  <si>
    <t>UCW-16418</t>
  </si>
  <si>
    <t>UCW-16430</t>
  </si>
  <si>
    <t>UCW-16433</t>
  </si>
  <si>
    <t>UCW-16434</t>
  </si>
  <si>
    <t>UCW-16435</t>
  </si>
  <si>
    <t>UCW-16437</t>
  </si>
  <si>
    <t>UCW-16443</t>
  </si>
  <si>
    <t>UCW-16446</t>
  </si>
  <si>
    <t>UCW-16451</t>
  </si>
  <si>
    <t>UCW-16459</t>
  </si>
  <si>
    <t>UCW-16474</t>
  </si>
  <si>
    <t>UCW-16479</t>
  </si>
  <si>
    <t>UCW-16488</t>
  </si>
  <si>
    <t>UCW-16489</t>
  </si>
  <si>
    <t>UCW-16492</t>
  </si>
  <si>
    <t>UCW-16496</t>
  </si>
  <si>
    <t>UCW-16500</t>
  </si>
  <si>
    <t>UCW-16502</t>
  </si>
  <si>
    <t>UCW-16504</t>
  </si>
  <si>
    <t>UCW-16509</t>
  </si>
  <si>
    <t>UCW-16514</t>
  </si>
  <si>
    <t>UCW-16519</t>
  </si>
  <si>
    <t>UCW-16523</t>
  </si>
  <si>
    <t>UCW-16525</t>
  </si>
  <si>
    <t>UCW-16526</t>
  </si>
  <si>
    <t>UCW-16529</t>
  </si>
  <si>
    <t>UCW-16535</t>
  </si>
  <si>
    <t>UCW-16554</t>
  </si>
  <si>
    <t>UCW-16561</t>
  </si>
  <si>
    <t>UCW-16565</t>
  </si>
  <si>
    <t>UCW-16567</t>
  </si>
  <si>
    <t>UCW-16573</t>
  </si>
  <si>
    <t>UCW-16586</t>
  </si>
  <si>
    <t>UCW-16588</t>
  </si>
  <si>
    <t>UCW-16590</t>
  </si>
  <si>
    <t>UCW-16593</t>
  </si>
  <si>
    <t>UCW-16595</t>
  </si>
  <si>
    <t>UCW-16598</t>
  </si>
  <si>
    <t>UCW-16602</t>
  </si>
  <si>
    <t>UCW-16615</t>
  </si>
  <si>
    <t>UCW-16616</t>
  </si>
  <si>
    <t>UCW-16617</t>
  </si>
  <si>
    <t>UCW-16625</t>
  </si>
  <si>
    <t>UCW-16631</t>
  </si>
  <si>
    <t>UCW-16634</t>
  </si>
  <si>
    <t>UCW-16639</t>
  </si>
  <si>
    <t>UCW-16640</t>
  </si>
  <si>
    <t>UCW-16648</t>
  </si>
  <si>
    <t>UCW-16656</t>
  </si>
  <si>
    <t>UCW-16690</t>
  </si>
  <si>
    <t>UCW-16692</t>
  </si>
  <si>
    <t>UCW-16696</t>
  </si>
  <si>
    <t>UCW-16710</t>
  </si>
  <si>
    <t>UCW-16712</t>
  </si>
  <si>
    <t>UCW-16714</t>
  </si>
  <si>
    <t>UCW-16716</t>
  </si>
  <si>
    <t>UCW-16726</t>
  </si>
  <si>
    <t>UCW-16741</t>
  </si>
  <si>
    <t>UCW-16743</t>
  </si>
  <si>
    <t>UCW-16759</t>
  </si>
  <si>
    <t>UCW-16765</t>
  </si>
  <si>
    <t>UCW-16768</t>
  </si>
  <si>
    <t>UCW-16776</t>
  </si>
  <si>
    <t>UCW-16777</t>
  </si>
  <si>
    <t>UCW-16782</t>
  </si>
  <si>
    <t>UCW-16800</t>
  </si>
  <si>
    <t>UCW-16803</t>
  </si>
  <si>
    <t>UCW-16804</t>
  </si>
  <si>
    <t>UCW-16806</t>
  </si>
  <si>
    <t>UCW-16813</t>
  </si>
  <si>
    <t>UCW-16815</t>
  </si>
  <si>
    <t>UCW-16820</t>
  </si>
  <si>
    <t>UCW-16823</t>
  </si>
  <si>
    <t>UCW-16824</t>
  </si>
  <si>
    <t>UCW-16848</t>
  </si>
  <si>
    <t>UCW-16859</t>
  </si>
  <si>
    <t>UCW-16861</t>
  </si>
  <si>
    <t>UCW-16862</t>
  </si>
  <si>
    <t>UCW-16863</t>
  </si>
  <si>
    <t>UCW-16866</t>
  </si>
  <si>
    <t>UCW-16867</t>
  </si>
  <si>
    <t>UCW-16869</t>
  </si>
  <si>
    <t>UCW-16870</t>
  </si>
  <si>
    <t>UCW-16871</t>
  </si>
  <si>
    <t>UCW-16877</t>
  </si>
  <si>
    <t>UCW-16881</t>
  </si>
  <si>
    <t>UCW-16901</t>
  </si>
  <si>
    <t>UCW-16908</t>
  </si>
  <si>
    <t>UCW-16917</t>
  </si>
  <si>
    <t>UCW-16924</t>
  </si>
  <si>
    <t>UCW-16925</t>
  </si>
  <si>
    <t>UCW-16928</t>
  </si>
  <si>
    <t>UCW-16959</t>
  </si>
  <si>
    <t>UCW-16969</t>
  </si>
  <si>
    <t>UCW-16974</t>
  </si>
  <si>
    <t>UCW-16976</t>
  </si>
  <si>
    <t>UCW-16981</t>
  </si>
  <si>
    <t>UCW-16983</t>
  </si>
  <si>
    <t>UCW-16991</t>
  </si>
  <si>
    <t>UCW-17004</t>
  </si>
  <si>
    <t>UCW-17007</t>
  </si>
  <si>
    <t>UCW-17011</t>
  </si>
  <si>
    <t>UCW-17028</t>
  </si>
  <si>
    <t>UCW-17033</t>
  </si>
  <si>
    <t>UCW-17044</t>
  </si>
  <si>
    <t>UCW-17054</t>
  </si>
  <si>
    <t>UCW-17056</t>
  </si>
  <si>
    <t>UCW-17059</t>
  </si>
  <si>
    <t>UCW-17061</t>
  </si>
  <si>
    <t>UCW-17063</t>
  </si>
  <si>
    <t>UCW-17066</t>
  </si>
  <si>
    <t>UCW-17080</t>
  </si>
  <si>
    <t>UCW-17083</t>
  </si>
  <si>
    <t>UCW-17087</t>
  </si>
  <si>
    <t>UCW-17092</t>
  </si>
  <si>
    <t>UCW-17104</t>
  </si>
  <si>
    <t>UCW-17112</t>
  </si>
  <si>
    <t>UCW-17113</t>
  </si>
  <si>
    <t>UCW-17114</t>
  </si>
  <si>
    <t>UCW-17115</t>
  </si>
  <si>
    <t>UCW-17124</t>
  </si>
  <si>
    <t>UCW-17125</t>
  </si>
  <si>
    <t>UCW-17135</t>
  </si>
  <si>
    <t>UCW-17146</t>
  </si>
  <si>
    <t>UCW-17147</t>
  </si>
  <si>
    <t>UCW-17148</t>
  </si>
  <si>
    <t>UCW-17149</t>
  </si>
  <si>
    <t>UCW-17167</t>
  </si>
  <si>
    <t>UCW-17168</t>
  </si>
  <si>
    <t>UCW-17170</t>
  </si>
  <si>
    <t>UCW-17171</t>
  </si>
  <si>
    <t>UCW-17173</t>
  </si>
  <si>
    <t>UCW-17183</t>
  </si>
  <si>
    <t>UCW-17186</t>
  </si>
  <si>
    <t>UCW-17191</t>
  </si>
  <si>
    <t>UCW-17198</t>
  </si>
  <si>
    <t>UCW-17208</t>
  </si>
  <si>
    <t>UCW-17235</t>
  </si>
  <si>
    <t>UCW-17243</t>
  </si>
  <si>
    <t>UCW-17245</t>
  </si>
  <si>
    <t>UCW-17261</t>
  </si>
  <si>
    <t>UCW-17264</t>
  </si>
  <si>
    <t>UCW-17268</t>
  </si>
  <si>
    <t>UCW-17269</t>
  </si>
  <si>
    <t>UCW-17272</t>
  </si>
  <si>
    <t>UCW-17274</t>
  </si>
  <si>
    <t>UCW-17278</t>
  </si>
  <si>
    <t>UCW-17282</t>
  </si>
  <si>
    <t>UCW-17283</t>
  </si>
  <si>
    <t>UCW-17286</t>
  </si>
  <si>
    <t>UCW-17355</t>
  </si>
  <si>
    <t>UCW-17359</t>
  </si>
  <si>
    <t>UCW-17361</t>
  </si>
  <si>
    <t>UCW-17377</t>
  </si>
  <si>
    <t>UCW-17389</t>
  </si>
  <si>
    <t>UCW-17390</t>
  </si>
  <si>
    <t>UCW-17394</t>
  </si>
  <si>
    <t>UCW-17398</t>
  </si>
  <si>
    <t>UCW-17399</t>
  </si>
  <si>
    <t>UCW-17400</t>
  </si>
  <si>
    <t>UCW-17416</t>
  </si>
  <si>
    <t>UCW-17432</t>
  </si>
  <si>
    <t>UCW-17448</t>
  </si>
  <si>
    <t>UCW-17453</t>
  </si>
  <si>
    <t>UCW-17474</t>
  </si>
  <si>
    <t>UCW-17475</t>
  </si>
  <si>
    <t>UCW-17492</t>
  </si>
  <si>
    <t>UCW-17504</t>
  </si>
  <si>
    <t>UCW-17505</t>
  </si>
  <si>
    <t>UCW-17520</t>
  </si>
  <si>
    <t>UCW-17527</t>
  </si>
  <si>
    <t>UCW-17569</t>
  </si>
  <si>
    <t>UCW-17572</t>
  </si>
  <si>
    <t>UCW-17573</t>
  </si>
  <si>
    <t>UCW-17575</t>
  </si>
  <si>
    <t>UCW-17615</t>
  </si>
  <si>
    <t>UCW-17620</t>
  </si>
  <si>
    <t>UCW-17623</t>
  </si>
  <si>
    <t>UCW-17627</t>
  </si>
  <si>
    <t>UCW-17675</t>
  </si>
  <si>
    <t>UCW-17684</t>
  </si>
  <si>
    <t>UCW-17692</t>
  </si>
  <si>
    <t>UCW-17707</t>
  </si>
  <si>
    <t>UCW-17712</t>
  </si>
  <si>
    <t>UCW-17716</t>
  </si>
  <si>
    <t>UCW-17727</t>
  </si>
  <si>
    <t>UCW-17729</t>
  </si>
  <si>
    <t>UCW-17733</t>
  </si>
  <si>
    <t>UCW-17735</t>
  </si>
  <si>
    <t>UCW-17736</t>
  </si>
  <si>
    <t>UCW-17738</t>
  </si>
  <si>
    <t>UCW-17752</t>
  </si>
  <si>
    <t>UCW-17753</t>
  </si>
  <si>
    <t>UCW-17754</t>
  </si>
  <si>
    <t>UCW-17765</t>
  </si>
  <si>
    <t>UCW-17766</t>
  </si>
  <si>
    <t>UCW-17786</t>
  </si>
  <si>
    <t>UCW-17787</t>
  </si>
  <si>
    <t>UCW-17809</t>
  </si>
  <si>
    <t>UCW-17819</t>
  </si>
  <si>
    <t>UCW-17821</t>
  </si>
  <si>
    <t>UCW-17823</t>
  </si>
  <si>
    <t>UCW-17824</t>
  </si>
  <si>
    <t>UCW-17829</t>
  </si>
  <si>
    <t>UCW-17833</t>
  </si>
  <si>
    <t>UCW-17836</t>
  </si>
  <si>
    <t>UCW-17841</t>
  </si>
  <si>
    <t>UCW-17842</t>
  </si>
  <si>
    <t>UCW-17843</t>
  </si>
  <si>
    <t>UCW-17844</t>
  </si>
  <si>
    <t>UCW-17849</t>
  </si>
  <si>
    <t>UCW-17850</t>
  </si>
  <si>
    <t>UCW-17853</t>
  </si>
  <si>
    <t>UCW-17856</t>
  </si>
  <si>
    <t>UCW-17858</t>
  </si>
  <si>
    <t>UCW-17883</t>
  </si>
  <si>
    <t>UCW-17885</t>
  </si>
  <si>
    <t>UCW-17888</t>
  </si>
  <si>
    <t>UCW-17890</t>
  </si>
  <si>
    <t>UCW-17892</t>
  </si>
  <si>
    <t>UCW-17893</t>
  </si>
  <si>
    <t>UCW-17920</t>
  </si>
  <si>
    <t>UCW-17921</t>
  </si>
  <si>
    <t>UCW-17923</t>
  </si>
  <si>
    <t>UCW-17925</t>
  </si>
  <si>
    <t>UCW-17930</t>
  </si>
  <si>
    <t>UCW-17932</t>
  </si>
  <si>
    <t>UCW-17936</t>
  </si>
  <si>
    <t>UCW-17938</t>
  </si>
  <si>
    <t>UCW-17944</t>
  </si>
  <si>
    <t>UCW-17956</t>
  </si>
  <si>
    <t>UCW-17962</t>
  </si>
  <si>
    <t>UCW-17966</t>
  </si>
  <si>
    <t>UCW-17967</t>
  </si>
  <si>
    <t>UCW-17970</t>
  </si>
  <si>
    <t>UCW-17983</t>
  </si>
  <si>
    <t>UCW-17988</t>
  </si>
  <si>
    <t>UCW-17992</t>
  </si>
  <si>
    <t>UCW-18018</t>
  </si>
  <si>
    <t>UCW-18026</t>
  </si>
  <si>
    <t>UCW-18027</t>
  </si>
  <si>
    <t>UCW-18037</t>
  </si>
  <si>
    <t>UCW-18038</t>
  </si>
  <si>
    <t>UCW-18040</t>
  </si>
  <si>
    <t>UCW-18052</t>
  </si>
  <si>
    <t>UCW-18060</t>
  </si>
  <si>
    <t>UCW-18066</t>
  </si>
  <si>
    <t>UCW-18068</t>
  </si>
  <si>
    <t>UCW-18069</t>
  </si>
  <si>
    <t>UCW-18070</t>
  </si>
  <si>
    <t>UCW-18072</t>
  </si>
  <si>
    <t>UCW-18074</t>
  </si>
  <si>
    <t>UCW-18076</t>
  </si>
  <si>
    <t>UCW-18082</t>
  </si>
  <si>
    <t>UCW-18086</t>
  </si>
  <si>
    <t>UCW-18092</t>
  </si>
  <si>
    <t>UCW-18095</t>
  </si>
  <si>
    <t>UCW-18105</t>
  </si>
  <si>
    <t>UCW-18125</t>
  </si>
  <si>
    <t>UCW-18128</t>
  </si>
  <si>
    <t>UCW-18130</t>
  </si>
  <si>
    <t>UCW-18137</t>
  </si>
  <si>
    <t>UCW-18142</t>
  </si>
  <si>
    <t>UCW-18149</t>
  </si>
  <si>
    <t>UCW-18165</t>
  </si>
  <si>
    <t>UCW-18166</t>
  </si>
  <si>
    <t>UCW-18172</t>
  </si>
  <si>
    <t>UCW-18176</t>
  </si>
  <si>
    <t>UCW-18179</t>
  </si>
  <si>
    <t>UCW-18182</t>
  </si>
  <si>
    <t>UCW-18183</t>
  </si>
  <si>
    <t>UCW-18188</t>
  </si>
  <si>
    <t>UCW-18192</t>
  </si>
  <si>
    <t>UCW-18194</t>
  </si>
  <si>
    <t>UCW-18199</t>
  </si>
  <si>
    <t>UCW-18201</t>
  </si>
  <si>
    <t>UCW-18205</t>
  </si>
  <si>
    <t>UCW-18207</t>
  </si>
  <si>
    <t>UCW-18208</t>
  </si>
  <si>
    <t>UCW-18211</t>
  </si>
  <si>
    <t>UCW-18212</t>
  </si>
  <si>
    <t>UCW-18223</t>
  </si>
  <si>
    <t>UCW-18251</t>
  </si>
  <si>
    <t>UCW-18252</t>
  </si>
  <si>
    <t>UCW-18262</t>
  </si>
  <si>
    <t>UCW-18276</t>
  </si>
  <si>
    <t>UCW-18277</t>
  </si>
  <si>
    <t>UCW-18279</t>
  </si>
  <si>
    <t>UCW-18281</t>
  </si>
  <si>
    <t>UCW-18282</t>
  </si>
  <si>
    <t>UCW-18283</t>
  </si>
  <si>
    <t>UCW-18285</t>
  </si>
  <si>
    <t>UCW-18288</t>
  </si>
  <si>
    <t>UCW-18290</t>
  </si>
  <si>
    <t>UCW-18293</t>
  </si>
  <si>
    <t>UCW-18302</t>
  </si>
  <si>
    <t>UCW-18304</t>
  </si>
  <si>
    <t>UCW-18305</t>
  </si>
  <si>
    <t>UCW-18309</t>
  </si>
  <si>
    <t>UCW-18312</t>
  </si>
  <si>
    <t>UCW-18315</t>
  </si>
  <si>
    <t>UCW-18321</t>
  </si>
  <si>
    <t>UCW-18323</t>
  </si>
  <si>
    <t>UCW-18333</t>
  </si>
  <si>
    <t>UCW-18341</t>
  </si>
  <si>
    <t>UCW-18348</t>
  </si>
  <si>
    <t>UCW-18349</t>
  </si>
  <si>
    <t>UCW-18353</t>
  </si>
  <si>
    <t>UCW-18370</t>
  </si>
  <si>
    <t>UCW-18374</t>
  </si>
  <si>
    <t>UCW-18380</t>
  </si>
  <si>
    <t>UCW-18391</t>
  </si>
  <si>
    <t>UCW-18394</t>
  </si>
  <si>
    <t>UCW-18397</t>
  </si>
  <si>
    <t>UCW-18408</t>
  </si>
  <si>
    <t>UCW-18409</t>
  </si>
  <si>
    <t>UCW-18419</t>
  </si>
  <si>
    <t>UCW-18420</t>
  </si>
  <si>
    <t>UCW-18427</t>
  </si>
  <si>
    <t>UCW-18431</t>
  </si>
  <si>
    <t>UCW-18432</t>
  </si>
  <si>
    <t>UCW-18433</t>
  </si>
  <si>
    <t>UCW-18441</t>
  </si>
  <si>
    <t>UCW-18442</t>
  </si>
  <si>
    <t>UCW-18454</t>
  </si>
  <si>
    <t>UCW-18467</t>
  </si>
  <si>
    <t>UCW-18468</t>
  </si>
  <si>
    <t>UCW-18470</t>
  </si>
  <si>
    <t>UCW-18471</t>
  </si>
  <si>
    <t>UCW-18476</t>
  </si>
  <si>
    <t>UCW-18477</t>
  </si>
  <si>
    <t>UCW-18493</t>
  </si>
  <si>
    <t>UCW-18495</t>
  </si>
  <si>
    <t>UCW-18497</t>
  </si>
  <si>
    <t>UCW-18498</t>
  </si>
  <si>
    <t>UCW-18510</t>
  </si>
  <si>
    <t>UCW-18512</t>
  </si>
  <si>
    <t>UCW-18514</t>
  </si>
  <si>
    <t>UCW-18516</t>
  </si>
  <si>
    <t>UCW-18518</t>
  </si>
  <si>
    <t>UCW-18520</t>
  </si>
  <si>
    <t>UCW-18522</t>
  </si>
  <si>
    <t>UCW-18527</t>
  </si>
  <si>
    <t>UCW-18528</t>
  </si>
  <si>
    <t>UCW-18530</t>
  </si>
  <si>
    <t>UCW-18541</t>
  </si>
  <si>
    <t>UCW-18543</t>
  </si>
  <si>
    <t>UCW-18545</t>
  </si>
  <si>
    <t>UCW-18546</t>
  </si>
  <si>
    <t>UCW-18553</t>
  </si>
  <si>
    <t>UCW-18556</t>
  </si>
  <si>
    <t>UCW-18557</t>
  </si>
  <si>
    <t>UCW-18563</t>
  </si>
  <si>
    <t>UCW-18564</t>
  </si>
  <si>
    <t>UCW-18570</t>
  </si>
  <si>
    <t>UCW-18572</t>
  </si>
  <si>
    <t>UCW-18574</t>
  </si>
  <si>
    <t>UCW-18583</t>
  </si>
  <si>
    <t>UCW-18591</t>
  </si>
  <si>
    <t>UCW-18593</t>
  </si>
  <si>
    <t>UCW-18611</t>
  </si>
  <si>
    <t>UCW-18613</t>
  </si>
  <si>
    <t>UCW-18614</t>
  </si>
  <si>
    <t>UCW-18618</t>
  </si>
  <si>
    <t>UCW-18620</t>
  </si>
  <si>
    <t>UCW-18621</t>
  </si>
  <si>
    <t>UCW-18622</t>
  </si>
  <si>
    <t>UCW-18623</t>
  </si>
  <si>
    <t>UCW-18624</t>
  </si>
  <si>
    <t>UCW-18636</t>
  </si>
  <si>
    <t>UCW-18638</t>
  </si>
  <si>
    <t>UCW-18640</t>
  </si>
  <si>
    <t>UCW-18646</t>
  </si>
  <si>
    <t>UCW-18649</t>
  </si>
  <si>
    <t>UCW-18651</t>
  </si>
  <si>
    <t>UCW-18653</t>
  </si>
  <si>
    <t>UCW-18659</t>
  </si>
  <si>
    <t>UCW-18684</t>
  </si>
  <si>
    <t>UCW-18708</t>
  </si>
  <si>
    <t>UCW-18720</t>
  </si>
  <si>
    <t>UCW-18721</t>
  </si>
  <si>
    <t>UCW-18722</t>
  </si>
  <si>
    <t>UCW-18725</t>
  </si>
  <si>
    <t>UCW-18743</t>
  </si>
  <si>
    <t>UCW-18748</t>
  </si>
  <si>
    <t>UCW-18760</t>
  </si>
  <si>
    <t>UCW-18778</t>
  </si>
  <si>
    <t>UCW-18818</t>
  </si>
  <si>
    <t>UCW-18819</t>
  </si>
  <si>
    <t>UCW-18821</t>
  </si>
  <si>
    <t>UCW-18822</t>
  </si>
  <si>
    <t>UCW-18853</t>
  </si>
  <si>
    <t>UCW-18867</t>
  </si>
  <si>
    <t>UCW-18888</t>
  </si>
  <si>
    <t>UCW-18897</t>
  </si>
  <si>
    <t>UCW-18937</t>
  </si>
  <si>
    <t>UCW-18939</t>
  </si>
  <si>
    <t>UCW-18941</t>
  </si>
  <si>
    <t>UCW-18944</t>
  </si>
  <si>
    <t>UCW-18964</t>
  </si>
  <si>
    <t>UCW-18993</t>
  </si>
  <si>
    <t>UCW-18996</t>
  </si>
  <si>
    <t>UCW-19001</t>
  </si>
  <si>
    <t>UCW-19016</t>
  </si>
  <si>
    <t>UCW-19019</t>
  </si>
  <si>
    <t>UCW-19020</t>
  </si>
  <si>
    <t>UCW-19021</t>
  </si>
  <si>
    <t>UCW-19040</t>
  </si>
  <si>
    <t>UCW-19049</t>
  </si>
  <si>
    <t>UCW-19055</t>
  </si>
  <si>
    <t>UCW-19059</t>
  </si>
  <si>
    <t>UCW-19073</t>
  </si>
  <si>
    <t>UCW-19075</t>
  </si>
  <si>
    <t>UCW-19078</t>
  </si>
  <si>
    <t>UCW-19083</t>
  </si>
  <si>
    <t>UCW-19086</t>
  </si>
  <si>
    <t>UCW-19089</t>
  </si>
  <si>
    <t>UCW-19094</t>
  </si>
  <si>
    <t>UCW-19095</t>
  </si>
  <si>
    <t>UCW-19096</t>
  </si>
  <si>
    <t>UCW-19098</t>
  </si>
  <si>
    <t>UCW-19101</t>
  </si>
  <si>
    <t>UCW-19103</t>
  </si>
  <si>
    <t>UCW-19110</t>
  </si>
  <si>
    <t>UCW-19117</t>
  </si>
  <si>
    <t>UCW-19119</t>
  </si>
  <si>
    <t>UCW-19120</t>
  </si>
  <si>
    <t>UCW-19133</t>
  </si>
  <si>
    <t>UCW-19151</t>
  </si>
  <si>
    <t>UCW-19160</t>
  </si>
  <si>
    <t>UCW-19164</t>
  </si>
  <si>
    <t>UCW-19173</t>
  </si>
  <si>
    <t>UCW-19175</t>
  </si>
  <si>
    <t>UCW-19176</t>
  </si>
  <si>
    <t>UCW-19180</t>
  </si>
  <si>
    <t>UCW-19181</t>
  </si>
  <si>
    <t>UCW-19185</t>
  </si>
  <si>
    <t>UCW-19188</t>
  </si>
  <si>
    <t>UCW-19189</t>
  </si>
  <si>
    <t>UCW-19199</t>
  </si>
  <si>
    <t>UCW-19206</t>
  </si>
  <si>
    <t>UCW-19210</t>
  </si>
  <si>
    <t>UCW-19213</t>
  </si>
  <si>
    <t>UCW-19214</t>
  </si>
  <si>
    <t>UCW-19226</t>
  </si>
  <si>
    <t>UCW-19234</t>
  </si>
  <si>
    <t>UCW-19235</t>
  </si>
  <si>
    <t>UCW-19240</t>
  </si>
  <si>
    <t>UCW-19242</t>
  </si>
  <si>
    <t>UCW-19248</t>
  </si>
  <si>
    <t>UCW-19252</t>
  </si>
  <si>
    <t>UCW-19254</t>
  </si>
  <si>
    <t>UCW-19265</t>
  </si>
  <si>
    <t>UCW-19266</t>
  </si>
  <si>
    <t>UCW-19269</t>
  </si>
  <si>
    <t>UCW-19270</t>
  </si>
  <si>
    <t>UCW-19286</t>
  </si>
  <si>
    <t>UCW-19294</t>
  </si>
  <si>
    <t>UCW-19299</t>
  </si>
  <si>
    <t>UCW-19304</t>
  </si>
  <si>
    <t>UCW-19305</t>
  </si>
  <si>
    <t>UCW-19306</t>
  </si>
  <si>
    <t>UCW-19328</t>
  </si>
  <si>
    <t>UCW-19343</t>
  </si>
  <si>
    <t>UCW-19353</t>
  </si>
  <si>
    <t>UCW-19361</t>
  </si>
  <si>
    <t>UCW-19365</t>
  </si>
  <si>
    <t>UCW-19370</t>
  </si>
  <si>
    <t>UCW-19378</t>
  </si>
  <si>
    <t>UCW-19380</t>
  </si>
  <si>
    <t>UCW-19381</t>
  </si>
  <si>
    <t>UCW-19382</t>
  </si>
  <si>
    <t>UCW-19402</t>
  </si>
  <si>
    <t>UCW-19404</t>
  </si>
  <si>
    <t>UCW-19408</t>
  </si>
  <si>
    <t>UCW-19421</t>
  </si>
  <si>
    <t>UCW-19423</t>
  </si>
  <si>
    <t>UCW-19430</t>
  </si>
  <si>
    <t>UCW-19431</t>
  </si>
  <si>
    <t>UCW-19434</t>
  </si>
  <si>
    <t>UCW-19435</t>
  </si>
  <si>
    <t>UCW-19436</t>
  </si>
  <si>
    <t>UCW-19438</t>
  </si>
  <si>
    <t>UCW-19447</t>
  </si>
  <si>
    <t>UCW-19464</t>
  </si>
  <si>
    <t>UCW-19473</t>
  </si>
  <si>
    <t>UCW-19487</t>
  </si>
  <si>
    <t>UCW-19488</t>
  </si>
  <si>
    <t>UCW-19497</t>
  </si>
  <si>
    <t>UCW-19515</t>
  </si>
  <si>
    <t>UCW-19518</t>
  </si>
  <si>
    <t>UCW-19526</t>
  </si>
  <si>
    <t>UCW-19527</t>
  </si>
  <si>
    <t>UCW-19531</t>
  </si>
  <si>
    <t>UCW-19535</t>
  </si>
  <si>
    <t>UCW-19558</t>
  </si>
  <si>
    <t>UCW-19567</t>
  </si>
  <si>
    <t>UCW-19581</t>
  </si>
  <si>
    <t>UCW-19590</t>
  </si>
  <si>
    <t>UCW-19618</t>
  </si>
  <si>
    <t>UCW-19623</t>
  </si>
  <si>
    <t>UCW-19627</t>
  </si>
  <si>
    <t>UCW-19629</t>
  </si>
  <si>
    <t>UCW-19651</t>
  </si>
  <si>
    <t>UCW-19681</t>
  </si>
  <si>
    <t>UCW-19685</t>
  </si>
  <si>
    <t>UCW-19701</t>
  </si>
  <si>
    <t>UCW-19702</t>
  </si>
  <si>
    <t>UCW-19703</t>
  </si>
  <si>
    <t>UCW-19707</t>
  </si>
  <si>
    <t>UCW-19710</t>
  </si>
  <si>
    <t>UCW-19740</t>
  </si>
  <si>
    <t>UCW-19755</t>
  </si>
  <si>
    <t>UCW-19758</t>
  </si>
  <si>
    <t>UCW-19770</t>
  </si>
  <si>
    <t>UCW-19785</t>
  </si>
  <si>
    <t>UCW-19789</t>
  </si>
  <si>
    <t>UCW-19791</t>
  </si>
  <si>
    <t>UCW-19796</t>
  </si>
  <si>
    <t>UCW-19799</t>
  </si>
  <si>
    <t>UCW-19805</t>
  </si>
  <si>
    <t>UCW-19818</t>
  </si>
  <si>
    <t>UCW-19827</t>
  </si>
  <si>
    <t>UCW-19834</t>
  </si>
  <si>
    <t>UCW-19837</t>
  </si>
  <si>
    <t>UCW-19854</t>
  </si>
  <si>
    <t>UCW-19858</t>
  </si>
  <si>
    <t>UCW-19859</t>
  </si>
  <si>
    <t>UCW-19860</t>
  </si>
  <si>
    <t>UCW-19864</t>
  </si>
  <si>
    <t>UCW-19867</t>
  </si>
  <si>
    <t>UCW-19875</t>
  </si>
  <si>
    <t>UCW-19876</t>
  </si>
  <si>
    <t>UCW-19877</t>
  </si>
  <si>
    <t>UCW-19880</t>
  </si>
  <si>
    <t>UCW-19882</t>
  </si>
  <si>
    <t>UCW-19883</t>
  </si>
  <si>
    <t>UCW-19884</t>
  </si>
  <si>
    <t>UCW-19889</t>
  </si>
  <si>
    <t>UCW-19891</t>
  </si>
  <si>
    <t>UCW-19904</t>
  </si>
  <si>
    <t>UCW-19919</t>
  </si>
  <si>
    <t>UCW-19920</t>
  </si>
  <si>
    <t>UCW-19921</t>
  </si>
  <si>
    <t>UCW-19924</t>
  </si>
  <si>
    <t>UCW-19925</t>
  </si>
  <si>
    <t>UCW-19927</t>
  </si>
  <si>
    <t>UCW-19929</t>
  </si>
  <si>
    <t>UCW-19937</t>
  </si>
  <si>
    <t>UCW-19944</t>
  </si>
  <si>
    <t>UCW-19948</t>
  </si>
  <si>
    <t>UCW-19951</t>
  </si>
  <si>
    <t>UCW-19953</t>
  </si>
  <si>
    <t>UCW-19954</t>
  </si>
  <si>
    <t>UCW-19956</t>
  </si>
  <si>
    <t>UCW-19958</t>
  </si>
  <si>
    <t>UCW-19959</t>
  </si>
  <si>
    <t>UCW-19967</t>
  </si>
  <si>
    <t>UCW-19979</t>
  </si>
  <si>
    <t>UCW-19984</t>
  </si>
  <si>
    <t>UCW-19986</t>
  </si>
  <si>
    <t>UCW-19990</t>
  </si>
  <si>
    <t>UCW-19995</t>
  </si>
  <si>
    <t>UCW-20001</t>
  </si>
  <si>
    <t>UCW-20008</t>
  </si>
  <si>
    <t>UCW-20010</t>
  </si>
  <si>
    <t>UCW-20014</t>
  </si>
  <si>
    <t>UCW-20015</t>
  </si>
  <si>
    <t>UCW-20018</t>
  </si>
  <si>
    <t>UCW-20021</t>
  </si>
  <si>
    <t>UCW-20022</t>
  </si>
  <si>
    <t>UCW-20024</t>
  </si>
  <si>
    <t>UCW-20025</t>
  </si>
  <si>
    <t>UCW-20028</t>
  </si>
  <si>
    <t>UCW-20032</t>
  </si>
  <si>
    <t>UCW-20034</t>
  </si>
  <si>
    <t>UCW-20039</t>
  </si>
  <si>
    <t>UCW-20050</t>
  </si>
  <si>
    <t>UCW-20053</t>
  </si>
  <si>
    <t>UCW-20054</t>
  </si>
  <si>
    <t>UCW-20073</t>
  </si>
  <si>
    <t>UCW-20074</t>
  </si>
  <si>
    <t>UCW-20076</t>
  </si>
  <si>
    <t>UCW-20077</t>
  </si>
  <si>
    <t>UCW-20081</t>
  </si>
  <si>
    <t>UCW-20083</t>
  </si>
  <si>
    <t>UCW-20093</t>
  </si>
  <si>
    <t>UCW-20094</t>
  </si>
  <si>
    <t>UCW-20099</t>
  </si>
  <si>
    <t>UCW-20112</t>
  </si>
  <si>
    <t>UCW-20114</t>
  </si>
  <si>
    <t>UCW-20121</t>
  </si>
  <si>
    <t>UCW-20123</t>
  </si>
  <si>
    <t>UCW-20149</t>
  </si>
  <si>
    <t>UCW-20154</t>
  </si>
  <si>
    <t>UCW-20155</t>
  </si>
  <si>
    <t>UCW-20161</t>
  </si>
  <si>
    <t>UCW-20162</t>
  </si>
  <si>
    <t>UCW-20166</t>
  </si>
  <si>
    <t>UCW-20171</t>
  </si>
  <si>
    <t>UCW-20172</t>
  </si>
  <si>
    <t>UCW-20174</t>
  </si>
  <si>
    <t>UCW-20175</t>
  </si>
  <si>
    <t>UCW-20177</t>
  </si>
  <si>
    <t>UCW-20178</t>
  </si>
  <si>
    <t>UCW-20180</t>
  </si>
  <si>
    <t>UCW-20182</t>
  </si>
  <si>
    <t>UCW-20183</t>
  </si>
  <si>
    <t>UCW-20184</t>
  </si>
  <si>
    <t>UCW-20186</t>
  </si>
  <si>
    <t>UCW-20192</t>
  </si>
  <si>
    <t>UCW-20194</t>
  </si>
  <si>
    <t>UCW-20195</t>
  </si>
  <si>
    <t>UCW-20201</t>
  </si>
  <si>
    <t>UCW-20202</t>
  </si>
  <si>
    <t>UCW-20206</t>
  </si>
  <si>
    <t>UCW-20220</t>
  </si>
  <si>
    <t>UCW-20221</t>
  </si>
  <si>
    <t>UCW-20236</t>
  </si>
  <si>
    <t>UCW-20239</t>
  </si>
  <si>
    <t>UCW-20241</t>
  </si>
  <si>
    <t>UCW-20251</t>
  </si>
  <si>
    <t>UCW-20256</t>
  </si>
  <si>
    <t>UCW-20260</t>
  </si>
  <si>
    <t>UCW-20262</t>
  </si>
  <si>
    <t>UCW-20272</t>
  </si>
  <si>
    <t>UCW-20284</t>
  </si>
  <si>
    <t>UCW-20310</t>
  </si>
  <si>
    <t>UCW-20319</t>
  </si>
  <si>
    <t>UCW-20322</t>
  </si>
  <si>
    <t>UCW-20325</t>
  </si>
  <si>
    <t>UCW-20331</t>
  </si>
  <si>
    <t>UCW-20332</t>
  </si>
  <si>
    <t>UCW-20333</t>
  </si>
  <si>
    <t>UCW-20334</t>
  </si>
  <si>
    <t>UCW-20350</t>
  </si>
  <si>
    <t>UCW-20365</t>
  </si>
  <si>
    <t>UCW-20370</t>
  </si>
  <si>
    <t>UCW-20371</t>
  </si>
  <si>
    <t>UCW-20383</t>
  </si>
  <si>
    <t>UCW-20389</t>
  </si>
  <si>
    <t>UCW-20396</t>
  </si>
  <si>
    <t>UCW-20399</t>
  </si>
  <si>
    <t>UCW-20400</t>
  </si>
  <si>
    <t>UCW-20401</t>
  </si>
  <si>
    <t>UCW-20412</t>
  </si>
  <si>
    <t>UCW-20420</t>
  </si>
  <si>
    <t>UCW-20432</t>
  </si>
  <si>
    <t>UCW-20433</t>
  </si>
  <si>
    <t>UCW-20443</t>
  </si>
  <si>
    <t>UCW-20446</t>
  </si>
  <si>
    <t>UCW-20447</t>
  </si>
  <si>
    <t>UCW-20452</t>
  </si>
  <si>
    <t>UCW-20453</t>
  </si>
  <si>
    <t>UCW-20454</t>
  </si>
  <si>
    <t>UCW-20455</t>
  </si>
  <si>
    <t>UCW-20459</t>
  </si>
  <si>
    <t>UCW-20480</t>
  </si>
  <si>
    <t>UCW-20483</t>
  </si>
  <si>
    <t>UCW-20505</t>
  </si>
  <si>
    <t>UCW-20506</t>
  </si>
  <si>
    <t>UCW-20511</t>
  </si>
  <si>
    <t>UCW-20512</t>
  </si>
  <si>
    <t>UCW-20513</t>
  </si>
  <si>
    <t>UCW-20514</t>
  </si>
  <si>
    <t>UCW-20520</t>
  </si>
  <si>
    <t>UCW-20556</t>
  </si>
  <si>
    <t>UCW-20559</t>
  </si>
  <si>
    <t>UCW-20568</t>
  </si>
  <si>
    <t>UCW-20571</t>
  </si>
  <si>
    <t>UCW-20578</t>
  </si>
  <si>
    <t>UCW-20593</t>
  </si>
  <si>
    <t>UCW-20596</t>
  </si>
  <si>
    <t>UCW-20600</t>
  </si>
  <si>
    <t>UCW-20603</t>
  </si>
  <si>
    <t>UCW-20609</t>
  </si>
  <si>
    <t>UCW-20614</t>
  </si>
  <si>
    <t>UCW-20621</t>
  </si>
  <si>
    <t>UCW-20626</t>
  </si>
  <si>
    <t>UCW-20629</t>
  </si>
  <si>
    <t>UCW-20639</t>
  </si>
  <si>
    <t>UCW-20646</t>
  </si>
  <si>
    <t>UCW-20659</t>
  </si>
  <si>
    <t>UCW-20664</t>
  </si>
  <si>
    <t>UCW-20668</t>
  </si>
  <si>
    <t>UCW-20673</t>
  </si>
  <si>
    <t>UCW-20674</t>
  </si>
  <si>
    <t>UCW-20675</t>
  </si>
  <si>
    <t>UCW-20676</t>
  </si>
  <si>
    <t>UCW-20683</t>
  </si>
  <si>
    <t>UCW-20688</t>
  </si>
  <si>
    <t>UCW-20692</t>
  </si>
  <si>
    <t>UCW-20695</t>
  </si>
  <si>
    <t>UCW-20706</t>
  </si>
  <si>
    <t>UCW-20707</t>
  </si>
  <si>
    <t>UCW-20708</t>
  </si>
  <si>
    <t>UCW-20709</t>
  </si>
  <si>
    <t>UCW-20711</t>
  </si>
  <si>
    <t>UCW-20721</t>
  </si>
  <si>
    <t>UCW-20724</t>
  </si>
  <si>
    <t>UCW-20725</t>
  </si>
  <si>
    <t>UCW-20727</t>
  </si>
  <si>
    <t>UCW-20751</t>
  </si>
  <si>
    <t>UCW-20752</t>
  </si>
  <si>
    <t>UCW-20758</t>
  </si>
  <si>
    <t>UCW-20763</t>
  </si>
  <si>
    <t>UCW-20773</t>
  </si>
  <si>
    <t>UCW-20777</t>
  </si>
  <si>
    <t>UCW-20781</t>
  </si>
  <si>
    <t>UCW-20783</t>
  </si>
  <si>
    <t>UCW-20786</t>
  </si>
  <si>
    <t>UCW-20791</t>
  </si>
  <si>
    <t>UCW-20796</t>
  </si>
  <si>
    <t>UCW-20819</t>
  </si>
  <si>
    <t>UCW-20825</t>
  </si>
  <si>
    <t>UCW-20826</t>
  </si>
  <si>
    <t>UCW-20828</t>
  </si>
  <si>
    <t>UCW-20831</t>
  </si>
  <si>
    <t>UCW-20834</t>
  </si>
  <si>
    <t>UCW-20836</t>
  </si>
  <si>
    <t>UCW-20841</t>
  </si>
  <si>
    <t>UCW-20844</t>
  </si>
  <si>
    <t>UCW-20846</t>
  </si>
  <si>
    <t>UCW-20848</t>
  </si>
  <si>
    <t>UCW-20853</t>
  </si>
  <si>
    <t>UCW-20862</t>
  </si>
  <si>
    <t>UCW-20867</t>
  </si>
  <si>
    <t>UCW-20877</t>
  </si>
  <si>
    <t>UCW-20884</t>
  </si>
  <si>
    <t>UCW-20885</t>
  </si>
  <si>
    <t>UCW-20897</t>
  </si>
  <si>
    <t>UCW-20899</t>
  </si>
  <si>
    <t>UCW-20909</t>
  </si>
  <si>
    <t>UCW-20910</t>
  </si>
  <si>
    <t>UCW-20912</t>
  </si>
  <si>
    <t>UCW-20914</t>
  </si>
  <si>
    <t>UCW-20917</t>
  </si>
  <si>
    <t>UCW-20923</t>
  </si>
  <si>
    <t>UCW-20924</t>
  </si>
  <si>
    <t>UCW-20925</t>
  </si>
  <si>
    <t>UCW-20927</t>
  </si>
  <si>
    <t>UCW-20928</t>
  </si>
  <si>
    <t>UCW-20931</t>
  </si>
  <si>
    <t>UCW-20933</t>
  </si>
  <si>
    <t>UCW-20941</t>
  </si>
  <si>
    <t>UCW-20944</t>
  </si>
  <si>
    <t>UCW-20946</t>
  </si>
  <si>
    <t>UCW-20966</t>
  </si>
  <si>
    <t>UCW-20967</t>
  </si>
  <si>
    <t>UCW-20970</t>
  </si>
  <si>
    <t>UCW-20972</t>
  </si>
  <si>
    <t>UCW-20973</t>
  </si>
  <si>
    <t>UCW-20974</t>
  </si>
  <si>
    <t>UCW-20978</t>
  </si>
  <si>
    <t>UCW-20983</t>
  </si>
  <si>
    <t>UCW-20991</t>
  </si>
  <si>
    <t>UCW-20992</t>
  </si>
  <si>
    <t>UCW-21001</t>
  </si>
  <si>
    <t>UCW-21004</t>
  </si>
  <si>
    <t>UCW-21006</t>
  </si>
  <si>
    <t>UCW-21009</t>
  </si>
  <si>
    <t>UCW-21014</t>
  </si>
  <si>
    <t>UCW-21019</t>
  </si>
  <si>
    <t>UCW-21021</t>
  </si>
  <si>
    <t>UCW-21029</t>
  </si>
  <si>
    <t>UCW-21041</t>
  </si>
  <si>
    <t>UCW-21051</t>
  </si>
  <si>
    <t>UCW-21052</t>
  </si>
  <si>
    <t>UCW-21055</t>
  </si>
  <si>
    <t>UCW-21056</t>
  </si>
  <si>
    <t>UCW-21058</t>
  </si>
  <si>
    <t>UCW-21059</t>
  </si>
  <si>
    <t>UCW-21060</t>
  </si>
  <si>
    <t>UCW-21062</t>
  </si>
  <si>
    <t>UCW-21067</t>
  </si>
  <si>
    <t>UCW-21076</t>
  </si>
  <si>
    <t>UCW-21079</t>
  </si>
  <si>
    <t>UCW-21080</t>
  </si>
  <si>
    <t>UCW-21081</t>
  </si>
  <si>
    <t>UCW-21082</t>
  </si>
  <si>
    <t>UCW-21085</t>
  </si>
  <si>
    <t>UCW-21092</t>
  </si>
  <si>
    <t>UCW-21095</t>
  </si>
  <si>
    <t>UCW-21096</t>
  </si>
  <si>
    <t>UCW-21097</t>
  </si>
  <si>
    <t>UCW-21098</t>
  </si>
  <si>
    <t>UCW-21103</t>
  </si>
  <si>
    <t>UCW-21105</t>
  </si>
  <si>
    <t>UCW-21112</t>
  </si>
  <si>
    <t>UCW-21113</t>
  </si>
  <si>
    <t>UCW-21116</t>
  </si>
  <si>
    <t>UCW-21130</t>
  </si>
  <si>
    <t>UCW-21131</t>
  </si>
  <si>
    <t>UCW-21132</t>
  </si>
  <si>
    <t>UCW-21134</t>
  </si>
  <si>
    <t>UCW-21135</t>
  </si>
  <si>
    <t>UCW-21137</t>
  </si>
  <si>
    <t>UCW-21138</t>
  </si>
  <si>
    <t>UCW-21148</t>
  </si>
  <si>
    <t>UCW-21151</t>
  </si>
  <si>
    <t>UCW-21158</t>
  </si>
  <si>
    <t>UCW-21163</t>
  </si>
  <si>
    <t>UCW-21173</t>
  </si>
  <si>
    <t>UCW-21181</t>
  </si>
  <si>
    <t>UCW-21183</t>
  </si>
  <si>
    <t>UCW-23023</t>
  </si>
  <si>
    <t>UCW-21184</t>
  </si>
  <si>
    <t>UCW-21197</t>
  </si>
  <si>
    <t>UCW-23020</t>
  </si>
  <si>
    <t>UCW-21202</t>
  </si>
  <si>
    <t>UCW-23018</t>
  </si>
  <si>
    <t>UCW-23017</t>
  </si>
  <si>
    <t>UCW-23016</t>
  </si>
  <si>
    <t>UCW-23015</t>
  </si>
  <si>
    <t>UCW-23014</t>
  </si>
  <si>
    <t>UCW-21209</t>
  </si>
  <si>
    <t>UCW-23011</t>
  </si>
  <si>
    <t>UCW-23010</t>
  </si>
  <si>
    <t>UCW-23007</t>
  </si>
  <si>
    <t>UCW-21219</t>
  </si>
  <si>
    <t>UCW-21221</t>
  </si>
  <si>
    <t>UCW-21223</t>
  </si>
  <si>
    <t>UCW-23003</t>
  </si>
  <si>
    <t>UCW-21225</t>
  </si>
  <si>
    <t>UCW-21234</t>
  </si>
  <si>
    <t>UCW-21239</t>
  </si>
  <si>
    <t>UCW-21244</t>
  </si>
  <si>
    <t>UCW-21246</t>
  </si>
  <si>
    <t>UCW-21274</t>
  </si>
  <si>
    <t>UCW-21297</t>
  </si>
  <si>
    <t>UCW-21303</t>
  </si>
  <si>
    <t>UCW-21309</t>
  </si>
  <si>
    <t>UCW-21313</t>
  </si>
  <si>
    <t>UCW-21316</t>
  </si>
  <si>
    <t>UCW-21318</t>
  </si>
  <si>
    <t>UCW-21319</t>
  </si>
  <si>
    <t>UCW-21320</t>
  </si>
  <si>
    <t>UCW-21323</t>
  </si>
  <si>
    <t>UCW-21360</t>
  </si>
  <si>
    <t>UCW-22968</t>
  </si>
  <si>
    <t>UCW-21368</t>
  </si>
  <si>
    <t>UCW-21372</t>
  </si>
  <si>
    <t>UCW-21379</t>
  </si>
  <si>
    <t>UCW-21380</t>
  </si>
  <si>
    <t>UCW-21397</t>
  </si>
  <si>
    <t>UCW-21399</t>
  </si>
  <si>
    <t>UCW-21402</t>
  </si>
  <si>
    <t>UCW-21421</t>
  </si>
  <si>
    <t>UCW-21426</t>
  </si>
  <si>
    <t>UCW-21428</t>
  </si>
  <si>
    <t>UCW-21433</t>
  </si>
  <si>
    <t>UCW-22948</t>
  </si>
  <si>
    <t>UCW-21436</t>
  </si>
  <si>
    <t>UCW-21445</t>
  </si>
  <si>
    <t>UCW-21451</t>
  </si>
  <si>
    <t>UCW-21459</t>
  </si>
  <si>
    <t>UCW-21461</t>
  </si>
  <si>
    <t>UCW-21473</t>
  </si>
  <si>
    <t>UCW-21496</t>
  </si>
  <si>
    <t>UCW-21510</t>
  </si>
  <si>
    <t>UCW-21513</t>
  </si>
  <si>
    <t>UCW-21529</t>
  </si>
  <si>
    <t>UCW-21531</t>
  </si>
  <si>
    <t>UCW-21539</t>
  </si>
  <si>
    <t>UCW-21543</t>
  </si>
  <si>
    <t>UCW-21550</t>
  </si>
  <si>
    <t>UCW-21552</t>
  </si>
  <si>
    <t>UCW-21555</t>
  </si>
  <si>
    <t>UCW-21562</t>
  </si>
  <si>
    <t>UCW-22913</t>
  </si>
  <si>
    <t>UCW-21564</t>
  </si>
  <si>
    <t>UCW-22911</t>
  </si>
  <si>
    <t>UCW-21567</t>
  </si>
  <si>
    <t>UCW-21568</t>
  </si>
  <si>
    <t>UCW-21573</t>
  </si>
  <si>
    <t>UCW-21574</t>
  </si>
  <si>
    <t>UCW-21579</t>
  </si>
  <si>
    <t>UCW-21582</t>
  </si>
  <si>
    <t>UCW-21586</t>
  </si>
  <si>
    <t>UCW-21587</t>
  </si>
  <si>
    <t>UCW-21590</t>
  </si>
  <si>
    <t>UCW-22896</t>
  </si>
  <si>
    <t>UCW-21595</t>
  </si>
  <si>
    <t>UCW-21596</t>
  </si>
  <si>
    <t>UCW-21610</t>
  </si>
  <si>
    <t>UCW-21612</t>
  </si>
  <si>
    <t>UCW-21616</t>
  </si>
  <si>
    <t>UCW-21629</t>
  </si>
  <si>
    <t>UCW-21630</t>
  </si>
  <si>
    <t>UCW-21635</t>
  </si>
  <si>
    <t>UCW-21641</t>
  </si>
  <si>
    <t>UCW-21649</t>
  </si>
  <si>
    <t>UCW-21666</t>
  </si>
  <si>
    <t>UCW-21672</t>
  </si>
  <si>
    <t>UCW-21679</t>
  </si>
  <si>
    <t>UCW-21681</t>
  </si>
  <si>
    <t>UCW-21682</t>
  </si>
  <si>
    <t>UCW-21686</t>
  </si>
  <si>
    <t>UCW-21692</t>
  </si>
  <si>
    <t>UCW-21700</t>
  </si>
  <si>
    <t>UCW-21706</t>
  </si>
  <si>
    <t>UCW-21721</t>
  </si>
  <si>
    <t>UCW-21736</t>
  </si>
  <si>
    <t>UCW-21741</t>
  </si>
  <si>
    <t>UCW-21746</t>
  </si>
  <si>
    <t>UCW-21753</t>
  </si>
  <si>
    <t>UCW-21754</t>
  </si>
  <si>
    <t>UCW-21757</t>
  </si>
  <si>
    <t>UCW-21760</t>
  </si>
  <si>
    <t>UCW-21765</t>
  </si>
  <si>
    <t>UCW-21766</t>
  </si>
  <si>
    <t>UCW-21768</t>
  </si>
  <si>
    <t>UCW-21771</t>
  </si>
  <si>
    <t>UCW-21777</t>
  </si>
  <si>
    <t>UCW-21789</t>
  </si>
  <si>
    <t>UCW-21796</t>
  </si>
  <si>
    <t>UCW-21800</t>
  </si>
  <si>
    <t>UCW-21801</t>
  </si>
  <si>
    <t>UCW-21815</t>
  </si>
  <si>
    <t>UCW-21823</t>
  </si>
  <si>
    <t>UCW-21828</t>
  </si>
  <si>
    <t>UCW-21833</t>
  </si>
  <si>
    <t>UCW-21838</t>
  </si>
  <si>
    <t>UCW-21839</t>
  </si>
  <si>
    <t>UCW-21846</t>
  </si>
  <si>
    <t>UCW-21851</t>
  </si>
  <si>
    <t>UCW-22831</t>
  </si>
  <si>
    <t>UCW-21857</t>
  </si>
  <si>
    <t>UCW-21861</t>
  </si>
  <si>
    <t>UCW-21862</t>
  </si>
  <si>
    <t>UCW-21864</t>
  </si>
  <si>
    <t>UCW-22825</t>
  </si>
  <si>
    <t>UCW-21878</t>
  </si>
  <si>
    <t>UCW-21879</t>
  </si>
  <si>
    <t>UCW-22821</t>
  </si>
  <si>
    <t>UCW-21889</t>
  </si>
  <si>
    <t>UCW-21895</t>
  </si>
  <si>
    <t>UCW-21897</t>
  </si>
  <si>
    <t>UCW-21902</t>
  </si>
  <si>
    <t>UCW-21903</t>
  </si>
  <si>
    <t>UCW-21912</t>
  </si>
  <si>
    <t>UCW-21929</t>
  </si>
  <si>
    <t>UCW-21936</t>
  </si>
  <si>
    <t>UCW-21948</t>
  </si>
  <si>
    <t>UCW-21950</t>
  </si>
  <si>
    <t>UCW-21953</t>
  </si>
  <si>
    <t>UCW-21962</t>
  </si>
  <si>
    <t>UCW-21970</t>
  </si>
  <si>
    <t>UCW-21984</t>
  </si>
  <si>
    <t>UCW-22800</t>
  </si>
  <si>
    <t>UCW-21989</t>
  </si>
  <si>
    <t>UCW-22797</t>
  </si>
  <si>
    <t>UCW-22001</t>
  </si>
  <si>
    <t>UCW-22007</t>
  </si>
  <si>
    <t>UCW-22009</t>
  </si>
  <si>
    <t>UCW-22016</t>
  </si>
  <si>
    <t>UCW-22027</t>
  </si>
  <si>
    <t>UCW-22028</t>
  </si>
  <si>
    <t>UCW-22039</t>
  </si>
  <si>
    <t>UCW-22044</t>
  </si>
  <si>
    <t>UCW-22049</t>
  </si>
  <si>
    <t>UCW-22057</t>
  </si>
  <si>
    <t>UCW-22065</t>
  </si>
  <si>
    <t>UCW-22071</t>
  </si>
  <si>
    <t>UCW-22074</t>
  </si>
  <si>
    <t>UCW-22766</t>
  </si>
  <si>
    <t>UCW-22088</t>
  </si>
  <si>
    <t>UCW-22092</t>
  </si>
  <si>
    <t>UCW-22095</t>
  </si>
  <si>
    <t>UCW-22096</t>
  </si>
  <si>
    <t>UCW-22097</t>
  </si>
  <si>
    <t>UCW-22101</t>
  </si>
  <si>
    <t>UCW-22113</t>
  </si>
  <si>
    <t>UCW-22122</t>
  </si>
  <si>
    <t>UCW-22124</t>
  </si>
  <si>
    <t>UCW-22136</t>
  </si>
  <si>
    <t>UCW-22137</t>
  </si>
  <si>
    <t>UCW-22144</t>
  </si>
  <si>
    <t>UCW-22145</t>
  </si>
  <si>
    <t>UCW-22154</t>
  </si>
  <si>
    <t>UCW-22160</t>
  </si>
  <si>
    <t>UCW-22173</t>
  </si>
  <si>
    <t>UCW-22739</t>
  </si>
  <si>
    <t>UCW-22182</t>
  </si>
  <si>
    <t>UCW-22184</t>
  </si>
  <si>
    <t>UCW-22735</t>
  </si>
  <si>
    <t>UCW-22186</t>
  </si>
  <si>
    <t>UCW-22192</t>
  </si>
  <si>
    <t>UCW-22216</t>
  </si>
  <si>
    <t>UCW-22236</t>
  </si>
  <si>
    <t>UCW-22237</t>
  </si>
  <si>
    <t>UCW-22238</t>
  </si>
  <si>
    <t>UCW-22252</t>
  </si>
  <si>
    <t>UCW-22273</t>
  </si>
  <si>
    <t>UCW-22274</t>
  </si>
  <si>
    <t>UCW-22275</t>
  </si>
  <si>
    <t>UCW-22279</t>
  </si>
  <si>
    <t>UCW-22719</t>
  </si>
  <si>
    <t>UCW-22281</t>
  </si>
  <si>
    <t>UCW-22284</t>
  </si>
  <si>
    <t>UCW-22287</t>
  </si>
  <si>
    <t>UCW-22713</t>
  </si>
  <si>
    <t>UCW-22291</t>
  </si>
  <si>
    <t>UCW-22294</t>
  </si>
  <si>
    <t>UCW-22295</t>
  </si>
  <si>
    <t>UCW-22709</t>
  </si>
  <si>
    <t>UCW-22300</t>
  </si>
  <si>
    <t>UCW-22363</t>
  </si>
  <si>
    <t>UCW-22372</t>
  </si>
  <si>
    <t>UCW-22398</t>
  </si>
  <si>
    <t>UCW-22401</t>
  </si>
  <si>
    <t>UCW-22408</t>
  </si>
  <si>
    <t>UCW-22463</t>
  </si>
  <si>
    <t>UCW-22464</t>
  </si>
  <si>
    <t>UCW-22470</t>
  </si>
  <si>
    <t>UCW-22678</t>
  </si>
  <si>
    <t>UCW-22474</t>
  </si>
  <si>
    <t>UCW-22490</t>
  </si>
  <si>
    <t>UCW-22495</t>
  </si>
  <si>
    <t>UCW-22524</t>
  </si>
  <si>
    <t>UCW-22525</t>
  </si>
  <si>
    <t>UCW-22670</t>
  </si>
  <si>
    <t>UCW-22527</t>
  </si>
  <si>
    <t>UCW-22531</t>
  </si>
  <si>
    <t>UCW-22535</t>
  </si>
  <si>
    <t>UCW-22537</t>
  </si>
  <si>
    <t>UCW-22541</t>
  </si>
  <si>
    <t>UCW-22542</t>
  </si>
  <si>
    <t>UCW-22546</t>
  </si>
  <si>
    <t>UCW-22550</t>
  </si>
  <si>
    <t>UCW-22566</t>
  </si>
  <si>
    <t>UCW-22654</t>
  </si>
  <si>
    <t>UCW-22652</t>
  </si>
  <si>
    <t>UCW-22581</t>
  </si>
  <si>
    <t>UCW-22582</t>
  </si>
  <si>
    <t>UCW-22585</t>
  </si>
  <si>
    <t>UCW-22590</t>
  </si>
  <si>
    <t>UCW-22596</t>
  </si>
  <si>
    <t>UCW-22597</t>
  </si>
  <si>
    <t>UCW-22600</t>
  </si>
  <si>
    <t>UCW-22613</t>
  </si>
  <si>
    <t>UCW-22641</t>
  </si>
  <si>
    <t>UCW-22637</t>
  </si>
  <si>
    <t>UCW-11933</t>
  </si>
  <si>
    <t>Jan'26</t>
  </si>
  <si>
    <t>UCW-11432</t>
  </si>
  <si>
    <t>UCW-11444</t>
  </si>
  <si>
    <t>UCW-11447</t>
  </si>
  <si>
    <t>UCW-11581</t>
  </si>
  <si>
    <t>UCW-11692</t>
  </si>
  <si>
    <t>UCW-12079</t>
  </si>
  <si>
    <t>UCW-12120</t>
  </si>
  <si>
    <t>UCW-12139</t>
  </si>
  <si>
    <t>UCW-12258</t>
  </si>
  <si>
    <t>UCW-12273</t>
  </si>
  <si>
    <t>UCW-12364</t>
  </si>
  <si>
    <t>UCW-12485</t>
  </si>
  <si>
    <t>UCW-12576</t>
  </si>
  <si>
    <t>UCW-12605</t>
  </si>
  <si>
    <t>UCW-12820</t>
  </si>
  <si>
    <t>UCW-13016</t>
  </si>
  <si>
    <t>UCW-13036</t>
  </si>
  <si>
    <t>UCW-13423</t>
  </si>
  <si>
    <t>UCW-13451</t>
  </si>
  <si>
    <t>UCW-13454</t>
  </si>
  <si>
    <t>UCW-13519</t>
  </si>
  <si>
    <t>UCW-13557</t>
  </si>
  <si>
    <t>UCW-13561</t>
  </si>
  <si>
    <t>UCW-13628</t>
  </si>
  <si>
    <t>UCW-13740</t>
  </si>
  <si>
    <t>UCW-13742</t>
  </si>
  <si>
    <t>UCW-13743</t>
  </si>
  <si>
    <t>UCW-14073</t>
  </si>
  <si>
    <t>UCW-14130</t>
  </si>
  <si>
    <t>UCW-14135</t>
  </si>
  <si>
    <t>UCW-14147</t>
  </si>
  <si>
    <t>UCW-14162</t>
  </si>
  <si>
    <t>UCW-14199</t>
  </si>
  <si>
    <t>UCW-14268</t>
  </si>
  <si>
    <t>UCW-14287</t>
  </si>
  <si>
    <t>UCW-14329</t>
  </si>
  <si>
    <t>UCW-14337</t>
  </si>
  <si>
    <t>UCW-14512</t>
  </si>
  <si>
    <t>UCW-14555</t>
  </si>
  <si>
    <t>UCW-14557</t>
  </si>
  <si>
    <t>UCW-14572</t>
  </si>
  <si>
    <t>UCW-14780</t>
  </si>
  <si>
    <t>UCW-14839</t>
  </si>
  <si>
    <t>UCW-14861</t>
  </si>
  <si>
    <t>UCW-14884</t>
  </si>
  <si>
    <t>UCW-14946</t>
  </si>
  <si>
    <t>UCW-14965</t>
  </si>
  <si>
    <t>UCW-14996</t>
  </si>
  <si>
    <t>UCW-15033</t>
  </si>
  <si>
    <t>UCW-15080</t>
  </si>
  <si>
    <t>UCW-15107</t>
  </si>
  <si>
    <t>UCW-15160</t>
  </si>
  <si>
    <t>UCW-15178</t>
  </si>
  <si>
    <t>UCW-15253</t>
  </si>
  <si>
    <t>UCW-15345</t>
  </si>
  <si>
    <t>UCW-15559</t>
  </si>
  <si>
    <t>UCW-15583</t>
  </si>
  <si>
    <t>UCW-15790</t>
  </si>
  <si>
    <t>UCW-15851</t>
  </si>
  <si>
    <t>UCW-15953</t>
  </si>
  <si>
    <t>UCW-15961</t>
  </si>
  <si>
    <t>UCW-15986</t>
  </si>
  <si>
    <t>UCW-16020</t>
  </si>
  <si>
    <t>UCW-16021</t>
  </si>
  <si>
    <t>UCW-16078</t>
  </si>
  <si>
    <t>UCW-16081</t>
  </si>
  <si>
    <t>UCW-16098</t>
  </si>
  <si>
    <t>UCW-16128</t>
  </si>
  <si>
    <t>UCW-16176</t>
  </si>
  <si>
    <t>UCW-16334</t>
  </si>
  <si>
    <t>UCW-16381</t>
  </si>
  <si>
    <t>UCW-16447</t>
  </si>
  <si>
    <t>UCW-16564</t>
  </si>
  <si>
    <t>UCW-16568</t>
  </si>
  <si>
    <t>UCW-16572</t>
  </si>
  <si>
    <t>UCW-16618</t>
  </si>
  <si>
    <t>UCW-16633</t>
  </si>
  <si>
    <t>UCW-16706</t>
  </si>
  <si>
    <t>UCW-16898</t>
  </si>
  <si>
    <t>UCW-16915</t>
  </si>
  <si>
    <t>UCW-16918</t>
  </si>
  <si>
    <t>UCW-16931</t>
  </si>
  <si>
    <t>UCW-17230</t>
  </si>
  <si>
    <t>UCW-17337</t>
  </si>
  <si>
    <t>UCW-17338</t>
  </si>
  <si>
    <t>UCW-17406</t>
  </si>
  <si>
    <t>UCW-17410</t>
  </si>
  <si>
    <t>UCW-17677</t>
  </si>
  <si>
    <t>UCW-17682</t>
  </si>
  <si>
    <t>UCW-17723</t>
  </si>
  <si>
    <t>UCW-17728</t>
  </si>
  <si>
    <t>UCW-17730</t>
  </si>
  <si>
    <t>UCW-17964</t>
  </si>
  <si>
    <t>UCW-18015</t>
  </si>
  <si>
    <t>UCW-18019</t>
  </si>
  <si>
    <t>UCW-18064</t>
  </si>
  <si>
    <t>UCW-18127</t>
  </si>
  <si>
    <t>UCW-18177</t>
  </si>
  <si>
    <t>UCW-18253</t>
  </si>
  <si>
    <t>UCW-18261</t>
  </si>
  <si>
    <t>UCW-18287</t>
  </si>
  <si>
    <t>UCW-18332</t>
  </si>
  <si>
    <t>UCW-18334</t>
  </si>
  <si>
    <t>UCW-18337</t>
  </si>
  <si>
    <t>UCW-18338</t>
  </si>
  <si>
    <t>UCW-18355</t>
  </si>
  <si>
    <t>UCW-18375</t>
  </si>
  <si>
    <t>UCW-18415</t>
  </si>
  <si>
    <t>UCW-18491</t>
  </si>
  <si>
    <t>UCW-18566</t>
  </si>
  <si>
    <t>UCW-18645</t>
  </si>
  <si>
    <t>UCW-18648</t>
  </si>
  <si>
    <t>UCW-18667</t>
  </si>
  <si>
    <t>UCW-18766</t>
  </si>
  <si>
    <t>UCW-18857</t>
  </si>
  <si>
    <t>UCW-18994</t>
  </si>
  <si>
    <t>UCW-19022</t>
  </si>
  <si>
    <t>UCW-19038</t>
  </si>
  <si>
    <t>UCW-19039</t>
  </si>
  <si>
    <t>UCW-19069</t>
  </si>
  <si>
    <t>UCW-19079</t>
  </si>
  <si>
    <t>UCW-19085</t>
  </si>
  <si>
    <t>UCW-19090</t>
  </si>
  <si>
    <t>UCW-19092</t>
  </si>
  <si>
    <t>UCW-19139</t>
  </si>
  <si>
    <t>UCW-19150</t>
  </si>
  <si>
    <t>UCW-19203</t>
  </si>
  <si>
    <t>UCW-19209</t>
  </si>
  <si>
    <t>UCW-19224</t>
  </si>
  <si>
    <t>UCW-19237</t>
  </si>
  <si>
    <t>UCW-19238</t>
  </si>
  <si>
    <t>UCW-19296</t>
  </si>
  <si>
    <t>UCW-19301</t>
  </si>
  <si>
    <t>UCW-19373</t>
  </si>
  <si>
    <t>UCW-19428</t>
  </si>
  <si>
    <t>UCW-19506</t>
  </si>
  <si>
    <t>UCW-19517</t>
  </si>
  <si>
    <t>UCW-19524</t>
  </si>
  <si>
    <t>UCW-19532</t>
  </si>
  <si>
    <t>UCW-19539</t>
  </si>
  <si>
    <t>UCW-19541</t>
  </si>
  <si>
    <t>UCW-19550</t>
  </si>
  <si>
    <t>UCW-19554</t>
  </si>
  <si>
    <t>UCW-19582</t>
  </si>
  <si>
    <t>UCW-19591</t>
  </si>
  <si>
    <t>UCW-19592</t>
  </si>
  <si>
    <t>UCW-19602</t>
  </si>
  <si>
    <t>UCW-19646</t>
  </si>
  <si>
    <t>UCW-19706</t>
  </si>
  <si>
    <t>UCW-19713</t>
  </si>
  <si>
    <t>UCW-19729</t>
  </si>
  <si>
    <t>UCW-19761</t>
  </si>
  <si>
    <t>UCW-19856</t>
  </si>
  <si>
    <t>UCW-19888</t>
  </si>
  <si>
    <t>UCW-19933</t>
  </si>
  <si>
    <t>UCW-19936</t>
  </si>
  <si>
    <t>UCW-19997</t>
  </si>
  <si>
    <t>UCW-20040</t>
  </si>
  <si>
    <t>UCW-20156</t>
  </si>
  <si>
    <t>UCW-20187</t>
  </si>
  <si>
    <t>UCW-20191</t>
  </si>
  <si>
    <t>UCW-20265</t>
  </si>
  <si>
    <t>UCW-20269</t>
  </si>
  <si>
    <t>UCW-20311</t>
  </si>
  <si>
    <t>UCW-20363</t>
  </si>
  <si>
    <t>UCW-20369</t>
  </si>
  <si>
    <t>UCW-20376</t>
  </si>
  <si>
    <t>UCW-20484</t>
  </si>
  <si>
    <t>UCW-20570</t>
  </si>
  <si>
    <t>UCW-20592</t>
  </si>
  <si>
    <t>UCW-20620</t>
  </si>
  <si>
    <t>UCW-20624</t>
  </si>
  <si>
    <t>UCW-20637</t>
  </si>
  <si>
    <t>UCW-20731</t>
  </si>
  <si>
    <t>UCW-20759</t>
  </si>
  <si>
    <t>UCW-20760</t>
  </si>
  <si>
    <t>UCW-20761</t>
  </si>
  <si>
    <t>UCW-20762</t>
  </si>
  <si>
    <t>UCW-20764</t>
  </si>
  <si>
    <t>UCW-20767</t>
  </si>
  <si>
    <t>UCW-20788</t>
  </si>
  <si>
    <t>UCW-20839</t>
  </si>
  <si>
    <t>UCW-20840</t>
  </si>
  <si>
    <t>UCW-20875</t>
  </si>
  <si>
    <t>UCW-20880</t>
  </si>
  <si>
    <t>UCW-20903</t>
  </si>
  <si>
    <t>UCW-21030</t>
  </si>
  <si>
    <t>UCW-21033</t>
  </si>
  <si>
    <t>UCW-21088</t>
  </si>
  <si>
    <t>UCW-21115</t>
  </si>
  <si>
    <t>UCW-21149</t>
  </si>
  <si>
    <t>UCW-21152</t>
  </si>
  <si>
    <t>UCW-21175</t>
  </si>
  <si>
    <t>UCW-21203</t>
  </si>
  <si>
    <t>UCW-21211</t>
  </si>
  <si>
    <t>UCW-21247</t>
  </si>
  <si>
    <t>UCW-21252</t>
  </si>
  <si>
    <t>UCW-21259</t>
  </si>
  <si>
    <t>UCW-21326</t>
  </si>
  <si>
    <t>UCW-21335</t>
  </si>
  <si>
    <t>UCW-21382</t>
  </si>
  <si>
    <t>UCW-21383</t>
  </si>
  <si>
    <t>UCW-21410</t>
  </si>
  <si>
    <t>UCW-21427</t>
  </si>
  <si>
    <t>UCW-21460</t>
  </si>
  <si>
    <t>UCW-21474</t>
  </si>
  <si>
    <t>UCW-21475</t>
  </si>
  <si>
    <t>UCW-21511</t>
  </si>
  <si>
    <t>UCW-21512</t>
  </si>
  <si>
    <t>UCW-21516</t>
  </si>
  <si>
    <t>UCW-21551</t>
  </si>
  <si>
    <t>UCW-21553</t>
  </si>
  <si>
    <t>UCW-21569</t>
  </si>
  <si>
    <t>UCW-21575</t>
  </si>
  <si>
    <t>UCW-21577</t>
  </si>
  <si>
    <t>UCW-21580</t>
  </si>
  <si>
    <t>UCW-21615</t>
  </si>
  <si>
    <t>UCW-21642</t>
  </si>
  <si>
    <t>UCW-21673</t>
  </si>
  <si>
    <t>UCW-21674</t>
  </si>
  <si>
    <t>UCW-21762</t>
  </si>
  <si>
    <t>UCW-21780</t>
  </si>
  <si>
    <t>UCW-21834</t>
  </si>
  <si>
    <t>UCW-21859</t>
  </si>
  <si>
    <t>UCW-21896</t>
  </si>
  <si>
    <t>UCW-21956</t>
  </si>
  <si>
    <t>UCW-21972</t>
  </si>
  <si>
    <t>UCW-22024</t>
  </si>
  <si>
    <t>UCW-22032</t>
  </si>
  <si>
    <t>UCW-22076</t>
  </si>
  <si>
    <t>UCW-22091</t>
  </si>
  <si>
    <t>UCW-22093</t>
  </si>
  <si>
    <t>UCW-22103</t>
  </si>
  <si>
    <t>UCW-22119</t>
  </si>
  <si>
    <t>UCW-22123</t>
  </si>
  <si>
    <t>UCW-22169</t>
  </si>
  <si>
    <t>UCW-22296</t>
  </si>
  <si>
    <t>UCW-22380</t>
  </si>
  <si>
    <t>UCW-22452</t>
  </si>
  <si>
    <t>UCW-22500</t>
  </si>
  <si>
    <t>UCW-22529</t>
  </si>
  <si>
    <t>UCW-22548</t>
  </si>
  <si>
    <t>UCW-22584</t>
  </si>
  <si>
    <t>UCW-22594</t>
  </si>
  <si>
    <t>UCW-22629</t>
  </si>
  <si>
    <t>UCW-22633</t>
  </si>
  <si>
    <t>UCW-22636</t>
  </si>
  <si>
    <t>UCW-22644</t>
  </si>
  <si>
    <t>UCW-22651</t>
  </si>
  <si>
    <t>UCW-22658</t>
  </si>
  <si>
    <t>UCW-22660</t>
  </si>
  <si>
    <t>UCW-22666</t>
  </si>
  <si>
    <t>UCW-22700</t>
  </si>
  <si>
    <t>UCW-22785</t>
  </si>
  <si>
    <t>UCW-22801</t>
  </si>
  <si>
    <t>UCW-22863</t>
  </si>
  <si>
    <t>UCW-22923</t>
  </si>
  <si>
    <t>UCW-22970</t>
  </si>
  <si>
    <t>UCW-22971</t>
  </si>
  <si>
    <t>UCW-22975</t>
  </si>
  <si>
    <t>UCW-22978</t>
  </si>
  <si>
    <t>UCW-23022</t>
  </si>
  <si>
    <t>UCW-10983</t>
  </si>
  <si>
    <t>UCW-15950</t>
  </si>
  <si>
    <t>UCW-16027</t>
  </si>
  <si>
    <t>UCW-16336</t>
  </si>
  <si>
    <t>UCW-18063</t>
  </si>
  <si>
    <t>UCW-18228</t>
  </si>
  <si>
    <t>UCW-19326</t>
  </si>
  <si>
    <t>UCW-20209</t>
  </si>
  <si>
    <t>UCW-20303</t>
  </si>
  <si>
    <t>UCW-11167</t>
  </si>
  <si>
    <t>UCW-11339</t>
  </si>
  <si>
    <t>UCW-11594</t>
  </si>
  <si>
    <t>UCW-11760</t>
  </si>
  <si>
    <t>UCW-12377</t>
  </si>
  <si>
    <t>UCW-13657</t>
  </si>
  <si>
    <t>UCW-14101</t>
  </si>
  <si>
    <t>UCW-14218</t>
  </si>
  <si>
    <t>UCW-15304</t>
  </si>
  <si>
    <t>UCW-15609</t>
  </si>
  <si>
    <t>UCW-15784</t>
  </si>
  <si>
    <t>UCW-17440</t>
  </si>
  <si>
    <t>UCW-17581</t>
  </si>
  <si>
    <t>UCW-19128</t>
  </si>
  <si>
    <t>UCW-21525</t>
  </si>
  <si>
    <t>UCW-21919</t>
  </si>
  <si>
    <t>UCW-22179</t>
  </si>
  <si>
    <t>UCW-22729</t>
  </si>
  <si>
    <t>UCW-10925</t>
  </si>
  <si>
    <t>UCW-10929</t>
  </si>
  <si>
    <t>UCW-10975</t>
  </si>
  <si>
    <t>UCW-11000</t>
  </si>
  <si>
    <t>UCW-11018</t>
  </si>
  <si>
    <t>UCW-11034</t>
  </si>
  <si>
    <t>UCW-11246</t>
  </si>
  <si>
    <t>UCW-11248</t>
  </si>
  <si>
    <t>UCW-11442</t>
  </si>
  <si>
    <t>UCW-12040</t>
  </si>
  <si>
    <t>UCW-12056</t>
  </si>
  <si>
    <t>UCW-12058</t>
  </si>
  <si>
    <t>UCW-12060</t>
  </si>
  <si>
    <t>UCW-12065</t>
  </si>
  <si>
    <t>UCW-12066</t>
  </si>
  <si>
    <t>UCW-12200</t>
  </si>
  <si>
    <t>UCW-12267</t>
  </si>
  <si>
    <t>UCW-12380</t>
  </si>
  <si>
    <t>UCW-12633</t>
  </si>
  <si>
    <t>UCW-12635</t>
  </si>
  <si>
    <t>UCW-12664</t>
  </si>
  <si>
    <t>UCW-12947</t>
  </si>
  <si>
    <t>UCW-12952</t>
  </si>
  <si>
    <t>UCW-13013</t>
  </si>
  <si>
    <t>UCW-13071</t>
  </si>
  <si>
    <t>UCW-13074</t>
  </si>
  <si>
    <t>UCW-13199</t>
  </si>
  <si>
    <t>UCW-13380</t>
  </si>
  <si>
    <t>UCW-13386</t>
  </si>
  <si>
    <t>UCW-13418</t>
  </si>
  <si>
    <t>UCW-13509</t>
  </si>
  <si>
    <t>UCW-13512</t>
  </si>
  <si>
    <t>UCW-13616</t>
  </si>
  <si>
    <t>UCW-13675</t>
  </si>
  <si>
    <t>UCW-13734</t>
  </si>
  <si>
    <t>UCW-13753</t>
  </si>
  <si>
    <t>UCW-13754</t>
  </si>
  <si>
    <t>UCW-13795</t>
  </si>
  <si>
    <t>UCW-13800</t>
  </si>
  <si>
    <t>UCW-13801</t>
  </si>
  <si>
    <t>UCW-13821</t>
  </si>
  <si>
    <t>UCW-14019</t>
  </si>
  <si>
    <t>UCW-14027</t>
  </si>
  <si>
    <t>UCW-14028</t>
  </si>
  <si>
    <t>UCW-14035</t>
  </si>
  <si>
    <t>UCW-14043</t>
  </si>
  <si>
    <t>UCW-14047</t>
  </si>
  <si>
    <t>UCW-25590</t>
  </si>
  <si>
    <t>UCW-14077</t>
  </si>
  <si>
    <t>UCW-14180</t>
  </si>
  <si>
    <t>UCW-14192</t>
  </si>
  <si>
    <t>UCW-14194</t>
  </si>
  <si>
    <t>UCW-14240</t>
  </si>
  <si>
    <t>UCW-14354</t>
  </si>
  <si>
    <t>UCW-14359</t>
  </si>
  <si>
    <t>UCW-14371</t>
  </si>
  <si>
    <t>UCW-14429</t>
  </si>
  <si>
    <t>UCW-14632</t>
  </si>
  <si>
    <t>UCW-14640</t>
  </si>
  <si>
    <t>UCW-14663</t>
  </si>
  <si>
    <t>UCW-14664</t>
  </si>
  <si>
    <t>UCW-14671</t>
  </si>
  <si>
    <t>UCW-14693</t>
  </si>
  <si>
    <t>UCW-14733</t>
  </si>
  <si>
    <t>UCW-14832</t>
  </si>
  <si>
    <t>UCW-14835</t>
  </si>
  <si>
    <t>UCW-14919</t>
  </si>
  <si>
    <t>UCW-14921</t>
  </si>
  <si>
    <t>UCW-14922</t>
  </si>
  <si>
    <t>UCW-14923</t>
  </si>
  <si>
    <t>UCW-14927</t>
  </si>
  <si>
    <t>UCW-15061</t>
  </si>
  <si>
    <t>UCW-15069</t>
  </si>
  <si>
    <t>UCW-15203</t>
  </si>
  <si>
    <t>UCW-15256</t>
  </si>
  <si>
    <t>UCW-15274</t>
  </si>
  <si>
    <t>UCW-15311</t>
  </si>
  <si>
    <t>UCW-15316</t>
  </si>
  <si>
    <t>UCW-15376</t>
  </si>
  <si>
    <t>UCW-15466</t>
  </si>
  <si>
    <t>UCW-15475</t>
  </si>
  <si>
    <t>UCW-15514</t>
  </si>
  <si>
    <t>UCW-15708</t>
  </si>
  <si>
    <t>UCW-15802</t>
  </si>
  <si>
    <t>UCW-15903</t>
  </si>
  <si>
    <t>UCW-16018</t>
  </si>
  <si>
    <t>UCW-16019</t>
  </si>
  <si>
    <t>UCW-16165</t>
  </si>
  <si>
    <t>UCW-16172</t>
  </si>
  <si>
    <t>UCW-16184</t>
  </si>
  <si>
    <t>UCW-16247</t>
  </si>
  <si>
    <t>UCW-16379</t>
  </si>
  <si>
    <t>UCW-16626</t>
  </si>
  <si>
    <t>UCW-16723</t>
  </si>
  <si>
    <t>UCW-16725</t>
  </si>
  <si>
    <t>UCW-16745</t>
  </si>
  <si>
    <t>UCW-16753</t>
  </si>
  <si>
    <t>UCW-16764</t>
  </si>
  <si>
    <t>UCW-16770</t>
  </si>
  <si>
    <t>UCW-16772</t>
  </si>
  <si>
    <t>UCW-16960</t>
  </si>
  <si>
    <t>UCW-16989</t>
  </si>
  <si>
    <t>UCW-17014</t>
  </si>
  <si>
    <t>UCW-17031</t>
  </si>
  <si>
    <t>UCW-17075</t>
  </si>
  <si>
    <t>UCW-17111</t>
  </si>
  <si>
    <t>UCW-17289</t>
  </si>
  <si>
    <t>UCW-17298</t>
  </si>
  <si>
    <t>UCW-17309</t>
  </si>
  <si>
    <t>UCW-17345</t>
  </si>
  <si>
    <t>UCW-17354</t>
  </si>
  <si>
    <t>UCW-17388</t>
  </si>
  <si>
    <t>UCW-17560</t>
  </si>
  <si>
    <t>UCW-17585</t>
  </si>
  <si>
    <t>UCW-17586</t>
  </si>
  <si>
    <t>UCW-17602</t>
  </si>
  <si>
    <t>UCW-17604</t>
  </si>
  <si>
    <t>UCW-17605</t>
  </si>
  <si>
    <t>UCW-17714</t>
  </si>
  <si>
    <t>UCW-17724</t>
  </si>
  <si>
    <t>UCW-17749</t>
  </si>
  <si>
    <t>UCW-17750</t>
  </si>
  <si>
    <t>UCW-17799</t>
  </si>
  <si>
    <t>UCW-17864</t>
  </si>
  <si>
    <t>UCW-17943</t>
  </si>
  <si>
    <t>UCW-17984</t>
  </si>
  <si>
    <t>UCW-18025</t>
  </si>
  <si>
    <t>UCW-18155</t>
  </si>
  <si>
    <t>UCW-18300</t>
  </si>
  <si>
    <t>UCW-18395</t>
  </si>
  <si>
    <t>UCW-18398</t>
  </si>
  <si>
    <t>UCW-18457</t>
  </si>
  <si>
    <t>UCW-18643</t>
  </si>
  <si>
    <t>UCW-18733</t>
  </si>
  <si>
    <t>UCW-18750</t>
  </si>
  <si>
    <t>UCW-18811</t>
  </si>
  <si>
    <t>UCW-18891</t>
  </si>
  <si>
    <t>UCW-18895</t>
  </si>
  <si>
    <t>UCW-18973</t>
  </si>
  <si>
    <t>UCW-18978</t>
  </si>
  <si>
    <t>UCW-18980</t>
  </si>
  <si>
    <t>UCW-18998</t>
  </si>
  <si>
    <t>UCW-19015</t>
  </si>
  <si>
    <t>UCW-19136</t>
  </si>
  <si>
    <t>UCW-19261</t>
  </si>
  <si>
    <t>UCW-19290</t>
  </si>
  <si>
    <t>UCW-19321</t>
  </si>
  <si>
    <t>UCW-19340</t>
  </si>
  <si>
    <t>UCW-19441</t>
  </si>
  <si>
    <t>UCW-19461</t>
  </si>
  <si>
    <t>UCW-19604</t>
  </si>
  <si>
    <t>UCW-19668</t>
  </si>
  <si>
    <t>UCW-19754</t>
  </si>
  <si>
    <t>UCW-19826</t>
  </si>
  <si>
    <t>UCW-19909</t>
  </si>
  <si>
    <t>UCW-19993</t>
  </si>
  <si>
    <t>UCW-20058</t>
  </si>
  <si>
    <t>UCW-20140</t>
  </si>
  <si>
    <t>UCW-20281</t>
  </si>
  <si>
    <t>UCW-20430</t>
  </si>
  <si>
    <t>UCW-20630</t>
  </si>
  <si>
    <t>UCW-20669</t>
  </si>
  <si>
    <t>UCW-20820</t>
  </si>
  <si>
    <t>UCW-20939</t>
  </si>
  <si>
    <t>UCW-21007</t>
  </si>
  <si>
    <t>UCW-21196</t>
  </si>
  <si>
    <t>UCW-21305</t>
  </si>
  <si>
    <t>UCW-21396</t>
  </si>
  <si>
    <t>UCW-21500</t>
  </si>
  <si>
    <t>UCW-21508</t>
  </si>
  <si>
    <t>UCW-21625</t>
  </si>
  <si>
    <t>UCW-21813</t>
  </si>
  <si>
    <t>UCW-21982</t>
  </si>
  <si>
    <t>UCW-22040</t>
  </si>
  <si>
    <t>UCW-22150</t>
  </si>
  <si>
    <t>UCW-22306</t>
  </si>
  <si>
    <t>UCW-22334</t>
  </si>
  <si>
    <t>UCW-22369</t>
  </si>
  <si>
    <t>UCW-22375</t>
  </si>
  <si>
    <t>UCW-22385</t>
  </si>
  <si>
    <t>UCW-22405</t>
  </si>
  <si>
    <t>UCW-22462</t>
  </si>
  <si>
    <t>UCW-22468</t>
  </si>
  <si>
    <t>UCW-22478</t>
  </si>
  <si>
    <t>UCW-22494</t>
  </si>
  <si>
    <t>UCW-22498</t>
  </si>
  <si>
    <t>UCW-22505</t>
  </si>
  <si>
    <t>UCW-22556</t>
  </si>
  <si>
    <t>UCW-22565</t>
  </si>
  <si>
    <t>UCW-22591</t>
  </si>
  <si>
    <t>UCW-22722</t>
  </si>
  <si>
    <t>UCW-22757</t>
  </si>
  <si>
    <t>UCW-22769</t>
  </si>
  <si>
    <t>UCW-22771</t>
  </si>
  <si>
    <t>UCW-22775</t>
  </si>
  <si>
    <t>UCW-22781</t>
  </si>
  <si>
    <t>UCW-22804</t>
  </si>
  <si>
    <t>UCW-22808</t>
  </si>
  <si>
    <t>UCW-22899</t>
  </si>
  <si>
    <t>UCW-22900</t>
  </si>
  <si>
    <t>UCW-22912</t>
  </si>
  <si>
    <t>UCW-22984</t>
  </si>
  <si>
    <t>Query To CCMT</t>
  </si>
  <si>
    <t>Feb'26</t>
  </si>
  <si>
    <t>Mar'26</t>
  </si>
  <si>
    <t>Ticket ID</t>
  </si>
  <si>
    <t>UCW-3103</t>
  </si>
  <si>
    <t>UCW-2951</t>
  </si>
  <si>
    <t>UCW-3081</t>
  </si>
  <si>
    <t>UCW-2927</t>
  </si>
  <si>
    <t>UCW-2925</t>
  </si>
  <si>
    <t>UCW-3088</t>
  </si>
  <si>
    <t>UCW-3104</t>
  </si>
  <si>
    <t>UCW-3049|PCT-6276</t>
  </si>
  <si>
    <t>UCW-3597</t>
  </si>
  <si>
    <t>UCW-3141</t>
  </si>
  <si>
    <t>UCW-3598</t>
  </si>
  <si>
    <t>UCW-3306</t>
  </si>
  <si>
    <t>UCW-3360</t>
  </si>
  <si>
    <t>UCW-3367</t>
  </si>
  <si>
    <t>UCW-3517</t>
  </si>
  <si>
    <t>UCW-3567</t>
  </si>
  <si>
    <t>UCW-3581</t>
  </si>
  <si>
    <t>UCW-3590</t>
  </si>
  <si>
    <t>UCW-3593</t>
  </si>
  <si>
    <t>UCW-3707</t>
  </si>
  <si>
    <t>UCW-3722</t>
  </si>
  <si>
    <t>UCW-3745</t>
  </si>
  <si>
    <t>UCW-3827</t>
  </si>
  <si>
    <t>UCW-3565</t>
  </si>
  <si>
    <t>UCW-4086</t>
  </si>
  <si>
    <t>UCW-4117</t>
  </si>
  <si>
    <t>UCW-4146</t>
  </si>
  <si>
    <t>UCW-4184</t>
  </si>
  <si>
    <t>UCW-4216</t>
  </si>
  <si>
    <t>UCW-4402</t>
  </si>
  <si>
    <t>UCW-3764</t>
  </si>
  <si>
    <t>UCW-4468</t>
  </si>
  <si>
    <t>UCW-4538</t>
  </si>
  <si>
    <t>UCW-4570</t>
  </si>
  <si>
    <t>UCW-4685</t>
  </si>
  <si>
    <t>UCW-4697</t>
  </si>
  <si>
    <t>UCW-4781</t>
  </si>
  <si>
    <t>UCW-4785</t>
  </si>
  <si>
    <t>UCW-4798</t>
  </si>
  <si>
    <t>UCW-5094</t>
  </si>
  <si>
    <t>UCW-5138</t>
  </si>
  <si>
    <t>UCW-5191</t>
  </si>
  <si>
    <t>UCW-5263</t>
  </si>
  <si>
    <t>UCW-5279</t>
  </si>
  <si>
    <t>UCW-5470</t>
  </si>
  <si>
    <t>UCW-5575</t>
  </si>
  <si>
    <t>UCW-5578</t>
  </si>
  <si>
    <t>UCW-5611</t>
  </si>
  <si>
    <t>UCW-5643</t>
  </si>
  <si>
    <t>UCW-5669</t>
  </si>
  <si>
    <t>UCW-5686</t>
  </si>
  <si>
    <t>UCW-5847</t>
  </si>
  <si>
    <t>UCW-5919</t>
  </si>
  <si>
    <t>UCW-5942</t>
  </si>
  <si>
    <t>UCW-6016</t>
  </si>
  <si>
    <t>UCW-6092</t>
  </si>
  <si>
    <t>UCW-6112</t>
  </si>
  <si>
    <t>UCW-6117</t>
  </si>
  <si>
    <t>UCW-6124</t>
  </si>
  <si>
    <t>UCW-6127</t>
  </si>
  <si>
    <t>UCW-6182</t>
  </si>
  <si>
    <t>UCW-6197</t>
  </si>
  <si>
    <t>UCW-6243</t>
  </si>
  <si>
    <t>UCW-6247</t>
  </si>
  <si>
    <t>UCW-6256</t>
  </si>
  <si>
    <t>UCW-6272</t>
  </si>
  <si>
    <t>UCW-6286</t>
  </si>
  <si>
    <t>UCW-6296</t>
  </si>
  <si>
    <t>UCW-6323</t>
  </si>
  <si>
    <t>UCW-6344</t>
  </si>
  <si>
    <t>UCW-6383</t>
  </si>
  <si>
    <t>UCW-6424</t>
  </si>
  <si>
    <t>UCW-6482</t>
  </si>
  <si>
    <t>UCW-6487</t>
  </si>
  <si>
    <t>UCW-6486</t>
  </si>
  <si>
    <t>UCW-6557</t>
  </si>
  <si>
    <t>UCW-6520</t>
  </si>
  <si>
    <t>UCW-6521</t>
  </si>
  <si>
    <t>UCW-6545</t>
  </si>
  <si>
    <t>UCW-6552</t>
  </si>
  <si>
    <t>UCW-6554</t>
  </si>
  <si>
    <t>UCW-6594</t>
  </si>
  <si>
    <t>UCW-6601</t>
  </si>
  <si>
    <t>UCW-6604</t>
  </si>
  <si>
    <t>UCW-6606</t>
  </si>
  <si>
    <t>UCW-6626</t>
  </si>
  <si>
    <t>UCW-6631</t>
  </si>
  <si>
    <t>UCW-6637</t>
  </si>
  <si>
    <t>UCW-6698</t>
  </si>
  <si>
    <t>UCW-6648</t>
  </si>
  <si>
    <t>UCW-6774</t>
  </si>
  <si>
    <t>UCW-6730</t>
  </si>
  <si>
    <t>UCW-6731</t>
  </si>
  <si>
    <t>UCW-6767</t>
  </si>
  <si>
    <t>UCW-6692</t>
  </si>
  <si>
    <t>UCW-6751</t>
  </si>
  <si>
    <t>UCW-6758</t>
  </si>
  <si>
    <t>UCW-6763</t>
  </si>
  <si>
    <t>UCW-6766</t>
  </si>
  <si>
    <t>UCW-6999</t>
  </si>
  <si>
    <t>UCW-6879</t>
  </si>
  <si>
    <t>UCW-6965</t>
  </si>
  <si>
    <t>UCW-6963</t>
  </si>
  <si>
    <t>UCW-7018</t>
  </si>
  <si>
    <t>UCW-1476</t>
  </si>
  <si>
    <t>UCW-4554</t>
  </si>
  <si>
    <t>UCW-6593</t>
  </si>
  <si>
    <t>UCW-6672</t>
  </si>
  <si>
    <t>UCW-6739</t>
  </si>
  <si>
    <t>UCW-6859</t>
  </si>
  <si>
    <t>UCW-6956</t>
  </si>
  <si>
    <t>UCW-6954</t>
  </si>
  <si>
    <t>UCW-6953</t>
  </si>
  <si>
    <t>UCW-6949</t>
  </si>
  <si>
    <t>UCW-6945</t>
  </si>
  <si>
    <t>UCW-6975</t>
  </si>
  <si>
    <t>UCW-6973</t>
  </si>
  <si>
    <t>UCW-7026</t>
  </si>
  <si>
    <t>UCW-7021</t>
  </si>
  <si>
    <t>UCW-7054</t>
  </si>
  <si>
    <t>UCW-7057</t>
  </si>
  <si>
    <t>UCW-6491</t>
  </si>
  <si>
    <t>UCW-7126</t>
  </si>
  <si>
    <t>UCW-7137</t>
  </si>
  <si>
    <t>UCW-7151</t>
  </si>
  <si>
    <t>UCW-7071</t>
  </si>
  <si>
    <t>UCW-7122</t>
  </si>
  <si>
    <t>UCW-7081</t>
  </si>
  <si>
    <t>UCW-7080</t>
  </si>
  <si>
    <t>UCW-7077</t>
  </si>
  <si>
    <t>UCW-7073</t>
  </si>
  <si>
    <t>UCW-7189</t>
  </si>
  <si>
    <t>UCW-7184</t>
  </si>
  <si>
    <t>UCW-7170</t>
  </si>
  <si>
    <t>UCW-7154</t>
  </si>
  <si>
    <t>UCW-7153</t>
  </si>
  <si>
    <t>UCW-7152</t>
  </si>
  <si>
    <t>UCW-7124</t>
  </si>
  <si>
    <t>UCW-7206</t>
  </si>
  <si>
    <t>UCW-7216</t>
  </si>
  <si>
    <t>UCW-7219</t>
  </si>
  <si>
    <t>UCW-7222</t>
  </si>
  <si>
    <t>UCW-7224</t>
  </si>
  <si>
    <t>UCW-7227</t>
  </si>
  <si>
    <t>UCW-7235</t>
  </si>
  <si>
    <t>UCW-7236</t>
  </si>
  <si>
    <t>UCW-7247</t>
  </si>
  <si>
    <t>UCW-7252</t>
  </si>
  <si>
    <t>UCW-7254</t>
  </si>
  <si>
    <t>UCW-7255</t>
  </si>
  <si>
    <t>UCW-7261</t>
  </si>
  <si>
    <t>UCW-7263</t>
  </si>
  <si>
    <t>UCW-7268</t>
  </si>
  <si>
    <t>UCW-7291</t>
  </si>
  <si>
    <t>UCW-7297</t>
  </si>
  <si>
    <t>UCW-7301</t>
  </si>
  <si>
    <t>UCW-7303</t>
  </si>
  <si>
    <t>UCW-7306</t>
  </si>
  <si>
    <t>UCW-7308</t>
  </si>
  <si>
    <t>UCW-7311</t>
  </si>
  <si>
    <t>UCW-7314</t>
  </si>
  <si>
    <t>UCW-7318</t>
  </si>
  <si>
    <t>UCW-7320</t>
  </si>
  <si>
    <t>UCW-7323</t>
  </si>
  <si>
    <t>UCW-7386</t>
  </si>
  <si>
    <t>UCW-7383</t>
  </si>
  <si>
    <t>UCW-7379</t>
  </si>
  <si>
    <t>UCW-7375</t>
  </si>
  <si>
    <t>UCW-7372</t>
  </si>
  <si>
    <t>UCW-7371</t>
  </si>
  <si>
    <t>UCW-7367</t>
  </si>
  <si>
    <t>UCW-7364</t>
  </si>
  <si>
    <t>UCW-7357</t>
  </si>
  <si>
    <t>UCW-7353</t>
  </si>
  <si>
    <t>UCW-7352</t>
  </si>
  <si>
    <t>UCW-7351</t>
  </si>
  <si>
    <t>UCW-7350</t>
  </si>
  <si>
    <t>UCW-7345</t>
  </si>
  <si>
    <t>UCW-7344</t>
  </si>
  <si>
    <t>UCW-7342</t>
  </si>
  <si>
    <t>UCW-7295</t>
  </si>
  <si>
    <t>UCW-7415</t>
  </si>
  <si>
    <t>UCW-7408</t>
  </si>
  <si>
    <t>UCW-7402</t>
  </si>
  <si>
    <t>UCW-7398</t>
  </si>
  <si>
    <t>UCW-7397</t>
  </si>
  <si>
    <t>UCW-7396</t>
  </si>
  <si>
    <t>UCW-7394</t>
  </si>
  <si>
    <t>UCW-7429</t>
  </si>
  <si>
    <t>UCW-7426</t>
  </si>
  <si>
    <t>UCW-7418</t>
  </si>
  <si>
    <t>UCW-7417</t>
  </si>
  <si>
    <t>UCW-7436</t>
  </si>
  <si>
    <t>UCW-7438</t>
  </si>
  <si>
    <t>UCW-7441</t>
  </si>
  <si>
    <t>UCW-7443</t>
  </si>
  <si>
    <t>UCW-7444</t>
  </si>
  <si>
    <t>UCW-7445</t>
  </si>
  <si>
    <t>UCW-7447</t>
  </si>
  <si>
    <t>UCW-7453</t>
  </si>
  <si>
    <t>UCW-7458</t>
  </si>
  <si>
    <t>UCW-7461</t>
  </si>
  <si>
    <t>UCW-7463</t>
  </si>
  <si>
    <t>UCW-7474</t>
  </si>
  <si>
    <t>UCW-7480</t>
  </si>
  <si>
    <t>UCW-7510</t>
  </si>
  <si>
    <t>UCW-7568</t>
  </si>
  <si>
    <t>UCW-7560</t>
  </si>
  <si>
    <t>UCW-7556</t>
  </si>
  <si>
    <t>UCW-7552</t>
  </si>
  <si>
    <t>UCW-7548</t>
  </si>
  <si>
    <t>UCW-7545</t>
  </si>
  <si>
    <t>UCW-7538</t>
  </si>
  <si>
    <t>UCW-7531</t>
  </si>
  <si>
    <t>UCW-7525</t>
  </si>
  <si>
    <t>UCW-7523</t>
  </si>
  <si>
    <t>UCW-7522</t>
  </si>
  <si>
    <t>UCW-7518</t>
  </si>
  <si>
    <t>UCW-7516</t>
  </si>
  <si>
    <t>UCW-7513</t>
  </si>
  <si>
    <t>UCW-7512</t>
  </si>
  <si>
    <t>UCW-7499</t>
  </si>
  <si>
    <t>UCW-7498</t>
  </si>
  <si>
    <t>UCW-7497</t>
  </si>
  <si>
    <t>UCW-7494</t>
  </si>
  <si>
    <t>UCW-7488</t>
  </si>
  <si>
    <t>UCW-7486</t>
  </si>
  <si>
    <t>UCW-7472</t>
  </si>
  <si>
    <t>UCW-7465</t>
  </si>
  <si>
    <t>UCW-7591</t>
  </si>
  <si>
    <t>UCW-7592</t>
  </si>
  <si>
    <t>UCW-7593</t>
  </si>
  <si>
    <t>UCW-7595</t>
  </si>
  <si>
    <t>UCW-7597</t>
  </si>
  <si>
    <t>UCW-7600</t>
  </si>
  <si>
    <t>UCW-7606</t>
  </si>
  <si>
    <t>UCW-7609</t>
  </si>
  <si>
    <t>UCW-7610</t>
  </si>
  <si>
    <t>UCW-7619</t>
  </si>
  <si>
    <t>UCW-7616</t>
  </si>
  <si>
    <t>UCW-7456</t>
  </si>
  <si>
    <t>UCW-7685</t>
  </si>
  <si>
    <t>UCW-7681</t>
  </si>
  <si>
    <t>UCW-7677</t>
  </si>
  <si>
    <t>UCW-7675</t>
  </si>
  <si>
    <t>UCW-7672</t>
  </si>
  <si>
    <t>UCW-7666</t>
  </si>
  <si>
    <t>UCW-7662</t>
  </si>
  <si>
    <t>UCW-7658</t>
  </si>
  <si>
    <t>UCW-7655</t>
  </si>
  <si>
    <t>UCW-7653</t>
  </si>
  <si>
    <t>UCW-7651</t>
  </si>
  <si>
    <t>UCW-7644</t>
  </si>
  <si>
    <t>UCW-7641</t>
  </si>
  <si>
    <t>UCW-7640</t>
  </si>
  <si>
    <t>UCW-7634</t>
  </si>
  <si>
    <t>UCW-7691</t>
  </si>
  <si>
    <t>UCW-7714</t>
  </si>
  <si>
    <t>UCW-7716</t>
  </si>
  <si>
    <t>UCW-7722</t>
  </si>
  <si>
    <t>UCW-7724</t>
  </si>
  <si>
    <t>UCW-7752</t>
  </si>
  <si>
    <t>UCW-7749</t>
  </si>
  <si>
    <t>UCW-7736</t>
  </si>
  <si>
    <t>UCW-7732</t>
  </si>
  <si>
    <t>UCW-7730</t>
  </si>
  <si>
    <t>UCW-7728</t>
  </si>
  <si>
    <t>UCW-7768</t>
  </si>
  <si>
    <t>UCW-7769</t>
  </si>
  <si>
    <t>UCW-7772</t>
  </si>
  <si>
    <t>UCW-7773</t>
  </si>
  <si>
    <t>UCW-7774</t>
  </si>
  <si>
    <t>UCW-7775</t>
  </si>
  <si>
    <t>UCW-7777</t>
  </si>
  <si>
    <t>UCW-7778</t>
  </si>
  <si>
    <t>UCW-7248</t>
  </si>
  <si>
    <t>UCW-7885</t>
  </si>
  <si>
    <t>UCW-7884</t>
  </si>
  <si>
    <t>UCW-7882</t>
  </si>
  <si>
    <t>UCW-7880</t>
  </si>
  <si>
    <t>UCW-7873</t>
  </si>
  <si>
    <t>UCW-7864</t>
  </si>
  <si>
    <t>UCW-7862</t>
  </si>
  <si>
    <t>UCW-7852</t>
  </si>
  <si>
    <t>UCW-7851</t>
  </si>
  <si>
    <t>UCW-7849</t>
  </si>
  <si>
    <t>UCW-7847</t>
  </si>
  <si>
    <t>UCW-7841</t>
  </si>
  <si>
    <t>UCW-7834</t>
  </si>
  <si>
    <t>UCW-7832</t>
  </si>
  <si>
    <t>UCW-7831</t>
  </si>
  <si>
    <t>UCW-7830</t>
  </si>
  <si>
    <t>UCW-7827</t>
  </si>
  <si>
    <t>UCW-7823</t>
  </si>
  <si>
    <t>UCW-7820</t>
  </si>
  <si>
    <t>UCW-7819</t>
  </si>
  <si>
    <t>UCW-7817</t>
  </si>
  <si>
    <t>UCW-7816</t>
  </si>
  <si>
    <t>UCW-7815</t>
  </si>
  <si>
    <t>UCW-7814</t>
  </si>
  <si>
    <t>UCW-7813</t>
  </si>
  <si>
    <t>UCW-7803</t>
  </si>
  <si>
    <t>UCW-7800</t>
  </si>
  <si>
    <t>UCW-7799</t>
  </si>
  <si>
    <t>UCW-7798</t>
  </si>
  <si>
    <t>UCW-7795</t>
  </si>
  <si>
    <t>UCW-7790</t>
  </si>
  <si>
    <t>UCW-7785</t>
  </si>
  <si>
    <t>UCW-7782</t>
  </si>
  <si>
    <t>UCW-7780</t>
  </si>
  <si>
    <t>UCW-7812</t>
  </si>
  <si>
    <t>UCW-7898</t>
  </si>
  <si>
    <t>UCW-7903</t>
  </si>
  <si>
    <t>UCW-7905</t>
  </si>
  <si>
    <t>UCW-7907</t>
  </si>
  <si>
    <t>UCW-7910</t>
  </si>
  <si>
    <t>UCW-7918</t>
  </si>
  <si>
    <t>UCW-7919</t>
  </si>
  <si>
    <t>UCW-7932</t>
  </si>
  <si>
    <t>UCW-7933</t>
  </si>
  <si>
    <t>UCW-7935</t>
  </si>
  <si>
    <t>UCW-7942</t>
  </si>
  <si>
    <t>UCW-7953</t>
  </si>
  <si>
    <t>UCW-7954</t>
  </si>
  <si>
    <t>UCW-7955</t>
  </si>
  <si>
    <t>UCW-7959</t>
  </si>
  <si>
    <t>UCW-7960</t>
  </si>
  <si>
    <t>UCW-7963</t>
  </si>
  <si>
    <t>UCW-7964</t>
  </si>
  <si>
    <t>UCW-7965</t>
  </si>
  <si>
    <t>UCW-7966</t>
  </si>
  <si>
    <t>UCW-7967</t>
  </si>
  <si>
    <t>UCW-8072</t>
  </si>
  <si>
    <t>UCW-7072</t>
  </si>
  <si>
    <t>UCW-7990</t>
  </si>
  <si>
    <t>UCW-7993</t>
  </si>
  <si>
    <t>UCW-7999</t>
  </si>
  <si>
    <t>UCW-8003</t>
  </si>
  <si>
    <t>UCW-8004</t>
  </si>
  <si>
    <t>UCW-8010</t>
  </si>
  <si>
    <t>UCW-8015</t>
  </si>
  <si>
    <t>UCW-8020</t>
  </si>
  <si>
    <t>UCW-8021</t>
  </si>
  <si>
    <t>UCW-8030</t>
  </si>
  <si>
    <t>UCW-8037</t>
  </si>
  <si>
    <t>UCW-8038</t>
  </si>
  <si>
    <t>UCW-8041</t>
  </si>
  <si>
    <t>UCW-8042</t>
  </si>
  <si>
    <t>UCW-8043</t>
  </si>
  <si>
    <t>UCW-8045</t>
  </si>
  <si>
    <t>UCW-8046</t>
  </si>
  <si>
    <t>UCW-8047</t>
  </si>
  <si>
    <t>UCW-8048</t>
  </si>
  <si>
    <t>UCW-8076</t>
  </si>
  <si>
    <t>UCW-8105</t>
  </si>
  <si>
    <t>UCW-8079</t>
  </si>
  <si>
    <t>UCW-8107</t>
  </si>
  <si>
    <t>UCW-8085</t>
  </si>
  <si>
    <t>UCW-8086</t>
  </si>
  <si>
    <t>UCW-8087</t>
  </si>
  <si>
    <t>UCW-8089</t>
  </si>
  <si>
    <t>UCW-8180</t>
  </si>
  <si>
    <t>UCW-8091</t>
  </si>
  <si>
    <t>UCW-8095</t>
  </si>
  <si>
    <t>UCW-8111</t>
  </si>
  <si>
    <t>UCW-8112</t>
  </si>
  <si>
    <t>UCW-8099</t>
  </si>
  <si>
    <t>UCW-8125</t>
  </si>
  <si>
    <t>UCW-8144</t>
  </si>
  <si>
    <t>UCW-8137</t>
  </si>
  <si>
    <t>UCW-8138</t>
  </si>
  <si>
    <t>UCW-8152</t>
  </si>
  <si>
    <t>UCW-8154</t>
  </si>
  <si>
    <t>UCW-8155</t>
  </si>
  <si>
    <t>UCW-8140</t>
  </si>
  <si>
    <t>UCW-8158</t>
  </si>
  <si>
    <t>UCW-8162</t>
  </si>
  <si>
    <t>UCW-8164</t>
  </si>
  <si>
    <t>UCW-8299</t>
  </si>
  <si>
    <t>UCW-8170</t>
  </si>
  <si>
    <t>UCW-8212</t>
  </si>
  <si>
    <t>UCW-8173</t>
  </si>
  <si>
    <t>UCW-8174</t>
  </si>
  <si>
    <t>UCW-8176</t>
  </si>
  <si>
    <t>UCW-8177</t>
  </si>
  <si>
    <t>UCW-8185</t>
  </si>
  <si>
    <t>UCW-8187</t>
  </si>
  <si>
    <t>UCW-8193</t>
  </si>
  <si>
    <t>UCW-8196</t>
  </si>
  <si>
    <t>UCW-8206</t>
  </si>
  <si>
    <t>UCW-8210</t>
  </si>
  <si>
    <t>UCW-8211</t>
  </si>
  <si>
    <t>UCW-8218</t>
  </si>
  <si>
    <t>UCW-8222</t>
  </si>
  <si>
    <t>UCW-8227</t>
  </si>
  <si>
    <t>UCW-8392</t>
  </si>
  <si>
    <t>UCW-8388</t>
  </si>
  <si>
    <t>UCW-8387</t>
  </si>
  <si>
    <t>UCW-8384</t>
  </si>
  <si>
    <t>UCW-8383</t>
  </si>
  <si>
    <t>UCW-8380</t>
  </si>
  <si>
    <t>UCW-8379</t>
  </si>
  <si>
    <t>UCW-8378</t>
  </si>
  <si>
    <t>UCW-8359</t>
  </si>
  <si>
    <t>UCW-8351</t>
  </si>
  <si>
    <t>UCW-8350</t>
  </si>
  <si>
    <t>UCW-8346</t>
  </si>
  <si>
    <t>UCW-8342</t>
  </si>
  <si>
    <t>UCW-8341</t>
  </si>
  <si>
    <t>UCW-8335</t>
  </si>
  <si>
    <t>UCW-8328</t>
  </si>
  <si>
    <t>UCW-8326</t>
  </si>
  <si>
    <t>UCW-8323</t>
  </si>
  <si>
    <t>UCW-8321</t>
  </si>
  <si>
    <t>UCW-8320</t>
  </si>
  <si>
    <t>UCW-8319</t>
  </si>
  <si>
    <t>UCW-8316</t>
  </si>
  <si>
    <t>UCW-8424</t>
  </si>
  <si>
    <t>UCW-8235</t>
  </si>
  <si>
    <t>UCW-8245</t>
  </si>
  <si>
    <t>UCW-8248</t>
  </si>
  <si>
    <t>UCW-8251</t>
  </si>
  <si>
    <t>UCW-8255</t>
  </si>
  <si>
    <t>UCW-8256</t>
  </si>
  <si>
    <t>UCW-7697</t>
  </si>
  <si>
    <t>UCW-7613</t>
  </si>
  <si>
    <t>UCW-8414</t>
  </si>
  <si>
    <t>UCW-8546</t>
  </si>
  <si>
    <t>UCW-8538</t>
  </si>
  <si>
    <t>UCW-8527</t>
  </si>
  <si>
    <t>UCW-8523</t>
  </si>
  <si>
    <t>UCW-8521</t>
  </si>
  <si>
    <t>UCW-8517</t>
  </si>
  <si>
    <t>UCW-8514</t>
  </si>
  <si>
    <t>UCW-8490</t>
  </si>
  <si>
    <t>UCW-8484</t>
  </si>
  <si>
    <t>UCW-8483</t>
  </si>
  <si>
    <t>UCW-8482</t>
  </si>
  <si>
    <t>UCW-8481</t>
  </si>
  <si>
    <t>UCW-8477</t>
  </si>
  <si>
    <t>UCW-8474</t>
  </si>
  <si>
    <t>UCW-8470</t>
  </si>
  <si>
    <t>UCW-8465</t>
  </si>
  <si>
    <t>UCW-8457</t>
  </si>
  <si>
    <t>UCW-8454</t>
  </si>
  <si>
    <t>UCW-8451</t>
  </si>
  <si>
    <t>UCW-8450</t>
  </si>
  <si>
    <t>UCW-8449</t>
  </si>
  <si>
    <t>UCW-8440</t>
  </si>
  <si>
    <t>UCW-8436</t>
  </si>
  <si>
    <t>UCW-8433</t>
  </si>
  <si>
    <t>UCW-8432</t>
  </si>
  <si>
    <t>UCW-8412</t>
  </si>
  <si>
    <t>UCW-8410</t>
  </si>
  <si>
    <t>UCW-8407</t>
  </si>
  <si>
    <t>UCW-8133</t>
  </si>
  <si>
    <t>UCW-8398</t>
  </si>
  <si>
    <t>UCW-8397</t>
  </si>
  <si>
    <t>UCW-8393</t>
  </si>
  <si>
    <t>UCW-7544</t>
  </si>
  <si>
    <t>UCW-7563</t>
  </si>
  <si>
    <t>UCW-8259</t>
  </si>
  <si>
    <t>UCW-8267</t>
  </si>
  <si>
    <t>UCW-8268</t>
  </si>
  <si>
    <t>UCW-8270</t>
  </si>
  <si>
    <t>UCW-8275</t>
  </si>
  <si>
    <t>UCW-8280</t>
  </si>
  <si>
    <t>UCW-8282</t>
  </si>
  <si>
    <t>UCW-8283</t>
  </si>
  <si>
    <t>UCW-8284</t>
  </si>
  <si>
    <t>UCW-8290</t>
  </si>
  <si>
    <t>UCW-8291</t>
  </si>
  <si>
    <t>UCW-8293</t>
  </si>
  <si>
    <t>UCW-8296</t>
  </si>
  <si>
    <t>UCW-8297</t>
  </si>
  <si>
    <t>UCW-8300</t>
  </si>
  <si>
    <t>UCW-8304</t>
  </si>
  <si>
    <t>UCW-8306</t>
  </si>
  <si>
    <t>UCW-8189</t>
  </si>
  <si>
    <t>UCW-8331</t>
  </si>
  <si>
    <t>UCW-8310</t>
  </si>
  <si>
    <t>UCW-8664</t>
  </si>
  <si>
    <t>UCW-8755</t>
  </si>
  <si>
    <t>UCW-8752</t>
  </si>
  <si>
    <t>UCW-8748</t>
  </si>
  <si>
    <t>UCW-8745</t>
  </si>
  <si>
    <t>UCW-8743</t>
  </si>
  <si>
    <t>UCW-8733</t>
  </si>
  <si>
    <t>UCW-8726</t>
  </si>
  <si>
    <t>UCW-8725</t>
  </si>
  <si>
    <t>UCW-8716</t>
  </si>
  <si>
    <t>UCW-8711</t>
  </si>
  <si>
    <t>UCW-8708</t>
  </si>
  <si>
    <t>UCW-8707</t>
  </si>
  <si>
    <t>UCW-8702</t>
  </si>
  <si>
    <t>UCW-8690</t>
  </si>
  <si>
    <t>UCW-8688</t>
  </si>
  <si>
    <t>UCW-8686</t>
  </si>
  <si>
    <t>UCW-8681</t>
  </si>
  <si>
    <t>UCW-8679</t>
  </si>
  <si>
    <t>UCW-8677</t>
  </si>
  <si>
    <t>UCW-8675</t>
  </si>
  <si>
    <t>UCW-8674</t>
  </si>
  <si>
    <t>UCW-8673</t>
  </si>
  <si>
    <t>UCW-8672</t>
  </si>
  <si>
    <t>UCW-8671</t>
  </si>
  <si>
    <t>UCW-8670</t>
  </si>
  <si>
    <t>UCW-8669</t>
  </si>
  <si>
    <t>UCW-8666</t>
  </si>
  <si>
    <t>UCW-8665</t>
  </si>
  <si>
    <t>UCW-8662</t>
  </si>
  <si>
    <t>UCW-8661</t>
  </si>
  <si>
    <t>UCW-8660</t>
  </si>
  <si>
    <t>UCW-8657</t>
  </si>
  <si>
    <t>UCW-8655</t>
  </si>
  <si>
    <t>UCW-8652</t>
  </si>
  <si>
    <t>UCW-8649</t>
  </si>
  <si>
    <t>UCW-8629</t>
  </si>
  <si>
    <t>UCW-8628</t>
  </si>
  <si>
    <t>UCW-8626</t>
  </si>
  <si>
    <t>UCW-8623</t>
  </si>
  <si>
    <t>UCW-8622</t>
  </si>
  <si>
    <t>UCW-8619</t>
  </si>
  <si>
    <t>UCW-8613</t>
  </si>
  <si>
    <t>UCW-8612</t>
  </si>
  <si>
    <t>UCW-8611</t>
  </si>
  <si>
    <t>UCW-8610</t>
  </si>
  <si>
    <t>UCW-8608</t>
  </si>
  <si>
    <t>UCW-8606</t>
  </si>
  <si>
    <t>UCW-8602</t>
  </si>
  <si>
    <t>UCW-8596</t>
  </si>
  <si>
    <t>UCW-8592</t>
  </si>
  <si>
    <t>UCW-8590</t>
  </si>
  <si>
    <t>UCW-8585</t>
  </si>
  <si>
    <t>UCW-8577</t>
  </si>
  <si>
    <t>UCW-8574</t>
  </si>
  <si>
    <t>UCW-8573</t>
  </si>
  <si>
    <t>UCW-8572</t>
  </si>
  <si>
    <t>UCW-8565</t>
  </si>
  <si>
    <t>UCW-8564</t>
  </si>
  <si>
    <t>UCW-8557</t>
  </si>
  <si>
    <t>UCW-8556</t>
  </si>
  <si>
    <t>UCW-8549</t>
  </si>
  <si>
    <t>UCW-8548</t>
  </si>
  <si>
    <t>UCW-8415</t>
  </si>
  <si>
    <t>UCW-8770</t>
  </si>
  <si>
    <t>UCW-8771</t>
  </si>
  <si>
    <t>UCW-8772</t>
  </si>
  <si>
    <t>UCW-7839</t>
  </si>
  <si>
    <t>UCW-8738</t>
  </si>
  <si>
    <t>UCW-8740</t>
  </si>
  <si>
    <t>UCW-8778</t>
  </si>
  <si>
    <t>UCW-8794</t>
  </si>
  <si>
    <t>UCW-8793</t>
  </si>
  <si>
    <t>UCW-8774</t>
  </si>
  <si>
    <t>UCW-9077</t>
  </si>
  <si>
    <t>UCW-9074</t>
  </si>
  <si>
    <t>UCW-9073</t>
  </si>
  <si>
    <t>UCW-9070</t>
  </si>
  <si>
    <t>UCW-9067</t>
  </si>
  <si>
    <t>UCW-9065</t>
  </si>
  <si>
    <t>UCW-9063</t>
  </si>
  <si>
    <t>UCW-9058</t>
  </si>
  <si>
    <t>UCW-9055</t>
  </si>
  <si>
    <t>UCW-9053</t>
  </si>
  <si>
    <t>UCW-9048</t>
  </si>
  <si>
    <t>UCW-9045</t>
  </si>
  <si>
    <t>UCW-9044</t>
  </si>
  <si>
    <t>UCW-9040</t>
  </si>
  <si>
    <t>UCW-9026</t>
  </si>
  <si>
    <t>UCW-9025</t>
  </si>
  <si>
    <t>UCW-9024</t>
  </si>
  <si>
    <t>UCW-9023</t>
  </si>
  <si>
    <t>UCW-9010</t>
  </si>
  <si>
    <t>UCW-9004</t>
  </si>
  <si>
    <t>UCW-8999</t>
  </si>
  <si>
    <t>UCW-8987</t>
  </si>
  <si>
    <t>UCW-8985</t>
  </si>
  <si>
    <t>UCW-8983</t>
  </si>
  <si>
    <t>UCW-8982</t>
  </si>
  <si>
    <t>UCW-8981</t>
  </si>
  <si>
    <t>UCW-8980</t>
  </si>
  <si>
    <t>UCW-8979</t>
  </si>
  <si>
    <t>UCW-8978</t>
  </si>
  <si>
    <t>UCW-8975</t>
  </si>
  <si>
    <t>UCW-8973</t>
  </si>
  <si>
    <t>UCW-8972</t>
  </si>
  <si>
    <t>UCW-8966</t>
  </si>
  <si>
    <t>UCW-8965</t>
  </si>
  <si>
    <t>UCW-8956</t>
  </si>
  <si>
    <t>UCW-8955</t>
  </si>
  <si>
    <t>UCW-8952</t>
  </si>
  <si>
    <t>UCW-8951</t>
  </si>
  <si>
    <t>UCW-8950</t>
  </si>
  <si>
    <t>UCW-8948</t>
  </si>
  <si>
    <t>UCW-8947</t>
  </si>
  <si>
    <t>UCW-8946</t>
  </si>
  <si>
    <t>UCW-8945</t>
  </si>
  <si>
    <t>UCW-8941</t>
  </si>
  <si>
    <t>UCW-8938</t>
  </si>
  <si>
    <t>UCW-8936</t>
  </si>
  <si>
    <t>UCW-8935</t>
  </si>
  <si>
    <t>UCW-8934</t>
  </si>
  <si>
    <t>UCW-8932</t>
  </si>
  <si>
    <t>UCW-8931</t>
  </si>
  <si>
    <t>UCW-8930</t>
  </si>
  <si>
    <t>UCW-8926</t>
  </si>
  <si>
    <t>UCW-8923</t>
  </si>
  <si>
    <t>UCW-8922</t>
  </si>
  <si>
    <t>UCW-8921</t>
  </si>
  <si>
    <t>UCW-8918</t>
  </si>
  <si>
    <t>UCW-8917</t>
  </si>
  <si>
    <t>UCW-8912</t>
  </si>
  <si>
    <t>UCW-8910</t>
  </si>
  <si>
    <t>UCW-8899</t>
  </si>
  <si>
    <t>UCW-8896</t>
  </si>
  <si>
    <t>UCW-8895</t>
  </si>
  <si>
    <t>UCW-8888</t>
  </si>
  <si>
    <t>UCW-8887</t>
  </si>
  <si>
    <t>UCW-8886</t>
  </si>
  <si>
    <t>UCW-8885</t>
  </si>
  <si>
    <t>UCW-8881</t>
  </si>
  <si>
    <t>UCW-8879</t>
  </si>
  <si>
    <t>UCW-8877</t>
  </si>
  <si>
    <t>UCW-8873</t>
  </si>
  <si>
    <t>UCW-8871</t>
  </si>
  <si>
    <t>UCW-8870</t>
  </si>
  <si>
    <t>UCW-8868</t>
  </si>
  <si>
    <t>UCW-8862</t>
  </si>
  <si>
    <t>UCW-8860</t>
  </si>
  <si>
    <t>UCW-8853</t>
  </si>
  <si>
    <t>UCW-8852</t>
  </si>
  <si>
    <t>UCW-8851</t>
  </si>
  <si>
    <t>UCW-8850</t>
  </si>
  <si>
    <t>UCW-8848</t>
  </si>
  <si>
    <t>UCW-8843</t>
  </si>
  <si>
    <t>UCW-8839</t>
  </si>
  <si>
    <t>UCW-8836</t>
  </si>
  <si>
    <t>UCW-8833</t>
  </si>
  <si>
    <t>UCW-8832</t>
  </si>
  <si>
    <t>UCW-8830</t>
  </si>
  <si>
    <t>UCW-8827</t>
  </si>
  <si>
    <t>UCW-8826</t>
  </si>
  <si>
    <t>UCW-8823</t>
  </si>
  <si>
    <t>UCW-8822</t>
  </si>
  <si>
    <t>UCW-8821</t>
  </si>
  <si>
    <t>UCW-8820</t>
  </si>
  <si>
    <t>UCW-8819</t>
  </si>
  <si>
    <t>UCW-8817</t>
  </si>
  <si>
    <t>UCW-8816</t>
  </si>
  <si>
    <t>UCW-8812</t>
  </si>
  <si>
    <t>UCW-8808</t>
  </si>
  <si>
    <t>UCW-8805</t>
  </si>
  <si>
    <t>UCW-8804</t>
  </si>
  <si>
    <t>UCW-8800</t>
  </si>
  <si>
    <t>UCW-8792</t>
  </si>
  <si>
    <t>UCW-8791</t>
  </si>
  <si>
    <t>UCW-8789</t>
  </si>
  <si>
    <t>UCW-8788</t>
  </si>
  <si>
    <t>UCW-8786</t>
  </si>
  <si>
    <t>UCW-8783</t>
  </si>
  <si>
    <t>UCW-8781</t>
  </si>
  <si>
    <t>UCW-8780</t>
  </si>
  <si>
    <t>UCW-8779</t>
  </si>
  <si>
    <t>UCW-8776</t>
  </si>
  <si>
    <t>UCW-8775</t>
  </si>
  <si>
    <t>UCW-8773</t>
  </si>
  <si>
    <t>UCW-8758</t>
  </si>
  <si>
    <t>UCW-8756</t>
  </si>
  <si>
    <t>UCW-9129</t>
  </si>
  <si>
    <t>UCW-9121</t>
  </si>
  <si>
    <t>UCW-9131</t>
  </si>
  <si>
    <t>UCW-9165</t>
  </si>
  <si>
    <t>UCW-9163</t>
  </si>
  <si>
    <t>UCW-9162</t>
  </si>
  <si>
    <t>UCW-9161</t>
  </si>
  <si>
    <t>UCW-9160</t>
  </si>
  <si>
    <t>UCW-9159</t>
  </si>
  <si>
    <t>UCW-9158</t>
  </si>
  <si>
    <t>UCW-9157</t>
  </si>
  <si>
    <t>UCW-9156</t>
  </si>
  <si>
    <t>UCW-9155</t>
  </si>
  <si>
    <t>UCW-9153</t>
  </si>
  <si>
    <t>UCW-9152</t>
  </si>
  <si>
    <t>UCW-9147</t>
  </si>
  <si>
    <t>UCW-9144</t>
  </si>
  <si>
    <t>UCW-9143</t>
  </si>
  <si>
    <t>UCW-9142</t>
  </si>
  <si>
    <t>UCW-9141</t>
  </si>
  <si>
    <t>UCW-9140</t>
  </si>
  <si>
    <t>UCW-9139</t>
  </si>
  <si>
    <t>UCW-9137</t>
  </si>
  <si>
    <t>UCW-9135</t>
  </si>
  <si>
    <t>UCW-9130</t>
  </si>
  <si>
    <t>UCW-9117</t>
  </si>
  <si>
    <t>UCW-9114</t>
  </si>
  <si>
    <t>UCW-9101</t>
  </si>
  <si>
    <t>UCW-9100</t>
  </si>
  <si>
    <t>UCW-9098</t>
  </si>
  <si>
    <t>UCW-9097</t>
  </si>
  <si>
    <t>UCW-9096</t>
  </si>
  <si>
    <t>UCW-9094</t>
  </si>
  <si>
    <t>UCW-9093</t>
  </si>
  <si>
    <t>UCW-9090</t>
  </si>
  <si>
    <t>UCW-9089</t>
  </si>
  <si>
    <t>UCW-9084</t>
  </si>
  <si>
    <t>UCW-9082</t>
  </si>
  <si>
    <t>UCW-9081</t>
  </si>
  <si>
    <t>UCW-9079</t>
  </si>
  <si>
    <t>UCW-9314</t>
  </si>
  <si>
    <t>UCW-9321</t>
  </si>
  <si>
    <t>UCW-9407</t>
  </si>
  <si>
    <t>UCW-9406</t>
  </si>
  <si>
    <t>UCW-9401</t>
  </si>
  <si>
    <t>UCW-9398</t>
  </si>
  <si>
    <t>UCW-9395</t>
  </si>
  <si>
    <t>UCW-9392</t>
  </si>
  <si>
    <t>UCW-9391</t>
  </si>
  <si>
    <t>UCW-9390</t>
  </si>
  <si>
    <t>UCW-9389</t>
  </si>
  <si>
    <t>UCW-9388</t>
  </si>
  <si>
    <t>UCW-9387</t>
  </si>
  <si>
    <t>UCW-9386</t>
  </si>
  <si>
    <t>UCW-9385</t>
  </si>
  <si>
    <t>UCW-9379</t>
  </si>
  <si>
    <t>UCW-9378</t>
  </si>
  <si>
    <t>UCW-9377</t>
  </si>
  <si>
    <t>UCW-9372</t>
  </si>
  <si>
    <t>UCW-9370</t>
  </si>
  <si>
    <t>UCW-9369</t>
  </si>
  <si>
    <t>UCW-9367</t>
  </si>
  <si>
    <t>UCW-9366</t>
  </si>
  <si>
    <t>UCW-9365</t>
  </si>
  <si>
    <t>UCW-9363</t>
  </si>
  <si>
    <t>UCW-9360</t>
  </si>
  <si>
    <t>UCW-9359</t>
  </si>
  <si>
    <t>UCW-9358</t>
  </si>
  <si>
    <t>UCW-9351</t>
  </si>
  <si>
    <t>UCW-9350</t>
  </si>
  <si>
    <t>UCW-9348</t>
  </si>
  <si>
    <t>UCW-9346</t>
  </si>
  <si>
    <t>UCW-9344</t>
  </si>
  <si>
    <t>UCW-9340</t>
  </si>
  <si>
    <t>UCW-9335</t>
  </si>
  <si>
    <t>UCW-9334</t>
  </si>
  <si>
    <t>UCW-9332</t>
  </si>
  <si>
    <t>UCW-9320</t>
  </si>
  <si>
    <t>UCW-9308</t>
  </si>
  <si>
    <t>UCW-9307</t>
  </si>
  <si>
    <t>UCW-9305</t>
  </si>
  <si>
    <t>UCW-9304</t>
  </si>
  <si>
    <t>UCW-9303</t>
  </si>
  <si>
    <t>UCW-9302</t>
  </si>
  <si>
    <t>UCW-9298</t>
  </si>
  <si>
    <t>UCW-9297</t>
  </si>
  <si>
    <t>UCW-9296</t>
  </si>
  <si>
    <t>UCW-9294</t>
  </si>
  <si>
    <t>UCW-9293</t>
  </si>
  <si>
    <t>UCW-9290</t>
  </si>
  <si>
    <t>UCW-9289</t>
  </si>
  <si>
    <t>UCW-9288</t>
  </si>
  <si>
    <t>UCW-9287</t>
  </si>
  <si>
    <t>UCW-9285</t>
  </si>
  <si>
    <t>UCW-9281</t>
  </si>
  <si>
    <t>UCW-9277</t>
  </si>
  <si>
    <t>UCW-9266</t>
  </si>
  <si>
    <t>UCW-9255</t>
  </si>
  <si>
    <t>UCW-9250</t>
  </si>
  <si>
    <t>UCW-9238</t>
  </si>
  <si>
    <t>UCW-9237</t>
  </si>
  <si>
    <t>UCW-9234</t>
  </si>
  <si>
    <t>UCW-9232</t>
  </si>
  <si>
    <t>UCW-9229</t>
  </si>
  <si>
    <t>UCW-9227</t>
  </si>
  <si>
    <t>UCW-9226</t>
  </si>
  <si>
    <t>UCW-9223</t>
  </si>
  <si>
    <t>UCW-9222</t>
  </si>
  <si>
    <t>UCW-9216</t>
  </si>
  <si>
    <t>UCW-9214</t>
  </si>
  <si>
    <t>UCW-9213</t>
  </si>
  <si>
    <t>UCW-9212</t>
  </si>
  <si>
    <t>UCW-9210</t>
  </si>
  <si>
    <t>UCW-9209</t>
  </si>
  <si>
    <t>UCW-9206</t>
  </si>
  <si>
    <t>UCW-9204</t>
  </si>
  <si>
    <t>UCW-9201</t>
  </si>
  <si>
    <t>UCW-9199</t>
  </si>
  <si>
    <t>UCW-9198</t>
  </si>
  <si>
    <t>UCW-9195</t>
  </si>
  <si>
    <t>UCW-9193</t>
  </si>
  <si>
    <t>UCW-9192</t>
  </si>
  <si>
    <t>UCW-9188</t>
  </si>
  <si>
    <t>UCW-9187</t>
  </si>
  <si>
    <t>UCW-9186</t>
  </si>
  <si>
    <t>UCW-9185</t>
  </si>
  <si>
    <t>UCW-9184</t>
  </si>
  <si>
    <t>UCW-9183</t>
  </si>
  <si>
    <t>UCW-9180</t>
  </si>
  <si>
    <t>UCW-9179</t>
  </si>
  <si>
    <t>UCW-9178</t>
  </si>
  <si>
    <t>UCW-9177</t>
  </si>
  <si>
    <t>UCW-9176</t>
  </si>
  <si>
    <t>UCW-9173</t>
  </si>
  <si>
    <t>UCW-9171</t>
  </si>
  <si>
    <t>UCW-9170</t>
  </si>
  <si>
    <t>UCW-9078</t>
  </si>
  <si>
    <t>UCW-9460</t>
  </si>
  <si>
    <t>UCW-9458</t>
  </si>
  <si>
    <t>UCW-9457</t>
  </si>
  <si>
    <t>UCW-9456</t>
  </si>
  <si>
    <t>UCW-9455</t>
  </si>
  <si>
    <t>UCW-9454</t>
  </si>
  <si>
    <t>UCW-9452</t>
  </si>
  <si>
    <t>UCW-9451</t>
  </si>
  <si>
    <t>UCW-9445</t>
  </si>
  <si>
    <t>UCW-9433</t>
  </si>
  <si>
    <t>UCW-9428</t>
  </si>
  <si>
    <t>UCW-9416</t>
  </si>
  <si>
    <t>UCW-9414</t>
  </si>
  <si>
    <t>UCW-9413</t>
  </si>
  <si>
    <t>UCW-9411</t>
  </si>
  <si>
    <t>UCW-9489</t>
  </si>
  <si>
    <t>UCW-9486</t>
  </si>
  <si>
    <t>UCW-9480</t>
  </si>
  <si>
    <t>UCW-9479</t>
  </si>
  <si>
    <t>UCW-9478</t>
  </si>
  <si>
    <t>UCW-9473</t>
  </si>
  <si>
    <t>UCW-9469</t>
  </si>
  <si>
    <t>UCW-9465</t>
  </si>
  <si>
    <t>UCW-9510</t>
  </si>
  <si>
    <t>UCW-9554</t>
  </si>
  <si>
    <t>UCW-9531</t>
  </si>
  <si>
    <t>UCW-9530</t>
  </si>
  <si>
    <t>UCW-9548</t>
  </si>
  <si>
    <t>UCW-9547</t>
  </si>
  <si>
    <t>UCW-9546</t>
  </si>
  <si>
    <t>UCW-9545</t>
  </si>
  <si>
    <t>UCW-9543</t>
  </si>
  <si>
    <t>UCW-9542</t>
  </si>
  <si>
    <t>UCW-9552</t>
  </si>
  <si>
    <t>UCW-9551</t>
  </si>
  <si>
    <t>UCW-9550</t>
  </si>
  <si>
    <t>UCW-9561</t>
  </si>
  <si>
    <t>UCW-9567</t>
  </si>
  <si>
    <t>UCW-9618</t>
  </si>
  <si>
    <t>UCW-9617</t>
  </si>
  <si>
    <t>UCW-9602</t>
  </si>
  <si>
    <t>UCW-9600</t>
  </si>
  <si>
    <t>UCW-9593</t>
  </si>
  <si>
    <t>UCW-9592</t>
  </si>
  <si>
    <t>UCW-9576</t>
  </si>
  <si>
    <t>UCW-9574</t>
  </si>
  <si>
    <t>UCW-9573</t>
  </si>
  <si>
    <t>UCW-9566</t>
  </si>
  <si>
    <t>UCW-9562</t>
  </si>
  <si>
    <t>UCW-7163</t>
  </si>
  <si>
    <t>UCW-9421</t>
  </si>
  <si>
    <t>UCW-9663</t>
  </si>
  <si>
    <t>UCW-9656</t>
  </si>
  <si>
    <t>UCW-9654</t>
  </si>
  <si>
    <t>UCW-9652</t>
  </si>
  <si>
    <t>UCW-9650</t>
  </si>
  <si>
    <t>UCW-9640</t>
  </si>
  <si>
    <t>UCW-9638</t>
  </si>
  <si>
    <t>UCW-9632</t>
  </si>
  <si>
    <t>UCW-9626</t>
  </si>
  <si>
    <t>UCW-9737</t>
  </si>
  <si>
    <t>UCW-9736</t>
  </si>
  <si>
    <t>UCW-9734</t>
  </si>
  <si>
    <t>UCW-9730</t>
  </si>
  <si>
    <t>UCW-9722</t>
  </si>
  <si>
    <t>UCW-9720</t>
  </si>
  <si>
    <t>UCW-9718</t>
  </si>
  <si>
    <t>UCW-9716</t>
  </si>
  <si>
    <t>UCW-9714</t>
  </si>
  <si>
    <t>UCW-9712</t>
  </si>
  <si>
    <t>UCW-9708</t>
  </si>
  <si>
    <t>UCW-9707</t>
  </si>
  <si>
    <t>UCW-9706</t>
  </si>
  <si>
    <t>UCW-9701</t>
  </si>
  <si>
    <t>UCW-9700</t>
  </si>
  <si>
    <t>UCW-9698</t>
  </si>
  <si>
    <t>UCW-9688</t>
  </si>
  <si>
    <t>UCW-9686</t>
  </si>
  <si>
    <t>UCW-9666</t>
  </si>
  <si>
    <t>UCW-9781</t>
  </si>
  <si>
    <t>UCW-9766</t>
  </si>
  <si>
    <t>UCW-9763</t>
  </si>
  <si>
    <t>UCW-9762</t>
  </si>
  <si>
    <t>UCW-9760</t>
  </si>
  <si>
    <t>UCW-9758</t>
  </si>
  <si>
    <t>UCW-9756</t>
  </si>
  <si>
    <t>UCW-9754</t>
  </si>
  <si>
    <t>UCW-9750</t>
  </si>
  <si>
    <t>UCW-9749</t>
  </si>
  <si>
    <t>UCW-9746</t>
  </si>
  <si>
    <t>UCW-9825</t>
  </si>
  <si>
    <t>UCW-9816</t>
  </si>
  <si>
    <t>UCW-9810</t>
  </si>
  <si>
    <t>UCW-9807</t>
  </si>
  <si>
    <t>UCW-9805</t>
  </si>
  <si>
    <t>UCW-9802</t>
  </si>
  <si>
    <t>UCW-9797</t>
  </si>
  <si>
    <t>UCW-9796</t>
  </si>
  <si>
    <t>UCW-9793</t>
  </si>
  <si>
    <t>UCW-9791</t>
  </si>
  <si>
    <t>UCW-9790</t>
  </si>
  <si>
    <t>UCW-9789</t>
  </si>
  <si>
    <t>UCW-9917</t>
  </si>
  <si>
    <t>UCW-9916</t>
  </si>
  <si>
    <t>UCW-9915</t>
  </si>
  <si>
    <t>UCW-9912</t>
  </si>
  <si>
    <t>UCW-9908</t>
  </si>
  <si>
    <t>UCW-9907</t>
  </si>
  <si>
    <t>UCW-9906</t>
  </si>
  <si>
    <t>UCW-9905</t>
  </si>
  <si>
    <t>UCW-9903</t>
  </si>
  <si>
    <t>UCW-9902</t>
  </si>
  <si>
    <t>UCW-9900</t>
  </si>
  <si>
    <t>UCW-9899</t>
  </si>
  <si>
    <t>UCW-9883</t>
  </si>
  <si>
    <t>UCW-9869</t>
  </si>
  <si>
    <t>UCW-9868</t>
  </si>
  <si>
    <t>UCW-9863</t>
  </si>
  <si>
    <t>UCW-9862</t>
  </si>
  <si>
    <t>UCW-9857</t>
  </si>
  <si>
    <t>UCW-9856</t>
  </si>
  <si>
    <t>UCW-9855</t>
  </si>
  <si>
    <t>UCW-9854</t>
  </si>
  <si>
    <t>UCW-9848</t>
  </si>
  <si>
    <t>UCW-9959</t>
  </si>
  <si>
    <t>UCW-9955</t>
  </si>
  <si>
    <t>UCW-9954</t>
  </si>
  <si>
    <t>UCW-9934</t>
  </si>
  <si>
    <t>UCW-9932</t>
  </si>
  <si>
    <t>UCW-9931</t>
  </si>
  <si>
    <t>UCW-9929</t>
  </si>
  <si>
    <t>UCW-9926</t>
  </si>
  <si>
    <t>UCW-9921</t>
  </si>
  <si>
    <t>UCW-9826</t>
  </si>
  <si>
    <t>UCW-10020</t>
  </si>
  <si>
    <t>UCW-9980</t>
  </si>
  <si>
    <t>UCW-10016</t>
  </si>
  <si>
    <t>UCW-10014</t>
  </si>
  <si>
    <t>UCW-10012</t>
  </si>
  <si>
    <t>UCW-10010</t>
  </si>
  <si>
    <t>UCW-10009</t>
  </si>
  <si>
    <t>UCW-10008</t>
  </si>
  <si>
    <t>UCW-10007</t>
  </si>
  <si>
    <t>UCW-10005</t>
  </si>
  <si>
    <t>UCW-9999</t>
  </si>
  <si>
    <t>UCW-9998</t>
  </si>
  <si>
    <t>UCW-9993</t>
  </si>
  <si>
    <t>UCW-9992</t>
  </si>
  <si>
    <t>UCW-9988</t>
  </si>
  <si>
    <t>UCW-9986</t>
  </si>
  <si>
    <t>UCW-9983</t>
  </si>
  <si>
    <t>UCW-9979</t>
  </si>
  <si>
    <t>UCW-9978</t>
  </si>
  <si>
    <t>UCW-9977</t>
  </si>
  <si>
    <t>UCW-9970</t>
  </si>
  <si>
    <t>UCW-9967</t>
  </si>
  <si>
    <t>UCW-8209</t>
  </si>
  <si>
    <t>UCW-10084</t>
  </si>
  <si>
    <t>UCW-10051</t>
  </si>
  <si>
    <t>UCW-10050</t>
  </si>
  <si>
    <t>UCW-10047</t>
  </si>
  <si>
    <t>UCW-10045</t>
  </si>
  <si>
    <t>UCW-10041</t>
  </si>
  <si>
    <t>UCW-10033</t>
  </si>
  <si>
    <t>UCW-10030</t>
  </si>
  <si>
    <t>UCW-10028</t>
  </si>
  <si>
    <t>UCW-10023</t>
  </si>
  <si>
    <t>UCW-9197</t>
  </si>
  <si>
    <t>UCW-10125</t>
  </si>
  <si>
    <t>UCW-10122</t>
  </si>
  <si>
    <t>UCW-10114</t>
  </si>
  <si>
    <t>UCW-10113</t>
  </si>
  <si>
    <t>UCW-10112</t>
  </si>
  <si>
    <t>UCW-10111</t>
  </si>
  <si>
    <t>UCW-10107</t>
  </si>
  <si>
    <t>UCW-10105</t>
  </si>
  <si>
    <t>UCW-10104</t>
  </si>
  <si>
    <t>UCW-10101</t>
  </si>
  <si>
    <t>UCW-10100</t>
  </si>
  <si>
    <t>UCW-10098</t>
  </si>
  <si>
    <t>UCW-10097</t>
  </si>
  <si>
    <t>UCW-10094</t>
  </si>
  <si>
    <t>UCW-10091</t>
  </si>
  <si>
    <t>UCW-10090</t>
  </si>
  <si>
    <t>UCW-10083</t>
  </si>
  <si>
    <t>UCW-10081</t>
  </si>
  <si>
    <t>UCW-10079</t>
  </si>
  <si>
    <t>UCW-10076</t>
  </si>
  <si>
    <t>UCW-10075</t>
  </si>
  <si>
    <t>UCW-10074</t>
  </si>
  <si>
    <t>UCW-10069</t>
  </si>
  <si>
    <t>UCW-10066</t>
  </si>
  <si>
    <t>UCW-10065</t>
  </si>
  <si>
    <t>UCW-10171</t>
  </si>
  <si>
    <t>UCW-10163</t>
  </si>
  <si>
    <t>UCW-10161</t>
  </si>
  <si>
    <t>UCW-10160</t>
  </si>
  <si>
    <t>UCW-10159</t>
  </si>
  <si>
    <t>UCW-10157</t>
  </si>
  <si>
    <t>UCW-10156</t>
  </si>
  <si>
    <t>UCW-10155</t>
  </si>
  <si>
    <t>UCW-10154</t>
  </si>
  <si>
    <t>UCW-10151</t>
  </si>
  <si>
    <t>UCW-10150</t>
  </si>
  <si>
    <t>UCW-10148</t>
  </si>
  <si>
    <t>UCW-10147</t>
  </si>
  <si>
    <t>UCW-10145</t>
  </si>
  <si>
    <t>UCW-10144</t>
  </si>
  <si>
    <t>UCW-10141</t>
  </si>
  <si>
    <t>UCW-10139</t>
  </si>
  <si>
    <t>UCW-10138</t>
  </si>
  <si>
    <t>UCW-10136</t>
  </si>
  <si>
    <t>UCW-10134</t>
  </si>
  <si>
    <t>UCW-10132</t>
  </si>
  <si>
    <t>UCW-10130</t>
  </si>
  <si>
    <t>UCW-10176</t>
  </si>
  <si>
    <t>UCW-7230</t>
  </si>
  <si>
    <t>UCW-10243</t>
  </si>
  <si>
    <t>UCW-10240</t>
  </si>
  <si>
    <t>UCW-10239</t>
  </si>
  <si>
    <t>UCW-10236</t>
  </si>
  <si>
    <t>UCW-10229</t>
  </si>
  <si>
    <t>UCW-10227</t>
  </si>
  <si>
    <t>UCW-10218</t>
  </si>
  <si>
    <t>UCW-10214</t>
  </si>
  <si>
    <t>UCW-10209</t>
  </si>
  <si>
    <t>UCW-10203</t>
  </si>
  <si>
    <t>UCW-10198</t>
  </si>
  <si>
    <t>UCW-10197</t>
  </si>
  <si>
    <t>UCW-10193</t>
  </si>
  <si>
    <t>UCW-10186</t>
  </si>
  <si>
    <t>UCW-10181</t>
  </si>
  <si>
    <t>UCW-10178</t>
  </si>
  <si>
    <t>UCW-10285</t>
  </si>
  <si>
    <t>UCW-10271</t>
  </si>
  <si>
    <t>UCW-10245</t>
  </si>
  <si>
    <t>UCW-10346</t>
  </si>
  <si>
    <t>UCW-10341</t>
  </si>
  <si>
    <t>UCW-10339</t>
  </si>
  <si>
    <t>UCW-10334</t>
  </si>
  <si>
    <t>UCW-10323</t>
  </si>
  <si>
    <t>UCW-10314</t>
  </si>
  <si>
    <t>UCW-10313</t>
  </si>
  <si>
    <t>UCW-10312</t>
  </si>
  <si>
    <t>UCW-10305</t>
  </si>
  <si>
    <t>UCW-7974</t>
  </si>
  <si>
    <t>UCW-10392</t>
  </si>
  <si>
    <t>UCW-10422</t>
  </si>
  <si>
    <t>UCW-10420</t>
  </si>
  <si>
    <t>UCW-10415</t>
  </si>
  <si>
    <t>UCW-10412</t>
  </si>
  <si>
    <t>UCW-10411</t>
  </si>
  <si>
    <t>UCW-10410</t>
  </si>
  <si>
    <t>UCW-10397</t>
  </si>
  <si>
    <t>UCW-10391</t>
  </si>
  <si>
    <t>UCW-10388</t>
  </si>
  <si>
    <t>UCW-10381</t>
  </si>
  <si>
    <t>UCW-10361</t>
  </si>
  <si>
    <t>UCW-10350</t>
  </si>
  <si>
    <t>UCW-10429</t>
  </si>
  <si>
    <t>UCW-10462</t>
  </si>
  <si>
    <t>UCW-10466</t>
  </si>
  <si>
    <t>UCW-10463</t>
  </si>
  <si>
    <t>UCW-10461</t>
  </si>
  <si>
    <t>UCW-10460</t>
  </si>
  <si>
    <t>UCW-10447</t>
  </si>
  <si>
    <t>UCW-10446</t>
  </si>
  <si>
    <t>UCW-10445</t>
  </si>
  <si>
    <t>UCW-10444</t>
  </si>
  <si>
    <t>UCW-10441</t>
  </si>
  <si>
    <t>UCW-10439</t>
  </si>
  <si>
    <t>UCW-10437</t>
  </si>
  <si>
    <t>UCW-10435</t>
  </si>
  <si>
    <t>UCW-10434</t>
  </si>
  <si>
    <t>UCW-10433</t>
  </si>
  <si>
    <t>UCW-10428</t>
  </si>
  <si>
    <t>UCW-10550</t>
  </si>
  <si>
    <t>UCW-10549</t>
  </si>
  <si>
    <t>UCW-10548</t>
  </si>
  <si>
    <t>UCW-10536</t>
  </si>
  <si>
    <t>UCW-10533</t>
  </si>
  <si>
    <t>UCW-10532</t>
  </si>
  <si>
    <t>UCW-10526</t>
  </si>
  <si>
    <t>UCW-10523</t>
  </si>
  <si>
    <t>UCW-10521</t>
  </si>
  <si>
    <t>UCW-10518</t>
  </si>
  <si>
    <t>UCW-10516</t>
  </si>
  <si>
    <t>UCW-10506</t>
  </si>
  <si>
    <t>UCW-10503</t>
  </si>
  <si>
    <t>UCW-10499</t>
  </si>
  <si>
    <t>UCW-10495</t>
  </si>
  <si>
    <t>UCW-10494</t>
  </si>
  <si>
    <t>UCW-10493</t>
  </si>
  <si>
    <t>UCW-10492</t>
  </si>
  <si>
    <t>UCW-10488</t>
  </si>
  <si>
    <t>UCW-10480</t>
  </si>
  <si>
    <t>UCW-10555</t>
  </si>
  <si>
    <t>UCW-10554</t>
  </si>
  <si>
    <t>UCW-7570</t>
  </si>
  <si>
    <t>UCW-10595</t>
  </si>
  <si>
    <t>UCW-10576</t>
  </si>
  <si>
    <t>UCW-10565</t>
  </si>
  <si>
    <t>UCW-10560</t>
  </si>
  <si>
    <t>UCW-10552</t>
  </si>
  <si>
    <t>UCW-10610</t>
  </si>
  <si>
    <t>UCW-8205</t>
  </si>
  <si>
    <t>UCW-8204</t>
  </si>
  <si>
    <t>UCW-8202</t>
  </si>
  <si>
    <t>UCW-7598</t>
  </si>
  <si>
    <t>UCW-10622</t>
  </si>
  <si>
    <t>UCW-10665</t>
  </si>
  <si>
    <t>UCW-10664</t>
  </si>
  <si>
    <t>UCW-10662</t>
  </si>
  <si>
    <t>UCW-10658</t>
  </si>
  <si>
    <t>UCW-10657</t>
  </si>
  <si>
    <t>UCW-10655</t>
  </si>
  <si>
    <t>UCW-10654</t>
  </si>
  <si>
    <t>UCW-10639</t>
  </si>
  <si>
    <t>UCW-10628</t>
  </si>
  <si>
    <t>UCW-10619</t>
  </si>
  <si>
    <t>UCW-10602</t>
  </si>
  <si>
    <t>UCW-10601</t>
  </si>
  <si>
    <t>UCW-10599</t>
  </si>
  <si>
    <t>UCW-10677</t>
  </si>
  <si>
    <t>UCW-10525</t>
  </si>
  <si>
    <t>UCW-10720</t>
  </si>
  <si>
    <t>UCW-10718</t>
  </si>
  <si>
    <t>UCW-10717</t>
  </si>
  <si>
    <t>UCW-10716</t>
  </si>
  <si>
    <t>UCW-10714</t>
  </si>
  <si>
    <t>UCW-10713</t>
  </si>
  <si>
    <t>UCW-10712</t>
  </si>
  <si>
    <t>UCW-10706</t>
  </si>
  <si>
    <t>UCW-10705</t>
  </si>
  <si>
    <t>UCW-10696</t>
  </si>
  <si>
    <t>UCW-10694</t>
  </si>
  <si>
    <t>UCW-10693</t>
  </si>
  <si>
    <t>UCW-10691</t>
  </si>
  <si>
    <t>UCW-10688</t>
  </si>
  <si>
    <t>UCW-10687</t>
  </si>
  <si>
    <t>UCW-10680</t>
  </si>
  <si>
    <t>UCW-10675</t>
  </si>
  <si>
    <t>UCW-10670</t>
  </si>
  <si>
    <t>UCW-10668</t>
  </si>
  <si>
    <t>UCW-10667</t>
  </si>
  <si>
    <t>UCW-10666</t>
  </si>
  <si>
    <t>UCW-10276</t>
  </si>
  <si>
    <t>UCW-10744</t>
  </si>
  <si>
    <t>UCW-10764</t>
  </si>
  <si>
    <t>UCW-10736</t>
  </si>
  <si>
    <t>UCW-10733</t>
  </si>
  <si>
    <t>UCW-10726</t>
  </si>
  <si>
    <t>UCW-10775</t>
  </si>
  <si>
    <t>UCW-10779</t>
  </si>
  <si>
    <t>UCW-10814</t>
  </si>
  <si>
    <t>UCW-10818</t>
  </si>
  <si>
    <t>UCW-10813</t>
  </si>
  <si>
    <t>UCW-10812</t>
  </si>
  <si>
    <t>UCW-10801</t>
  </si>
  <si>
    <t>UCW-10795</t>
  </si>
  <si>
    <t>UCW-10794</t>
  </si>
  <si>
    <t>UCW-10781</t>
  </si>
  <si>
    <t>UCW-10766</t>
  </si>
  <si>
    <t>UCW-10765</t>
  </si>
  <si>
    <t>UCW-10849</t>
  </si>
  <si>
    <t>UCW-10848</t>
  </si>
  <si>
    <t>UCW-10875</t>
  </si>
  <si>
    <t>UCW-10926</t>
  </si>
  <si>
    <t>UCW-10908</t>
  </si>
  <si>
    <t>UCW-10897</t>
  </si>
  <si>
    <t>UCW-10893</t>
  </si>
  <si>
    <t>UCW-10890</t>
  </si>
  <si>
    <t>UCW-10872</t>
  </si>
  <si>
    <t>UCW-10868</t>
  </si>
  <si>
    <t>UCW-10867</t>
  </si>
  <si>
    <t>UCW-10865</t>
  </si>
  <si>
    <t>UCW-10864</t>
  </si>
  <si>
    <t>UCW-10862</t>
  </si>
  <si>
    <t>UCW-10861</t>
  </si>
  <si>
    <t>UCW-10860</t>
  </si>
  <si>
    <t>UCW-10857</t>
  </si>
  <si>
    <t>UCW-10856</t>
  </si>
  <si>
    <t>UCW-10855</t>
  </si>
  <si>
    <t>UCW-10854</t>
  </si>
  <si>
    <t>UCW-10851</t>
  </si>
  <si>
    <t>UCW-10850</t>
  </si>
  <si>
    <t>UCW-10843</t>
  </si>
  <si>
    <t>UCW-10838</t>
  </si>
  <si>
    <t>UCW-10880</t>
  </si>
  <si>
    <t>UCW-11103</t>
  </si>
  <si>
    <t>UCW-11344</t>
  </si>
  <si>
    <t>UCW-10853</t>
  </si>
  <si>
    <t>UCW-10858</t>
  </si>
  <si>
    <t>UCW-12276</t>
  </si>
  <si>
    <t>UCW-12384</t>
  </si>
  <si>
    <t>UCW-5701</t>
  </si>
  <si>
    <t>UCW-12198</t>
  </si>
  <si>
    <t>UCW-13055</t>
  </si>
  <si>
    <t>UCW-13018</t>
  </si>
  <si>
    <t>UCW-7094</t>
  </si>
  <si>
    <t>UCW-13360</t>
  </si>
  <si>
    <t>UCW-13508</t>
  </si>
  <si>
    <t>UCW-13766</t>
  </si>
  <si>
    <t>UCW-8401</t>
  </si>
  <si>
    <t>UCW-1750</t>
  </si>
  <si>
    <t>UCW-17195</t>
  </si>
  <si>
    <t>UCW-17322</t>
  </si>
  <si>
    <t>UCW-17536</t>
  </si>
  <si>
    <t>UCW-17537</t>
  </si>
  <si>
    <t>UCW-17540</t>
  </si>
  <si>
    <t>UCW-17541</t>
  </si>
  <si>
    <t>UCW-17544</t>
  </si>
  <si>
    <t>UCW-17545</t>
  </si>
  <si>
    <t>UCW-17588</t>
  </si>
  <si>
    <t>UCW-9532</t>
  </si>
  <si>
    <t>UCW-17589</t>
  </si>
  <si>
    <t>UCW-17591</t>
  </si>
  <si>
    <t>UCW-8653</t>
  </si>
  <si>
    <t>UCW-17592</t>
  </si>
  <si>
    <t>UCW-17593</t>
  </si>
  <si>
    <t>UCW-17594</t>
  </si>
  <si>
    <t>UCW-17595</t>
  </si>
  <si>
    <t>UCW-17597</t>
  </si>
  <si>
    <t>UCW-17599</t>
  </si>
  <si>
    <t>UCW-17606</t>
  </si>
  <si>
    <t>UCW-17607</t>
  </si>
  <si>
    <t>UCW-17608</t>
  </si>
  <si>
    <t>UCW-17609</t>
  </si>
  <si>
    <t>UCW-17614</t>
  </si>
  <si>
    <t>UCW-17617</t>
  </si>
  <si>
    <t>UCW-17619</t>
  </si>
  <si>
    <t>UCW-17618</t>
  </si>
  <si>
    <t>UCW-17622</t>
  </si>
  <si>
    <t>UCW-17621</t>
  </si>
  <si>
    <t>UCW-17624</t>
  </si>
  <si>
    <t>UCW-17625</t>
  </si>
  <si>
    <t>UCW-17626</t>
  </si>
  <si>
    <t>UCW-17628</t>
  </si>
  <si>
    <t>UCW-17629</t>
  </si>
  <si>
    <t>UCW-17630</t>
  </si>
  <si>
    <t>UCW-17631</t>
  </si>
  <si>
    <t>UCW-17632</t>
  </si>
  <si>
    <t>UCW-17634</t>
  </si>
  <si>
    <t>UCW-17635</t>
  </si>
  <si>
    <t>UCW-17633</t>
  </si>
  <si>
    <t>UCW-17636</t>
  </si>
  <si>
    <t>UCW-17638</t>
  </si>
  <si>
    <t>UCW-17637</t>
  </si>
  <si>
    <t>UCW-17640</t>
  </si>
  <si>
    <t>UCW-17642</t>
  </si>
  <si>
    <t>UCW-17643</t>
  </si>
  <si>
    <t>UCW-17302</t>
  </si>
  <si>
    <t>UCW-17644</t>
  </si>
  <si>
    <t>UCW-17645</t>
  </si>
  <si>
    <t>UCW-17647</t>
  </si>
  <si>
    <t>UCW-17648</t>
  </si>
  <si>
    <t>UCW-17650</t>
  </si>
  <si>
    <t>UCW-17651</t>
  </si>
  <si>
    <t>UCW-17653</t>
  </si>
  <si>
    <t>UCW-17654</t>
  </si>
  <si>
    <t>UCW-17656</t>
  </si>
  <si>
    <t>UCW-17657</t>
  </si>
  <si>
    <t>UCW-17661</t>
  </si>
  <si>
    <t>UCW-17662</t>
  </si>
  <si>
    <t>UCW-17664</t>
  </si>
  <si>
    <t>UCW-17666</t>
  </si>
  <si>
    <t>UCW-17667</t>
  </si>
  <si>
    <t>UCW-17668</t>
  </si>
  <si>
    <t>UCW-17670</t>
  </si>
  <si>
    <t>UCW-17669</t>
  </si>
  <si>
    <t>UCW-17671</t>
  </si>
  <si>
    <t>UCW-17672</t>
  </si>
  <si>
    <t>UCW-17673</t>
  </si>
  <si>
    <t>UCW-17674</t>
  </si>
  <si>
    <t>UCW-17797</t>
  </si>
  <si>
    <t>UCW-18054</t>
  </si>
  <si>
    <t>UCW-18107</t>
  </si>
  <si>
    <t>UCW-18144</t>
  </si>
  <si>
    <t>UCW-18200</t>
  </si>
  <si>
    <t>UCW-18449</t>
  </si>
  <si>
    <t>UCW-18500</t>
  </si>
  <si>
    <t>UCW-18544</t>
  </si>
  <si>
    <t>UCW-18658</t>
  </si>
  <si>
    <t>UCW-18754</t>
  </si>
  <si>
    <t>UCW-18762</t>
  </si>
  <si>
    <t>UCW-18999</t>
  </si>
  <si>
    <t>UCW-19031</t>
  </si>
  <si>
    <t>UCW-19177</t>
  </si>
  <si>
    <t>UCW-19004</t>
  </si>
  <si>
    <t>UCW-20061</t>
  </si>
  <si>
    <t>UCW-20449</t>
  </si>
  <si>
    <t>UCW-20569</t>
  </si>
  <si>
    <t>UCW-20643</t>
  </si>
  <si>
    <t>UCW-20667</t>
  </si>
  <si>
    <t>UCW-20696</t>
  </si>
  <si>
    <t>UCW-20740</t>
  </si>
  <si>
    <t>UCW-20957</t>
  </si>
  <si>
    <t>UCW-21201</t>
  </si>
  <si>
    <t>UCW-21279</t>
  </si>
  <si>
    <t>UCW-22045</t>
  </si>
  <si>
    <t>UCW-22068</t>
  </si>
  <si>
    <t>UCW-22079</t>
  </si>
  <si>
    <t>UCW-22110</t>
  </si>
  <si>
    <t>UCW-22671</t>
  </si>
  <si>
    <t>UCW-22734</t>
  </si>
  <si>
    <t>UCW-25361</t>
  </si>
  <si>
    <t>UCW-25626</t>
  </si>
  <si>
    <t>UCW-26904</t>
  </si>
  <si>
    <t>UCW-27964</t>
  </si>
  <si>
    <t>UCW-31015</t>
  </si>
  <si>
    <t>UCW-31862</t>
  </si>
  <si>
    <t>UCW-31870</t>
  </si>
  <si>
    <t>UCW-31872</t>
  </si>
  <si>
    <t>UCW-31875</t>
  </si>
  <si>
    <t>Closed - LIDs Shared</t>
  </si>
  <si>
    <t>Closed - Others</t>
  </si>
  <si>
    <t>Closed - Stuck In Commission</t>
  </si>
  <si>
    <t>Closed - Created Sub-task</t>
  </si>
  <si>
    <t>Tech Error - L1 Raised</t>
  </si>
  <si>
    <t>Pre-Processing - Brand to Resolve</t>
  </si>
  <si>
    <t>Underway Pre-Process Check</t>
  </si>
  <si>
    <t>Not Started</t>
  </si>
  <si>
    <t>Uploaded | LIDs to be shared</t>
  </si>
  <si>
    <t>Listing Created Date - Ticket Closed</t>
  </si>
  <si>
    <t>CW-40116</t>
  </si>
  <si>
    <t>CW-42975</t>
  </si>
  <si>
    <t>PCT-5362</t>
  </si>
  <si>
    <t>PCT-5635</t>
  </si>
  <si>
    <t>PCT-5836</t>
  </si>
  <si>
    <t>PCT-6021</t>
  </si>
  <si>
    <t>PCT-6023</t>
  </si>
  <si>
    <t>PCT-6045</t>
  </si>
  <si>
    <t>PCT-6077</t>
  </si>
  <si>
    <t>PCT-6099|PCT-5672</t>
  </si>
  <si>
    <t>PCT-6117|UCW-5337</t>
  </si>
  <si>
    <t>PCT-6148</t>
  </si>
  <si>
    <t>PCT-6180</t>
  </si>
  <si>
    <t>PCT-6181/PCT-6021</t>
  </si>
  <si>
    <t>PCT-6203</t>
  </si>
  <si>
    <t>PCT-6219</t>
  </si>
  <si>
    <t>PCT6321|UCW-5554</t>
  </si>
  <si>
    <t>Ticket Not Created</t>
  </si>
  <si>
    <t>Ticket Will be Create</t>
  </si>
  <si>
    <t>UCW-10000</t>
  </si>
  <si>
    <t>UCW-10019</t>
  </si>
  <si>
    <t>UCW-10029</t>
  </si>
  <si>
    <t>UCW-10036</t>
  </si>
  <si>
    <t>UCW-10064</t>
  </si>
  <si>
    <t>UCW-10087</t>
  </si>
  <si>
    <t>UCW-10175</t>
  </si>
  <si>
    <t>UCW-10182</t>
  </si>
  <si>
    <t>UCW-10185</t>
  </si>
  <si>
    <t>UCW-10211</t>
  </si>
  <si>
    <t>UCW-10213</t>
  </si>
  <si>
    <t>UCW-10235</t>
  </si>
  <si>
    <t>UCW-10267</t>
  </si>
  <si>
    <t>UCW-10284</t>
  </si>
  <si>
    <t>UCW-10311</t>
  </si>
  <si>
    <t>UCW-10338</t>
  </si>
  <si>
    <t>UCW-10343</t>
  </si>
  <si>
    <t>UCW-10382</t>
  </si>
  <si>
    <t>UCW-10383</t>
  </si>
  <si>
    <t>UCW-10384</t>
  </si>
  <si>
    <t>UCW-10430</t>
  </si>
  <si>
    <t>UCW-10459</t>
  </si>
  <si>
    <t>UCW-10470</t>
  </si>
  <si>
    <t>UCW-10485</t>
  </si>
  <si>
    <t>UCW-10568</t>
  </si>
  <si>
    <t>UCW-10702</t>
  </si>
  <si>
    <t>UCW-10727</t>
  </si>
  <si>
    <t>UCW-10784</t>
  </si>
  <si>
    <t>UCW-10788</t>
  </si>
  <si>
    <t>UCW-10876</t>
  </si>
  <si>
    <t>UCW-10877</t>
  </si>
  <si>
    <t>UCW-10878</t>
  </si>
  <si>
    <t>UCW-10906</t>
  </si>
  <si>
    <t>UCW-11910</t>
  </si>
  <si>
    <t>UCW-12199</t>
  </si>
  <si>
    <t>UCW-13552</t>
  </si>
  <si>
    <t>UCW-13273</t>
  </si>
  <si>
    <t>UCW-13289</t>
  </si>
  <si>
    <t>UCW-1793</t>
  </si>
  <si>
    <t>UCW-1800</t>
  </si>
  <si>
    <t>UCW-1922</t>
  </si>
  <si>
    <t>UCW-2106</t>
  </si>
  <si>
    <t>UCW-2227</t>
  </si>
  <si>
    <t>UCW-2229</t>
  </si>
  <si>
    <t>UCW-2345</t>
  </si>
  <si>
    <t>UCW-2471</t>
  </si>
  <si>
    <t>UCW-2501</t>
  </si>
  <si>
    <t>UCW-2538</t>
  </si>
  <si>
    <t>UCW-2620|PCT-6198</t>
  </si>
  <si>
    <t>UCW-2641</t>
  </si>
  <si>
    <t>UCW-2654|PCT-6221</t>
  </si>
  <si>
    <t>UCW-2660</t>
  </si>
  <si>
    <t>UCW-2698</t>
  </si>
  <si>
    <t>UCW-2701</t>
  </si>
  <si>
    <t>UCW-2702</t>
  </si>
  <si>
    <t>UCW-2724</t>
  </si>
  <si>
    <t>UCW-2747</t>
  </si>
  <si>
    <t>UCW-2813</t>
  </si>
  <si>
    <t>UCW-2837|PCT-6228</t>
  </si>
  <si>
    <t>UCW-2863|PCT-6204</t>
  </si>
  <si>
    <t>UCW-2865|PCT-6247</t>
  </si>
  <si>
    <t>UCW-2867|PCT-6251</t>
  </si>
  <si>
    <t>UCW-2932</t>
  </si>
  <si>
    <t>UCW-2937</t>
  </si>
  <si>
    <t>UCW-2945</t>
  </si>
  <si>
    <t>UCW-2954</t>
  </si>
  <si>
    <t>UCW-2959</t>
  </si>
  <si>
    <t>UCW-2968</t>
  </si>
  <si>
    <t>UCW-2977</t>
  </si>
  <si>
    <t>UCW-2981</t>
  </si>
  <si>
    <t>UCW-3051 | PCT-6277</t>
  </si>
  <si>
    <t>UCW-3096</t>
  </si>
  <si>
    <t>UCW-3118</t>
  </si>
  <si>
    <t>UCW-3119</t>
  </si>
  <si>
    <t>UCW-3120</t>
  </si>
  <si>
    <t>UCW-3121</t>
  </si>
  <si>
    <t>UCW-3127</t>
  </si>
  <si>
    <t>UCW-3129</t>
  </si>
  <si>
    <t>UCW-3132</t>
  </si>
  <si>
    <t>UCW-3142</t>
  </si>
  <si>
    <t>UCW-3147</t>
  </si>
  <si>
    <t>UCW-3173</t>
  </si>
  <si>
    <t>UCW-3193</t>
  </si>
  <si>
    <t>UCW-3193|PCT-6286</t>
  </si>
  <si>
    <t>UCW-3198|PCT-6287</t>
  </si>
  <si>
    <t>UCW-3204|PCT-6289</t>
  </si>
  <si>
    <t>UCW-3205|PCT-6290</t>
  </si>
  <si>
    <t>UCW-3210</t>
  </si>
  <si>
    <t>UCW-3217</t>
  </si>
  <si>
    <t>UCW-3232</t>
  </si>
  <si>
    <t>UCW-3253</t>
  </si>
  <si>
    <t>UCW-3282</t>
  </si>
  <si>
    <t>UCW-3286|PCT-6294</t>
  </si>
  <si>
    <t>UCW-3289</t>
  </si>
  <si>
    <t>UCW-3295</t>
  </si>
  <si>
    <t>UCW-3296</t>
  </si>
  <si>
    <t>UCW-3297</t>
  </si>
  <si>
    <t>UCW-3298</t>
  </si>
  <si>
    <t>UCW-3299</t>
  </si>
  <si>
    <t>UCW-3315|PCT-6297</t>
  </si>
  <si>
    <t>UCW-3316</t>
  </si>
  <si>
    <t>UCW-3316|PCT-6298</t>
  </si>
  <si>
    <t>UCW-3317|PCT-6300</t>
  </si>
  <si>
    <t>UCW-3318|PCT-6303</t>
  </si>
  <si>
    <t>UCW-3365</t>
  </si>
  <si>
    <t>UCW-3366</t>
  </si>
  <si>
    <t>UCW-3385</t>
  </si>
  <si>
    <t>UCW-3386</t>
  </si>
  <si>
    <t>UCW-3396</t>
  </si>
  <si>
    <t>UCW-3398</t>
  </si>
  <si>
    <t>UCW-3399</t>
  </si>
  <si>
    <t>UCW-3444</t>
  </si>
  <si>
    <t>UCW-3450</t>
  </si>
  <si>
    <t>UCW-3454</t>
  </si>
  <si>
    <t>UCW-3459</t>
  </si>
  <si>
    <t>UCW-3478</t>
  </si>
  <si>
    <t>UCW-3502|PCT-6302</t>
  </si>
  <si>
    <t>UCW-3516</t>
  </si>
  <si>
    <t>UCW-3518</t>
  </si>
  <si>
    <t>UCW-3533</t>
  </si>
  <si>
    <t>UCW-3536</t>
  </si>
  <si>
    <t>UCW-3542</t>
  </si>
  <si>
    <t>UCW-3543</t>
  </si>
  <si>
    <t>UCW-3546</t>
  </si>
  <si>
    <t>UCW-3547</t>
  </si>
  <si>
    <t>UCW-3549</t>
  </si>
  <si>
    <t>UCW-3596</t>
  </si>
  <si>
    <t>UCW-3610</t>
  </si>
  <si>
    <t>UCW-3614</t>
  </si>
  <si>
    <t>UCW-3623</t>
  </si>
  <si>
    <t>UCW-3642</t>
  </si>
  <si>
    <t>UCW-3652</t>
  </si>
  <si>
    <t>UCW-3652|PCT-6341</t>
  </si>
  <si>
    <t>UCW-3653</t>
  </si>
  <si>
    <t>UCW-3654</t>
  </si>
  <si>
    <t>UCW-3657</t>
  </si>
  <si>
    <t>UCW-3661</t>
  </si>
  <si>
    <t>UCW-3663|PCT-6345</t>
  </si>
  <si>
    <t>UCW-3669</t>
  </si>
  <si>
    <t>UCW-3676</t>
  </si>
  <si>
    <t>UCW-3686</t>
  </si>
  <si>
    <t>UCW-3693</t>
  </si>
  <si>
    <t>UCW-3710</t>
  </si>
  <si>
    <t>UCW-3717</t>
  </si>
  <si>
    <t>UCW-3720</t>
  </si>
  <si>
    <t>UCW-3727</t>
  </si>
  <si>
    <t>UCW-3740</t>
  </si>
  <si>
    <t>UCW-3746</t>
  </si>
  <si>
    <t>UCW-3759</t>
  </si>
  <si>
    <t>UCW-3771</t>
  </si>
  <si>
    <t>UCW-3772</t>
  </si>
  <si>
    <t>UCW-3773</t>
  </si>
  <si>
    <t>UCW-3789</t>
  </si>
  <si>
    <t>UCW-3802</t>
  </si>
  <si>
    <t>UCW-3808</t>
  </si>
  <si>
    <t>UCW-3813</t>
  </si>
  <si>
    <t>UCW-3833</t>
  </si>
  <si>
    <t>UCW-3842</t>
  </si>
  <si>
    <t>UCW-3844</t>
  </si>
  <si>
    <t>UCW-3846</t>
  </si>
  <si>
    <t>UCW-3847</t>
  </si>
  <si>
    <t>UCW-3856</t>
  </si>
  <si>
    <t>UCW-3862</t>
  </si>
  <si>
    <t>UCW-3866</t>
  </si>
  <si>
    <t>UCW-3867</t>
  </si>
  <si>
    <t>UCW-3868</t>
  </si>
  <si>
    <t>UCW-3870</t>
  </si>
  <si>
    <t>UCW-3903</t>
  </si>
  <si>
    <t>UCW-3906</t>
  </si>
  <si>
    <t>UCW-3912</t>
  </si>
  <si>
    <t>UCW-3921</t>
  </si>
  <si>
    <t>UCW-3931</t>
  </si>
  <si>
    <t>UCW-3932</t>
  </si>
  <si>
    <t>UCW-3935</t>
  </si>
  <si>
    <t>UCW-3937</t>
  </si>
  <si>
    <t>UCW-3938</t>
  </si>
  <si>
    <t>UCW-3939</t>
  </si>
  <si>
    <t>UCW-3940</t>
  </si>
  <si>
    <t>UCW-3951</t>
  </si>
  <si>
    <t>UCW-3957</t>
  </si>
  <si>
    <t>UCW-3958</t>
  </si>
  <si>
    <t>UCW-3972</t>
  </si>
  <si>
    <t>UCW-3984</t>
  </si>
  <si>
    <t>UCW-3993</t>
  </si>
  <si>
    <t>UCW-4023</t>
  </si>
  <si>
    <t>UCW-4029</t>
  </si>
  <si>
    <t>UCW-4041</t>
  </si>
  <si>
    <t>UCW-4050</t>
  </si>
  <si>
    <t>UCW-4053</t>
  </si>
  <si>
    <t>UCW-4054</t>
  </si>
  <si>
    <t>UCW-4055</t>
  </si>
  <si>
    <t>UCW-4065</t>
  </si>
  <si>
    <t>UCW-4077</t>
  </si>
  <si>
    <t>UCW-4078</t>
  </si>
  <si>
    <t>UCW-4079</t>
  </si>
  <si>
    <t>UCW-4083</t>
  </si>
  <si>
    <t>UCW-4096</t>
  </si>
  <si>
    <t>UCW-4099</t>
  </si>
  <si>
    <t>UCW-4100</t>
  </si>
  <si>
    <t>UCW-4101</t>
  </si>
  <si>
    <t>UCW-4103</t>
  </si>
  <si>
    <t>UCW-4107</t>
  </si>
  <si>
    <t>UCW-4120</t>
  </si>
  <si>
    <t>UCW-4122</t>
  </si>
  <si>
    <t>UCW-4123</t>
  </si>
  <si>
    <t>UCW-4152</t>
  </si>
  <si>
    <t>UCW-4154</t>
  </si>
  <si>
    <t>UCW-4155</t>
  </si>
  <si>
    <t>UCW-4156</t>
  </si>
  <si>
    <t>UCW-4157</t>
  </si>
  <si>
    <t>UCW-4160</t>
  </si>
  <si>
    <t>UCW-4169</t>
  </si>
  <si>
    <t>UCW-4170</t>
  </si>
  <si>
    <t>UCW-4174</t>
  </si>
  <si>
    <t>UCW-4180</t>
  </si>
  <si>
    <t>UCW-4195</t>
  </si>
  <si>
    <t>UCW-4213</t>
  </si>
  <si>
    <t>UCW-4214</t>
  </si>
  <si>
    <t>UCW-4221</t>
  </si>
  <si>
    <t>UCW-4223</t>
  </si>
  <si>
    <t>UCW-4229</t>
  </si>
  <si>
    <t>UCW-4231</t>
  </si>
  <si>
    <t>UCW-4234</t>
  </si>
  <si>
    <t>UCW-4245</t>
  </si>
  <si>
    <t>UCW-4246</t>
  </si>
  <si>
    <t>UCW-4249</t>
  </si>
  <si>
    <t>UCW-4251</t>
  </si>
  <si>
    <t>UCW-4253</t>
  </si>
  <si>
    <t>UCW-4263</t>
  </si>
  <si>
    <t>UCW-4266</t>
  </si>
  <si>
    <t>UCW-4273</t>
  </si>
  <si>
    <t>UCW-4280</t>
  </si>
  <si>
    <t>UCW-4291</t>
  </si>
  <si>
    <t>UCW-4292</t>
  </si>
  <si>
    <t>UCW-4309</t>
  </si>
  <si>
    <t>UCW-4310</t>
  </si>
  <si>
    <t>UCW-4316</t>
  </si>
  <si>
    <t>UCW-4318</t>
  </si>
  <si>
    <t>UCW-4322</t>
  </si>
  <si>
    <t>UCW-4332</t>
  </si>
  <si>
    <t>UCW-4335</t>
  </si>
  <si>
    <t>UCW-4352</t>
  </si>
  <si>
    <t>UCW-4358</t>
  </si>
  <si>
    <t>UCW-4361</t>
  </si>
  <si>
    <t>UCW-4363</t>
  </si>
  <si>
    <t>UCW-4365</t>
  </si>
  <si>
    <t>UCW-4368</t>
  </si>
  <si>
    <t>UCW-4373</t>
  </si>
  <si>
    <t>UCW-4379</t>
  </si>
  <si>
    <t>UCW-4387</t>
  </si>
  <si>
    <t>UCW-4390</t>
  </si>
  <si>
    <t>UCW-4391</t>
  </si>
  <si>
    <t>UCW-4396</t>
  </si>
  <si>
    <t>UCW-4401</t>
  </si>
  <si>
    <t>UCW-4404</t>
  </si>
  <si>
    <t>UCW-4410</t>
  </si>
  <si>
    <t>UCW-4413/PCT-6112</t>
  </si>
  <si>
    <t>UCW-4420</t>
  </si>
  <si>
    <t>UCW-4423</t>
  </si>
  <si>
    <t>UCW-4427</t>
  </si>
  <si>
    <t>UCW-4444</t>
  </si>
  <si>
    <t>UCW-4445</t>
  </si>
  <si>
    <t>UCW-4446</t>
  </si>
  <si>
    <t>UCW-4451</t>
  </si>
  <si>
    <t>UCW-4455</t>
  </si>
  <si>
    <t>UCW-4457</t>
  </si>
  <si>
    <t>UCW-4458</t>
  </si>
  <si>
    <t>UCW-4459</t>
  </si>
  <si>
    <t>UCW-4461</t>
  </si>
  <si>
    <t>UCW-4462</t>
  </si>
  <si>
    <t>UCW-4465</t>
  </si>
  <si>
    <t>UCW-4471</t>
  </si>
  <si>
    <t>UCW-4473</t>
  </si>
  <si>
    <t>UCW-4483</t>
  </si>
  <si>
    <t>UCW-4485</t>
  </si>
  <si>
    <t>UCW-4490</t>
  </si>
  <si>
    <t>UCW-4497</t>
  </si>
  <si>
    <t>UCW-4509</t>
  </si>
  <si>
    <t>UCW-4511</t>
  </si>
  <si>
    <t>UCW-4519</t>
  </si>
  <si>
    <t>UCW-4533</t>
  </si>
  <si>
    <t>UCW-4534</t>
  </si>
  <si>
    <t>UCW-4535</t>
  </si>
  <si>
    <t>UCW-4549</t>
  </si>
  <si>
    <t>UCW-4555</t>
  </si>
  <si>
    <t>UCW-4559</t>
  </si>
  <si>
    <t>UCW-4561</t>
  </si>
  <si>
    <t>UCW-4563</t>
  </si>
  <si>
    <t>UCW-4565</t>
  </si>
  <si>
    <t>UCW-4567</t>
  </si>
  <si>
    <t>UCW-4578</t>
  </si>
  <si>
    <t>UCW-4611</t>
  </si>
  <si>
    <t>UCW-4612</t>
  </si>
  <si>
    <t>UCW-4615</t>
  </si>
  <si>
    <t>UCW-4616</t>
  </si>
  <si>
    <t>UCW-4620</t>
  </si>
  <si>
    <t>UCW-4625</t>
  </si>
  <si>
    <t>UCW-4634</t>
  </si>
  <si>
    <t>UCW-4639</t>
  </si>
  <si>
    <t>UCW-4641</t>
  </si>
  <si>
    <t>UCW-4647</t>
  </si>
  <si>
    <t>UCW-4652</t>
  </si>
  <si>
    <t>UCW-4668</t>
  </si>
  <si>
    <t>UCW-4698</t>
  </si>
  <si>
    <t>UCW-4701</t>
  </si>
  <si>
    <t>UCW-4704</t>
  </si>
  <si>
    <t>UCW-4706</t>
  </si>
  <si>
    <t>UCW-4709</t>
  </si>
  <si>
    <t>UCW-4713</t>
  </si>
  <si>
    <t>UCW-4717</t>
  </si>
  <si>
    <t>UCW-4722</t>
  </si>
  <si>
    <t>UCW-4728</t>
  </si>
  <si>
    <t>UCW-4732</t>
  </si>
  <si>
    <t>UCW-4746</t>
  </si>
  <si>
    <t>UCW-4750</t>
  </si>
  <si>
    <t>UCW-4752</t>
  </si>
  <si>
    <t>UCW-4753</t>
  </si>
  <si>
    <t>UCW-4757</t>
  </si>
  <si>
    <t>UCW-4764</t>
  </si>
  <si>
    <t>UCW-4767</t>
  </si>
  <si>
    <t>UCW-4784</t>
  </si>
  <si>
    <t>UCW-4794</t>
  </si>
  <si>
    <t>UCW-4795</t>
  </si>
  <si>
    <t>UCW-4797</t>
  </si>
  <si>
    <t>UCW-4801</t>
  </si>
  <si>
    <t>UCW-4809</t>
  </si>
  <si>
    <t>UCW-4810</t>
  </si>
  <si>
    <t>UCW-4816</t>
  </si>
  <si>
    <t>UCW-4820</t>
  </si>
  <si>
    <t>UCW-4827</t>
  </si>
  <si>
    <t>UCW-4828</t>
  </si>
  <si>
    <t>UCW-4834</t>
  </si>
  <si>
    <t>UCW-4846</t>
  </si>
  <si>
    <t>UCW-4854</t>
  </si>
  <si>
    <t>UCW-4855</t>
  </si>
  <si>
    <t>UCW-4867</t>
  </si>
  <si>
    <t>UCW-4869</t>
  </si>
  <si>
    <t>UCW-4872</t>
  </si>
  <si>
    <t>UCW-4874</t>
  </si>
  <si>
    <t>UCW-4875</t>
  </si>
  <si>
    <t>UCW-4896</t>
  </si>
  <si>
    <t>UCW-4901</t>
  </si>
  <si>
    <t>UCW-4902</t>
  </si>
  <si>
    <t>UCW-4903</t>
  </si>
  <si>
    <t>UCW-4905</t>
  </si>
  <si>
    <t>UCW-4910</t>
  </si>
  <si>
    <t>UCW-4916</t>
  </si>
  <si>
    <t>UCW-4918</t>
  </si>
  <si>
    <t>UCW-4921</t>
  </si>
  <si>
    <t>UCW-4922</t>
  </si>
  <si>
    <t>UCW-4924</t>
  </si>
  <si>
    <t>UCW-4925</t>
  </si>
  <si>
    <t>UCW-4926</t>
  </si>
  <si>
    <t>UCW-4936</t>
  </si>
  <si>
    <t>UCW-4938</t>
  </si>
  <si>
    <t>UCW-4940</t>
  </si>
  <si>
    <t>UCW-4950</t>
  </si>
  <si>
    <t>UCW-4960</t>
  </si>
  <si>
    <t>UCW-4964</t>
  </si>
  <si>
    <t>UCW-4966</t>
  </si>
  <si>
    <t>UCW-4969</t>
  </si>
  <si>
    <t>UCW-4970</t>
  </si>
  <si>
    <t>UCW-4972</t>
  </si>
  <si>
    <t>UCW-4973</t>
  </si>
  <si>
    <t>UCW-4975</t>
  </si>
  <si>
    <t>UCW-4977</t>
  </si>
  <si>
    <t>UCW-4980</t>
  </si>
  <si>
    <t>UCW-4982</t>
  </si>
  <si>
    <t>UCW-5000</t>
  </si>
  <si>
    <t>UCW-5001</t>
  </si>
  <si>
    <t>UCW-5009</t>
  </si>
  <si>
    <t>UCW-5018</t>
  </si>
  <si>
    <t>UCW-5024</t>
  </si>
  <si>
    <t>UCW-5026</t>
  </si>
  <si>
    <t>UCW-5027</t>
  </si>
  <si>
    <t>UCW-5030</t>
  </si>
  <si>
    <t>UCW-5033</t>
  </si>
  <si>
    <t>UCW-5034</t>
  </si>
  <si>
    <t>UCW-5040</t>
  </si>
  <si>
    <t>UCW-5041</t>
  </si>
  <si>
    <t>UCW-5043</t>
  </si>
  <si>
    <t>UCW-5045</t>
  </si>
  <si>
    <t>UCW-5046</t>
  </si>
  <si>
    <t>UCW-5047</t>
  </si>
  <si>
    <t>UCW-5048</t>
  </si>
  <si>
    <t>UCW-5049</t>
  </si>
  <si>
    <t>UCW-5054</t>
  </si>
  <si>
    <t>UCW-5055</t>
  </si>
  <si>
    <t>UCW-5065</t>
  </si>
  <si>
    <t>UCW-5071</t>
  </si>
  <si>
    <t>UCW-5073</t>
  </si>
  <si>
    <t>UCW-5079</t>
  </si>
  <si>
    <t>UCW-5081</t>
  </si>
  <si>
    <t>UCW-5086</t>
  </si>
  <si>
    <t>UCW-5100</t>
  </si>
  <si>
    <t>UCW-5101</t>
  </si>
  <si>
    <t>UCW-5104</t>
  </si>
  <si>
    <t>UCW-5105</t>
  </si>
  <si>
    <t>UCW-5107</t>
  </si>
  <si>
    <t>UCW-5108</t>
  </si>
  <si>
    <t>UCW-5109</t>
  </si>
  <si>
    <t>UCW-5116</t>
  </si>
  <si>
    <t>UCW-5119</t>
  </si>
  <si>
    <t>UCW-5121</t>
  </si>
  <si>
    <t>UCW-5122</t>
  </si>
  <si>
    <t>UCW-5130</t>
  </si>
  <si>
    <t>UCW-5132</t>
  </si>
  <si>
    <t>UCW-5140</t>
  </si>
  <si>
    <t>UCW-5142</t>
  </si>
  <si>
    <t>UCW-5150</t>
  </si>
  <si>
    <t>UCW-5151</t>
  </si>
  <si>
    <t>UCW-5152</t>
  </si>
  <si>
    <t>UCW-5154</t>
  </si>
  <si>
    <t>UCW-5155</t>
  </si>
  <si>
    <t>UCW-5172</t>
  </si>
  <si>
    <t>UCW-5176</t>
  </si>
  <si>
    <t>UCW-5188</t>
  </si>
  <si>
    <t>UCW-5190</t>
  </si>
  <si>
    <t>UCW-5194</t>
  </si>
  <si>
    <t>UCW-5199</t>
  </si>
  <si>
    <t>UCW-5203</t>
  </si>
  <si>
    <t>UCW-5205</t>
  </si>
  <si>
    <t>UCW-5206</t>
  </si>
  <si>
    <t>UCW-5207</t>
  </si>
  <si>
    <t>UCW-5226</t>
  </si>
  <si>
    <t>UCW-5227</t>
  </si>
  <si>
    <t>UCW-5233</t>
  </si>
  <si>
    <t>UCW-5236</t>
  </si>
  <si>
    <t>UCW-5241</t>
  </si>
  <si>
    <t>UCW-5247</t>
  </si>
  <si>
    <t>UCW-5254</t>
  </si>
  <si>
    <t>UCW-5256</t>
  </si>
  <si>
    <t>UCW-5258</t>
  </si>
  <si>
    <t>UCW-5260</t>
  </si>
  <si>
    <t>UCW-5261</t>
  </si>
  <si>
    <t>UCW-5262</t>
  </si>
  <si>
    <t>UCW-5265</t>
  </si>
  <si>
    <t>UCW-5270</t>
  </si>
  <si>
    <t>UCW-5272</t>
  </si>
  <si>
    <t>UCW-5277</t>
  </si>
  <si>
    <t>UCW-5286</t>
  </si>
  <si>
    <t>UCW-5287</t>
  </si>
  <si>
    <t>UCW-5289</t>
  </si>
  <si>
    <t>UCW-5290</t>
  </si>
  <si>
    <t>UCW-5293</t>
  </si>
  <si>
    <t>UCW-5295</t>
  </si>
  <si>
    <t>UCW-5296</t>
  </si>
  <si>
    <t>UCW-5297</t>
  </si>
  <si>
    <t>UCW-5299</t>
  </si>
  <si>
    <t>UCW-5302</t>
  </si>
  <si>
    <t>UCW-5305</t>
  </si>
  <si>
    <t>UCW-5314</t>
  </si>
  <si>
    <t>UCW-5315</t>
  </si>
  <si>
    <t>UCW-5318</t>
  </si>
  <si>
    <t>UCW-5319</t>
  </si>
  <si>
    <t>UCW-5340</t>
  </si>
  <si>
    <t>UCW-5346</t>
  </si>
  <si>
    <t>UCW-5355</t>
  </si>
  <si>
    <t>UCW-5356</t>
  </si>
  <si>
    <t>UCW-5358</t>
  </si>
  <si>
    <t>UCW-5375</t>
  </si>
  <si>
    <t>UCW-5382</t>
  </si>
  <si>
    <t>UCW-5386</t>
  </si>
  <si>
    <t>UCW-5388</t>
  </si>
  <si>
    <t>UCW-5403</t>
  </si>
  <si>
    <t>UCW-5407</t>
  </si>
  <si>
    <t>UCW-5408</t>
  </si>
  <si>
    <t>UCW-5409</t>
  </si>
  <si>
    <t>UCW-5423</t>
  </si>
  <si>
    <t>UCW-5426</t>
  </si>
  <si>
    <t>UCW-5431</t>
  </si>
  <si>
    <t>UCW-5434</t>
  </si>
  <si>
    <t>UCW-5465</t>
  </si>
  <si>
    <t>UCW-5468</t>
  </si>
  <si>
    <t>UCW-5469</t>
  </si>
  <si>
    <t>UCW-5475</t>
  </si>
  <si>
    <t>UCW-5476</t>
  </si>
  <si>
    <t>UCW-5481</t>
  </si>
  <si>
    <t>UCW-5508</t>
  </si>
  <si>
    <t>UCW-5509</t>
  </si>
  <si>
    <t>UCW-5519</t>
  </si>
  <si>
    <t>UCW-5523</t>
  </si>
  <si>
    <t>UCW-5524</t>
  </si>
  <si>
    <t>UCW-5553</t>
  </si>
  <si>
    <t>UCW-5554</t>
  </si>
  <si>
    <t>UCW-5555</t>
  </si>
  <si>
    <t>UCW-5556</t>
  </si>
  <si>
    <t>UCW-5557</t>
  </si>
  <si>
    <t>UCW-5558</t>
  </si>
  <si>
    <t>UCW-5563</t>
  </si>
  <si>
    <t>UCW-5564</t>
  </si>
  <si>
    <t>UCW-5565</t>
  </si>
  <si>
    <t>UCW-5581</t>
  </si>
  <si>
    <t>UCW-5584</t>
  </si>
  <si>
    <t>UCW-5593</t>
  </si>
  <si>
    <t>UCW-5598</t>
  </si>
  <si>
    <t>UCW-5602</t>
  </si>
  <si>
    <t>UCW-5613</t>
  </si>
  <si>
    <t>UCW-5623</t>
  </si>
  <si>
    <t>UCW-5626</t>
  </si>
  <si>
    <t>UCW-5648</t>
  </si>
  <si>
    <t>UCW-5672</t>
  </si>
  <si>
    <t>UCW-5677</t>
  </si>
  <si>
    <t>UCW-5679</t>
  </si>
  <si>
    <t>UCW-5680</t>
  </si>
  <si>
    <t>UCW-5681</t>
  </si>
  <si>
    <t>UCW-5682</t>
  </si>
  <si>
    <t>UCW-5684</t>
  </si>
  <si>
    <t>UCW-5696</t>
  </si>
  <si>
    <t>UCW-5700</t>
  </si>
  <si>
    <t>UCW-5714</t>
  </si>
  <si>
    <t>UCW-5724</t>
  </si>
  <si>
    <t>UCW-5725</t>
  </si>
  <si>
    <t>UCW-5726</t>
  </si>
  <si>
    <t>UCW-5728</t>
  </si>
  <si>
    <t>UCW-5729</t>
  </si>
  <si>
    <t>UCW-5730</t>
  </si>
  <si>
    <t>UCW-5731</t>
  </si>
  <si>
    <t>UCW-5732</t>
  </si>
  <si>
    <t>UCW-5733</t>
  </si>
  <si>
    <t>UCW-5769</t>
  </si>
  <si>
    <t>UCW-5784</t>
  </si>
  <si>
    <t>UCW-5787</t>
  </si>
  <si>
    <t>UCW-5801</t>
  </si>
  <si>
    <t>UCW-5802</t>
  </si>
  <si>
    <t>UCW-5805</t>
  </si>
  <si>
    <t>UCW-5817</t>
  </si>
  <si>
    <t>UCW-5819</t>
  </si>
  <si>
    <t>UCW-5824</t>
  </si>
  <si>
    <t>UCW-5825</t>
  </si>
  <si>
    <t>UCW-5826</t>
  </si>
  <si>
    <t>UCW-5835</t>
  </si>
  <si>
    <t>UCW-5837</t>
  </si>
  <si>
    <t>UCW-5839</t>
  </si>
  <si>
    <t>UCW-5846</t>
  </si>
  <si>
    <t>UCW-5851</t>
  </si>
  <si>
    <t>UCW-5854</t>
  </si>
  <si>
    <t>UCW-5859</t>
  </si>
  <si>
    <t>UCW-5865</t>
  </si>
  <si>
    <t>UCW-5874</t>
  </si>
  <si>
    <t>UCW-5880</t>
  </si>
  <si>
    <t>UCW-5885</t>
  </si>
  <si>
    <t>UCW-5889</t>
  </si>
  <si>
    <t>UCW-5909</t>
  </si>
  <si>
    <t>UCW-5914</t>
  </si>
  <si>
    <t>UCW-5928</t>
  </si>
  <si>
    <t>UCW-5938</t>
  </si>
  <si>
    <t>UCW-5950</t>
  </si>
  <si>
    <t>UCW-5961</t>
  </si>
  <si>
    <t>UCW-5990</t>
  </si>
  <si>
    <t>UCW-5991</t>
  </si>
  <si>
    <t>UCW-5992</t>
  </si>
  <si>
    <t>UCW-5993</t>
  </si>
  <si>
    <t>UCW-5994</t>
  </si>
  <si>
    <t>UCW-5995</t>
  </si>
  <si>
    <t>UCW-5996</t>
  </si>
  <si>
    <t>UCW-6000</t>
  </si>
  <si>
    <t>UCW-6012</t>
  </si>
  <si>
    <t>UCW-6045</t>
  </si>
  <si>
    <t>UCW-6047</t>
  </si>
  <si>
    <t>UCW-6049</t>
  </si>
  <si>
    <t>UCW-6053</t>
  </si>
  <si>
    <t>UCW-6070</t>
  </si>
  <si>
    <t>UCW-6072</t>
  </si>
  <si>
    <t>UCW-6075</t>
  </si>
  <si>
    <t>UCW-6082</t>
  </si>
  <si>
    <t>UCW-6133</t>
  </si>
  <si>
    <t>UCW-6134</t>
  </si>
  <si>
    <t>UCW-6136</t>
  </si>
  <si>
    <t>UCW-6137</t>
  </si>
  <si>
    <t>UCW-6139</t>
  </si>
  <si>
    <t>UCW-6140</t>
  </si>
  <si>
    <t>UCW-6142</t>
  </si>
  <si>
    <t>UCW-6145</t>
  </si>
  <si>
    <t>UCW-6172</t>
  </si>
  <si>
    <t>UCW-6173</t>
  </si>
  <si>
    <t>UCW-6174</t>
  </si>
  <si>
    <t>UCW-6175</t>
  </si>
  <si>
    <t>UCW-6184</t>
  </si>
  <si>
    <t>UCW-6186</t>
  </si>
  <si>
    <t>UCW-6196</t>
  </si>
  <si>
    <t>UCW-6205</t>
  </si>
  <si>
    <t>UCW-6213</t>
  </si>
  <si>
    <t>UCW-6215</t>
  </si>
  <si>
    <t>UCW-6216</t>
  </si>
  <si>
    <t>UCW-6225</t>
  </si>
  <si>
    <t>UCW-6226</t>
  </si>
  <si>
    <t>UCW-6233</t>
  </si>
  <si>
    <t>UCW-6281</t>
  </si>
  <si>
    <t>UCW-6282</t>
  </si>
  <si>
    <t>UCW-6283</t>
  </si>
  <si>
    <t>UCW-6297</t>
  </si>
  <si>
    <t>UCW-6298</t>
  </si>
  <si>
    <t>UCW-6300</t>
  </si>
  <si>
    <t>UCW-6305</t>
  </si>
  <si>
    <t>UCW-6307</t>
  </si>
  <si>
    <t>UCW-6314</t>
  </si>
  <si>
    <t>UCW-6315</t>
  </si>
  <si>
    <t>UCW-6322</t>
  </si>
  <si>
    <t>UCW-6335</t>
  </si>
  <si>
    <t>UCW-6339</t>
  </si>
  <si>
    <t>UCW-6362</t>
  </si>
  <si>
    <t>UCW-6367</t>
  </si>
  <si>
    <t>UCW-6392</t>
  </si>
  <si>
    <t>UCW-6395</t>
  </si>
  <si>
    <t>UCW-6397</t>
  </si>
  <si>
    <t>UCW-6398</t>
  </si>
  <si>
    <t>UCW-6399</t>
  </si>
  <si>
    <t>UCW-6400</t>
  </si>
  <si>
    <t>UCW-6402</t>
  </si>
  <si>
    <t>UCW-6420</t>
  </si>
  <si>
    <t>UCW-6425</t>
  </si>
  <si>
    <t>UCW-6430</t>
  </si>
  <si>
    <t>UCW-6435</t>
  </si>
  <si>
    <t>UCW-6445</t>
  </si>
  <si>
    <t>UCW-6461</t>
  </si>
  <si>
    <t>UCW-6470</t>
  </si>
  <si>
    <t>UCW-6471</t>
  </si>
  <si>
    <t>UCW-6472</t>
  </si>
  <si>
    <t>UCW-6473</t>
  </si>
  <si>
    <t>UCW-6476</t>
  </si>
  <si>
    <t>UCW-6477</t>
  </si>
  <si>
    <t>UCW-6478</t>
  </si>
  <si>
    <t>UCW-6479</t>
  </si>
  <si>
    <t>UCW-6480</t>
  </si>
  <si>
    <t>UCW-6481</t>
  </si>
  <si>
    <t>UCW-6484</t>
  </si>
  <si>
    <t>UCW-6496</t>
  </si>
  <si>
    <t>UCW-6519</t>
  </si>
  <si>
    <t>UCW-6531</t>
  </si>
  <si>
    <t>UCW-6532</t>
  </si>
  <si>
    <t>UCW-6534</t>
  </si>
  <si>
    <t>UCW-6535</t>
  </si>
  <si>
    <t>UCW-6540</t>
  </si>
  <si>
    <t>UCW-6541</t>
  </si>
  <si>
    <t>UCW-6542</t>
  </si>
  <si>
    <t>UCW-6543</t>
  </si>
  <si>
    <t>UCW-6571</t>
  </si>
  <si>
    <t>UCW-6588</t>
  </si>
  <si>
    <t>UCW-6615</t>
  </si>
  <si>
    <t>UCW-6638</t>
  </si>
  <si>
    <t>UCW-6650</t>
  </si>
  <si>
    <t>UCW-6656</t>
  </si>
  <si>
    <t>UCW-6682</t>
  </si>
  <si>
    <t>UCW-6683</t>
  </si>
  <si>
    <t>UCW-6686</t>
  </si>
  <si>
    <t>UCW-6689</t>
  </si>
  <si>
    <t>UCW-6690</t>
  </si>
  <si>
    <t>UCW-6705</t>
  </si>
  <si>
    <t>UCW-6707</t>
  </si>
  <si>
    <t>UCW-6752</t>
  </si>
  <si>
    <t>UCW-6756</t>
  </si>
  <si>
    <t>UCW-6757</t>
  </si>
  <si>
    <t>UCW-6760</t>
  </si>
  <si>
    <t>UCW-6781</t>
  </si>
  <si>
    <t>UCW-6788</t>
  </si>
  <si>
    <t>UCW-6796</t>
  </si>
  <si>
    <t>UCW-6798</t>
  </si>
  <si>
    <t>UCW-6801</t>
  </si>
  <si>
    <t>UCW-6804</t>
  </si>
  <si>
    <t>UCW-6812</t>
  </si>
  <si>
    <t>UCW-6829</t>
  </si>
  <si>
    <t>UCW-6837</t>
  </si>
  <si>
    <t>UCW-6848</t>
  </si>
  <si>
    <t>UCW-6854</t>
  </si>
  <si>
    <t>UCW-6860</t>
  </si>
  <si>
    <t>UCW-6862</t>
  </si>
  <si>
    <t>UCW-6864</t>
  </si>
  <si>
    <t>UCW-6865</t>
  </si>
  <si>
    <t>UCW-6867</t>
  </si>
  <si>
    <t>UCW-6869</t>
  </si>
  <si>
    <t>UCW-6884</t>
  </si>
  <si>
    <t>UCW-6888</t>
  </si>
  <si>
    <t>UCW-6894</t>
  </si>
  <si>
    <t>UCW-6895</t>
  </si>
  <si>
    <t>UCW-6896</t>
  </si>
  <si>
    <t>UCW-6901</t>
  </si>
  <si>
    <t>UCW-6904</t>
  </si>
  <si>
    <t>UCW-6906</t>
  </si>
  <si>
    <t>UCW-6914</t>
  </si>
  <si>
    <t>UCW-6915</t>
  </si>
  <si>
    <t>UCW-6916</t>
  </si>
  <si>
    <t>UCW-6917</t>
  </si>
  <si>
    <t>UCW-6918</t>
  </si>
  <si>
    <t>UCW-6919</t>
  </si>
  <si>
    <t>UCW-6920</t>
  </si>
  <si>
    <t>UCW-6921</t>
  </si>
  <si>
    <t>UCW-6923</t>
  </si>
  <si>
    <t>UCW-6925</t>
  </si>
  <si>
    <t>UCW-6926</t>
  </si>
  <si>
    <t>UCW-6930</t>
  </si>
  <si>
    <t>UCW-6932</t>
  </si>
  <si>
    <t>UCW-6933</t>
  </si>
  <si>
    <t>UCW-6934</t>
  </si>
  <si>
    <t>UCW-6935</t>
  </si>
  <si>
    <t>UCW-6936</t>
  </si>
  <si>
    <t>UCW-6937</t>
  </si>
  <si>
    <t>UCW-6938</t>
  </si>
  <si>
    <t>UCW-6939</t>
  </si>
  <si>
    <t>UCW-6942</t>
  </si>
  <si>
    <t>UCW-6943</t>
  </si>
  <si>
    <t>UCW-6946</t>
  </si>
  <si>
    <t>UCW-6951</t>
  </si>
  <si>
    <t>UCW-6958</t>
  </si>
  <si>
    <t>UCW-6970</t>
  </si>
  <si>
    <t>UCW-6972</t>
  </si>
  <si>
    <t>UCW-6979</t>
  </si>
  <si>
    <t>UCW-6980</t>
  </si>
  <si>
    <t>UCW-6986</t>
  </si>
  <si>
    <t>UCW-6991</t>
  </si>
  <si>
    <t>UCW-6992</t>
  </si>
  <si>
    <t>UCW-6993</t>
  </si>
  <si>
    <t>UCW-6994</t>
  </si>
  <si>
    <t>UCW-7000</t>
  </si>
  <si>
    <t>UCW-7001</t>
  </si>
  <si>
    <t>UCW-7003</t>
  </si>
  <si>
    <t>UCW-7008</t>
  </si>
  <si>
    <t>UCW-7014</t>
  </si>
  <si>
    <t>UCW-7036</t>
  </si>
  <si>
    <t>UCW-7037</t>
  </si>
  <si>
    <t>UCW-7038</t>
  </si>
  <si>
    <t>UCW-7056</t>
  </si>
  <si>
    <t>UCW-7067</t>
  </si>
  <si>
    <t>UCW-7070</t>
  </si>
  <si>
    <t>UCW-7075</t>
  </si>
  <si>
    <t>UCW-7090</t>
  </si>
  <si>
    <t>UCW-7092</t>
  </si>
  <si>
    <t>UCW-7108</t>
  </si>
  <si>
    <t>UCW-7111</t>
  </si>
  <si>
    <t>UCW-7130</t>
  </si>
  <si>
    <t>UCW-7133</t>
  </si>
  <si>
    <t>UCW-7134</t>
  </si>
  <si>
    <t>UCW-7146</t>
  </si>
  <si>
    <t>UCW-7149</t>
  </si>
  <si>
    <t>UCW-7158</t>
  </si>
  <si>
    <t>UCW-7164</t>
  </si>
  <si>
    <t>UCW-7169</t>
  </si>
  <si>
    <t>UCW-7177</t>
  </si>
  <si>
    <t>UCW-7178</t>
  </si>
  <si>
    <t>UCW-7186</t>
  </si>
  <si>
    <t>UCW-7190</t>
  </si>
  <si>
    <t>UCW-7191</t>
  </si>
  <si>
    <t>UCW-7193</t>
  </si>
  <si>
    <t>UCW-7202</t>
  </si>
  <si>
    <t>UCW-7212</t>
  </si>
  <si>
    <t>UCW-7213</t>
  </si>
  <si>
    <t>UCW-7218</t>
  </si>
  <si>
    <t>UCW-7220</t>
  </si>
  <si>
    <t>UCW-7228</t>
  </si>
  <si>
    <t>UCW-7233</t>
  </si>
  <si>
    <t>UCW-7239</t>
  </si>
  <si>
    <t>UCW-7249</t>
  </si>
  <si>
    <t>UCW-7266</t>
  </si>
  <si>
    <t>UCW-7269</t>
  </si>
  <si>
    <t>UCW-7270</t>
  </si>
  <si>
    <t>UCW-7271</t>
  </si>
  <si>
    <t>UCW-7280</t>
  </si>
  <si>
    <t>UCW-7282</t>
  </si>
  <si>
    <t>UCW-7284</t>
  </si>
  <si>
    <t>UCW-7287</t>
  </si>
  <si>
    <t>UCW-7289</t>
  </si>
  <si>
    <t>UCW-7292</t>
  </si>
  <si>
    <t>UCW-7294</t>
  </si>
  <si>
    <t>UCW-7298</t>
  </si>
  <si>
    <t>UCW-7302</t>
  </si>
  <si>
    <t>UCW-7304</t>
  </si>
  <si>
    <t>UCW-7305</t>
  </si>
  <si>
    <t>UCW-7310</t>
  </si>
  <si>
    <t>UCW-7313</t>
  </si>
  <si>
    <t>UCW-7316</t>
  </si>
  <si>
    <t>UCW-7317</t>
  </si>
  <si>
    <t>UCW-7319</t>
  </si>
  <si>
    <t>UCW-7324</t>
  </si>
  <si>
    <t>UCW-7325</t>
  </si>
  <si>
    <t>UCW-7332</t>
  </si>
  <si>
    <t>UCW-7340</t>
  </si>
  <si>
    <t>UCW-7360</t>
  </si>
  <si>
    <t>UCW-7362</t>
  </si>
  <si>
    <t>UCW-7363</t>
  </si>
  <si>
    <t>UCW-7368</t>
  </si>
  <si>
    <t>UCW-7374</t>
  </si>
  <si>
    <t>UCW-7376</t>
  </si>
  <si>
    <t>UCW-7384</t>
  </si>
  <si>
    <t>UCW-7385</t>
  </si>
  <si>
    <t>UCW-7389</t>
  </si>
  <si>
    <t>UCW-7391</t>
  </si>
  <si>
    <t>UCW-7399</t>
  </si>
  <si>
    <t>UCW-7406</t>
  </si>
  <si>
    <t>UCW-7410</t>
  </si>
  <si>
    <t>UCW-7412</t>
  </si>
  <si>
    <t>UCW-7420</t>
  </si>
  <si>
    <t>UCW-7427</t>
  </si>
  <si>
    <t>UCW-7434</t>
  </si>
  <si>
    <t>UCW-7437</t>
  </si>
  <si>
    <t>UCW-7440</t>
  </si>
  <si>
    <t>UCW-7455</t>
  </si>
  <si>
    <t>UCW-7481</t>
  </si>
  <si>
    <t>UCW-7485</t>
  </si>
  <si>
    <t>UCW-7489</t>
  </si>
  <si>
    <t>UCW-7493</t>
  </si>
  <si>
    <t>UCW-7496</t>
  </si>
  <si>
    <t>UCW-7500</t>
  </si>
  <si>
    <t>UCW-7502</t>
  </si>
  <si>
    <t>UCW-7504</t>
  </si>
  <si>
    <t>UCW-7505</t>
  </si>
  <si>
    <t>UCW-7515</t>
  </si>
  <si>
    <t>UCW-7521</t>
  </si>
  <si>
    <t>UCW-7533</t>
  </si>
  <si>
    <t>UCW-7534</t>
  </si>
  <si>
    <t>UCW-7537</t>
  </si>
  <si>
    <t>UCW-7543</t>
  </si>
  <si>
    <t>UCW-7546</t>
  </si>
  <si>
    <t>UCW-7551</t>
  </si>
  <si>
    <t>UCW-7553</t>
  </si>
  <si>
    <t>UCW-7554</t>
  </si>
  <si>
    <t>UCW-7557</t>
  </si>
  <si>
    <t>UCW-7562</t>
  </si>
  <si>
    <t>UCW-7564</t>
  </si>
  <si>
    <t>UCW-7565</t>
  </si>
  <si>
    <t>UCW-7569</t>
  </si>
  <si>
    <t>UCW-7573</t>
  </si>
  <si>
    <t>UCW-7583</t>
  </si>
  <si>
    <t>UCW-7584</t>
  </si>
  <si>
    <t>UCW-7585</t>
  </si>
  <si>
    <t>UCW-7594</t>
  </si>
  <si>
    <t>UCW-7599</t>
  </si>
  <si>
    <t>UCW-7603</t>
  </si>
  <si>
    <t>UCW-7604</t>
  </si>
  <si>
    <t>UCW-7615</t>
  </si>
  <si>
    <t>UCW-7617</t>
  </si>
  <si>
    <t>UCW-7618</t>
  </si>
  <si>
    <t>UCW-7620</t>
  </si>
  <si>
    <t>UCW-7621</t>
  </si>
  <si>
    <t>UCW-7623</t>
  </si>
  <si>
    <t>UCW-7624</t>
  </si>
  <si>
    <t>UCW-7625</t>
  </si>
  <si>
    <t>UCW-7626</t>
  </si>
  <si>
    <t>UCW-7633</t>
  </si>
  <si>
    <t>UCW-7636</t>
  </si>
  <si>
    <t>UCW-7639</t>
  </si>
  <si>
    <t>UCW-7642</t>
  </si>
  <si>
    <t>UCW-7643</t>
  </si>
  <si>
    <t>UCW-7646</t>
  </si>
  <si>
    <t>UCW-7647</t>
  </si>
  <si>
    <t>UCW-7682</t>
  </si>
  <si>
    <t>UCW-7689</t>
  </si>
  <si>
    <t>UCW-7719</t>
  </si>
  <si>
    <t>UCW-7733</t>
  </si>
  <si>
    <t>UCW-7746</t>
  </si>
  <si>
    <t>UCW-7756</t>
  </si>
  <si>
    <t>UCW-7783</t>
  </si>
  <si>
    <t>UCW-7793</t>
  </si>
  <si>
    <t>UCW-7794</t>
  </si>
  <si>
    <t>UCW-7796</t>
  </si>
  <si>
    <t>UCW-7801</t>
  </si>
  <si>
    <t>UCW-7804</t>
  </si>
  <si>
    <t>UCW-7810</t>
  </si>
  <si>
    <t>UCW-7835</t>
  </si>
  <si>
    <t>UCW-7842</t>
  </si>
  <si>
    <t>UCW-7911</t>
  </si>
  <si>
    <t>UCW-7916</t>
  </si>
  <si>
    <t>UCW-7924</t>
  </si>
  <si>
    <t>UCW-7925</t>
  </si>
  <si>
    <t>UCW-7976</t>
  </si>
  <si>
    <t>UCW-7979</t>
  </si>
  <si>
    <t>UCW-7986</t>
  </si>
  <si>
    <t>UCW-7988</t>
  </si>
  <si>
    <t>UCW-7996</t>
  </si>
  <si>
    <t>UCW-8006</t>
  </si>
  <si>
    <t>UCW-8016</t>
  </si>
  <si>
    <t>UCW-8053</t>
  </si>
  <si>
    <t>UCW-8113</t>
  </si>
  <si>
    <t>UCW-8119</t>
  </si>
  <si>
    <t>UCW-8141</t>
  </si>
  <si>
    <t>UCW-8142</t>
  </si>
  <si>
    <t>UCW-8147</t>
  </si>
  <si>
    <t>UCW-8149</t>
  </si>
  <si>
    <t>UCW-8156</t>
  </si>
  <si>
    <t>UCW-8179</t>
  </si>
  <si>
    <t>UCW-8226</t>
  </si>
  <si>
    <t>UCW-8238</t>
  </si>
  <si>
    <t>UCW-8239</t>
  </si>
  <si>
    <t>UCW-8240</t>
  </si>
  <si>
    <t>UCW-8243</t>
  </si>
  <si>
    <t>UCW-8254</t>
  </si>
  <si>
    <t>UCW-8264</t>
  </si>
  <si>
    <t>UCW-8265</t>
  </si>
  <si>
    <t>UCW-8302</t>
  </si>
  <si>
    <t>UCW-8305</t>
  </si>
  <si>
    <t>UCW-8309</t>
  </si>
  <si>
    <t>UCW-8311</t>
  </si>
  <si>
    <t>UCW-8313</t>
  </si>
  <si>
    <t>UCW-8314</t>
  </si>
  <si>
    <t>UCW-8317</t>
  </si>
  <si>
    <t>UCW-8329</t>
  </si>
  <si>
    <t>UCW-8330</t>
  </si>
  <si>
    <t>UCW-8344</t>
  </si>
  <si>
    <t>UCW-8352</t>
  </si>
  <si>
    <t>UCW-8353</t>
  </si>
  <si>
    <t>UCW-8354</t>
  </si>
  <si>
    <t>UCW-8355</t>
  </si>
  <si>
    <t>UCW-8356</t>
  </si>
  <si>
    <t>UCW-8365</t>
  </si>
  <si>
    <t>UCW-8368</t>
  </si>
  <si>
    <t>UCW-8382</t>
  </si>
  <si>
    <t>UCW-8386</t>
  </si>
  <si>
    <t>UCW-8402</t>
  </si>
  <si>
    <t>UCW-8403</t>
  </si>
  <si>
    <t>UCW-8404</t>
  </si>
  <si>
    <t>UCW-8405</t>
  </si>
  <si>
    <t>UCW-8406</t>
  </si>
  <si>
    <t>UCW-8408</t>
  </si>
  <si>
    <t>UCW-8409</t>
  </si>
  <si>
    <t>UCW-8411</t>
  </si>
  <si>
    <t>UCW-8418</t>
  </si>
  <si>
    <t>UCW-8428</t>
  </si>
  <si>
    <t>UCW-8430</t>
  </si>
  <si>
    <t>UCW-8443</t>
  </si>
  <si>
    <t>UCW-8448</t>
  </si>
  <si>
    <t>UCW-8458</t>
  </si>
  <si>
    <t>UCW-8459</t>
  </si>
  <si>
    <t>UCW-8460</t>
  </si>
  <si>
    <t>UCW-8461</t>
  </si>
  <si>
    <t>UCW-8462</t>
  </si>
  <si>
    <t>UCW-8468</t>
  </si>
  <si>
    <t>UCW-8475</t>
  </si>
  <si>
    <t>UCW-8479</t>
  </si>
  <si>
    <t>UCW-8480</t>
  </si>
  <si>
    <t>UCW-8487</t>
  </si>
  <si>
    <t>UCW-8491</t>
  </si>
  <si>
    <t>UCW-8492</t>
  </si>
  <si>
    <t>UCW-8493</t>
  </si>
  <si>
    <t>UCW-8497</t>
  </si>
  <si>
    <t>UCW-8499</t>
  </si>
  <si>
    <t>UCW-8502</t>
  </si>
  <si>
    <t>UCW-8505</t>
  </si>
  <si>
    <t>UCW-8512</t>
  </si>
  <si>
    <t>UCW-8513</t>
  </si>
  <si>
    <t>UCW-8519</t>
  </si>
  <si>
    <t>UCW-8532</t>
  </si>
  <si>
    <t>UCW-8537</t>
  </si>
  <si>
    <t>UCW-8539</t>
  </si>
  <si>
    <t>UCW-8544</t>
  </si>
  <si>
    <t>UCW-8545</t>
  </si>
  <si>
    <t>UCW-8547</t>
  </si>
  <si>
    <t>UCW-8552</t>
  </si>
  <si>
    <t>UCW-8554</t>
  </si>
  <si>
    <t>UCW-8567</t>
  </si>
  <si>
    <t>UCW-8576</t>
  </si>
  <si>
    <t>UCW-8581</t>
  </si>
  <si>
    <t>UCW-8587</t>
  </si>
  <si>
    <t>UCW-8589</t>
  </si>
  <si>
    <t>UCW-8593</t>
  </si>
  <si>
    <t>UCW-8598</t>
  </si>
  <si>
    <t>UCW-8599</t>
  </si>
  <si>
    <t>UCW-8601</t>
  </si>
  <si>
    <t>UCW-8603</t>
  </si>
  <si>
    <t>UCW-8604</t>
  </si>
  <si>
    <t>UCW-8607</t>
  </si>
  <si>
    <t>UCW-8616</t>
  </si>
  <si>
    <t>UCW-8648</t>
  </si>
  <si>
    <t>UCW-8658</t>
  </si>
  <si>
    <t>UCW-8667</t>
  </si>
  <si>
    <t>UCW-8668</t>
  </si>
  <si>
    <t>UCW-8680</t>
  </si>
  <si>
    <t>UCW-8695</t>
  </si>
  <si>
    <t>UCW-8698</t>
  </si>
  <si>
    <t>UCW-8699</t>
  </si>
  <si>
    <t>UCW-8701</t>
  </si>
  <si>
    <t>UCW-8712</t>
  </si>
  <si>
    <t>UCW-8729</t>
  </si>
  <si>
    <t>UCW-8737</t>
  </si>
  <si>
    <t>UCW-8739</t>
  </si>
  <si>
    <t>UCW-8759</t>
  </si>
  <si>
    <t>UCW-8764</t>
  </si>
  <si>
    <t>UCW-8797</t>
  </si>
  <si>
    <t>UCW-8807</t>
  </si>
  <si>
    <t>UCW-8825</t>
  </si>
  <si>
    <t>UCW-8834</t>
  </si>
  <si>
    <t>UCW-8837</t>
  </si>
  <si>
    <t>UCW-8857</t>
  </si>
  <si>
    <t>UCW-8863</t>
  </si>
  <si>
    <t>UCW-8874</t>
  </si>
  <si>
    <t>UCW-8883</t>
  </si>
  <si>
    <t>UCW-8889</t>
  </si>
  <si>
    <t>UCW-8892</t>
  </si>
  <si>
    <t>UCW-8894</t>
  </si>
  <si>
    <t>UCW-8904</t>
  </si>
  <si>
    <t>UCW-8905</t>
  </si>
  <si>
    <t>UCW-8907</t>
  </si>
  <si>
    <t>UCW-8908</t>
  </si>
  <si>
    <t>UCW-8909</t>
  </si>
  <si>
    <t>UCW-8914</t>
  </si>
  <si>
    <t>UCW-8925</t>
  </si>
  <si>
    <t>UCW-8929</t>
  </si>
  <si>
    <t>UCW-8949</t>
  </si>
  <si>
    <t>UCW-8953</t>
  </si>
  <si>
    <t>UCW-8961</t>
  </si>
  <si>
    <t>UCW-8991</t>
  </si>
  <si>
    <t>UCW-8995</t>
  </si>
  <si>
    <t>UCW-8997</t>
  </si>
  <si>
    <t>UCW-9003</t>
  </si>
  <si>
    <t>UCW-9006</t>
  </si>
  <si>
    <t>UCW-9008</t>
  </si>
  <si>
    <t>UCW-9012</t>
  </si>
  <si>
    <t>UCW-9016</t>
  </si>
  <si>
    <t>UCW-9030</t>
  </si>
  <si>
    <t>UCW-9031</t>
  </si>
  <si>
    <t>UCW-9032</t>
  </si>
  <si>
    <t>UCW-9041</t>
  </si>
  <si>
    <t>UCW-9042</t>
  </si>
  <si>
    <t>UCW-9051</t>
  </si>
  <si>
    <t>UCW-9056</t>
  </si>
  <si>
    <t>UCW-9064</t>
  </si>
  <si>
    <t>UCW-9069</t>
  </si>
  <si>
    <t>UCW-9071</t>
  </si>
  <si>
    <t>UCW-9075</t>
  </si>
  <si>
    <t>UCW-9103</t>
  </si>
  <si>
    <t>UCW-9145</t>
  </si>
  <si>
    <t>UCW-9154</t>
  </si>
  <si>
    <t>UCW-9181</t>
  </si>
  <si>
    <t>UCW-9196</t>
  </si>
  <si>
    <t>UCW-9205</t>
  </si>
  <si>
    <t>UCW-9207</t>
  </si>
  <si>
    <t>UCW-9208</t>
  </si>
  <si>
    <t>UCW-9211</t>
  </si>
  <si>
    <t>UCW-9217</t>
  </si>
  <si>
    <t>UCW-9221</t>
  </si>
  <si>
    <t>UCW-9231</t>
  </si>
  <si>
    <t>UCW-9236</t>
  </si>
  <si>
    <t>UCW-9283</t>
  </si>
  <si>
    <t>UCW-9284</t>
  </si>
  <si>
    <t>UCW-9295</t>
  </si>
  <si>
    <t>UCW-9300</t>
  </si>
  <si>
    <t>UCW-9311</t>
  </si>
  <si>
    <t>UCW-9326</t>
  </si>
  <si>
    <t>UCW-9349</t>
  </si>
  <si>
    <t>UCW-9410</t>
  </si>
  <si>
    <t>UCW-9447</t>
  </si>
  <si>
    <t>UCW-9449</t>
  </si>
  <si>
    <t>UCW-9464</t>
  </si>
  <si>
    <t>UCW-9488</t>
  </si>
  <si>
    <t>UCW-9509</t>
  </si>
  <si>
    <t>UCW-9556</t>
  </si>
  <si>
    <t>UCW-9558</t>
  </si>
  <si>
    <t>UCW-9559</t>
  </si>
  <si>
    <t>UCW-9568</t>
  </si>
  <si>
    <t>UCW-9589</t>
  </si>
  <si>
    <t>UCW-9631</t>
  </si>
  <si>
    <t>UCW-9669</t>
  </si>
  <si>
    <t>UCW-9678</t>
  </si>
  <si>
    <t>UCW-9683</t>
  </si>
  <si>
    <t>UCW-9693</t>
  </si>
  <si>
    <t>UCW-9710</t>
  </si>
  <si>
    <t>UCW-9717</t>
  </si>
  <si>
    <t>UCW-9745</t>
  </si>
  <si>
    <t>UCW-9752</t>
  </si>
  <si>
    <t>UCW-9767</t>
  </si>
  <si>
    <t>UCW-9771</t>
  </si>
  <si>
    <t>UCW-9799</t>
  </si>
  <si>
    <t>UCW-9819</t>
  </si>
  <si>
    <t>UCW-9834</t>
  </si>
  <si>
    <t>UCW-9888</t>
  </si>
  <si>
    <t>UCW-9911</t>
  </si>
  <si>
    <t>UCW-9935</t>
  </si>
  <si>
    <t>UCW-9942</t>
  </si>
  <si>
    <t>UCW-9944</t>
  </si>
  <si>
    <t>UCW-9947</t>
  </si>
  <si>
    <t>UCW-9984</t>
  </si>
  <si>
    <t>UCW-9995</t>
  </si>
  <si>
    <t>UCW-13384</t>
  </si>
  <si>
    <t>UCW-10771</t>
  </si>
  <si>
    <t>UCW-13751</t>
  </si>
  <si>
    <t>UCW-8866</t>
  </si>
  <si>
    <t>UCW-8494</t>
  </si>
  <si>
    <t>UCW-7977</t>
  </si>
  <si>
    <t>UCW-7922</t>
  </si>
  <si>
    <t>UCW-10522</t>
  </si>
  <si>
    <t>UCW-9422</t>
  </si>
  <si>
    <t>UCW-15704</t>
  </si>
  <si>
    <t>UCW-16664</t>
  </si>
  <si>
    <t>UCW-16889</t>
  </si>
  <si>
    <t>UCW-15854</t>
  </si>
  <si>
    <t>UCW-17776</t>
  </si>
  <si>
    <t>UCW-8844</t>
  </si>
  <si>
    <t>UCW-8646</t>
  </si>
  <si>
    <t>UCW-17822</t>
  </si>
  <si>
    <t>UCW-17904</t>
  </si>
  <si>
    <t>UCW-17905</t>
  </si>
  <si>
    <t>UCW-18930</t>
  </si>
  <si>
    <t>UCW-18925</t>
  </si>
  <si>
    <t>UCW-18927</t>
  </si>
  <si>
    <t>UCW-18926</t>
  </si>
  <si>
    <t>UCW-18924</t>
  </si>
  <si>
    <t>UCW-18336</t>
  </si>
  <si>
    <t>UCW-18407</t>
  </si>
  <si>
    <t>UCW-18812</t>
  </si>
  <si>
    <t>UCW-18923</t>
  </si>
  <si>
    <t>UCW-18983</t>
  </si>
  <si>
    <t>UCW-19080</t>
  </si>
  <si>
    <t>UCW-19135</t>
  </si>
  <si>
    <t>UCW-19152</t>
  </si>
  <si>
    <t>UCW-19204</t>
  </si>
  <si>
    <t>UCW-19250</t>
  </si>
  <si>
    <t>UCW-19255</t>
  </si>
  <si>
    <t>UCW-19263</t>
  </si>
  <si>
    <t>UCW-19271</t>
  </si>
  <si>
    <t>UCW-19281</t>
  </si>
  <si>
    <t>UCW-19283</t>
  </si>
  <si>
    <t>UCW-19429</t>
  </si>
  <si>
    <t>UCW-19449</t>
  </si>
  <si>
    <t>UCW-19671</t>
  </si>
  <si>
    <t>UCW-19672</t>
  </si>
  <si>
    <t>UCW-19675</t>
  </si>
  <si>
    <t>UCW-19708</t>
  </si>
  <si>
    <t>UCW-19718</t>
  </si>
  <si>
    <t>UCW-19720</t>
  </si>
  <si>
    <t>UCW-19741</t>
  </si>
  <si>
    <t>UCW-19743</t>
  </si>
  <si>
    <t>UCW-19746</t>
  </si>
  <si>
    <t>UCW-19847</t>
  </si>
  <si>
    <t>UCW-19866</t>
  </si>
  <si>
    <t>UCW-19872</t>
  </si>
  <si>
    <t>UCW-19893</t>
  </si>
  <si>
    <t>UCW-19962</t>
  </si>
  <si>
    <t>UCW-19969</t>
  </si>
  <si>
    <t>UCW-19966</t>
  </si>
  <si>
    <t>UCW-19996</t>
  </si>
  <si>
    <t>UCW-20130</t>
  </si>
  <si>
    <t>UCW-20165</t>
  </si>
  <si>
    <t>UCW-20197</t>
  </si>
  <si>
    <t>UCW-20298</t>
  </si>
  <si>
    <t>UCW-20424</t>
  </si>
  <si>
    <t>UCW-20466</t>
  </si>
  <si>
    <t>UCW-20715</t>
  </si>
  <si>
    <t>UCW-20729</t>
  </si>
  <si>
    <t>UCW-20915</t>
  </si>
  <si>
    <t>UCW-21032</t>
  </si>
  <si>
    <t>UCW-20456</t>
  </si>
  <si>
    <t>UCW-20457</t>
  </si>
  <si>
    <t>UCW-20458</t>
  </si>
  <si>
    <t>UCW-20633</t>
  </si>
  <si>
    <t>UCW-21125</t>
  </si>
  <si>
    <t>UCW-21157</t>
  </si>
  <si>
    <t>UCW-21031</t>
  </si>
  <si>
    <t>UCW-21220</t>
  </si>
  <si>
    <t>UCW-21249</t>
  </si>
  <si>
    <t>UCW-20948</t>
  </si>
  <si>
    <t>UCW-21324</t>
  </si>
  <si>
    <t>UCW-21330</t>
  </si>
  <si>
    <t>UCW-21395</t>
  </si>
  <si>
    <t>UCW-21607</t>
  </si>
  <si>
    <t>UCW-21623</t>
  </si>
  <si>
    <t>UCW-21505</t>
  </si>
  <si>
    <t>UCW-21669</t>
  </si>
  <si>
    <t>UCW-21716</t>
  </si>
  <si>
    <t>UCW-21725</t>
  </si>
  <si>
    <t>UCW-21734</t>
  </si>
  <si>
    <t>UCW-21774</t>
  </si>
  <si>
    <t>UCW-21785</t>
  </si>
  <si>
    <t>UCW-21852</t>
  </si>
  <si>
    <t>UCW-21918</t>
  </si>
  <si>
    <t>UCW-21979</t>
  </si>
  <si>
    <t>UCW-22034</t>
  </si>
  <si>
    <t>UCW-22206</t>
  </si>
  <si>
    <t>UCW-22230</t>
  </si>
  <si>
    <t>UCW-22340</t>
  </si>
  <si>
    <t>UCW-22467</t>
  </si>
  <si>
    <t>UCW-22495 A</t>
  </si>
  <si>
    <t>UCW-22570</t>
  </si>
  <si>
    <t>UCW-22571</t>
  </si>
  <si>
    <t>UCW-22618</t>
  </si>
  <si>
    <t>UCW-22619</t>
  </si>
  <si>
    <t>UCW-22682</t>
  </si>
  <si>
    <t>UCW-22718</t>
  </si>
  <si>
    <t>UCW-22736</t>
  </si>
  <si>
    <t>UCW-22746</t>
  </si>
  <si>
    <t>UCW-22792</t>
  </si>
  <si>
    <t>UCW-22824</t>
  </si>
  <si>
    <t>UCW-22847</t>
  </si>
  <si>
    <t>UCW-22863 </t>
  </si>
  <si>
    <t>UCW-22868</t>
  </si>
  <si>
    <t>UCW-22906</t>
  </si>
  <si>
    <t>UCW-22495 B</t>
  </si>
  <si>
    <t>UCW-23172</t>
  </si>
  <si>
    <t>UCW-23903</t>
  </si>
  <si>
    <t>UCW-26076</t>
  </si>
  <si>
    <t>UCW-26290</t>
  </si>
  <si>
    <t>UCW-26878</t>
  </si>
  <si>
    <t>UCW-29991</t>
  </si>
  <si>
    <t>UCW-29840</t>
  </si>
  <si>
    <t>UCW-31315</t>
  </si>
  <si>
    <t>UCW-31335</t>
  </si>
  <si>
    <t>UCW-31384</t>
  </si>
  <si>
    <t>UCW-31509</t>
  </si>
  <si>
    <t>UCW-31604</t>
  </si>
  <si>
    <t>UCW-31892</t>
  </si>
  <si>
    <t>Closed - Validation Done</t>
  </si>
  <si>
    <t>On Hold</t>
  </si>
  <si>
    <t>Production WIP</t>
  </si>
  <si>
    <t>Retriggered | Validation Pending</t>
  </si>
  <si>
    <t>WIP</t>
  </si>
  <si>
    <t>WEEK-ON-WEEK JIRA ISSUES INSIGHTS DASHBOARD</t>
  </si>
  <si>
    <t>Analysis Period: Based on Ticket Created Date | Data Source: Your Jira Issues</t>
  </si>
  <si>
    <t>Total Options</t>
  </si>
  <si>
    <t>Avg TAT (Days)</t>
  </si>
  <si>
    <t>WEEK-ON-WEEK TICKET ANALYSIS</t>
  </si>
  <si>
    <t>Week #</t>
  </si>
  <si>
    <t>Week Start</t>
  </si>
  <si>
    <t>Week End</t>
  </si>
  <si>
    <t>Tickets Created</t>
  </si>
  <si>
    <t>Avg TAT</t>
  </si>
  <si>
    <t>Closed Tickets</t>
  </si>
  <si>
    <t>Open Tickets</t>
  </si>
  <si>
    <t>WoW Change (%)</t>
  </si>
  <si>
    <t>Cumulative Tickets</t>
  </si>
  <si>
    <t>PRIORITY BREAKDOWN</t>
  </si>
  <si>
    <t>Count</t>
  </si>
  <si>
    <t>% of Total</t>
  </si>
  <si>
    <t>Closed %</t>
  </si>
  <si>
    <t>Low</t>
  </si>
  <si>
    <t>Lowest</t>
  </si>
  <si>
    <t>STATUS BREAKDOWN</t>
  </si>
  <si>
    <t>Status Category</t>
  </si>
  <si>
    <t>CLOSED - Inactive</t>
  </si>
  <si>
    <t>In Progress</t>
  </si>
  <si>
    <t>Uploaded</t>
  </si>
  <si>
    <t>LISTING TYPE ANALYSIS</t>
  </si>
  <si>
    <t>Tickets</t>
  </si>
  <si>
    <t>CATEGORY (L1) DISTRIBUTION</t>
  </si>
  <si>
    <t>Category</t>
  </si>
  <si>
    <t>PLATFORM DISTRIBUTION</t>
  </si>
  <si>
    <t>Platform</t>
  </si>
  <si>
    <t>TAT (TURNAROUND TIME) INSIGHTS</t>
  </si>
  <si>
    <t>Metric</t>
  </si>
  <si>
    <t>Value</t>
  </si>
  <si>
    <t>TAT Range</t>
  </si>
  <si>
    <t>Ticket Count</t>
  </si>
  <si>
    <t>Min TAT</t>
  </si>
  <si>
    <t>Max TAT</t>
  </si>
  <si>
    <t>Median TAT</t>
  </si>
  <si>
    <t>0-5 Days</t>
  </si>
  <si>
    <t>5-15 Days</t>
  </si>
  <si>
    <t>15-30 Days</t>
  </si>
  <si>
    <t>30+ Days</t>
  </si>
  <si>
    <t>TOP BRANDS BY TICKET VOLUME</t>
  </si>
  <si>
    <t>Brand</t>
  </si>
  <si>
    <t>Tommy Hilfiger</t>
  </si>
  <si>
    <t>Benetton</t>
  </si>
  <si>
    <t>KEY INSIGHTS &amp; OBSERVATIONS</t>
  </si>
  <si>
    <t>🏷️ Top Category:</t>
  </si>
  <si>
    <t>👤 Top Assignee:</t>
  </si>
  <si>
    <t>📦 Total SKUs:</t>
  </si>
  <si>
    <t>🎯 E2E vs Ad-Hoc:</t>
  </si>
  <si>
    <t>Peak Week:</t>
  </si>
  <si>
    <t>TAT Analysis:</t>
  </si>
  <si>
    <t>Avg:</t>
  </si>
  <si>
    <t>Closure Rate:</t>
  </si>
  <si>
    <t>Dashboard generated on: 27/5/2026 | Data Source: Your Jira Issues (866 tickets)</t>
  </si>
  <si>
    <t>Total SKUs (Ad-Hoc)</t>
  </si>
  <si>
    <t>Total Options (E2E)</t>
  </si>
  <si>
    <t>SKUs/Options</t>
  </si>
  <si>
    <t>Avg SKUs/Options</t>
  </si>
  <si>
    <t>Total Processed:</t>
  </si>
  <si>
    <t>UCW-31981</t>
  </si>
  <si>
    <t>E2E - Vanilla Moon - FTW - 19th May - 492 SKUs</t>
  </si>
  <si>
    <t>Vanilla Moon</t>
  </si>
  <si>
    <t>Date :05/29/26 &lt;82 Options -MI shared &gt; &lt;Amandeep&gt;;Date :05/29/26 &lt;Pre Processing query to Brand &lt;Duplicate SKU, EAN missing, Size chart&gt;&gt; &lt;Ankita&gt;;Date :05/29/26 &lt;Ticket picked for Production and QC review Done Option 492 Sku 82&gt; &lt;Aman, Ankita, Ishani, Sanjana&gt;;Date :05/30/2026 &lt; Pre Processing query to Brand 1st Follow Up&gt; &lt;Ishani&gt;</t>
  </si>
  <si>
    <t>UCW-31980</t>
  </si>
  <si>
    <t>CLONE - [External] - Fw: Urgent - Listing Required</t>
  </si>
  <si>
    <t xml:space="preserve">Image deliver - Date :05/29/2026 &lt;Images Delivered Processed Options 1 Rejected Options 0&gt; &lt;Moumita&gt;;|Date :05/29/2026 &lt;Ticket picked for Production and QC review Option 1 Sku 1&gt; &lt;Tania&gt;|
|Date :05/29/2026&lt;Ticket has been successfully uploaded in our system. Sku 1&gt; &lt;Tania&gt;|;We have successfully uploaded this batch. Please find the attached summary sheet and summary report.[^ProductBulkUpload_125928_Beauty__Grooming(MPH22)_Fragrances_and_Perfumes(MPH2211)_Fragrances(MPH2211100)_Deodrants(MPH2211100101)_33.csv] [^Post Upload Status.xlsx] </t>
  </si>
  <si>
    <t>UCW-31978</t>
  </si>
  <si>
    <t>Country name addition - FIFA Jersey</t>
  </si>
  <si>
    <t>Retrigger Content</t>
  </si>
  <si>
    <t>Date :05/29/2026 &lt;Ticket has been successfully uploaded in our system.&gt; &lt;Debabrata &amp; Mousumi[^PCM_DataExtractCsv-20260529202400.csv] [^128004 Retriggered Summary.zip] [^Adidas.zip] [^LUX.zip] &gt;</t>
  </si>
  <si>
    <t>UCW-31962</t>
  </si>
  <si>
    <t>Swiss Arabian+Listings+Perfume+126349+TCF+26th May</t>
  </si>
  <si>
    <t>Date :05/28/2026 &lt;Ticket picked for pre processing Option 45 Sku 45&gt; &lt;Piyali&gt;;Date :5/28/2026  &lt;Pre Processing query to Brand &lt;EAN Code, Manufacture’s details, packer’s details&gt;&gt; &lt;Piyali Bose&gt; ;Image deliver - Date :05/29/2026 &lt;Images Delivered Processed Options 45 Rejected Options 0&gt; &lt;Moumita&gt;;[^Summary.zip]
[^UCW-31962_Post Upload Status_V.2 (1).xlsx]
Date :5/29/2026 &lt;Ticket has been successfully uploaded in our system. Option 42 Sku 42&gt; &lt;Piyali Bose&gt;</t>
  </si>
  <si>
    <t>UCW-31961</t>
  </si>
  <si>
    <t>Vaseline Gluta Hya Lip Serum code creation</t>
  </si>
  <si>
    <t>Vasaline</t>
  </si>
  <si>
    <t xml:space="preserve">Date :05/28/2026 &lt;Ticket picked for pre processing Option 5 Sku 5&gt; &lt;Tania&gt;;Date :05/29/2026 &lt;Images Delivered Processed Options 4 Rejected Options 0&gt; &lt;Moumita&gt;;Date :05/29/2026&lt;Ticket picked for Production and QC review Option 4 SKU 4&gt; &lt;Tania&gt;
Date :05/29/2026&lt;Ticket has been successfully uploaded in our system. Option 4 SKU 4&gt; &lt;Tania&gt;;We have successfully uploaded this batch. Please find the attached summary sheet and summary report.[^UCW-31961_Post Upload Status.xlsx] [^ProductBulkUpload_125928_Beauty__Grooming(MPH22)_Makeup(MPH2214)_Lips(MPH2214102)_Lip_Gloss(MPH2214102102)_33887_1780042842098_20260.csv] </t>
  </si>
  <si>
    <t>UCW-31960</t>
  </si>
  <si>
    <t>CLONE - Foxtale X Tata Cliq Brightening Moisturizer 50ml Listing</t>
  </si>
  <si>
    <t>We have successfully uploaded this batch. Please find the attached summary sheet and summary report.[^UCW-31960_Post Upload Status.xlsx] [^ProductBulkUpload_128628_Beauty__Grooming(MPH22)_Skin_Care(MPH2216)_Moisturizers_and_Serums(MPH2216103)_Other_Moisterizers(MPH221610.csv] ;Date :05/28/2026&lt;Ticket has been successfully uploaded in our system. Option1 SKU 1&gt; &lt;Tania&gt;;[^Post Upload Status.xlsx]
{adf:display=block}
{"type":"table","attrs":{"isNumberColumnEnabled":false,"layout":"center","localId":"b0b0470a-f1a1-47f0-972d-5995af2900c5"},"content":[{"type":"tableRow","content":[{"type":"tableCell","attrs":{},"content":[{"type":"paragraph","content":[{"type":"text","text":"Ticket ID"}]}]},{"type":"tableCell","attrs":{"colspan":2},"content":[{"type":"paragraph","content":[{"type":"text","text":"UCW-31960"}]}]}]},{"type":"tableRow","content":[{"type":"tableCell","attrs":{},"content":[{"type":"paragraph","content":[{"type":"text","text":"Brand Name"}]}]},{"type":"tableCell","attrs":{"colspan":2},"content":[{"type":"paragraph","content":[{"type":"text","text":"Foxtale"}]}]}]},{"type":"tableRow","content":[{"type":"tableCell","attrs":{},"content":[{"type":"paragraph","content":[{"type":"text","text":"Platform"}]}]},{"type":"tableCell","attrs":{"colspan":2},"content":[{"type":"paragraph","content":[{"type":"text","text":"Mall"}]}]}]},{"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type":"tableCell","attrs":{},"content":[{"type":"paragraph","content":[{"type":"text","text":"1"}]}]}]},{"type":"tableRow","content":[{"type":"tableCell","attrs":{},"content":[{"type":"paragraph","content":[{"type":"text","text":"Uploaded"}]}]},{"type":"tableCell","attrs":{},"content":[{"type":"paragraph","content":[{"type":"text","text":"1"}]}]},{"type":"tableCell","attrs":{},"content":[{"type":"paragraph","content":[{"type":"text","text":"1"}]}]}]},{"type":"tableRow","content":[{"type":"tableCell","attrs":{},"content":[{"type":"paragraph","content":[{"type":"text","text":"LIDs Shared"}]}]},{"type":"tableCell","attrs":{},"content":[{"type":"paragraph","content":[{"type":"text","text":"1"}]}]},{"type":"tableCell","attrs":{},"content":[{"type":"paragraph","content":[{"type":"text","text":"1"}]}]}]}]}
{adf}</t>
  </si>
  <si>
    <t>UCW-31941</t>
  </si>
  <si>
    <t>ERROR_Fame Forever by Lifestyle Size Missing for Shorts</t>
  </si>
  <si>
    <t>PDP/PLP QC</t>
  </si>
  <si>
    <t>Fame Forever by Lifestyle</t>
  </si>
  <si>
    <t>Date :05/28/2026 &lt;Ticket picked for pre processing Option 0 Sku 0&gt; &lt;Debabrata&gt;;Date :05/28/2026 &lt;Size chart Query to CCMT &lt;Size chart grid not available&gt;&gt; &lt;Debabrata&gt;;As discussed, we proceeded with the brand official website size chart reference for creation of the new code, as confirmed by you. L1 has been raised for the new code creation.
Tech Ticket: [https://tatacliqhelpdesk.freshservice.com/support/tickets/215137|https://tatacliqhelpdesk.freshservice.com/support/tickets/215137]
Code: 
FAMEFOREVER_WOMEN_SHORTS_NS
FAMEFOREVERBYLIFESTYLE_GIRLS_SHORTS_NS</t>
  </si>
  <si>
    <t>UCW-31939</t>
  </si>
  <si>
    <t>ERROR_Fame Forever by Lifestyle Size Missing for Joggers.</t>
  </si>
  <si>
    <t>* Date :05/28/2026 &lt;Ticket picked for pre processing Option 0 Sku 0&gt; &lt;Debabrata&gt;
** ;Date :05/28/2026 &lt;Size chart Query to CCMT &lt;Size chart grid not available&gt;&gt; &lt;Debabrata&gt;;As discussed, we proceeded with the brand official website size chart reference for creation of the new code, as confirmed by you. L1 has been raised for the new code creation.
Tech Ticket: [https://tatacliqhelpdesk.freshservice.com/support/tickets/215137|https://tatacliqhelpdesk.freshservice.com/support/tickets/215137]
Code: FAMEFOREVER_WOMEN_JOGGERS_NS</t>
  </si>
  <si>
    <t>UCW-31931</t>
  </si>
  <si>
    <t>CLONE - New Listing / Tata Cliq / 09.04.2026</t>
  </si>
  <si>
    <t>[^UCW-31931_Post Upload Status_V.2 (1).xlsx]
[^Summary (c2d16a03-5b7e-4a61-9579-b9dd4322770b).zip]
Date : 5/27/2026 &lt;Ticket has been successfully uploaded in our system. Option 11 Sku 11 &gt; &lt;Piyali Bose&gt;;[^UCW-31931.xlsx]
Hi [@Dedhia, Parin ext. /NIVEA BOM|mailto:Parin.Dedhia.external@Beiersdorf.com],
Please find attached the sheet, where 11 options have been listed. Kindly update the price and inventory, and share the summary once completed.
{adf:display=block}
{"type":"table","attrs":{"isNumberColumnEnabled":false,"layout":"center","localId":"30586845-83ed-480a-aeba-8a294314c4a3"},"content":[{"type":"tableRow","content":[{"type":"tableCell","attrs":{"background":"#44b3e1"},"content":[{"type":"paragraph","content":[{"type":"text","text":"Ticket ID","marks":[{"type":"strong"}]}]}]},{"type":"tableCell","attrs":{"colspan":2,"background":"#44b3e1"},"content":[{"type":"paragraph","content":[{"type":"text","text":"UCW-31931","marks":[{"type":"strong"}]}]}]}]},{"type":"tableRow","content":[{"type":"tableCell","attrs":{"background":"#44b3e1"},"content":[{"type":"paragraph","content":[{"type":"text","text":"Brand Name","marks":[{"type":"strong"}]}]}]},{"type":"tableCell","attrs":{"colspan":2,"background":"#44b3e1"},"content":[{"type":"paragraph","content":[{"type":"text","text":"Nive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type":"tableCell","attrs":{"background":"white"},"content":[{"type":"paragraph","content":[{"type":"text","text":"11"}]}]}]},{"type":"tableRow","content":[{"type":"tableCell","attrs":{"background":"white"},"content":[{"type":"paragraph","content":[{"type":"text","text":"Uploaded"}]}]},{"type":"tableCell","attrs":{"background":"white"},"content":[{"type":"paragraph","content":[{"type":"text","text":"11"}]}]},{"type":"tableCell","attrs":{"background":"white"},"content":[{"type":"paragraph","content":[{"type":"text","text":"11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11"}]}]},{"type":"tableCell","attrs":{"background":"white"},"content":[{"type":"paragraph","content":[{"type":"text","text":"11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</si>
  <si>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UCW-31910</t>
  </si>
  <si>
    <t>[https://tatacliqhelpdesk.freshservice.com/support/tickets/214871|https://tatacliqhelpdesk.freshservice.com/support/tickets/214871] Stuck in Rejected_UCW-26045 Mall_27-05-2026
[https://tatacliqhelpdesk.freshservice.com/support/tickets/214872|https://tatacliqhelpdesk.freshservice.com/support/tickets/214872] Stuck in Rejected_UCW-26045 LUX_27-05-2026</t>
  </si>
  <si>
    <t>UCW-31902</t>
  </si>
  <si>
    <t>CLONE: E2E - Monkstory - FTW - 21st May - 36 SKUs</t>
  </si>
  <si>
    <t>Date :27-05-2026 - 86 SKUs- Amandeep;Date :27-05-2026 &lt;Ticket picked for pre processing 86 SKUs&gt; &lt;Ankita&gt;;Date :28-05-2026 &lt;Pre Processing query to Brand &lt;Image query-image NA, Size chart&gt;&gt; &lt;Ankita&gt;;Date :28-05-2026&lt;Ticket is currently under size guide validation Option 14 Sku 86&gt; &lt;Ankita&gt;;[+https://tatacliqhelpdesk.freshservice.com/support/tickets/215025+|https://tatacliqhelpdesk.freshservice.com/support/tickets/215025];Date :29-05-2026 &lt;Ticket has been successfully uploaded in our system. Option 14 Sku 86&gt; &lt;Ankita&gt;[^UCW-31902_Post Upload Status_V.2 (1).xlsx] [^Summary.zip] ;[^UCW-31902_LID.xlsx]
Hi [@A.Mithya Sri|mailto:mitya.marketplace@monkstory.com],
Please find attached the sheet, where 14 options have been listed. Kindly update the price and inventory, and share the summary once completed.
{adf:display=block}
{"type":"table","attrs":{"isNumberColumnEnabled":false,"layout":"center","localId":"d8010843-913b-4372-947e-c8a75c265274"},"content":[{"type":"tableRow","content":[{"type":"tableCell","attrs":{"background":"#44b3e1"},"content":[{"type":"paragraph","content":[{"type":"text","text":"Ticket ID","marks":[{"type":"strong"}]}]}]},{"type":"tableCell","attrs":{"colspan":2,"background":"#44b3e1"},"content":[{"type":"paragraph","content":[{"type":"text","text":"UCW-31902","marks":[{"type":"strong"}]}]}]}]},{"type":"tableRow","content":[{"type":"tableCell","attrs":{"background":"#44b3e1"},"content":[{"type":"paragraph","content":[{"type":"text","text":"Brand Name","marks":[{"type":"strong"}]}]}]},{"type":"tableCell","attrs":{"colspan":2,"background":"#44b3e1"},"content":[{"type":"paragraph","content":[{"type":"text","text":"Monkstory","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86"}]}]},{"type":"tableCell","attrs":{"background":"white"},"content":[{"type":"paragraph","content":[{"type":"text","text":"14"}]}]}]},{"type":"tableRow","content":[{"type":"tableCell","attrs":{"background":"white"},"content":[{"type":"paragraph","content":[{"type":"text","text":"Uploaded"}]}]},{"type":"tableCell","attrs":{"background":"white"},"content":[{"type":"paragraph","content":[{"type":"text","text":"86"}]}]},{"type":"tableCell","attrs":{"background":"white"},"content":[{"type":"paragraph","content":[{"type":"text","text":"14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86"}]}]},{"type":"tableCell","attrs":{"background":"white"},"content":[{"type":"paragraph","content":[{"type":"text","text":"14"}]}]}]},{"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</si>
  <si>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UCW-31900</t>
  </si>
  <si>
    <t xml:space="preserve"> New catalogue for listing  25.05.2026</t>
  </si>
  <si>
    <t>Dual Listing</t>
  </si>
  <si>
    <t>Date :27-05-2026-Platform- seller code- style code - EAN confirmation- query shared with brand- Skus -1327 - Amandeep;Date :27-05-2026- 224 Preprocessing Option -1327 Skus - Amandeep.;Date :27-05-2026 &lt;Pre Processing query to Brand &lt;Size chart for Men, Image NA - access needed&gt;&gt; &lt;Ankita Kundu&gt;;Date :28-05-2026 &lt; Pre Processing query to Brand 1st Follow Up&gt; &lt;Ankita Kundu&gt;;Date :05/28/2026 &lt;Ticket has been partially uploaded in our system (Women’s). Dual Listing - Option: 208 SKU: 1242&gt; &lt;Men’s pending - L1 Raised - Size Chart Code creation&gt;&lt;Sanjana Ghosh&gt;
PFA the post upload status and summary file: [^LUX Summary Women's.zip] [^MP Summary Women's.zip] [^UCW-31900 - Post Upload Status .xlsx] ;Date :05/29/2026 &lt;Ticket has been successfully uploaded in our system. Option: 225  SKU: 1327&gt; &lt;Sanjana Ghosh&gt;
PFA the post upload status and summary file: [^LUX Summary.zip] [^MP Summary.zip] [^UCW-31900 - Post Upload Status  (d12360de-27be-47bf-b1e2-5d577c037c42).xlsx] ;[^UCW-31900_LID.xlsx]
Hi [@Naveen|mailto:naveen@saintgshoes.com],
Please find attached the sheet, where 67 options on Luxury 113 options on  Mall have been listed. Kindly update the price and inventory, and share the summary once completed.
{adf:display=block}
{"type":"table","attrs":{"isNumberColumnEnabled":false,"layout":"center","localId":"9c07bb13-fda6-4618-b996-b6e20ab52fd9"},"content":[{"type":"tableRow","content":[{"type":"tableCell","attrs":{"background":"#4d93d9"},"content":[{"type":"paragraph","content":[{"type":"text","text":"Ticket ID","marks":[{"type":"strong"}]}]}]},{"type":"tableCell","attrs":{"colspan":4,"background":"#4d93d9"},"content":[{"type":"paragraph","content":[{"type":"text","text":"UCW-31900","marks":[{"type":"strong"}]}]}]}]},{"type":"tableRow","content":[{"type":"tableCell","attrs":{"background":"#4d93d9"},"content":[{"type":"paragraph","content":[{"type":"text","text":"Brand Name","marks":[{"type":"strong"}]}]}]},{"type":"tableCell","attrs":{"colspan":4,"background":"#4d93d9"},"content":[{"type":"paragraph","content":[{"type":"text","text":"Saint G","marks":[{"type":"strong"}]}]}]}]},{"type":"tableRow","content":[{"type":"tableCell","attrs":{"background":"#ace5fe"},"content":[{"type":"paragraph","content":[{"type":"text","text":"Platform","marks":[{"type":"strong"}]}]}]},{"type":"tableCell","attrs":{"colspan":2,"background":"#ace5fe"},"content":[{"type":"paragraph","content":[{"type":"text","text":"Luxury","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1327"}]}]},{"type":"tableCell","attrs":{"background":"white"},"content":[{"type":"paragraph","content":[{"type":"text","text":"225"}]}]},{"type":"tableCell","attrs":{"background":"white"},"content":[{"type":"paragraph","content":[{"type":"text","text":"1327"}]}]},{"type":"tableCell","attrs":{"background":"white"},"content":[{"type":"paragraph","content":[{"type":"text","text":"225"}]}]}]},{"type":"tableRow","content":[{"type":"tableCell","attrs":{"background":"white"},"content":[{"type":"paragraph","content":[{"type":"text","text":"Uploaded"}]}]},{"type":"tableCell","attrs":{"background":"white"},"content":[{"type":"paragraph","content":[{"type":"text","text":"1327"}]}]},{"type":"tableCell","attrs":{"background":"white"},"content":[{"type":"paragraph","content":[{"type":"text","text":"225"}]}]},{"type":"tableCell","attrs":{"background":"white"},"content":[{"type":"paragraph","content":[{"type":"text","text":"1327"}]}]},{"type":"tableCell","attrs":{"background":"white"},"content":[{"type":"paragraph","content":[{"type":"text","text":"225"}]}]}]},{"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366"}]}]},{"type":"tableCell","attrs":{"background":"white"},"content":[{"type":"paragraph","content":[{"type":"text","text":"67"}]}]},{"type":"tableCell","attrs":{"background":"white"},"content":[{"type":"paragraph","content":[{"type":"text","text":"646"}]}]},{"type":"tableCell","attrs":{"background":"white"},"content":[{"type":"paragraph","content":[{"type":"text","text":"113"}]}]}]},{"type":"tableRow","content":[{"type":"tableCell","attrs":{"background":"white"},"content":[{"type":"paragraph","content":[{"type":"text","text":"LIDs Stuck in the System"}]}]},{"type":"tableCell","attrs":{"background":"white"},"content":[{"type":"paragraph","content":[{"type":"text","text":"961"}]}]},{"type":"tableCell","attrs":{"background":"white"},"content":[{"type":"paragraph","content":[{"type":"text","text":"158"}]}]},{"type":"tableCell","attrs":{"background":"white"},"content":[{"type":"paragraph","content":[{"type":"text","text":"681"}]}]},{"type":"tableCell","attrs":{"background":"white"},"content":[{"type":"paragraph","content":[{"type":"text","text":"112"}]}]}]}]}
{adf}
Regards,
Team Netscribes</t>
  </si>
  <si>
    <t>CDG Style A09878C, A09870C Migration on Tata Cliq Luxury.</t>
  </si>
  <si>
    <t>27/05/2026 &lt;Pre Processing query to Brand &lt;fashion Seller code Confirmation Needed and HSN Code Needed&gt;&gt; &lt;Anjalita&gt;;27/05/2026 &lt;SKU were already listed in 129318 attached LIDs for your reference.&gt;&gt; &lt;Anjalita&gt;</t>
  </si>
  <si>
    <t>Urgent - Under Armour Footwear (128047)-25/05/2026</t>
  </si>
  <si>
    <t xml:space="preserve">Date :05/26/2026 &lt;E2E Dual Listing - SKU: 49&gt; &lt;Sanjana Ghosh&gt;;Date :05/26/2026  &lt;Ticket picked for pre processing Option: 7  SKU: 49&gt; &lt;Sanjana Ghosh&gt;;Date :05/26/2026  &lt;Pre Processing query to Brand &lt;Packer’s Details and Size Chart&gt;&gt; &lt;Sanjana Ghosh&gt; ;Date : 05/27/2026&lt;Ticket picked for Production and QC review Option: 7  SKU: 49&gt; &lt;Ankita Kundu&gt;;Date :05/27/2026 &lt;Ticket is currently under size guide validation Option: 7  SKU: 49&gt; &lt;Ankita Kundu&gt;;Date :05/27/2026 &lt;Ticket has been successfully uploaded in our system. Option 3 Sku 19&gt; &lt;Ankita Kundu&gt;[^Summary.zip] [^UCW-31875_Post Upload Status_V.2 (1).xlsx] </t>
  </si>
  <si>
    <t>CLONE - Hoversoul Listing   - Nityanikar 09 Dec 2025</t>
  </si>
  <si>
    <t>Date :05/26/2026 &lt;Ticket has been successfully uploaded in our system. Option 5 Sku 28&gt; &lt;Ankita Kundu&gt;[^UCW-31872_Post Upload Status_V.2 (1).xlsx] [^summary.zip] ;[^UCW-31872_LID.xlsx]
Hi [@santosh.vrkud@ucholding.in|mailto:santosh.vrkud@ucholding.in],
Please find attached the sheet, where 5 options have been listed. Kindly update the price and inventory, and share the summary once completed.
{adf:display=block}
{"type":"table","attrs":{"isNumberColumnEnabled":false,"layout":"center","localId":"59abdb36-fa1e-49f2-97a2-3196cd55ee5d"},"content":[{"type":"tableRow","content":[{"type":"tableCell","attrs":{"background":"#44b3e1"},"content":[{"type":"paragraph","content":[{"type":"text","text":"Ticket ID","marks":[{"type":"strong"}]}]}]},{"type":"tableCell","attrs":{"colspan":2,"background":"#44b3e1"},"content":[{"type":"paragraph","content":[{"type":"text","text":"UCW-31872","marks":[{"type":"strong"}]}]}]}]},{"type":"tableRow","content":[{"type":"tableCell","attrs":{"background":"#44b3e1"},"content":[{"type":"paragraph","content":[{"type":"text","text":"Brand Name","marks":[{"type":"strong"}]}]}]},{"type":"tableCell","attrs":{"colspan":2,"background":"#44b3e1"},"content":[{"type":"paragraph","content":[{"type":"text","text":"Hoversoul","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28"}]}]},{"type":"tableCell","attrs":{"background":"white"},"content":[{"type":"paragraph","content":[{"type":"text","text":"5"}]}]}]},{"type":"tableRow","content":[{"type":"tableCell","attrs":{"background":"white"},"content":[{"type":"paragraph","content":[{"type":"text","text":"Uploaded"}]}]},{"type":"tableCell","attrs":{"background":"white"},"content":[{"type":"paragraph","content":[{"type":"text","text":"28"}]}]},{"type":"tableCell","attrs":{"background":"white"},"content":[{"type":"paragraph","content":[{"type":"text","text":"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28"}]}]},{"type":"tableCell","attrs":{"background":"white"},"content":[{"type":"paragraph","content":[{"type":"text","text":"5"}]}]}]},{"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</si>
  <si>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Asian Footwear Listing 25 May 2026</t>
  </si>
  <si>
    <t>Date :05/26/2026 &lt;E2E Listing - SKU: 230&gt; &lt;Sanjana Ghosh&gt;;Date :05/26/2026  &lt;Ticket picked for pre processing Option: 46 SKU: 230&gt; &lt;Sanjana Ghosh&gt;;Date :05/27/2026 &lt;Ticket picked for Production and QC review Option 46 Sku 230&gt; &lt;Ishani Pal&gt;;Date :05/27/2026 &lt;Ticket has been successfully uploaded in our system. Option  46 Sku 230&gt; &lt;Ishani Pal&gt;
[^Post Upload Status_V.2 (1) (1).xlsx]
[^Summary.zip]
;[^UCW-31870_LID.xlsx] 
Hi [@ASIAN ACC|mailto:asianhome13@gmail.com],
Please find attached the sheet, where 46 options have been listed. Kindly update the price and inventory, and share the summary once completed.
{adf:display=block}
{"type":"table","attrs":{"isNumberColumnEnabled":false,"layout":"center","localId":"df2cf0ac-8400-48a7-9507-8cde7b02f49c"},"content":[{"type":"tableRow","content":[{"type":"tableCell","attrs":{"background":"#44b3e1"},"content":[{"type":"paragraph","content":[{"type":"text","text":"Ticket ID","marks":[{"type":"strong"}]}]}]},{"type":"tableCell","attrs":{"colspan":2,"background":"#44b3e1"},"content":[{"type":"paragraph","content":[{"type":"text","text":"UCW-31870","marks":[{"type":"strong"}]}]}]}]},{"type":"tableRow","content":[{"type":"tableCell","attrs":{"background":"#44b3e1"},"content":[{"type":"paragraph","content":[{"type":"text","text":"Brand Name","marks":[{"type":"strong"}]}]}]},{"type":"tableCell","attrs":{"colspan":2,"background":"#44b3e1"},"content":[{"type":"paragraph","content":[{"type":"text","text":"Asia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230"}]}]},{"type":"tableCell","attrs":{"background":"white"},"content":[{"type":"paragraph","content":[{"type":"text","text":"46"}]}]}]},{"type":"tableRow","content":[{"type":"tableCell","attrs":{"background":"white"},"content":[{"type":"paragraph","content":[{"type":"text","text":"Uploaded"}]}]},{"type":"tableCell","attrs":{"background":"white"},"content":[{"type":"paragraph","content":[{"type":"text","text":"230"}]}]},{"type":"tableCell","attrs":{"background":"white"},"content":[{"type":"paragraph","content":[{"type":"text","text":"46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230"}]}]},{"type":"tableCell","attrs":{"background":"white"},"content":[{"type":"paragraph","content":[{"type":"text","text":"46"}]}]}]},{"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</si>
  <si>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CLONE - Woodland / Footwear / 2714 sku's / 377 Options / 29-04-26</t>
  </si>
  <si>
    <t>Date :05/26/2026 &lt;Identified issues after uploading the products in system&gt;&lt;SFA, SAD&gt;&lt;L1 shared below &gt;&lt;Debabrata&gt;
[https://tatacliqhelpdesk.freshservice.com/support/tickets/214746|https://tatacliqhelpdesk.freshservice.com/support/tickets/214746] Stuck in Save As Draft_Woodlands_Marketplace_26-05-2026
[https://tatacliqhelpdesk.freshservice.com/support/tickets/214750|https://tatacliqhelpdesk.freshservice.com/support/tickets/214750] Stuck in SFA_Woodlands_Marketplace_26-05-2026</t>
  </si>
  <si>
    <t xml:space="preserve">Date :05/26/2026 &lt;E2E Listing - SKU: 36&gt; &lt;Sanjana Ghosh&gt; ;Date :05/26/2026  &lt;Ticket picked for pre processing Option: 6  SKU: 36&gt; &lt;Sanjana Ghosh&gt;;Date :05/26/2026  &lt;Already Listed Option: 6  SKU: 36&gt; &lt;Sanjana Ghosh&gt;
PFA the LIDs - [^36 SKUs Already Listed.xlsx] </t>
  </si>
  <si>
    <t xml:space="preserve">Date :05/26/2026 &lt;Ticket picked for pre processing Option XXX Sku XXX&gt; &lt;Biplab&gt;;We have completed the dual listing for the footwear category under seller code 128174. However, additional SKUs are already present at different stages for the same seller code. Please find the attached sheet for your reference. Once the LID is generated for the successful SKUs, we will update you accordingly.
{adf:display=block}
{"type":"table","attrs":{"isNumberColumnEnabled":false,"layout":"center","localId":"454b39b7-6509-4d0b-a75d-4d3c9e0e303d"},"content":[{"type":"tableRow","content":[{"type":"tableCell","attrs":{},"content":[{"type":"paragraph","content":[{"type":"text","text":"Ticket ID"}]}]},{"type":"tableCell","attrs":{"colspan":2},"content":[{"type":"paragraph","content":[{"type":"text","text":"UCW-31831"}]}]}]},{"type":"tableRow","content":[{"type":"tableCell","attrs":{},"content":[{"type":"paragraph","content":[{"type":"text","text":"Brand Name"}]}]},{"type":"tableCell","attrs":{"colspan":2},"content":[{"type":"paragraph","content":[{"type":"text","text":"Skechers"}]}]}]},{"type":"tableRow","content":[{"type":"tableCell","attrs":{},"content":[{"type":"paragraph","content":[{"type":"text","text":"Platform"}]}]},{"type":"tableCell","attrs":{"colspan":2},"content":[{"type":"paragraph","content":[{"type":"text","text":"Luxury"}]}]}]},{"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649"}]}]},{"type":"tableCell","attrs":{},"content":[{"type":"paragraph","content":[{"type":"text","text":"124"}]}]}]},{"type":"tableRow","content":[{"type":"tableCell","attrs":{},"content":[{"type":"paragraph","content":[{"type":"text","text":"Not Uploaded"}]}]},{"type":"tableCell","attrs":{},"content":[{"type":"paragraph","content":[{"type":"text","text":"641"}]}]},{"type":"tableCell","attrs":{},"content":[{"type":"paragraph","content":[{"type":"text","text":"118"}]}]}]},{"type":"tableRow","content":[{"type":"tableCell","attrs":{},"content":[{"type":"paragraph","content":[{"type":"text","text":"Uploaded"}]}]},{"type":"tableCell","attrs":{},"content":[{"type":"paragraph","content":[{"type":"text","text":"8"}]}]},{"type":"tableCell","attrs":{},"content":[{"type":"paragraph","content":[{"type":"text","text":"6"}]}]}]}]}
{adf}
[^Summery.zip]
[^Status of UCW-31831.xlsx]
;The LID has been generated successfully for most SKUs; however, a few SKUs are still pending. Therefore, we have retriggered the pending SKUs from our end.
For now, we are closing this ticket. If the LID is not generated for the remaining 3 SKUs, we will raise an L1 request and update you accordingly.
[^Status of UCW-31831 (b9f70a37-a78d-487a-a3d5-0c5e1c2c9544).xlsx]
</t>
  </si>
  <si>
    <t>Date :05/26/2026  &lt;Ticket picked for pre processing Option: 8  Sku: 8&gt; &lt;Sanjana Ghosh&gt;;Date :05/26/2026  &lt;Pre Processing query to Brand &lt;HSN Code, GLOBAL_IDENTIFIER_VALUE, Number Of Shipments (Refer LOV List) and Battery Type&gt;&gt; &lt;Sanjana Ghosh&gt; ;Date :05/26/2026 &lt;Ticket has been successfully uploaded in our system. Option: 8  SKU: 8&gt; &lt;Sanjana Ghosh&gt;
PFA the Summary file and Post upload status - [^Summary.zip] [^UCW-31811 - Post Upload Status .xlsx] ;[^UCW-31811_LID.xlsx]
Hi [@Flexnest | Catalog|mailto:catalog@theflexnest.com],
Please find attached the sheet, where 8 options have been listed. Kindly update the price and inventory, and share the summary once completed.
{adf:display=block}
{"type":"table","attrs":{"isNumberColumnEnabled":false,"layout":"center","localId":"551f34e6-e9bb-470f-8077-715034c564e1"},"content":[{"type":"tableRow","content":[{"type":"tableCell","attrs":{"background":"#44b3e1"},"content":[{"type":"paragraph","content":[{"type":"text","text":"Ticket ID","marks":[{"type":"strong"}]}]}]},{"type":"tableCell","attrs":{"colspan":2,"background":"#44b3e1"},"content":[{"type":"paragraph","content":[{"type":"text","text":"UCW-31811","marks":[{"type":"strong"}]}]}]}]},{"type":"tableRow","content":[{"type":"tableCell","attrs":{"background":"#44b3e1"},"content":[{"type":"paragraph","content":[{"type":"text","text":"Brand Name","marks":[{"type":"strong"}]}]}]},{"type":"tableCell","attrs":{"colspan":2,"background":"#44b3e1"},"content":[{"type":"paragraph","content":[{"type":"text","text":"FLEXNEST","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type":"tableCell","attrs":{"background":"white"},"content":[{"type":"paragraph","content":[{"type":"text","text":"8"}]}]}]},{"type":"tableRow","content":[{"type":"tableCell","attrs":{"background":"white"},"content":[{"type":"paragraph","content":[{"type":"text","text":"Uploaded"}]}]},{"type":"tableCell","attrs":{"background":"white"},"content":[{"type":"paragraph","content":[{"type":"text","text":"8"}]}]},{"type":"tableCell","attrs":{"background":"white"},"content":[{"type":"paragraph","content":[{"type":"text","text":"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8"}]}]},{"type":"tableCell","attrs":{"background":"white"},"content":[{"type":"paragraph","content":[{"type":"text","text":"8"}]}]}]},{"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</si>
  <si>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Date :05/25/26 &lt;Pre Processing query to Brand &lt;Duplicate EAN found, query raised for revised EAN&gt;&gt; &lt;Tania&gt;;Date :05/25/26 &lt;Pre Processing query to Brand &lt;Title mismatches with Descriptions and Images, query raised for revised Image, Title and Descriptions&gt;&gt; &lt;Tania&gt;;Date :05/27/2026 &lt; Pre Processing query to Brand 1st Follow Up&gt; &lt;Tania&gt;;Date :05/28/2026 &lt;Ticket has been successfully uploaded in our system. Option 64 Sku 60&gt; &lt;Tania&gt;;We have successfully uploaded this batch. Please find the attached summary sheet and summary report.[^UCW-31805_Post Upload Status.xlsx] [^PRODUC~1.CSV] ;[^UCW-31805_LID.xlsx]
Hi @priya@sharaya.in,
Please find attached the sheet, where 60 options have been listed. Kindly update the price and inventory, and share the summary once completed.
{color:#ffffff}__{color}
{adf:display=block}
{"type":"table","attrs":{"isNumberColumnEnabled":false,"layout":"center","localId":"1cb4ee41-82ce-4885-b729-77d1c912bd3a"},"content":[{"type":"tableRow","content":[{"type":"tableCell","attrs":{"background":"#44b3e1"},"content":[{"type":"paragraph","content":[{"type":"text","text":"Ticket ID","marks":[{"type":"strong"}]}]}]},{"type":"tableCell","attrs":{"colspan":2,"background":"#44b3e1"},"content":[{"type":"paragraph","content":[{"type":"text","text":"UCW-31805","marks":[{"type":"strong"}]}]}]}]},{"type":"tableRow","content":[{"type":"tableCell","attrs":{"background":"#44b3e1"},"content":[{"type":"paragraph","content":[{"type":"text","text":"Brand Name","marks":[{"type":"strong"}]}]}]},{"type":"tableCell","attrs":{"colspan":2,"background":"#44b3e1"},"content":[{"type":"paragraph","content":[{"type":"text","text":"Lattaf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64"}]}]},{"type":"tableCell","attrs":{"background":"white"},"content":[{"type":"paragraph","content":[{"type":"text","text":"64"}]}]}]},{"type":"tableRow","content":[{"type":"tableCell","attrs":{"background":"white"},"content":[{"type":"paragraph","content":[{"type":"text","text":"Uploaded"}]}]},{"type":"tableCell","attrs":{"background":"white"},"content":[{"type":"paragraph","content":[{"type":"text","text":"60"}]}]},{"type":"tableCell","attrs":{"background":"white"},"content":[{"type":"paragraph","content":[{"type":"text","text":"60"}]}]}]},{"type":"tableRow","content":[{"type":"tableCell","attrs":{"background":"white"},"content":[{"type":"paragraph","content":[{"type":"text","text":"Not Uploaded"}]}]},{"type":"tableCell","attrs":{"background":"white"},"content":[{"type":"paragraph","content":[{"type":"text","text":"4"}]}]},{"type":"tableCell","attrs":{"background":"white"},"content":[{"type":"paragraph","content":[{"type":"text","text":"4"}]}]}]},{"type":"tableRow","content":[{"type":"tableCell","attrs":{"background":"white"},"content":[{"type":"paragraph","content":[{"type":"text","text":"LIDs Shared"}]}]},{"type":"tableCell","attrs":{"background":"white"},"content":[{"type":"paragraph","content":[{"type":"text","text":"60"}]}]},{"type":"tableCell","attrs":{"background":"white"},"content":[{"type":"paragraph","content":[{"type":"text","text":"60"}]}]}]},{"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</si>
  <si>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E2E Relisting-SKU change</t>
  </si>
  <si>
    <t>Date :05/26/2026 &lt;Ticket picked for pre processing Option 10 Sku 10&gt; &lt;Anjalita&gt;;Date :26/05/2026 &lt;Pre Processing query to Brand &lt;Analysis answer and details needed&gt;&gt; &lt;Anjalita&gt;;Date :05/27/2026 &lt; Pre Processing query to Brand 1st Follow Up&gt; &lt;Monu&gt;;Date :05/29/2026 &lt; Closing ticket for Brand not Responding 1st Follow Up 26th May , 2nd Follow Up 27th, 3rd Follow up 28th&gt; &lt;Monu&gt;</t>
  </si>
  <si>
    <t>Date :5/26/2026  &lt;Pre Processing query to Brand &lt;Image Analysis &gt;&gt; &lt; Piyali Bose&gt; ;[^UCW-31799_Post Upload Status_V.2 (1).xlsx]
[^Summary.zip]
Date : 05/26/2026 &lt;Ticket has been successfully uploaded in our system. Option 18 Sku 18 &gt; &lt;Piyali Bose&gt;;[^UCW-31799_LID.xlsx]
Hi [@E-Commerce Mirasimo|mailto:ecommerce@mirasimofragrances.com],
Please find attached the sheet, where 18 options have been listed. 
{adf:display=block}
{"type":"table","attrs":{"isNumberColumnEnabled":false,"layout":"center","localId":"1922c885-4b81-4839-95fa-53b8275240a3"},"content":[{"type":"tableRow","content":[{"type":"tableCell","attrs":{"background":"#44b3e1"},"content":[{"type":"paragraph","content":[{"type":"text","text":"Ticket ID","marks":[{"type":"strong"}]}]}]},{"type":"tableCell","attrs":{"colspan":2,"background":"#44b3e1"},"content":[{"type":"paragraph","content":[{"type":"text","text":"UCW-31799","marks":[{"type":"strong"}]}]}]}]},{"type":"tableRow","content":[{"type":"tableCell","attrs":{"background":"#44b3e1"},"content":[{"type":"paragraph","content":[{"type":"text","text":"Brand Name","marks":[{"type":"strong"}]}]}]},{"type":"tableCell","attrs":{"colspan":2,"background":"#44b3e1"},"content":[{"type":"paragraph","content":[{"type":"text","text":"Gritti","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18"}]}]},{"type":"tableCell","attrs":{"background":"white"},"content":[{"type":"paragraph","content":[{"type":"text","text":"18"}]}]}]},{"type":"tableRow","content":[{"type":"tableCell","attrs":{"background":"white"},"content":[{"type":"paragraph","content":[{"type":"text","text":"Uploaded"}]}]},{"type":"tableCell","attrs":{"background":"white"},"content":[{"type":"paragraph","content":[{"type":"text","text":"18"}]}]},{"type":"tableCell","attrs":{"background":"white"},"content":[{"type":"paragraph","content":[{"type":"text","text":"18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18"}]}]},{"type":"tableCell","attrs":{"background":"white"},"content":[{"type":"paragraph","content":[{"type":"text","text":"18"}]}]}]},{"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</si>
  <si>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 xml:space="preserve">Date :05/25/2026 &lt;Ticket picked for Production and QC review Option 111 Sku 784&gt; &lt;Sanjana&gt;;Date :05/25/2026 &lt;Ticket has been successfully uploaded in our system. Option 770 Sku 110&gt; &lt;Ankita Kundu, Ishani Pal&gt;[^Post Upload Status_V.2 (1).xlsx] [^Summary.zip] ;[^UCW-31788_Updated LIDs.xlsx] 
{adf:display=block}
{"type":"table","attrs":{"isNumberColumnEnabled":false,"layout":"center","localId":"826dcbb1-b397-445a-b05e-dee852fae7e6"},"content":[{"type":"tableRow","content":[{"type":"tableCell","attrs":{"background":"#44b3e1"},"content":[{"type":"paragraph","content":[{"type":"text","text":"Ticket ID","marks":[{"type":"strong"}]}]}]},{"type":"tableCell","attrs":{"colspan":2,"background":"#44b3e1"},"content":[{"type":"paragraph","content":[{"type":"text","text":"UCW-31788","marks":[{"type":"strong"}]}]}]}]},{"type":"tableRow","content":[{"type":"tableCell","attrs":{"background":"#44b3e1"},"content":[{"type":"paragraph","content":[{"type":"text","text":"Brand Name","marks":[{"type":"strong"}]}]}]},{"type":"tableCell","attrs":{"colspan":2,"background":"#44b3e1"},"content":[{"type":"paragraph","content":[{"type":"text","text":"Woodland","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377"}]}]},{"type":"tableCell","attrs":{},"content":[{"type":"paragraph","content":[{"type":"text","text":"2714"}]}]}]},{"type":"tableRow","content":[{"type":"tableCell","attrs":{"background":"white"},"content":[{"type":"paragraph","content":[{"type":"text","text":"Uploaded"}]}]},{"type":"tableCell","attrs":{},"content":[{"type":"paragraph","content":[{"type":"text","text":"110"}]}]},{"type":"tableCell","attrs":{},"content":[{"type":"paragraph","content":[{"type":"text","text":"768"}]}]}]},{"type":"tableRow","content":[{"type":"tableCell","attrs":{"background":"white"},"content":[{"type":"paragraph","content":[{"type":"text","text":"LIDs Shared"}]}]},{"type":"tableCell","attrs":{},"content":[{"type":"paragraph","content":[{"type":"text","text":"110"}]}]},{"type":"tableCell","attrs":{},"content":[{"type":"paragraph","content":[{"type":"text","text":"768"}]}]}]},{"type":"tableRow","content":[{"type":"tableCell","attrs":{"background":"white"},"content":[{"type":"paragraph","content":[{"type":"text","text":"CUT size addition done - LIDs generated"}]}]},{"type":"tableCell","attrs":{},"content":[{"type":"paragraph","content":[{"type":"text","text":"2"}]}]},{"type":"tableCell","attrs":{},"content":[{"type":"paragraph","content":[{"type":"text","text":"60"}]}]}]},{"type":"tableRow","content":[{"type":"tableCell","attrs":{"background":"white"},"content":[{"type":"paragraph","content":[{"type":"text","text":"CUT size addition done Awaiting LIDs"}]}]},{"type":"tableCell","attrs":{},"content":[{"type":"paragraph","content":[{"type":"text","text":"-"}]}]},{"type":"tableCell","attrs":{},"content":[{"type":"paragraph","content":[{"type":"text","text":"1"}]}]}]},{"type":"tableRow","content":[{"type":"tableCell","attrs":{"background":"white"},"content":[{"type":"paragraph","content":[{"type":"text","text":"Already Listed"}]}]},{"type":"tableCell","attrs":{},"content":[{"type":"paragraph","content":[{"type":"text","text":"264"}]}]},{"type":"tableCell","attrs":{},"content":[{"type":"paragraph","content":[{"type":"text","text":"1849"}]}]}]},{"type":"tableRow","content":[{"type":"tableCell","attrs":{"background":"white"},"content":[{"type":"paragraph","content":[{"type":"text","text":"Brand asked to drop, Duplicate sku"}]}]},{"type":"tableCell","attrs":{},"content":[{"type":"paragraph","content":[{"type":"text","text":"-"}]}]},{"type":"tableCell","attrs":{},"content":[{"type":"paragraph","content":[{"type":"text","text":"7"}]}]}]},{"type":"tableRow","content":[{"type":"tableCell","attrs":{"background":"white"},"content":[{"type":"paragraph","content":[{"type":"text","text":"Save As Draft 2026 - L1 to be raised"}]}]},{"type":"tableCell","attrs":{},"content":[{"type":"paragraph","content":[{"type":"text","text":"-"}]}]},{"type":"tableCell","attrs":{},"content":[{"type":"paragraph","content":[{"type":"text","text":"1"}]}]}]},{"type":"tableRow","content":[{"type":"tableCell","attrs":{"background":"white"},"content":[{"type":"paragraph","content":[{"type":"text","text":"Stuck in Rejected"}]}]},{"type":"tableCell","attrs":{},"content":[{"type":"paragraph","content":[{"type":"text","text":"1"}]}]},{"type":"tableCell","attrs":{},"content":[{"type":"paragraph","content":[{"type":"text","text":"18"}]}]}]},{"type":"tableRow","content":[{"type":"tableCell","attrs":{"background":"white"},"content":[{"type":"paragraph","content":[{"type":"text","text":"Stuck in SFA - 2024 - L1 to be raised"}]}]},{"type":"tableCell","attrs":{},"content":[{"type":"paragraph","content":[{"type":"text","text":"-"}]}]},{"type":"tableCell","attrs":{},"content":[{"type":"paragraph","content":[{"type":"text","text":"2"}]}]}]},{"type":"tableRow","content":[{"type":"tableCell","attrs":{"background":"white"},"content":[{"type":"paragraph","content":[{"type":"text","text":"Stuck in SFA 25/05/2026 - Once the Validation report is generated we will retrigger these"}]}]},{"type":"tableCell","attrs":{},"content":[{"type":"paragraph","content":[{"type":"text","text":"-"}]}]},{"type":"tableCell","attrs":{},"content":[{"type":"paragraph","content":[{"type":"text","text":"8"}]}]}]}]}
{adf}
</t>
  </si>
  <si>
    <t>Date : 05/25/2026  &lt;Pre Processing query to Brand &lt;Packer’s Details, Full Ingredients List and Image &gt;&gt; &lt;Piyali Bose&gt; ;Date :5/26/2026 &lt; Pre Processing query to Brand 1st Follow Up&gt; &lt;Piyali Bose&gt;;Date :5/27/2026 &lt; Pre Processing query to Brand 2nd Follow Up&gt; &lt;Piyali Bose&gt;;Date : 5/28/2026 &lt; Pre Processing query to Brand 2nd Follow Up&gt; &lt;Piyali Bose&gt;;[^UCW-31767_Post Upload Status_V.2 (1).xlsx]
[^Summary.zip]
Date :5/28/2026 &lt;Ticket has been successfully uploaded in our system. Option 19 Sku 19 &gt; &lt;Piyali Bose&gt;;[^UCW-31767_LID.xlsx]
Hi [@Ritik Soulflower|mailto:Ritik@soulflower.in],
All the SKUs are currently stuck in the “Pending for Commission” stage. Kindly check and do the needful, as no action is required from our end.
We are closing the loop from our side.
{adf:display=block}
{"type":"table","attrs":{"isNumberColumnEnabled":false,"layout":"center","localId":"b45c1042-0cde-48a6-888a-908533ccb7fe"},"content":[{"type":"tableRow","content":[{"type":"tableCell","attrs":{"background":"#44b3e1"},"content":[{"type":"paragraph","content":[{"type":"text","text":"Ticket ID","marks":[{"type":"strong"}]}]}]},{"type":"tableCell","attrs":{"colspan":2,"background":"#44b3e1"},"content":[{"type":"paragraph","content":[{"type":"text","text":"UCW-31767","marks":[{"type":"strong"}]}]}]}]},{"type":"tableRow","content":[{"type":"tableCell","attrs":{"background":"#44b3e1"},"content":[{"type":"paragraph","content":[{"type":"text","text":"Brand Name","marks":[{"type":"strong"}]}]}]},{"type":"tableCell","attrs":{"colspan":2,"background":"#44b3e1"},"content":[{"type":"paragraph","content":[{"type":"text","text":"Soulflower","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19"}]}]},{"type":"tableCell","attrs":{"background":"white"},"content":[{"type":"paragraph","content":[{"type":"text","text":"19"}]}]}]},{"type":"tableRow","content":[{"type":"tableCell","attrs":{"background":"white"},"content":[{"type":"paragraph","content":[{"type":"text","text":"Uploaded"}]}]},{"type":"tableCell","attrs":{"background":"white"},"content":[{"type":"paragraph","content":[{"type":"text","text":"19"}]}]},{"type":"tableCell","attrs":{"background":"white"},"content":[{"type":"paragraph","content":[{"type":"text","text":"19"}]}]}]},{"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0"}]}]},{"type":"tableCell","attrs":{"background":"white"},"content":[{"type":"paragraph","content":[{"type":"text","text":"0"}]}]}]},{"type":"tableRow","content":[{"type":"tableCell","attrs":{"background":"white"},"content":[{"type":"paragraph","content":[{"type":"text","text":"LIDs Stuck in the System"}]}]},{"type":"tableCell","attrs":{"background":"white"},"content":[{"type":"paragraph","content":[{"type":"text","text":"19"}]}]},{"type":"tableCell","attrs":{"background":"white"},"content":[{"type":"paragraph","content":[{"type":"text","text":"19"}]}]}]}]}
{adf}
Regards,
Team Netscribes</t>
  </si>
  <si>
    <t>Platform Additon</t>
  </si>
  <si>
    <t>* 05/25/2026 &lt;pre process&gt; &lt;Anjalita&gt;
** ;05/25/2026 &lt;Pre Processing query to Brand &lt;Details Needed&gt;&gt; &lt;Anjalita&gt;;* 05/27/2026 &lt;Pre Processing query to Brand &lt;Details Needed&gt;&gt; &lt;Anjalita&gt;
* 3rd Reminder;Retriggered;L1 ticket raised- [https://tatacliqhelpdesk.freshservice.com/support/tickets/215096|https://tatacliqhelpdesk.freshservice.com/support/tickets/215096];The given LIDs were associated with the seller code – 126012, which is currently delisted. Due to this, we are unable to select the L1 to L4 options in SKU Edit and retrigger the process.
Since this seller code is the primary seller code, the required changes will not reflect on the PDP unless the seller code issue is resolved. Hence closing this batch.</t>
  </si>
  <si>
    <t>Retrigger Image</t>
  </si>
  <si>
    <t>05/25/2026 &lt;pre process&gt; &lt;Anjalita&gt;;05/26/2026 &lt;Pre Processing query to Brand &lt;Platform confirmation,Details Neededa and one primary seller code is unable to login&gt;&gt; &lt;Anjalita&gt;;Retriggered;L1 ticket raised- [https://tatacliqhelpdesk.freshservice.com/support/tickets/215096|https://tatacliqhelpdesk.freshservice.com/support/tickets/215096];Out of the 10 SKUs, 7 SKUs have been successfully updated. Please find the screenshot attached for reference.
However, the remaining 3 SKUs have the primary seller code – 126012, which is currently delisted. Due to this, we are unable to select the L1 to L4 options in SKU Edit and retrigger the process.
Without the primary seller code, the images will not get updated on the site. </t>
  </si>
  <si>
    <t>Date : 26th May 2026, Pre-Processing Done ( Brand to Query for Bracelet Size )-Mousumi.
Date : 26th May 2026 ,production Done -Mousumi.
Date : 26th May 2026 Images Done -Nitish
Date : 26th May 2026 Description Done Khushnuma.; Date: 29th May 2026 , As we have not received a response from your end, we will be proceeding with the closure of this ticket.
Once we receive your response, we will be happy to create a clone ticket upon your request and continue with the next steps.
Your brand is important to us, and we look forward to supporting you further.</t>
  </si>
  <si>
    <t>As discussed [@Reagan D’souza|mailto:rdsouza_t@tataunistore.com] Please share the updated tittle which need to be updated.;Retriggered;1 SKU data shared by Brand again Retriggered;Changes has been reflected</t>
  </si>
  <si>
    <t>Date :05/25/2026 &lt;Ticket picked for pre processing Option 14 Sku 14&gt; &lt;Monu Saha&gt;;[^Status UCW-31757 (691ff538-dedd-4871-8cd0-609e4f37e160).xlsx]
[^Retriggered 1.zip]
Date :05/27/2026 &lt;Ticket Closed Option 14 Sku 14&gt; &lt;Monu Saha&gt;</t>
  </si>
  <si>
    <t>We have updated the images. Please find the attached summary sheet for your reference. Once the images are successfully reflected, we will let you know.
{adf:display=block}
{"type":"table","attrs":{"isNumberColumnEnabled":false,"layout":"center","localId":"c819654a-6248-4c0c-8c4c-2039d8ed5a3c"},"content":[{"type":"tableRow","content":[{"type":"tableCell","attrs":{},"content":[{"type":"paragraph","content":[{"type":"text","text":"Ticket ID"}]}]},{"type":"tableCell","attrs":{"colspan":2},"content":[{"type":"paragraph","content":[{"type":"text","text":"UCW-31754"}]}]}]},{"type":"tableRow","content":[{"type":"tableCell","attrs":{},"content":[{"type":"paragraph","content":[{"type":"text","text":"Brand Name"}]}]},{"type":"tableCell","attrs":{"colspan":2},"content":[{"type":"paragraph","content":[{"type":"text","text":"Globus"}]}]}]},{"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104"}]}]},{"type":"tableCell","attrs":{},"content":[{"type":"paragraph","content":[{"type":"text","text":"26"}]}]}]},{"type":"tableRow","content":[{"type":"tableCell","attrs":{},"content":[{"type":"paragraph","content":[{"type":"text","text":"Uploaded"}]}]},{"type":"tableCell","attrs":{},"content":[{"type":"paragraph","content":[{"type":"text","text":"104"}]}]},{"type":"tableCell","attrs":{},"content":[{"type":"paragraph","content":[{"type":"text","text":"26"}]}]}]}]}
{adf}
[^Summery.zip]
[^Status of UCW-31754.xlsx]
;The images have been successfully reflected. Please find the attached screenshot for your reference. We are now closing this ticket. If you require any further assistance, please feel free to reach out to us.
!image-20260527-075412.png|width=534,alt="image-20260527-075412.png"!
!image-20260527-075420.png|width=519,alt="image-20260527-075420.png"!
!image-20260527-075431.png|width=519,alt="image-20260527-075431.png"!
!image-20260527-075437.png|width=519,alt="image-20260527-075437.png"!
!image-20260527-075443.png|width=519,alt="image-20260527-075443.png"!
!image-20260527-075449.png|width=519,alt="image-20260527-075449.png"!</t>
  </si>
  <si>
    <t>Date :05/26/2026 &lt;Ticket picked for pre processing Option 36 Sku 36&gt; &lt;Monu Saha&gt;;Date :05/26/2026 &lt;Pre Processing query to Brand &lt;&gt; &lt; For Image Analysis &gt;;Date : 05/27/2026 &lt; Pre Processing query to Brand 1st Follow Up&gt; &lt;Monu&gt;</t>
  </si>
  <si>
    <t>Date: 26th May 2026 Pre-processing Done ( Brand to Query for COO detalis, Warranty Type, Certification , Metal &amp; Product Weight )-Mousumi.
Date: 26th May 2026  Production Done -Mousumi.
Date: 26th May 2026 Images Done -Nitish
Date: 26th May 2026 Description Done -Khushnuma
Date: 26th May 2026 QC &amp; Uploaded done -Mousumi.
PFA the SUmmary &amp; Post-Uploaded sheet[^Summary.zip] [^UCW-31745 Post Upload Status_V.2 (1).xlsx] 
;[^UCW-31745_LID.xlsx]
Hi [@CLARA SILVER|mailto:clarainfo@ymail.com],
Please find attached the sheet, where 59 options have been listed. Kindly update the price and inventory, and share the summary once completed.
{adf:display=block}
{"type":"table","attrs":{"isNumberColumnEnabled":false,"layout":"center","localId":"aa0dce6f-a99b-4489-af08-4e952e6c1d65"},"content":[{"type":"tableRow","content":[{"type":"tableCell","attrs":{"background":"#44b3e1"},"content":[{"type":"paragraph","content":[{"type":"text","text":"Ticket ID","marks":[{"type":"strong"}]}]}]},{"type":"tableCell","attrs":{"colspan":2,"background":"#44b3e1"},"content":[{"type":"paragraph","content":[{"type":"text","text":"UCW-31745","marks":[{"type":"strong"}]}]}]}]},{"type":"tableRow","content":[{"type":"tableCell","attrs":{"background":"#44b3e1"},"content":[{"type":"paragraph","content":[{"type":"text","text":"Brand Name","marks":[{"type":"strong"}]}]}]},{"type":"tableCell","attrs":{"colspan":2,"background":"#44b3e1"},"content":[{"type":"paragraph","content":[{"type":"text","text":"H K Jewel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59"}]}]},{"type":"tableCell","attrs":{"background":"white"},"content":[{"type":"paragraph","content":[{"type":"text","text":"59"}]}]}]},{"type":"tableRow","content":[{"type":"tableCell","attrs":{"background":"white"},"content":[{"type":"paragraph","content":[{"type":"text","text":"Uploaded"}]}]},{"type":"tableCell","attrs":{"background":"white"},"content":[{"type":"paragraph","content":[{"type":"text","text":"59"}]}]},{"type":"tableCell","attrs":{"background":"white"},"content":[{"type":"paragraph","content":[{"type":"text","text":"59"}]}]}]},{"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59"}]}]},{"type":"tableCell","attrs":{"background":"white"},"content":[{"type":"paragraph","content":[{"type":"text","text":"59"}]}]}]},{"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</si>
  <si>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 xml:space="preserve">05/23/26 &lt;Pre Processing query to Brand &lt;Images Links Not Visible&gt;&gt; &lt;Tania&gt;;Date :05/26/26 &lt; Pre Processing query to Brand 1st Follow Up&gt; &lt;Tania&gt;;Date :05/27/2026&lt; Pre Processing query to Brand 2nd Follow Up&gt; &lt;Tania&gt;;Date :05/27/2026&lt; Pre Processing query to Brand Final Follow Up&gt; &lt;Tania&gt;;05/23/26 &lt;Pre Processing query to Brand &lt;Manufacturer, Importer, Packer Details are missing also mismatched. Gender is missing. Query raised on Gender, Manufacturer, Importer, Packer Details &amp; COO&gt;&gt; &lt;Tania&gt;;We have successfully uploaded this batch. Please find the attached summary sheet and summary report.[^Summary (9ee66840-b0c6-4b77-b3bc-e1376bccf0f3).zip] [^UCW-31739_Post Upload Status (8e5c08bd-8dbc-4bdf-b2b8-66b51f96cd65).xlsx] </t>
  </si>
  <si>
    <t>Retrigger Content &amp; Image</t>
  </si>
  <si>
    <t>We have updated the images. Please find the attached summary sheet for your reference. Once the images are successfully reflected, we will let you know.
{adf:display=block}
{"type":"table","attrs":{"isNumberColumnEnabled":false,"layout":"center","localId":"8c20d5cc-ccc5-44c5-99c9-4b20585b5408"},"content":[{"type":"tableRow","content":[{"type":"tableCell","attrs":{},"content":[{"type":"paragraph","content":[{"type":"text","text":"Ticket ID"}]}]},{"type":"tableCell","attrs":{"colspan":2},"content":[{"type":"paragraph","content":[{"type":"text","text":"UCW-31734"}]}]}]},{"type":"tableRow","content":[{"type":"tableCell","attrs":{},"content":[{"type":"paragraph","content":[{"type":"text","text":"Brand Name"}]}]},{"type":"tableCell","attrs":{"colspan":2},"content":[{"type":"paragraph","content":[{"type":"text","text":"Muthoot Pappachan"}]}]}]},{"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61"}]}]},{"type":"tableCell","attrs":{},"content":[{"type":"paragraph","content":[{"type":"text","text":"61"}]}]}]},{"type":"tableRow","content":[{"type":"tableCell","attrs":{},"content":[{"type":"paragraph","content":[{"type":"text","text":"Uploaded"}]}]},{"type":"tableCell","attrs":{},"content":[{"type":"paragraph","content":[{"type":"text","text":"61"}]}]},{"type":"tableCell","attrs":{},"content":[{"type":"paragraph","content":[{"type":"text","text":"61"}]}]}]}]}
{adf}
[^Summery.zip]
[^Status of UCW-31734.xlsx]
;The images have been successfully reflected. Please find the attached screenshot for your reference. We are now closing this ticket. If you require any further assistance, please feel free to reach out to us.
!image-20260527-073301.png|width=526,alt="image-20260527-073301.png"!
!image-20260527-073308.png|width=474,alt="image-20260527-073308.png"!
!image-20260527-073314.png|width=519,alt="image-20260527-073314.png"!
!image-20260527-073320.png|width=519,alt="image-20260527-073320.png"!
!image-20260527-073327.png|width=519,alt="image-20260527-073327.png"!
!image-20260527-073332.png|width=519,alt="image-20260527-073332.png"!
!image-20260527-073339.png|width=519,alt="image-20260527-073339.png"!
!image-20260527-073346.png|width=519,alt="image-20260527-073346.png"!
!image-20260527-073354.png|width=519,alt="image-20260527-073354.png"!
!image-20260527-073400.png|width=519,alt="image-20260527-073400.png"!
!image-20260527-073406.png|width=519,alt="image-20260527-073406.png"!</t>
  </si>
  <si>
    <t>05/23/2026 &lt;Pre Processing query to Brand &lt;Image analysis, and details Needed&gt;&gt; &lt;Anjalita Gupta&gt;;05/25/2026 &lt;Ticket picked for Production and QC review Option 20 Sku 20&gt; &lt;Anjalita&gt;;Retriggered;Images are reflecting</t>
  </si>
  <si>
    <t>E2E Size Addition</t>
  </si>
  <si>
    <t>Date :05/22/2026  &lt;Pre Processing query to Brand &lt;Packer's Details, Certification (Refer LOV List), Safety Precaution, Style Code, Caffeine Content (Refer LOV List), Special Features (Refer LOV List), Age Group (Refer LOV List), and Recommended uses of product (Refer LOV List)&gt;&gt; &lt;Sanjana Ghosh&gt; ;Date :05/23/2026 &lt; Pre Processing query to Brand 1st Follow Up&gt; &lt;Sanjana Ghosh&gt;;Date :05/25/2026 &lt; Pre Processing query to Brand 2nd Follow Up&gt; &lt;Sanjana Ghosh&gt;;Date :05/26/2026 &lt; Pre Processing query to Brand Follow up - Important and Green Chanel Brands&gt; &lt;Sanjana Ghosh&gt;;Date :05/27/2026 &lt;Ticket has been successfully uploaded in our system. Option: 13  SKU: 13 | Dropped - Option: 4 SKU: 4 (Reason: Image NA)&gt; &lt;Sanjana Ghosh&gt;
PFA the summary file and post upload status.[^Summary.zip] [^UCW-31710 - Post Upload Status  (1e1389ea-4c4c-4a8c-b57f-f83f55e193a0).xlsx] ;[^UCW-31710_LID.xlsx]
Hi [@Aaron Dsouza|mailto:aaron.dsouza@oneguardian.in],
Please find attached the sheet, where 13 options have been listed. Kindly update the price and inventory, and share the summary once completed.
{adf:display=block}
{"type":"table","attrs":{"isNumberColumnEnabled":false,"layout":"center","localId":"c19ae29a-83b0-492f-bda2-7b5d40b54cf2"},"content":[{"type":"tableRow","content":[{"type":"tableCell","attrs":{"background":"#44b3e1"},"content":[{"type":"paragraph","content":[{"type":"text","text":"Ticket ID","marks":[{"type":"strong"}]}]}]},{"type":"tableCell","attrs":{"colspan":2,"background":"#44b3e1"},"content":[{"type":"paragraph","content":[{"type":"text","text":"UCW-31710","marks":[{"type":"strong"}]}]}]}]},{"type":"tableRow","content":[{"type":"tableCell","attrs":{"background":"#44b3e1"},"content":[{"type":"paragraph","content":[{"type":"text","text":"Brand Name","marks":[{"type":"strong"}]}]}]},{"type":"tableCell","attrs":{"colspan":2,"background":"#44b3e1"},"content":[{"type":"paragraph","content":[{"type":"text","text":"GNC","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17"}]}]},{"type":"tableCell","attrs":{"background":"white"},"content":[{"type":"paragraph","content":[{"type":"text","text":"17"}]}]}]},{"type":"tableRow","content":[{"type":"tableCell","attrs":{"background":"white"},"content":[{"type":"paragraph","content":[{"type":"text","text":"Uploaded"}]}]},{"type":"tableCell","attrs":{"background":"white"},"content":[{"type":"paragraph","content":[{"type":"text","text":"13"}]}]},{"type":"tableCell","attrs":{"background":"white"},"content":[{"type":"paragraph","content":[{"type":"text","text":"13"}]}]}]},{"type":"tableRow","content":[{"type":"tableCell","attrs":{"background":"white"},"content":[{"type":"paragraph","content":[{"type":"text","text":"Not Uploaded"}]}]},{"type":"tableCell","attrs":{"background":"white"},"content":[{"type":"paragraph","content":[{"type":"text","text":"4"}]}]},{"type":"tableCell","attrs":{"background":"white"},"content":[{"type":"paragraph","content":[{"type":"text","text":"4"}]}]}]},{"type":"tableRow","content":[{"type":"tableCell","attrs":{"background":"white"},"content":[{"type":"paragraph","content":[{"type":"text","text":"LIDs Shared"}]}]},{"type":"tableCell","attrs":{"background":"white"},"content":[{"type":"paragraph","content":[{"type":"text","text":"13"}]}]},{"type":"tableCell","attrs":{"background":"white"},"content":[{"type":"paragraph","content":[{"type":"text","text":"13"}]}]}]},{"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</si>
  <si>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E2E GWP</t>
  </si>
  <si>
    <t xml:space="preserve">[^UCW-31705_LID.xlsx]
</t>
  </si>
  <si>
    <t>Sell Now - Bulk</t>
  </si>
  <si>
    <t>Sell Now - MASTER DATA STOCKFOR OFFER</t>
  </si>
  <si>
    <t xml:space="preserve">{adf:display=block}
{"type":"table","attrs":{"isNumberColumnEnabled":false,"layout":"center","localId":"ebec6fec-b501-4d00-ac7d-faf2721211fd"},"content":[{"type":"tableRow","content":[{"type":"tableCell","attrs":{},"content":[{"type":"paragraph","content":[{"type":"text","text":"Ticket ID"}]}]},{"type":"tableCell","attrs":{"colspan":2},"content":[{"type":"paragraph","content":[{"type":"text","text":"UCW-30269"}]}]},{"type":"tableCell","attrs":{"colspan":2},"content":[{"type":"paragraph","content":[{"type":"text","text":"UCW-31542"}]}]}]},{"type":"tableRow","content":[{"type":"tableCell","attrs":{},"content":[{"type":"paragraph","content":[{"type":"text","text":"Brand Name"}]}]},{"type":"tableCell","attrs":{"colspan":2},"content":[{"type":"paragraph","content":[{"type":"text","text":"Adidas"}]}]},{"type":"tableCell","attrs":{"colspan":2},"content":[{"type":"paragraph","content":[{"type":"text","text":"Adidas"}]}]}]},{"type":"tableRow","content":[{"type":"tableCell","attrs":{},"content":[{"type":"paragraph","content":[{"type":"text","text":"Platform"}]}]},{"type":"tableCell","attrs":{"colspan":2},"content":[{"type":"paragraph","content":[{"type":"text","text":"Marketplace"}]}]},{"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Count"}]}]},{"type":"tableCell","attrs":{},"content":[{"type":"paragraph","content":[{"type":"text","text":"SKU Count"}]}]},{"type":"tableCell","attrs":{},"content":[{"type":"paragraph","content":[{"type":"text","text":"Option Count"}]}]}]},{"type":"tableRow","content":[{"type":"tableCell","attrs":{},"content":[{"type":"paragraph","content":[{"type":"text","text":"Received"}]}]},{"type":"tableCell","attrs":{},"content":[{"type":"paragraph","content":[{"type":"text","text":"21*8=168"}]}]},{"type":"tableCell","attrs":{},"content":[{"type":"paragraph","content":[{"type":"text","text":"3*8=24"}]}]},{"type":"tableCell","attrs":{},"content":[{"type":"paragraph","content":[{"type":"text","text":"28*3=84"}]}]},{"type":"tableCell","attrs":{},"content":[{"type":"paragraph","content":[{"type":"text","text":"4*3=12"}]}]}]},{"type":"tableRow","content":[{"type":"tableCell","attrs":{},"content":[{"type":"paragraph","content":[{"type":"text","text":"Uploaded"}]}]},{"type":"tableCell","attrs":{},"content":[{"type":"paragraph","content":[{"type":"text","text":"147"}]}]},{"type":"tableCell","attrs":{},"content":[{"type":"paragraph","content":[{"type":"text","text":"21"}]}]},{"type":"tableCell","attrs":{},"content":[{"type":"paragraph","content":[{"type":"text","text":"84"}]}]},{"type":"tableCell","attrs":{},"content":[{"type":"paragraph","content":[{"type":"text","text":"12"}]}]}]},{"type":"tableRow","content":[{"type":"tableCell","attrs":{},"content":[{"type":"paragraph","content":[{"type":"text","text":"Failed - Already listed in seller code - 127653"}]}]},{"type":"tableCell","attrs":{},"content":[{"type":"paragraph","content":[{"type":"text","text":"21"}]}]},{"type":"tableCell","attrs":{},"content":[{"type":"paragraph","content":[{"type":"text","text":"3"}]}]},{"type":"tableCell","attrs":{},"content":[{"type":"paragraph","content":[{"type":"text","text":"-"}]}]},{"type":"tableCell","attrs":{},"content":[{"type":"paragraph","content":[{"type":"text","text":"-"}]}]}]}]}
{adf};[^MP Sell now UCW-30269 - .xlsx]
[^MP sell now.zip]
[^LUX sell now.zip]
[^LUX sell now UCW-31542.xlsx]
</t>
  </si>
  <si>
    <t>Size Guide Update</t>
  </si>
  <si>
    <t>Raise Size Creation Ticket on same existing code
Tech Ticket: [https://tatacliqhelpdesk.freshservice.com/support/tickets/214540|https://tatacliqhelpdesk.freshservice.com/support/tickets/214540];One ticket has been raised for Brand Name Migration. As per the L1 team, they are currently working on the correction. Once they pick up the ticket, they will inform us. We are monitoring the ticket regularly.
In parallel, we have also retriggered the size chart update from our end. Once all issues are resolved, we will inform you accordingly.
[https://tatacliqhelpdesk.freshservice.com/support/tickets/214627|https://tatacliqhelpdesk.freshservice.com/support/tickets/214627]</t>
  </si>
  <si>
    <t>Ticket has been successfully retriggered. Results are reflecting partially. For few SKUs it is showing failed due to null attribute for which we have retriggered from PCM. Once the report is received we will share the details accordingly.;The updates have been successfully reflected. Please find the attached screenshot for your reference. Therefore, we are now closing this ticket. If anything further is required, please feel free to reach out to us.
!image-20260529-081649.png|width=534,alt="image-20260529-081649.png"!
!image-20260529-081658.png|width=430,alt="image-20260529-081658.png"!
!image-20260529-081719.png|width=351,alt="image-20260529-081719.png"!
!image-20260529-081731.png|width=519,alt="image-20260529-081731.png"!</t>
  </si>
  <si>
    <t>L1 ticket-[https://tatacliqhelpdesk.freshservice.com/support/tickets/212442|https://tatacliqhelpdesk.freshservice.com/support/tickets/212442];Tech ticket has been raised bt CCMT- [https://tatacliqhelpdesk.freshservice.com/support/tickets/214101|https://tatacliqhelpdesk.freshservice.com/support/tickets/214101];Images are successfully reflecting on the PDP</t>
  </si>
  <si>
    <t>Please note that the issue was identified as the size being uploaded with an alphanumeric code. The required corrections have now been implemented, and the changes are reflecting properly as per the requirement.</t>
  </si>
  <si>
    <t>CLONE - Asics Footwear- New listing I Seller Code- 128139 I 127 Skus I 20 Options I 24-04-2026</t>
  </si>
  <si>
    <t>We have successfully uploaded this batch. Please find the attached summary sheet and summary report.[^UCW-31345_Post Upload Status_V.2 (1).xlsx] [^Summary.zip] ;[^UCW-31345.xlsx]
Please find attached the sheet, where 19 options have been listed.
Kindly update the price and inventory, and share the summary once completed.
{adf:display=block}
{"type":"table","attrs":{"isNumberColumnEnabled":false,"layout":"center","localId":"b784331d-1c52-41de-8a0d-a678d35a0d80"},"content":[{"type":"tableRow","content":[{"type":"tableCell","attrs":{"background":"#44b3e1"},"content":[{"type":"paragraph","content":[{"type":"text","text":"Ticket ID","marks":[{"type":"strong"}]}]}]},{"type":"tableCell","attrs":{"colspan":2,"background":"#44b3e1"},"content":[{"type":"paragraph","content":[{"type":"text","text":"UCW-31345","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ace5fe"},"content":[{"type":"paragraph","content":[{"type":"text","text":"Platform","marks":[{"type":"strong"}]}]}]},{"type":"tableCell","attrs":{"colspan":2,"background":"#ace5fe"},"content":[{"type":"paragraph","content":[{"type":"text","text":"Marketplace","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126"}]}]},{"type":"tableCell","attrs":{"background":"white"},"content":[{"type":"paragraph","content":[{"type":"text","text":"21"}]}]}]},{"type":"tableRow","content":[{"type":"tableCell","attrs":{"background":"white"},"content":[{"type":"paragraph","content":[{"type":"text","text":"Uploaded"}]}]},{"type":"tableCell","attrs":{"background":"white"},"content":[{"type":"paragraph","content":[{"type":"text","text":"114"}]}]},{"type":"tableCell","attrs":{"background":"white"},"content":[{"type":"paragraph","content":[{"type":"text","text":"19"}]}]}]},{"type":"tableRow","content":[{"type":"tableCell","attrs":{"background":"white"},"content":[{"type":"paragraph","content":[{"type":"text","text":"SKUs Not Uploaded"}]}]},{"type":"tableCell","attrs":{"background":"white"},"content":[{"type":"paragraph","content":[{"type":"text","text":"12"}]}]},{"type":"tableCell","attrs":{"background":"white"},"content":[{"type":"paragraph","content":[{"type":"text","text":"2"}]}]}]},{"type":"tableRow","content":[{"type":"tableCell","attrs":{"background":"white"},"content":[{"type":"paragraph","content":[{"type":"text","text":"LIDs Shared"}]}]},{"type":"tableCell","attrs":{"background":"white"},"content":[{"type":"paragraph","content":[{"type":"text","text":"114"}]}]},{"type":"tableCell","attrs":{"background":"white"},"content":[{"type":"paragraph","content":[{"type":"text","text":"19"}]}]}]},{"type":"tableRow","content":[{"type":"tableCell","attrs":{"background":"white"},"content":[{"type":"paragraph","content":[{"type":"text","text":"LIDs Stuck in the System"}]}]},{"type":"tableCell","attrs":{"background":"white"},"content":[{"type":"paragraph","content":[{"type":"text","text":"0"}]}]},{"type":"tableCell","attrs":{"background":"white"},"content":[{"type":"paragraph","content":[{"type":"text","text":"0"}]}]}]},{"type":"tableRow","content":[{"type":"tableCell","attrs":{},"content":[{"type":"paragraph"}]},{"type":"tableCell","attrs":{},"content":[{"type":"paragraph"}]},{"type":"tableCell","attrs":{},"content":[{"type":"paragraph"}]}]}]}
{adf}</t>
  </si>
  <si>
    <t>E2E + Sell Now</t>
  </si>
  <si>
    <t>[^Status Sheet 2.xlsx]
[^Summary (bdf530ac-0809-4360-998d-7024d7cc8204).zip]
[^Status Of UCW-31191 (af34f91c-6d6c-42c6-89e4-97a784044587).xlsx]
We have completed the Sell Now process; however, some L4s failed due to net quantity issues. Once the PCM uploading issue is resolved, we will update the net quantity and proceed with the remaining Sell Now activities accordingly.
For your reference, we have attached the summary sheet.;[^UCW-31191_LID.xlsx]
;[^Status Of UCW-31191.xlsx]
[^Summary (2).zip]
We are pleased to inform you that the listing IDs have been generated successfully.
Please find the attached file for your reference, along with the summary table below. You may now proceed with price and inventory pushing from your end.
(Insert Table)
With this, we are closing this request from our end.
Thank you for your patience, support, and cooperation throughout the process. Your brand is important to us, and we look forward to assisting you again.</t>
  </si>
  <si>
    <t>We would like to inform you that your ticket has been successfully uploaded in our system.
Please find the attached summary files and post-upload file for your reference. We will share a further update once the listing IDs are generated.[^Summary.zip] [^UCW-31132 - Post Upload Status .xlsx] ;[^UCW-31132.xlsx]
Please find attached the sheet, where 166 options of Luxury &amp; Marketplace have been listed.
Kindly update the price and inventory, and share the summary once completed.
{adf:display=block}
{"type":"table","attrs":{"isNumberColumnEnabled":false,"layout":"center","localId":"6a2c66b3-3bda-4fda-bbc1-78a8a3f3ccd9"},"content":[{"type":"tableRow","content":[{"type":"tableCell","attrs":{"background":"#44b3e1"},"content":[{"type":"paragraph","content":[{"type":"text","text":"Ticket ID","marks":[{"type":"strong"}]}]}]},{"type":"tableCell","attrs":{"colspan":2,"background":"#44b3e1"},"content":[{"type":"paragraph","content":[{"type":"text","text":"UCW-31132","marks":[{"type":"strong"}]}]}]}]},{"type":"tableRow","content":[{"type":"tableCell","attrs":{"background":"#44b3e1"},"content":[{"type":"paragraph","content":[{"type":"text","text":"Brand Name","marks":[{"type":"strong"}]}]}]},{"type":"tableCell","attrs":{"colspan":2,"background":"#44b3e1"},"content":[{"type":"paragraph","content":[{"type":"text","text":"Obsessions ","marks":[{"type":"strong"}]}]}]}]},{"type":"tableRow","content":[{"type":"tableCell","attrs":{"background":"#ace5fe"},"content":[{"type":"paragraph","content":[{"type":"text","text":"Platform","marks":[{"type":"strong"}]}]}]},{"type":"tableCell","attrs":{"colspan":2,"background":"#ace5fe"},"content":[{"type":"paragraph","content":[{"type":"text","text":"Marketplace+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166"}]}]},{"type":"tableCell","attrs":{},"content":[{"type":"paragraph","content":[{"type":"text","text":"166"}]}]}]},{"type":"tableRow","content":[{"type":"tableCell","attrs":{"background":"white"},"content":[{"type":"paragraph","content":[{"type":"text","text":"Uploaded"}]}]},{"type":"tableCell","attrs":{},"content":[{"type":"paragraph","content":[{"type":"text","text":"166"}]}]},{"type":"tableCell","attrs":{},"content":[{"type":"paragraph","content":[{"type":"text","text":"166"}]}]}]},{"type":"tableRow","content":[{"type":"tableCell","attrs":{"background":"white"},"content":[{"type":"paragraph","content":[{"type":"text","text":"LIDs Shared"}]}]},{"type":"tableCell","attrs":{},"content":[{"type":"paragraph","content":[{"type":"text","text":"165"}]}]},{"type":"tableCell","attrs":{},"content":[{"type":"paragraph","content":[{"type":"text","text":"165"}]}]}]},{"type":"tableRow","content":[{"type":"tableCell","attrs":{"background":"white"},"content":[{"type":"paragraph","content":[{"type":"text","text":"LIDs Stuck in the System"}]}]},{"type":"tableCell","attrs":{},"content":[{"type":"paragraph","content":[{"type":"text","text":"1"}]}]},{"type":"tableCell","attrs":{},"content":[{"type":"paragraph","content":[{"type":"text","text":"1"}]}]}]}]}
{adf}
1 SKU is currently stuck in the system. We are working on it and trying to resolve the issue. We will inform you once it is resolved.;Retrigger Done.
[^128877_SKUEDITRETRIGGER_Envogue_Furnishings_India_Pvt_Ltd(128877)_CARPETS(MPH2114103100)_20260522_105732_043_summary.csv]
;[^UCW-31132 (fc9699e7-2bfe-4d3c-8285-13e0c57be966).xlsx]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ab6e903-a9c2-4175-a05e-28e12e444ddc"},"content":[{"type":"tableRow","content":[{"type":"tableCell","attrs":{"background":"#44b3e1"},"content":[{"type":"paragraph","content":[{"type":"text","text":"Ticket ID","marks":[{"type":"strong"}]}]}]},{"type":"tableCell","attrs":{"colspan":2,"background":"#44b3e1"},"content":[{"type":"paragraph","content":[{"type":"text","text":"UCW-31132","marks":[{"type":"strong"}]}]}]}]},{"type":"tableRow","content":[{"type":"tableCell","attrs":{"background":"#44b3e1"},"content":[{"type":"paragraph","content":[{"type":"text","text":"Brand Name","marks":[{"type":"strong"}]}]}]},{"type":"tableCell","attrs":{"colspan":2,"background":"#44b3e1"},"content":[{"type":"paragraph","content":[{"type":"text","text":"Obsessions ","marks":[{"type":"strong"}]}]}]}]},{"type":"tableRow","content":[{"type":"tableCell","attrs":{"background":"#ace5fe"},"content":[{"type":"paragraph","content":[{"type":"text","text":"Platform","marks":[{"type":"strong"}]}]}]},{"type":"tableCell","attrs":{"colspan":2,"background":"#ace5fe"},"content":[{"type":"paragraph","content":[{"type":"text","text":"Marketplace+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166"}]}]},{"type":"tableCell","attrs":{},"content":[{"type":"paragraph","content":[{"type":"text","text":"166"}]}]}]},{"type":"tableRow","content":[{"type":"tableCell","attrs":{"background":"white"},"content":[{"type":"paragraph","content":[{"type":"text","text":"Uploaded"}]}]},{"type":"tableCell","attrs":{},"content":[{"type":"paragraph","content":[{"type":"text","text":"166"}]}]},{"type":"tableCell","attrs":{},"content":[{"type":"paragraph","content":[{"type":"text","text":"166"}]}]}]},{"type":"tableRow","content":[{"type":"tableCell","attrs":{"background":"white"},"content":[{"type":"paragraph","content":[{"type":"text","text":"LIDs Shared"}]}]},{"type":"tableCell","attrs":{},"content":[{"type":"paragraph","content":[{"type":"text","text":"166"}]}]},{"type":"tableCell","attrs":{},"content":[{"type":"paragraph","content":[{"type":"text","text":"166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</si>
  <si>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Size Grouping</t>
  </si>
  <si>
    <t>21/05/2026&lt;Query to CCMT&lt;Certificate image addition issue&gt;&gt; &lt;Rupa Modak&gt; ;22/05/2026&lt;Query to CCMT&lt;Certificate image addition issue&gt;&gt; &lt;Rupa Modak&gt;;[^Status of UCW-31025.xlsx]
[^Summary.zip]
[^Summary 2.zip]
We have Updated the images and also attached the summary file. Once the images are successfully reflected, we will let you know
{adf:display=block}
{"type":"table","attrs":{"isNumberColumnEnabled":false,"layout":"center","localId":"0618be13-68a7-4293-86ae-39c09dab142d"},"content":[{"type":"tableRow","content":[{"type":"tableCell","attrs":{"colwidth":[170],"background":"#ffd966"},"content":[{"type":"paragraph","content":[{"type":"text","text":"Ticket ID","marks":[{"type":"strong"}]}]}]},{"type":"tableCell","attrs":{"colwidth":[170,169],"colspan":2,"background":"#ffd966"},"content":[{"type":"paragraph","content":[{"type":"text","text":"UCW-31025","marks":[{"type":"strong"}]}]}]}]},{"type":"tableRow","content":[{"type":"tableCell","attrs":{"colwidth":[170],"background":"#ffd966"},"content":[{"type":"paragraph","content":[{"type":"text","text":"Brand Name","marks":[{"type":"strong"}]}]}]},{"type":"tableCell","attrs":{"colwidth":[170,169],"colspan":2,"background":"#ffd966"},"content":[{"type":"paragraph","content":[{"type":"text","text":"The Real Effect London","marks":[{"type":"strong"}]}]}]}]},{"type":"tableRow","content":[{"type":"tableCell","attrs":{"colwidth":[170],"background":"#ffd966"},"content":[{"type":"paragraph","content":[{"type":"text","text":"Platform","marks":[{"type":"strong"}]}]}]},{"type":"tableCell","attrs":{"colwidth":[170,169],"colspan":2,"background":"#ffd966"},"content":[{"type":"paragraph","content":[{"type":"text","text":"Marketplace","marks":[{"type":"strong"}]}]}]}]},{"type":"tableRow","content":[{"type":"tableCell","attrs":{"colwidth":[170],"background":"#ffd966"},"content":[{"type":"paragraph","content":[{"type":"text","text":"Particulars","marks":[{"type":"strong"}]}]}]},{"type":"tableCell","attrs":{"colwidth":[170],"background":"#ffd966"},"content":[{"type":"paragraph","content":[{"type":"text","text":"SKU Count","marks":[{"type":"strong"}]}]}]},{"type":"tableCell","attrs":{"colwidth":[169],"background":"#ffd966"},"content":[{"type":"paragraph","content":[{"type":"text","text":"Option Count","marks":[{"type":"strong"}]}]}]}]},{"type":"tableRow","content":[{"type":"tableCell","attrs":{"colwidth":[170],"background":"white"},"content":[{"type":"paragraph","content":[{"type":"text","text":"Received"}]}]},{"type":"tableCell","attrs":{"colwidth":[170],"background":"white"},"content":[{"type":"paragraph","content":[{"type":"text","text":"809"}]}]},{"type":"tableCell","attrs":{"colwidth":[169],"background":"white"},"content":[{"type":"paragraph","content":[{"type":"text","text":"740"}]}]}]},{"type":"tableRow","content":[{"type":"tableCell","attrs":{"colwidth":[170],"background":"white"},"content":[{"type":"paragraph","content":[{"type":"text","text":"Uploaded"}]}]},{"type":"tableCell","attrs":{"colwidth":[170],"background":"white"},"content":[{"type":"paragraph","content":[{"type":"text","text":"697"}]}]},{"type":"tableCell","attrs":{"colwidth":[169],"background":"white"},"content":[{"type":"paragraph","content":[{"type":"text","text":"697"}]}]}]},{"type":"tableRow","content":[{"type":"tableCell","attrs":{"colwidth":[170],"background":"white"},"content":[{"type":"paragraph","content":[{"type":"text","text":"Not uploaded 92.5 silver products/ Sterling silver products","marks":[{"type":"strong"}]}]}]},{"type":"tableCell","attrs":{"colwidth":[170],"background":"white"},"content":[{"type":"paragraph","content":[{"type":"text","text":"95"}]}]},{"type":"tableCell","attrs":{"colwidth":[169],"background":"white"},"content":[{"type":"paragraph","content":[{"type":"text","text":"26"}]}]}]},{"type":"tableRow","content":[{"type":"tableCell","attrs":{"colwidth":[170],"background":"white"},"content":[{"type":"paragraph","content":[{"type":"text","text":"Not Uploaded (Home Décor dosent need Certificate image)","marks":[{"type":"strong"}]}]}]},{"type":"tableCell","attrs":{"colwidth":[170],"background":"white"},"content":[{"type":"paragraph","content":[{"type":"text","text":"17"}]}]},{"type":"tableCell","attrs":{"colwidth":[169],"background":"white"},"content":[{"type":"paragraph","content":[{"type":"text","text":"17"}]}]}]}]}
{adf};{{2026-05-23}} &lt;Ticket has been successfully uploaded in our system. Option 697Sku 697&gt; &lt;Rupa &gt;;!Screenshot 2026-05-26 193003.png|width=534,alt="Screenshot 2026-05-26 193003.png"!
!Screenshot 2026-05-26 192221.png|width=534,alt="Screenshot 2026-05-26 192221.png"!
!Screenshot 2026-05-26 190942.png|width=534,alt="Screenshot 2026-05-26 190942.png"!
!Screenshot 2026-05-26 191728.png|width=534,alt="Screenshot 2026-05-26 191728.png"!
!Screenshot 2026-05-26 191625.png|width=534,alt="Screenshot 2026-05-26 191625.png"!
!Screenshot 2026-05-26 192122.png|width=534,alt="Screenshot 2026-05-26 192122.png"!
The images have been successfully reflected. Please find the attached screenshots for your reference. As of now, we are closing the ticket. If there are any further concerns, please let us know. ;05/26/2026 &lt;Images are reflecting successfully on PDP. Option 697Sku 697&gt; &lt;Rupa&gt;</t>
  </si>
  <si>
    <t>The certificate has been removed, but 8 SKUs' images are still not removed; we have raised an L1 ticket on this. Please find the L1 ticket- [https://tatacliqhelpdesk.freshservice.com/support/tickets/212910|https://tatacliqhelpdesk.freshservice.com/support/tickets/212910];Images are updated</t>
  </si>
  <si>
    <t>Assigned to NS on May 13;[^Summary.zip]
[^UCW-30783_Post Upload Status_V.2 (1).xlsx]
;[^UCW-30783_LID.xlsx]
Hi [@Aryan Pal|mailto:aryan.pal@o3plus.com],
Please find attached the sheet, where 3 options have been listed. Kindly update the price and inventory, and share the summary once completed.
{adf:display=block}
{"type":"table","attrs":{"isNumberColumnEnabled":false,"layout":"center","localId":"68aebaf1-75d1-4911-8b76-64b85b0ede42"},"content":[{"type":"tableRow","content":[{"type":"tableCell","attrs":{"background":"#44b3e1"},"content":[{"type":"paragraph","content":[{"type":"text","text":"Ticket ID","marks":[{"type":"strong"}]}]}]},{"type":"tableCell","attrs":{"colspan":2,"background":"#44b3e1"},"content":[{"type":"paragraph","content":[{"type":"text","text":"UCW-30783","marks":[{"type":"strong"}]}]}]}]},{"type":"tableRow","content":[{"type":"tableCell","attrs":{"background":"#44b3e1"},"content":[{"type":"paragraph","content":[{"type":"text","text":"Brand Name","marks":[{"type":"strong"}]}]}]},{"type":"tableCell","attrs":{"colspan":2,"background":"#44b3e1"},"content":[{"type":"paragraph","content":[{"type":"text","text":"O3+","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</si>
  <si>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E2E+Dual Listing</t>
  </si>
  <si>
    <t>GWP</t>
  </si>
  <si>
    <t>Detractor Cases</t>
  </si>
  <si>
    <t>Listing Type - Sorted</t>
  </si>
  <si>
    <t>UCW-32016</t>
  </si>
  <si>
    <t>UCW-32014</t>
  </si>
  <si>
    <t>UCW-32013</t>
  </si>
  <si>
    <t>UCW-31994</t>
  </si>
  <si>
    <t>UCW-31992</t>
  </si>
  <si>
    <t>Saint G - 26-05-2026 - 128537 - Party &amp; Club Wear Boots SS26</t>
  </si>
  <si>
    <t>Bata KIDs footwear - New listing on Seller code: 100243 and 127887 - 122 SKus_88 Options - 19-05-2026</t>
  </si>
  <si>
    <t>Women Footwear New Styles For Tatacliq (SS'26) - (Styles-20) 26.05.2026</t>
  </si>
  <si>
    <t>Nusuk+Listings+Perfumes+126349+TCF+25th May 2026</t>
  </si>
  <si>
    <t>E2E - Jewellery - Polki Stories by Raniwala - 40 SKUs</t>
  </si>
  <si>
    <t>E2E GC</t>
  </si>
  <si>
    <t>NUSUK</t>
  </si>
  <si>
    <t>Laa Polky Stories by Raniwala</t>
  </si>
  <si>
    <t>KEY PERFORMANCE INDICATORS - May 2026</t>
  </si>
  <si>
    <t>END OF DAY REPORT - JIRA ISSUES DASHBOARD</t>
  </si>
  <si>
    <t>KEY PERFORMANCE INDICATORS</t>
  </si>
  <si>
    <t>Total SKUs</t>
  </si>
  <si>
    <t>TICKET VOLUME METRICS</t>
  </si>
  <si>
    <t>STATUS DISTRIBUTION</t>
  </si>
  <si>
    <t>SKUs</t>
  </si>
  <si>
    <t>Options</t>
  </si>
  <si>
    <t>Ticket Key</t>
  </si>
  <si>
    <t>TAT</t>
  </si>
  <si>
    <t>⚠️ Action Items:</t>
  </si>
  <si>
    <t>Report Date: 30th May 2026 (Friday) | Data Source: Jira Issues | Generated for Client Review</t>
  </si>
  <si>
    <t>Open Rate</t>
  </si>
  <si>
    <t>Ad-Hoc</t>
  </si>
  <si>
    <t>Brand Queries</t>
  </si>
  <si>
    <t>Total Open</t>
  </si>
  <si>
    <t>BRANDS WORKED ON</t>
  </si>
  <si>
    <t>Bata (Kids)</t>
  </si>
  <si>
    <t>Polki Stories</t>
  </si>
  <si>
    <t>KEY INSIGHTS &amp; SUMMARY - 30th May 2026</t>
  </si>
  <si>
    <t>📊 Daily Summary:</t>
  </si>
  <si>
    <t xml:space="preserve">     • 5 new tickets raised covering 519 SKUs and 205 options</t>
  </si>
  <si>
    <t xml:space="preserve">     • All 5 tickets are E2E type listings (100% E2E)</t>
  </si>
  <si>
    <t xml:space="preserve">     • Average TAT: 0.68 days - Excellent turnaround!</t>
  </si>
  <si>
    <t>🏆 Category Highlights:</t>
  </si>
  <si>
    <t xml:space="preserve">     • Footwear dominates with 60% of tickets (3 tickets, 458 SKUs, 144 Options)</t>
  </si>
  <si>
    <t xml:space="preserve">     • Beauty &amp; Grooming: 1 ticket (21 SKUs) | Jewellery: 1 ticket (40 SKUs)</t>
  </si>
  <si>
    <t>🛒 Platform Split:</t>
  </si>
  <si>
    <t xml:space="preserve">     • Mall: 3 tickets (60%) | Luxury: 2 tickets (40%)</t>
  </si>
  <si>
    <t xml:space="preserve">     • 2 tickets in 'Ticket Raised' status - Pending team pickup</t>
  </si>
  <si>
    <t xml:space="preserve">     • 3 tickets in 'Brand to Resolve Queries' - Awaiting brand response</t>
  </si>
  <si>
    <t>TICKETS RAISED ON 30th MAY 2026 - DETAILED VIEW</t>
  </si>
  <si>
    <t>Saint G - Party &amp; Club Wear Boots SS26</t>
  </si>
  <si>
    <t>Bata KIDs footwear - New listing</t>
  </si>
  <si>
    <t>Bata</t>
  </si>
  <si>
    <t>Women Footwear New Styles (SS'26)</t>
  </si>
  <si>
    <t>Nusuk Listings Perfumes</t>
  </si>
  <si>
    <t>E2E - Jewellery - Polki Stories</t>
  </si>
  <si>
    <t>Dashboard generated on: June 1, 2026 | Reporting Period: 30th May 2026 (Friday) | Total Tickets: 5</t>
  </si>
  <si>
    <t>Total Tickets Received</t>
  </si>
  <si>
    <t xml:space="preserve">Callout: Both the open tickets were received on 30th of May at </t>
  </si>
  <si>
    <t>Brand To resolve</t>
  </si>
  <si>
    <t>The TAT was high due to tech error</t>
  </si>
  <si>
    <t>Comment2</t>
  </si>
  <si>
    <t>CCMT has shared the ticekt with us on 13th May where the rasied on 6th May</t>
  </si>
  <si>
    <t>Ticket was closed since brand took high time to resolve the ticket.</t>
  </si>
  <si>
    <t>It was uploaded on 8th but ticket got closed on 22nd.</t>
  </si>
  <si>
    <t>uploaded on 12th and closed on 15th after validating</t>
  </si>
  <si>
    <t>L1 team needs ussid,listingid,lead/child,brandcode,categorycode,stylecode - we have provided the data to the L1
https://tatacliqhelpdesk.freshservice.com/support/tickets/214871     Stuck in Rejected_UCW-26045 Mall_27-05-2026
https://tatacliqhelpdesk.freshservice.com/support/tickets/214872    Stuck in Rejected_UCW-26045 LUX_27-05-2026</t>
  </si>
  <si>
    <t>https://tatacliqhelpdesk.freshservice.com/support/tickets/214802     Stuck in Rejected_Woodlands_MP_26-05-2026 - L1 team needs ussid,listingid,lead/child,brandcode,categorycode,stylecode - collating the data
https://tatacliqhelpdesk.freshservice.com/support/tickets/214750     Stuck in SFA_Woodlands_Marketplace_26-05-2026 - Seller code was required from L1 team which is received and ticket is closed - we are retriggering the data accordingly.
https://tatacliqhelpdesk.freshservice.com/support/tickets/214746     Stuck in Save As Draft_Woodlands_Marketplace_26-05-2026 - L1 team has retriggered the data however the MPIDs are not generated yet, highlighted the same to the L1 team</t>
  </si>
  <si>
    <t>TAT Days</t>
  </si>
  <si>
    <t>0-3 Days</t>
  </si>
  <si>
    <t>4-7 Days</t>
  </si>
  <si>
    <t>8-11 Days</t>
  </si>
  <si>
    <t>12-16 Days</t>
  </si>
  <si>
    <t>16+ Days</t>
  </si>
  <si>
    <t>No of Tickets</t>
  </si>
  <si>
    <t>Avg TAT Days</t>
  </si>
  <si>
    <t>% TAT Bifurcation</t>
  </si>
  <si>
    <t>Options E2E</t>
  </si>
  <si>
    <t>Quality Dashboard</t>
  </si>
  <si>
    <t>Listing Year-Month</t>
  </si>
  <si>
    <t>Brand Health Report</t>
  </si>
  <si>
    <t>Image issue, content issue, mandatory data missing</t>
  </si>
  <si>
    <t>Category wise TAT Bifurcation</t>
  </si>
  <si>
    <t>Sketchers</t>
  </si>
  <si>
    <t>BIOTOP</t>
  </si>
  <si>
    <t>UCW-32036</t>
  </si>
  <si>
    <t xml:space="preserve">Footwear Lot 4 SS26 Skechers -422 SKUs - 90 Style - Marketplace and Luxury - Marketplace seller code - 126948 - Luxury seller code - 128174 - 28.5.2026 </t>
  </si>
  <si>
    <t>Date :06/01/2026 &lt;E2E - Dual Listing, SKU: 422&gt; &lt;Sanjana Ghosh&gt; ;Date :06/01/2026  &lt;Ticket picked for pre processing Option: 82  SKU: 422&gt; &lt;Sanjana Ghosh&gt;;Date :06/01/2026 &lt;Pre Processing query to Brand &lt;
*Kids Sheet:*
* Less Than 3 SKUs in Cluster
* Sizes Are Not Continuous
* Sole Material has been provided as "Others," which is not a valid value for batch processing
*Men's &amp; Women's Sheets:*
* Sizes Are Not Continuous
* Sizes Are Duplicate
* Less Than 3 SKUs in Cluster
* Duplicate Seller Article SKU&gt;&gt; &lt;Ishani&gt;;Date :06/01/2026 &lt;Ticket picked for Production and QC review Option 72 Sku 365 (Already Listed SKU 59 Option 12 &gt; &lt;Ishani&gt;;Date :06/02/2026 &lt; Pre Processing query to Brand 1st Follow Up&gt; &lt;Ishani&gt;;Date :06/03/2026 &lt; Pre Processing query to Brand 2nd Follow Up&gt; &lt;Ishani&gt;;Date :06/04/2026 &lt; Pre Processing query to Brand 3rd Follow Up&gt; &lt;Ishani&gt;;Date :06/05/2026 &lt;Pre Processing query to Brand &lt;
However, upon reviewing the newly provided input sheet, we found that it is completely different from the previously shared input sheet. Additionally, the Foot Size and UK Size values do not match with each other.
We also observed that the following issues still persist:
* Less than 3 SKUs in the cluster
* Sizes are not continuous
* For the SKUs with the Duplicate Seller Article SKU issue, the entire SKU has been changed instead of providing the required correction
* &gt; &lt;Ishani&gt;;06/05/2026 &lt;Pre Processing query to Brand &lt;
* *SIZES ARE NOT CONTINUOUS* *(We Need Continuous Foot Size e.g. 5,6,7,8,9,10 etc.)*
* *SIZES ARE DUPLICATE (In 1 cluster we cannot use duplicate sizes, e.g. Size-5 Cannot be repeated)*
* *LESS THAN 3 SKUS IN CLUSTER (As per our guideline we need more than 3 sizes in a particular cluster, e.g. 216269-BBK-UK12 has only 2 sizes 12 &amp; 13, so we cannot proceed with that we will need more than 3 sizes in 1 cluster)*
* &gt; &lt;Ishani&gt;;Date :06/05/2026 &lt; Pre Processing query to Brand Follow Up&gt; &lt;Ishani&gt;</t>
  </si>
  <si>
    <t>UCW-32083</t>
  </si>
  <si>
    <t>WHP Jewellers | Anayra Silver Ring, Anayra Silver Pendant Set, Anayra Silver Necklace Set, Anayra Silver Couple Band| 61 SKU | 126291-WHPJ1 | 27-05-2026</t>
  </si>
  <si>
    <t>WHP</t>
  </si>
  <si>
    <t>Date : 2nd June, 2026 Pre-Processing Done (brand to Query-for Purity, Price breakup on PDP &amp; invoice, Ring Size) -Mousumi
Date : 2nd June, 2026 Production Done-Mousumi.
Date :Date : 2nd June, 2026 Images done -Saswati 
Date : 2nd June, 2026 Description Done- Khushnuma
Date : 3rd June, 2026 QC &amp; Uploaded done-Mousumi.
PFA the Summary &amp; Post-Uploaded Sheet[^Summary.zip] [^UCW-32083 Post Upload Status_V.2 (1).xlsx] ;Image deliver - Date :06/02/2026 &lt;Images Delivered Processed Options 61 Rejected Options 0&gt; &lt;Saswati Dey&gt;;Date :06/03/2026 &lt;Ticket picked for Production and QC review after received resolution Option 61  Sku 61&gt; &lt;Mousumi&gt;;[^UCW-32083_LID.xlsx]
Hi [@Aishwarya Surve|mailto:aishwarya.surve@whpjewellers.in],
Please find attached the sheet, where 28 options have been listed. Kindly update the price and inventory, and share the summary once completed.
{adf:display=block}
{"type":"table","attrs":{"isNumberColumnEnabled":false,"layout":"center","localId":"43300ae3-c017-4146-a940-0e9c9ea1ea23"},"content":[{"type":"tableRow","content":[{"type":"tableCell","attrs":{"background":"#44b3e1"},"content":[{"type":"paragraph","content":[{"type":"text","text":"Ticket ID","marks":[{"type":"strong"}]}]}]},{"type":"tableCell","attrs":{"colspan":2,"background":"#44b3e1"},"content":[{"type":"paragraph","content":[{"type":"text","text":"UCW-32083","marks":[{"type":"strong"}]}]}]}]},{"type":"tableRow","content":[{"type":"tableCell","attrs":{"background":"#44b3e1"},"content":[{"type":"paragraph","content":[{"type":"text","text":"Brand Name","marks":[{"type":"strong"}]}]}]},{"type":"tableCell","attrs":{"colspan":2,"background":"#44b3e1"},"content":[{"type":"paragraph","content":[{"type":"text","text":"Waman Hari Pethe Jeweller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61"}]}]},{"type":"tableCell","attrs":{"background":"white"},"content":[{"type":"paragraph","content":[{"type":"text","text":"61"}]}]}]},{"type":"tableRow","content":[{"type":"tableCell","attrs":{"background":"white"},"content":[{"type":"paragraph","content":[{"type":"text","text":"Uploaded"}]}]},{"type":"tableCell","attrs":{"background":"white"},"content":[{"type":"paragraph","content":[{"type":"text","text":"28"}]}]},{"type":"tableCell","attrs":{"background":"white"},"content":[{"type":"paragraph","content":[{"type":"text","text":"28"}]}]}]},{"type":"tableRow","content":[{"type":"tableCell","attrs":{"background":"white"},"content":[{"type":"paragraph","content":[{"type":"text","text":"Not Uploaded (Already Listed)"}]}]},{"type":"tableCell","attrs":{"background":"white"},"content":[{"type":"paragraph","content":[{"type":"text","text":"33"}]}]},{"type":"tableCell","attrs":{"background":"white"},"content":[{"type":"paragraph","content":[{"type":"text","text":"33"}]}]}]},{"type":"tableRow","content":[{"type":"tableCell","attrs":{"background":"white"},"content":[{"type":"paragraph","content":[{"type":"text","text":"LIDs Shared"}]}]},{"type":"tableCell","attrs":{"background":"white"},"content":[{"type":"paragraph","content":[{"type":"text","text":"28"}]}]},{"type":"tableCell","attrs":{"background":"white"},"content":[{"type":"paragraph","content":[{"type":"text","text":"28"}]}]}]},{"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</si>
  <si>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UCW-32088</t>
  </si>
  <si>
    <t>Red Tape +Footwear+127785+New Listing+1222 Skus + 230 Options+ 27 May 2026</t>
  </si>
  <si>
    <t>Red Tape</t>
  </si>
  <si>
    <t>Date :06/01/2026 &lt;E2E Listing - Marketplace - Seller Code: 127785&gt; &lt;Sanjana Ghosh&gt; ;Date :06/01/2026  &lt;Ticket picked for pre processing Option: 230  SKU: 1222&gt; &lt;Sanjana Ghosh&gt;;Date :06/01/2026  &lt;Zaplo tech team asked not to run files due to issues with dropbox image link&gt; &lt;Sanjana Ghosh&gt;;Date :06/02/2026 &lt;Pre Processing query to Brand &lt;Right Side Image Not Available (Right Side NA),Image Not Available (Image NA),Image Mismatch&gt;&gt; &lt;Ishani&gt;;Date :06/02/2026 &lt;Ticket picked for Production and QC review Option 230 Sku 1222&gt; &lt;Ishani&gt;;Image deliver - Date :06/02/2026 &lt;Images Delivered Processed Options 230 Rejected Options 0&gt; &lt;Subhankar,Moumita&gt;;Date :06/02/2026 &lt;Ticket has been successfully uploaded in our system. Option 229 Sku 1216&gt; &lt;Ankita&gt;[^Summary.zip] [^UCW-32088_Post Upload Status_V.2 (1).xlsx] ;[^UCW-32088_LID.xlsx]
Hi [@Amitabh Vasu Srivastava|mailto:amitabh.vasu@redtapeindia.com],
Please find attached the sheet, where 229 options have been listed. Kindly update the price and inventory, and share the summary once completed.
{adf:display=block}
{"type":"table","attrs":{"isNumberColumnEnabled":false,"layout":"center","localId":"5aa59556-7b28-4ee3-9792-c03e8ff1b141"},"content":[{"type":"tableRow","content":[{"type":"tableCell","attrs":{"background":"#44b3e1"},"content":[{"type":"paragraph","content":[{"type":"text","text":"Ticket ID","marks":[{"type":"strong"}]}]}]},{"type":"tableCell","attrs":{"colspan":2,"background":"#44b3e1"},"content":[{"type":"paragraph","content":[{"type":"text","text":"UCW-32088","marks":[{"type":"strong"}]}]}]}]},{"type":"tableRow","content":[{"type":"tableCell","attrs":{"background":"#44b3e1"},"content":[{"type":"paragraph","content":[{"type":"text","text":"Brand Name","marks":[{"type":"strong"}]}]}]},{"type":"tableCell","attrs":{"colspan":2,"background":"#44b3e1"},"content":[{"type":"paragraph","content":[{"type":"text","text":"Red Tap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1222"}]}]},{"type":"tableCell","attrs":{"background":"white"},"content":[{"type":"paragraph","content":[{"type":"text","text":"230"}]}]}]},{"type":"tableRow","content":[{"type":"tableCell","attrs":{"background":"white"},"content":[{"type":"paragraph","content":[{"type":"text","text":"Uploaded"}]}]},{"type":"tableCell","attrs":{"background":"white"},"content":[{"type":"paragraph","content":[{"type":"text","text":"1216"}]}]},{"type":"tableCell","attrs":{"background":"white"},"content":[{"type":"paragraph","content":[{"type":"text","text":"229"}]}]}]},{"type":"tableRow","content":[{"type":"tableCell","attrs":{"background":"white"},"content":[{"type":"paragraph","content":[{"type":"text","text":"Not Uploaded"}]}]},{"type":"tableCell","attrs":{"background":"white"},"content":[{"type":"paragraph","content":[{"type":"text","text":"6"}]}]},{"type":"tableCell","attrs":{"background":"white"},"content":[{"type":"paragraph","content":[{"type":"text","text":"1"}]}]}]},{"type":"tableRow","content":[{"type":"tableCell","attrs":{"background":"white"},"content":[{"type":"paragraph","content":[{"type":"text","text":"LIDs Shared"}]}]},{"type":"tableCell","attrs":{"background":"white"},"content":[{"type":"paragraph","content":[{"type":"text","text":"1216"}]}]},{"type":"tableCell","attrs":{"background":"white"},"content":[{"type":"paragraph","content":[{"type":"text","text":"229"}]}]}]},{"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</si>
  <si>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UCW-32090</t>
  </si>
  <si>
    <t>Hoversoul Listing - Poplin Full sleeve</t>
  </si>
  <si>
    <t>Date :06/01/2026 &lt;CCMT team asked brand to share revised size chart&gt; &lt;Anwesha&gt;;Image deliver - Date :06/02/2026 &lt;Images Delivered18 Processed Options 3 Rejected Options 0&gt; &lt;Nitish Biswas&gt;;Date :06/03/2026 &lt;Ticket has been successfully uploaded in our system. Option 3 Sku 15&gt; &lt;Anwesha Mondal&gt;
[^Summary.zip]
[^Post Upload Status_UCW-32090 (7a0520d2-dff9-413f-ae16-99aba95dbbbb).xlsx]
;[^UCW-32090_LID.xlsx]
Hi [@Somesh Shukla|mailto:sshukla1@tataunistore.com],
Please find attached the sheet, where 3 options have been listed. Kindly update the price and inventory, and share the summary once completed.
{adf:display=block}
{"type":"table","attrs":{"isNumberColumnEnabled":false,"layout":"center","localId":"3f6cd8fe-c0b2-4d12-9aa2-530c61356c54"},"content":[{"type":"tableRow","content":[{"type":"tableCell","attrs":{"background":"#44b3e1"},"content":[{"type":"paragraph","content":[{"type":"text","text":"Ticket ID","marks":[{"type":"strong"}]}]}]},{"type":"tableCell","attrs":{"colspan":2,"background":"#44b3e1"},"content":[{"type":"paragraph","content":[{"type":"text","text":"UCW-32090","marks":[{"type":"strong"}]}]}]}]},{"type":"tableRow","content":[{"type":"tableCell","attrs":{"background":"#44b3e1"},"content":[{"type":"paragraph","content":[{"type":"text","text":"Brand Name","marks":[{"type":"strong"}]}]}]},{"type":"tableCell","attrs":{"colspan":2,"background":"#44b3e1"},"content":[{"type":"paragraph","content":[{"type":"text","text":"Hoversoul","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15"}]}]},{"type":"tableCell","attrs":{"background":"white"},"content":[{"type":"paragraph","content":[{"type":"text","text":"3"}]}]}]},{"type":"tableRow","content":[{"type":"tableCell","attrs":{"background":"white"},"content":[{"type":"paragraph","content":[{"type":"text","text":"Uploaded"}]}]},{"type":"tableCell","attrs":{"background":"white"},"content":[{"type":"paragraph","content":[{"type":"text","text":"15"}]}]},{"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15"}]}]},{"type":"tableCell","attrs":{"background":"white"},"content":[{"type":"paragraph","content":[{"type":"text","text":"3"}]}]}]},{"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</si>
  <si>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UCW-32092</t>
  </si>
  <si>
    <t>MNY | Sky Tubes Listing | TATACLIQ</t>
  </si>
  <si>
    <t>Maybelline New York</t>
  </si>
  <si>
    <t>Image deliver - Date :06/02/2026 &lt;Images Delivered Processed Options 1 Rejected Options 0 &gt; &lt;Moumita&gt;;We have successfully uploaded this batch. Please find the attached summary sheet and summary report.
[^ProductBulkUpload_125928_Beauty__Grooming(MPH22)_Makeup(MPH2214)_Eyes(MPH2214100)_Mascara(MPH2214100111)_33887_1780379454123_20260602_112054_280_summary.csv] [^UCW-32092_Post Upload Status.xlsx] ;|Date :05/02/2026 &lt;Ticket picked for pre processing Option 1 SKU 1&gt; &lt;Tania&gt;|
|Date :05/02/2026 &lt;Ticket picked for Production and QC review Option 1 SKU 1&gt; &lt;Tania&gt;|
|Date :05/02/2026 &lt;Ticket has been successfully uploaded in our system. Option 1 SKU 1&gt; &lt;Tania&gt;|;[^UCW-32092_LID.xlsx]
Hi [@ADHATRAO Amol - ACCENTURE|mailto:amol.adhatrao@loreal.com],
Please find attached the sheet, where 1 options have been listed. Kindly update the price and inventory, and share the summary once completed.
{adf:display=block}
{"type":"table","attrs":{"isNumberColumnEnabled":false,"layout":"center","localId":"461b16ac-08e4-4d7a-a937-bcf9dafa00e7"},"content":[{"type":"tableRow","content":[{"type":"tableCell","attrs":{"background":"#44b3e1"},"content":[{"type":"paragraph","content":[{"type":"text","text":"Ticket ID","marks":[{"type":"strong"}]}]}]},{"type":"tableCell","attrs":{"colspan":2,"background":"#44b3e1"},"content":[{"type":"paragraph","content":[{"type":"text","text":"UCW-32092","marks":[{"type":"strong"}]}]}]}]},{"type":"tableRow","content":[{"type":"tableCell","attrs":{"background":"#44b3e1"},"content":[{"type":"paragraph","content":[{"type":"text","text":"Brand Name","marks":[{"type":"strong"}]}]}]},{"type":"tableCell","attrs":{"colspan":2,"background":"#44b3e1"},"content":[{"type":"paragraph","content":[{"type":"text","text":"Maybelline New York","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</si>
  <si>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UCW-32093</t>
  </si>
  <si>
    <t>OOMPH | Cataloging | 27.05.2026 | Fashion Jewellery - TATACLIQ</t>
  </si>
  <si>
    <t>OOMPH</t>
  </si>
  <si>
    <t>Date: 1st June, 2026 Band to Query for Images -Mousumi.
Date: 2nd June, 2026 Pre-Processing Done ( Brand to Query for Weight, Warranty Type, COO details , Bracelet Size &amp; Headpiece)-Mousumi
Date: 2nd June, 2026-Images Done Saswati.
Date: 3rd June, 2026 Production Done -Mousumi.
Date: 3rd June, 2026 Description Done -Khushnuma.
Date: 3rd June, 2026 Qc &amp; Uploaded Done -Mousumi.
PFA the Summary &amp; Post-Uploaded sheet[^UCW-32093 Post Upload Status_V.2 (1).xlsx] [^Summary.zip] ;Analysis Shared - Date :06/02/2026 &lt;Analysis Shared Processed Options123Rejected Options XXX Rejected Reason XXX&gt; &lt;Saswati Dey&gt; 
Image deliver - Date :MM/DD/YYYY &lt;Images Delivered Processed Options XXX Rejected Options XXX&gt; &lt;Saswati Dey&gt;
Image deliver - Date :MM/DD/YYYY &lt;Images Delivered *LOT 2* Processed Options XXX Rejected Options XXX&gt; &lt;Agent Name&gt;;[^UCW-32093_LID.xlsx]
Hi [@Assist1 Moderef|mailto:assist1@moderefinc.com],
Please find attached the sheet, where 122 options have been listed. 
{adf:display=block}
{"type":"table","attrs":{"isNumberColumnEnabled":false,"layout":"center","localId":"b1b92f5e-3b54-4b61-aa61-e5a141543981"},"content":[{"type":"tableRow","content":[{"type":"tableCell","attrs":{"background":"#44b3e1"},"content":[{"type":"paragraph","content":[{"type":"text","text":"Ticket ID","marks":[{"type":"strong"}]}]}]},{"type":"tableCell","attrs":{"colspan":2,"background":"#44b3e1"},"content":[{"type":"paragraph","content":[{"type":"text","text":"UCW-32093","marks":[{"type":"strong"}]}]}]}]},{"type":"tableRow","content":[{"type":"tableCell","attrs":{"background":"#44b3e1"},"content":[{"type":"paragraph","content":[{"type":"text","text":"Brand Name","marks":[{"type":"strong"}]}]}]},{"type":"tableCell","attrs":{"colspan":2,"background":"#44b3e1"},"content":[{"type":"paragraph","content":[{"type":"text","text":"OOMPH &amp; fabul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123"}]}]},{"type":"tableCell","attrs":{"background":"white"},"content":[{"type":"paragraph","content":[{"type":"text","text":"123"}]}]}]},{"type":"tableRow","content":[{"type":"tableCell","attrs":{"background":"white"},"content":[{"type":"paragraph","content":[{"type":"text","text":"Uploaded"}]}]},{"type":"tableCell","attrs":{"background":"white"},"content":[{"type":"paragraph","content":[{"type":"text","text":"122"}]}]},{"type":"tableCell","attrs":{"background":"white"},"content":[{"type":"paragraph","content":[{"type":"text","text":"122"}]}]}]},{"type":"tableRow","content":[{"type":"tableCell","attrs":{"background":"white"},"content":[{"type":"paragraph","content":[{"type":"text","text":"Not Uploaded (Alreday Listed)"}]}]},{"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122"}]}]},{"type":"tableCell","attrs":{"background":"white"},"content":[{"type":"paragraph","content":[{"type":"text","text":"122"}]}]}]},{"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</si>
  <si>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UCW-32094</t>
  </si>
  <si>
    <t>Palmonas | Fashion Jwellery | 128366 | 27-05-2026 (240 SKUs)</t>
  </si>
  <si>
    <t>Date: 2nd June,2026 Pre-processing done( Brand to Query for Chain Length) -Mousumi.
Date: 2nd June,2026 production Done-Mousumi
Date: 2nd June,2026 Images Done-Nitish
Date: 2nd June,2026 Description Done-Khushnuma
Date: 2nd June,2026 Qc &amp; Uploaded Done-Mousumi
PFA the Summaryy &amp; Post-Uploaded sheet[^Summary.zip] [^UCW-32094 Post Upload Status_V.2 (1).xlsx] ;Image deliver - Date :06/02/2026 &lt;Images Delivered1284 Processed Options 240 Rejected Options 0&gt; &lt;Nitish Biswas&gt;;[^UCW-32094_LID.xlsx]
HI [@Akash Udgire|mailto:akash.udire@palmonas.com],
Please find attached the sheet, where 238 options have been listed. Kindly update the price and inventory, and share the summary once completed.
{adf:display=block}
{"type":"table","attrs":{"isNumberColumnEnabled":false,"layout":"center","localId":"ca06b9b9-d5e9-485f-8fc9-6dcf208e0cf1"},"content":[{"type":"tableRow","content":[{"type":"tableCell","attrs":{"background":"#44b3e1"},"content":[{"type":"paragraph","content":[{"type":"text","text":"Ticket ID","marks":[{"type":"strong"}]}]}]},{"type":"tableCell","attrs":{"colspan":2,"background":"#44b3e1"},"content":[{"type":"paragraph","content":[{"type":"text","text":"UCW-32094","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240"}]}]},{"type":"tableCell","attrs":{"background":"white"},"content":[{"type":"paragraph","content":[{"type":"text","text":"240"}]}]}]},{"type":"tableRow","content":[{"type":"tableCell","attrs":{"background":"white"},"content":[{"type":"paragraph","content":[{"type":"text","text":"Uploaded"}]}]},{"type":"tableCell","attrs":{"background":"white"},"content":[{"type":"paragraph","content":[{"type":"text","text":"238"}]}]},{"type":"tableCell","attrs":{"background":"white"},"content":[{"type":"paragraph","content":[{"type":"text","text":"238"}]}]}]},{"type":"tableRow","content":[{"type":"tableCell","attrs":{"background":"white"},"content":[{"type":"paragraph","content":[{"type":"text","text":"Not Uploaded"}]}]},{"type":"tableCell","attrs":{"background":"white"},"content":[{"type":"paragraph","content":[{"type":"text","text":"2"}]}]},{"type":"tableCell","attrs":{"background":"white"},"content":[{"type":"paragraph","content":[{"type":"text","text":"2"}]}]}]},{"type":"tableRow","content":[{"type":"tableCell","attrs":{"background":"white"},"content":[{"type":"paragraph","content":[{"type":"text","text":"LIDs Shared"}]}]},{"type":"tableCell","attrs":{"background":"white"},"content":[{"type":"paragraph","content":[{"type":"text","text":"238"}]}]},{"type":"tableCell","attrs":{"background":"white"},"content":[{"type":"paragraph","content":[{"type":"text","text":"238"}]}]}]},{"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</si>
  <si>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UCW-32096</t>
  </si>
  <si>
    <t>F26 Footwear 01-06-2026 Tata Cliq</t>
  </si>
  <si>
    <t>Columbia</t>
  </si>
  <si>
    <t>Date :06/01/2026 &lt;E2E Dual Listing - Marketplace: 126460 &amp; Luxury: 127128&gt; &lt;IMP: **Do not change title *Do not remove any details*&gt; &lt;Sanjana Ghosh&gt; ;Date :06/01/2026  &lt;Ticket picked for pre processing Option: 19  SKU: 117&gt; &lt;Sanjana Ghosh&gt;;Date :06/02/26 &lt;Ticket picked for Production and QC review Option: 19  SKU: 117&gt; &lt;Ankita&gt;;Analysis Shared - Date :06/02/2026 &lt;Analysis Shared Processed Options 19 Rejected Options 0 Rejected Reason NA &gt; &lt;Subhankar&gt; ;Date :06/02/26 &lt;Post Production query to Brand &lt;Upper material, Sole Material, Size chart Validation&gt;&gt; &lt;Ankita&gt;;Image deliver - Date :06/02/2026 &lt;Images Delivered Processed Options 19 Rejected Options 0&gt; &lt;Subhankar&gt;;Date :06/02/2026 &lt;Ticket has been successfully uploaded in our system. Option: 19  SKU: 117&gt; &lt;Ankita&gt;[^Summary.zip] [^UCW-32096_Post Upload Status_V.2 (1).xlsx] ;[^UCW-32096_LID.xlsx]
Hi [@Pravesh Pundir|mailto:ecom.mis@chogoriindia.com],
Please find attached the sheet, where 19 options on Mall 19 options on  Luxury have been listed. Kindly update the price and inventory, and share the summary once completed.
{adf:display=block}
{"type":"table","attrs":{"isNumberColumnEnabled":false,"layout":"center","localId":"de9e378c-2a4a-43f5-8190-a31bf93544d2"},"content":[{"type":"tableRow","content":[{"type":"tableCell","attrs":{"background":"#4d93d9"},"content":[{"type":"paragraph","content":[{"type":"text","text":"Ticket ID","marks":[{"type":"strong"}]}]}]},{"type":"tableCell","attrs":{"colspan":4,"background":"#4d93d9"},"content":[{"type":"paragraph","content":[{"type":"text","text":"UCW-32096","marks":[{"type":"strong"}]}]}]}]},{"type":"tableRow","content":[{"type":"tableCell","attrs":{"background":"#4d93d9"},"content":[{"type":"paragraph","content":[{"type":"text","text":"Brand Name","marks":[{"type":"strong"}]}]}]},{"type":"tableCell","attrs":{"colspan":4,"background":"#4d93d9"},"content":[{"type":"paragraph","content":[{"type":"text","text":"Columbia","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117"}]}]},{"type":"tableCell","attrs":{"background":"white"},"content":[{"type":"paragraph","content":[{"type":"text","text":"19"}]}]},{"type":"tableCell","attrs":{"background":"white"},"content":[{"type":"paragraph","content":[{"type":"text","text":"117"}]}]},{"type":"tableCell","attrs":{"background":"white"},"content":[{"type":"paragraph","content":[{"type":"text","text":"19"}]}]}]},{"type":"tableRow","content":[{"type":"tableCell","attrs":{"background":"white"},"content":[{"type":"paragraph","content":[{"type":"text","text":"Uploaded"}]}]},{"type":"tableCell","attrs":{"background":"white"},"content":[{"type":"paragraph","content":[{"type":"text","text":"117"}]}]},{"type":"tableCell","attrs":{"background":"white"},"content":[{"type":"paragraph","content":[{"type":"text","text":"19"}]}]},{"type":"tableCell","attrs":{"background":"white"},"content":[{"type":"paragraph","content":[{"type":"text","text":"117"}]}]},{"type":"tableCell","attrs":{"background":"white"},"content":[{"type":"paragraph","content":[{"type":"text","text":"19"}]}]}]},{"type":"tableRow","content":[{"type":"tableCell","attrs":{"background":"white"},"content":[{"type":"paragraph","content":[{"type":"text","text":"SKUs Not Uploaded"}]}]},{"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114"}]}]},{"type":"tableCell","attrs":{"background":"white"},"content":[{"type":"paragraph","content":[{"type":"text","text":"19"}]}]},{"type":"tableCell","attrs":{"background":"white"},"content":[{"type":"paragraph","content":[{"type":"text","text":"117"}]}]},{"type":"tableCell","attrs":{"background":"white"},"content":[{"type":"paragraph","content":[{"type":"text","text":"19"}]}]}]},{"type":"tableRow","content":[{"type":"tableCell","attrs":{"background":"white"},"content":[{"type":"paragraph","content":[{"type":"text","text":"LIDs Stuck in the System"}]}]},{"type":"tableCell","attrs":{"background":"white"},"content":[{"type":"paragraph","content":[{"type":"text","text":"3"}]}]},{"type":"tableCell","attrs":{"background":"white"},"content":[{"type":"paragraph","content":[{"type":"text","text":"0"}]}]},{"type":"tableCell","attrs":{"background":"white"},"content":[{"type":"paragraph","content":[{"type":"text","text":"0"}]}]},{"type":"tableCell","attrs":{"background":"white"},"content":[{"type":"paragraph","content":[{"type":"text","text":"0"}]}]}]}]}
{adf}
Regards,
Team Netscribes</t>
  </si>
  <si>
    <t>UCW-32099</t>
  </si>
  <si>
    <t>Tata Cliq  -  New Image Update - Giordano (28-05-2026)</t>
  </si>
  <si>
    <t>Date :06/02/2026 &lt;Ticket picked for pre processing Option 5 Sku 5&gt; &lt;Anjalita Gupta&gt;;Image deliver - Date :06/02/2026 &lt;Images Delivered Processed Options 6 Rejected Options 0&gt; &lt;Moumita&gt;;Date :06/02/2026 &lt;Images have been successfully processed/ retriggered. Option 6 Sku 6&gt; &lt;Anjalita&gt;;Reflecting</t>
  </si>
  <si>
    <t>UCW-32128</t>
  </si>
  <si>
    <t>Need Help To Add SKU on Website</t>
  </si>
  <si>
    <t>The Func.</t>
  </si>
  <si>
    <t>Date :06/02/2026 &lt;E2E Listing - SKU: 2&gt; &lt;Sanjana Ghosh&gt; ;Date :06/02/2026  &lt;Pre Processing query to Brand &lt;Platform and Seller Code confirmation&gt;&gt; &lt;Sanjana Ghosh&gt; ;Date :06/02/2026 &lt;Query to Category - Request to add Health &amp; Wellness Category in Seller Portal&gt; &lt;Sanjana Ghosh&gt;;Analysis Shared - Date :02/06/2026 &lt;Analysis Shared Processed Options XXX Rejected Options XXX Rejected Reason 02&gt; &lt;Saswati Dey&gt; 
Image deliver - Date :MM/DD/YYYY &lt;Images Delivered Processed Options XXX Rejected Options XXX&gt; &lt;Agent Name&gt;
Image deliver - Date :MM/DD/YYYY &lt;Images Delivered *LOT 2* Processed Options XXX Rejected Options XXX&gt; &lt;Saswati Dey&gt;;Date :06/03/2026  &lt;Pre Processing query to Brand &lt;Image Query&gt; &lt;Sanjana Ghosh&gt;;Date :06/04/2026 &lt; Pre Processing query to Brand 1st Follow Up&gt; &lt;Sanjana Ghosh&gt;;Date :06/05/2026 &lt; Pre Processing query to Brand 2nd Follow Up&gt; &lt;Sanjana Ghosh&gt;;Date :06/06/2026 &lt; Pre Processing query to Brand 3rd Follow Up&gt; &lt;Sanjana Ghosh&gt;</t>
  </si>
  <si>
    <t>UCW-32147</t>
  </si>
  <si>
    <t>Rasasi+Listings+Perfumes+126349+TCF+29th May 2026</t>
  </si>
  <si>
    <t>|Date :06/02/2026 &lt;Ticket picked for pre processing Option 14 SKU 14&gt; &lt;Tania&gt;|
|Date :06/02/2026 &lt;Pre Processing query to Brand &lt;Images mismatch with titles, set size details mismatches. Query raised on title, set size and images&gt;&gt; &lt;Tania&gt;|;Date :06/03/2026 &lt; Pre Processing query to Brand 1st Follow Up&gt; &lt;Tania&gt;;Analysis Shared - Date :06/02/2026 &lt;Analysis Shared Processed Options 14 Rejected Options 2 Rejected Reason multiple issue&gt; &lt;Moumita&gt;;Image deliver - Date :06/03/2026 &lt;Images Delivered Processed Options 14 Rejected Options 0&gt; &lt;Moumita&gt;;|Date :06/03/2026 &lt;Ticket picked for Production and QC review Option 14 Sku&gt; &lt;Tania&gt;|
|Date :06/03/2026 &lt;Ticket has been successfully uploaded in our system Sku 14&gt; &lt;Tania&gt;|;We have successfully uploaded this batch. Please find the attached summary sheet and summary report.[^ProductBulkUpload_126349_Beauty__Grooming(MPH22)_Fragrances_and_Perfumes(MPH2211)_Fragrances(MPH2211100)_Perfumes(MPH2211100104)_35212_1 (187ff426-ca65-4dfd-ac4f-bcfc7eeebc83).csv] [^Post Upload Status (149bff71-de0f-4de8-81ec-d03f15f0955c).xlsx] ;[^UCW-32147_LID.xlsx]
Hi [@priya@sharaya.in|mailto:priya@sharaya.in],
Please find attached the sheet, where 14 options have been listed. Kindly update the price and inventory, and share the summary once completed.
{adf:display=block}
{"type":"table","attrs":{"isNumberColumnEnabled":false,"layout":"center","localId":"3f0d2654-3f6e-450b-b1d3-a422e3b78548"},"content":[{"type":"tableRow","content":[{"type":"tableCell","attrs":{"background":"#44b3e1"},"content":[{"type":"paragraph","content":[{"type":"text","text":"Ticket ID","marks":[{"type":"strong"}]}]}]},{"type":"tableCell","attrs":{"colspan":2,"background":"#44b3e1"},"content":[{"type":"paragraph","content":[{"type":"text","text":"UCW-32147","marks":[{"type":"strong"}]}]}]}]},{"type":"tableRow","content":[{"type":"tableCell","attrs":{"background":"#44b3e1"},"content":[{"type":"paragraph","content":[{"type":"text","text":"Brand Name","marks":[{"type":"strong"}]}]}]},{"type":"tableCell","attrs":{"colspan":2,"background":"#44b3e1"},"content":[{"type":"paragraph","content":[{"type":"text","text":"Rasasi","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14"}]}]},{"type":"tableCell","attrs":{"background":"white"},"content":[{"type":"paragraph","content":[{"type":"text","text":"14"}]}]}]},{"type":"tableRow","content":[{"type":"tableCell","attrs":{"background":"white"},"content":[{"type":"paragraph","content":[{"type":"text","text":"Uploaded"}]}]},{"type":"tableCell","attrs":{"background":"white"},"content":[{"type":"paragraph","content":[{"type":"text","text":"14"}]}]},{"type":"tableCell","attrs":{"background":"white"},"content":[{"type":"paragraph","content":[{"type":"text","text":"14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14"}]}]},{"type":"tableCell","attrs":{"background":"white"},"content":[{"type":"paragraph","content":[{"type":"text","text":"14"}]}]}]},{"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</si>
  <si>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UCW-32159</t>
  </si>
  <si>
    <t>Sell now for seller 129577</t>
  </si>
  <si>
    <t>Electronics</t>
  </si>
  <si>
    <t xml:space="preserve">[^Status of UCW-32159.xlsx]
We have done the sell now task, Here we attach the Post upload file for your reference. 
{adf:display=block}
{"type":"table","attrs":{"isNumberColumnEnabled":false,"layout":"center","localId":"e6f56195-c15c-44b8-b468-9f90edd1d850"},"content":[{"type":"tableRow","content":[{"type":"tableCell","attrs":{},"content":[{"type":"paragraph","content":[{"type":"text","text":"Ticket ID"}]}]},{"type":"tableCell","attrs":{"colspan":2},"content":[{"type":"paragraph","content":[{"type":"text","text":"UCW-32159 "}]}]}]},{"type":"tableRow","content":[{"type":"tableCell","attrs":{},"content":[{"type":"paragraph","content":[{"type":"text","text":"Brand Name"}]}]},{"type":"tableCell","attrs":{"colspan":2},"content":[{"type":"paragraph","content":[{"type":"text","text":"Multi"}]}]}]},{"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5"}]}]},{"type":"tableCell","attrs":{},"content":[{"type":"paragraph","content":[{"type":"text","text":"5"}]}]}]},{"type":"tableRow","content":[{"type":"tableCell","attrs":{},"content":[{"type":"paragraph","content":[{"type":"text","text":"Uploaded"}]}]},{"type":"tableCell","attrs":{},"content":[{"type":"paragraph","content":[{"type":"text","text":"5"}]}]},{"type":"tableCell","attrs":{},"content":[{"type":"paragraph","content":[{"type":"text","text":"5"}]}]}]}]}
{adf};Date :06/03/2026&lt;Ticket has been successfully uploaded in our system. Option 5 Sku 5&gt; &lt;Rupa Modak&gt;;[^Status of UCW-32159 (64398e9b-0b2c-41cc-b0fe-cade2e996df4).xlsx]
The LID for the Sell Now ticket has been generated. We have attached the sheet for your reference. For now, we are closing this ticket. If any further assistance is required, please feel free to reach out to us anytime. </t>
  </si>
  <si>
    <t>UCW-32163</t>
  </si>
  <si>
    <t>Clinique Chubby Duffle &amp; Make-up box - Local GWP | Tatacliq | June cycle GWP</t>
  </si>
  <si>
    <t xml:space="preserve">Clinique </t>
  </si>
  <si>
    <t>Image deliver - Date :06/03/2026 &lt;Images Delivered Processed Options 2 Rejected Options 0&gt; &lt;Moumita&gt;;|Date :06/03/2026 &lt;Ticket picked for pre processing Option 2 Sku 2&gt; &lt;Tania&gt;|
|Date :06/03/2026 &lt;Ticket picked for Production and QC review Sku 2&gt; &lt;Tania&gt;|
| |;Date :06/03/2026 &lt;Upload stuck in Seller portal under “IN progress” status need to raise L1 Sku 2&gt; &lt;Tania&gt;;* Date :06/04/2026 &lt;Upload stuck in Seller portal L1 raised - [https://tatacliqhelpdesk.freshservice.com/support/tickets/215902|https://tatacliqhelpdesk.freshservice.com/support/tickets/215902]&gt; &lt;Tania&gt;</t>
  </si>
  <si>
    <t>UCW-32170</t>
  </si>
  <si>
    <t>Migration Request for Newly Generated Listing IDs</t>
  </si>
  <si>
    <t xml:space="preserve">06/03/206&lt;Query To CCMT&gt;&lt;Required data for Sell Now process&gt;&lt;Biplab Sarkar&gt;;The *Sell Now* activity has been successfully completed for both seller codes. Please find the attached summary sheet for your reference.
{adf:display=block}
{"type":"table","attrs":{"isNumberColumnEnabled":false,"layout":"center","localId":"7cb7e70f-8f4b-4e77-94ab-6913b5496229"},"content":[{"type":"tableRow","content":[{"type":"tableCell","attrs":{},"content":[{"type":"paragraph","content":[{"type":"text","text":"Ticket ID"}]}]},{"type":"tableCell","attrs":{"colspan":2},"content":[{"type":"paragraph","content":[{"type":"text","text":"UCW-32170"}]}]}]},{"type":"tableRow","content":[{"type":"tableCell","attrs":{},"content":[{"type":"paragraph","content":[{"type":"text","text":"Brand Name"}]}]},{"type":"tableCell","attrs":{"colspan":2},"content":[{"type":"paragraph","content":[{"type":"text","text":"Aurelia"}]}]}]},{"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696"}]}]},{"type":"tableCell","attrs":{},"content":[{"type":"paragraph","content":[{"type":"text","text":"118"}]}]}]},{"type":"tableRow","content":[{"type":"tableCell","attrs":{},"content":[{"type":"paragraph","content":[{"type":"text","text":"Already Uploaded"}]}]},{"type":"tableCell","attrs":{},"content":[{"type":"paragraph","content":[{"type":"text","text":"2"}]}]},{"type":"tableCell","attrs":{},"content":[{"type":"paragraph","content":[{"type":"text","text":"2"}]}]}]},{"type":"tableRow","content":[{"type":"tableCell","attrs":{},"content":[{"type":"paragraph","content":[{"type":"text","text":"Uploaded"}]}]},{"type":"tableCell","attrs":{},"content":[{"type":"paragraph","content":[{"type":"text","text":"694"}]}]},{"type":"tableCell","attrs":{},"content":[{"type":"paragraph","content":[{"type":"text","text":"116"}]}]}]}]}
{adf}
[^Summery.zip]
[^Status of UCW-32170.xlsx]
;The LID has been generated successfully in both seller codes. Please find the attached sheet for your reference.
As the requested activity has been completed, we will proceed with closing this ticket. If you require any further assistance or encounter any issues, please feel free to reach out to us. We will be happy to assist you.[^LID of UCW-32170.xlsx] </t>
  </si>
  <si>
    <t>UCW-32171</t>
  </si>
  <si>
    <t>Sri Jagdamba Pearls | Fine Jewelry | 124314 | 29-05, 33 SKUs</t>
  </si>
  <si>
    <t>Fine Jewellery</t>
  </si>
  <si>
    <t>Sri Jagdamba Pearls</t>
  </si>
  <si>
    <t>Date :06/02/2026  &lt;Pre Processing query to Brand &lt;Image link not accessible&gt;&gt; &lt;Mousumi&gt;;Image deliver - Date :06/03/2006 &lt;Images Delivered121 Processed Options 33 Rejected Options 0&gt; &lt;Nitish Biswas&gt;;3rd Jun, 2026 -Pre-Processing Done ( Brand to Query for Weight, Warranty Type, Warranty Time, COO details, Price Breakup on PDP &amp; Invoice , metal Weight, Chain Length)-Mousumi
3rd Jun, 2026 Images Done Nitish
3rd Jun, 2026 Description Done -Khushnuma
3rd Jun, 2026 Production Done -Mousumi
4th, Jun 2026 QC &amp; Uploaded done -Mousumi
PFA the Summary &amp; Post-Uploaded sheet[^UCW-32171 Post Upload Status_V.2 (1).xlsx] [^Summary.zip] ;[^UCW-32171_LID.xlsx]
{adf:display=block}
{"type":"table","attrs":{"isNumberColumnEnabled":false,"layout":"center","localId":"59e877d9-dcf7-4806-a0b7-57e184148f86"},"content":[{"type":"tableRow","content":[{"type":"tableCell","attrs":{"colspan":3},"content":[{"type":"paragraph","content":[{"type":"text","text":"Hi "},{"type":"text","text":"@naveen anmole","marks":[{"type":"link","attrs":{"href":"mailto:naveen@jpearls.com"}}]},{"type":"text","text":","}]},{"type":"paragraph","content":[{"type":"text","text":"We are pleased to inform you that the listing IDs have been generated successfully."}]},{"type":"paragraph","content":[{"type":"text","text":"Please find the attached file for your reference, along with the summary table below. You may now proceed with price and inventory pushing from your end."}]}]}]},{"type":"tableRow","content":[{"type":"tableCell","attrs":{"background":"#44b3e1"},"content":[{"type":"paragraph","content":[{"type":"text","text":"Ticket ID","marks":[{"type":"strong"}]}]}]},{"type":"tableCell","attrs":{"colspan":2,"background":"#44b3e1"},"content":[{"type":"paragraph","content":[{"type":"text","text":"UCW-32171","marks":[{"type":"strong"}]}]}]}]},{"type":"tableRow","content":[{"type":"tableCell","attrs":{"background":"#44b3e1"},"content":[{"type":"paragraph","content":[{"type":"text","text":"Brand Name","marks":[{"type":"strong"}]}]}]},{"type":"tableCell","attrs":{"colspan":2,"background":"#44b3e1"},"content":[{"type":"paragraph","content":[{"type":"text","text":"Sri Jagdamba Pearl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33"}]}]},{"type":"tableCell","attrs":{"background":"white"},"content":[{"type":"paragraph","content":[{"type":"text","text":"33"}]}]}]},{"type":"tableRow","content":[{"type":"tableCell","attrs":{"background":"white"},"content":[{"type":"paragraph","content":[{"type":"text","text":"Uploaded"}]}]},{"type":"tableCell","attrs":{"background":"white"},"content":[{"type":"paragraph","content":[{"type":"text","text":"33"}]}]},{"type":"tableCell","attrs":{"background":"white"},"content":[{"type":"paragraph","content":[{"type":"text","text":"33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33"}]}]},{"type":"tableCell","attrs":{"background":"white"},"content":[{"type":"paragraph","content":[{"type":"text","text":"33"}]}]}]},{"type":"tableRow","content":[{"type":"tableCell","attrs":{"background":"white"},"content":[{"type":"paragraph","content":[{"type":"text","text":"LIDs Stuck in the System"}]}]},{"type":"tableCell","attrs":{"background":"white"},"content":[{"type":"paragraph","content":[{"type":"text","text":"0"}]}]},{"type":"tableCell","attrs":{"background":"white"},"content":[{"type":"paragraph","content":[{"type":"text","text":"0"}]}]}]},{"type":"tableRow","content":[{"type":"tableCell","attrs":{"colspan":3},"content":[{"type":"paragraph","content":[{"type":"text","text":"With this, we are closing this request from our end."}]},{"type":"paragraph","content":[{"type":"text","text":"Thank you for your patience, support, and cooperation throughout the process. Your brand is important to us, and we look forward to assisting you again."}]}]}]}]}
{adf}
Regards,
Team Netscribes</t>
  </si>
  <si>
    <t>UCW-32178</t>
  </si>
  <si>
    <t>Tata Cliq-adidas DTC|Footwear| Attributes_03-06-26</t>
  </si>
  <si>
    <t>Date :06/03/2026  &lt;Ticket picked for pre processing Option: 35  SKU: 261&gt; &lt;Sanjana Ghosh&gt;;Date :06/03/2026 &lt;Pre Processing query to Brand &lt;Size chart, Image Issues  &amp; COO details issues&gt;&gt; &lt;Ishani&gt;;Date :06/03/2026 &lt;Ticket picked for Production and QC review Option 35 Sku 261&gt; &lt;Ishani&gt;;Date :06/03/2026 &lt;Ticket is currently under size guide creation Option 5 Sku 37&gt; &lt;Debabrata&gt;;Image deliver - Date :06/03/2026 &lt;Images Delivered Processed Options 35 Rejected Options 0&gt; &lt;Moumita&gt;;Date :06/03/2026 &lt;Ticket has been successfully uploaded in our system. 
{adf:display=block}
{"type":"table","attrs":{"isNumberColumnEnabled":false,"layout":"center","localId":"9fd5b04b-5e28-4876-9b1d-8f8d7b583e23"},"content":[{"type":"tableRow","content":[{"type":"tableCell","attrs":{},"content":[{"type":"paragraph","content":[{"type":"text","text":"Status"}]}]},{"type":"tableCell","attrs":{"colspan":2},"content":[{"type":"paragraph","content":[{"type":"text","text":"Mall"}]}]},{"type":"tableCell","attrs":{"colspan":2},"content":[{"type":"paragraph","content":[{"type":"text","text":"Lux"}]}]}]},{"type":"tableRow","content":[{"type":"tableCell","attrs":{},"content":[{"type":"paragraph","content":[{"type":"text","text":" "}]}]},{"type":"tableCell","attrs":{},"content":[{"type":"paragraph","content":[{"type":"text","text":"Option Count"}]}]},{"type":"tableCell","attrs":{},"content":[{"type":"paragraph","content":[{"type":"text","text":"Sku Count"}]}]},{"type":"tableCell","attrs":{},"content":[{"type":"paragraph","content":[{"type":"text","text":"Option Count"}]}]},{"type":"tableCell","attrs":{},"content":[{"type":"paragraph","content":[{"type":"text","text":"Sku Count"}]}]}]},{"type":"tableRow","content":[{"type":"tableCell","attrs":{},"content":[{"type":"paragraph","content":[{"type":"text","text":"Received"}]}]},{"type":"tableCell","attrs":{},"content":[{"type":"paragraph","content":[{"type":"text","text":"35"}]}]},{"type":"tableCell","attrs":{},"content":[{"type":"paragraph","content":[{"type":"text","text":"261"}]}]},{"type":"tableCell","attrs":{},"content":[{"type":"paragraph","content":[{"type":"text","text":"10"}]}]},{"type":"tableCell","attrs":{},"content":[{"type":"paragraph","content":[{"type":"text","text":"82"}]}]}]},{"type":"tableRow","content":[{"type":"tableCell","attrs":{},"content":[{"type":"paragraph","content":[{"type":"text","text":"Uploaded"}]}]},{"type":"tableCell","attrs":{},"content":[{"type":"paragraph","content":[{"type":"text","text":"31"}]}]},{"type":"tableCell","attrs":{},"content":[{"type":"paragraph","content":[{"type":"text","text":"228"}]}]},{"type":"tableCell","attrs":{},"content":[{"type":"paragraph","content":[{"type":"text","text":"10"}]}]},{"type":"tableCell","attrs":{},"content":[{"type":"paragraph","content":[{"type":"text","text":"82"}]}]}]},{"type":"tableRow","content":[{"type":"tableCell","attrs":{},"content":[{"type":"paragraph","content":[{"type":"text","text":"Already Listed"}]}]},{"type":"tableCell","attrs":{},"content":[{"type":"paragraph","content":[{"type":"text","text":"4"}]}]},{"type":"tableCell","attrs":{},"content":[{"type":"paragraph","content":[{"type":"text","text":"33"}]}]},{"type":"tableCell","attrs":{},"content":[{"type":"paragraph","content":[{"type":"text","text":"0"}]}]},{"type":"tableCell","attrs":{},"content":[{"type":"paragraph","content":[{"type":"text","text":"0"}]}]}]}]}
{adf}
&lt;Ishani&gt;
[^Post Upload Status_V.2 (1) (1).xlsx]
[^LUX_Summary.zip]
[^Summary MP.zip]
;[^UCW-32178.xlsx]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9406a564-51e6-481b-bdf0-10c2795f3d78"},"content":[{"type":"tableRow","content":[{"type":"tableCell","attrs":{"background":"#44b3e1"},"content":[{"type":"paragraph","content":[{"type":"text","text":"Ticket ID","marks":[{"type":"strong"}]}]}]},{"type":"tableCell","attrs":{"colspan":4,"background":"#44b3e1"},"content":[{"type":"paragraph","content":[{"type":"text","text":"UCW-32178","marks":[{"type":"strong"}]}]}]}]},{"type":"tableRow","content":[{"type":"tableCell","attrs":{"background":"#44b3e1"},"content":[{"type":"paragraph","content":[{"type":"text","text":"Brand Name","marks":[{"type":"strong"}]}]}]},{"type":"tableCell","attrs":{"colspan":4,"background":"#44b3e1"},"content":[{"type":"paragraph","content":[{"type":"text","text":"Adidas","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82"}]}]},{"type":"tableCell","attrs":{"background":"white"},"content":[{"type":"paragraph","content":[{"type":"text","text":"10"}]}]},{"type":"tableCell","attrs":{"background":"white"},"content":[{"type":"paragraph","content":[{"type":"text","text":"261"}]}]},{"type":"tableCell","attrs":{"background":"white"},"content":[{"type":"paragraph","content":[{"type":"text","text":"35"}]}]}]},{"type":"tableRow","content":[{"type":"tableCell","attrs":{"background":"white"},"content":[{"type":"paragraph","content":[{"type":"text","text":"Uploaded"}]}]},{"type":"tableCell","attrs":{"background":"white"},"content":[{"type":"paragraph","content":[{"type":"text","text":"82"}]}]},{"type":"tableCell","attrs":{"background":"white"},"content":[{"type":"paragraph","content":[{"type":"text","text":"10"}]}]},{"type":"tableCell","attrs":{"background":"white"},"content":[{"type":"paragraph","content":[{"type":"text","text":"228"}]}]},{"type":"tableCell","attrs":{"background":"white"},"content":[{"type":"paragraph","content":[{"type":"text","text":"31"}]}]}]},{"type":"tableRow","content":[{"type":"tableCell","attrs":{"background":"white"},"content":[{"type":"paragraph","content":[{"type":"text","text":"Already Listed"}]}]},{"type":"tableCell","attrs":{"background":"white"},"content":[{"type":"paragraph","content":[{"type":"text","text":"0"}]}]},{"type":"tableCell","attrs":{"background":"white"},"content":[{"type":"paragraph","content":[{"type":"text","text":"0"}]}]},{"type":"tableCell","attrs":{"background":"white"},"content":[{"type":"paragraph","content":[{"type":"text","text":"33"}]}]},{"type":"tableCell","attrs":{"background":"white"},"content":[{"type":"paragraph","content":[{"type":"text","text":"4"}]}]}]},{"type":"tableRow","content":[{"type":"tableCell","attrs":{"background":"white"},"content":[{"type":"paragraph","content":[{"type":"text","text":"LIDs Shared"}]}]},{"type":"tableCell","attrs":{"background":"white"},"content":[{"type":"paragraph","content":[{"type":"text","text":"82"}]}]},{"type":"tableCell","attrs":{"background":"white"},"content":[{"type":"paragraph","content":[{"type":"text","text":"10"}]}]},{"type":"tableCell","attrs":{"background":"white"},"content":[{"type":"paragraph","content":[{"type":"text","text":"226"}]}]},{"type":"tableCell","attrs":{"background":"white"},"content":[{"type":"paragraph","content":[{"type":"text","text":"31"}]}]}]},{"type":"tableRow","content":[{"type":"tableCell","attrs":{"background":"white"},"content":[{"type":"paragraph","content":[{"type":"text","text":"LIDs Stuck in the System"}]}]},{"type":"tableCell","attrs":{},"content":[{"type":"paragraph","content":[{"type":"text","text":"0"}]}]},{"type":"tableCell","attrs":{"background":"white"},"content":[{"type":"paragraph","content":[{"type":"text","text":"0"}]}]},{"type":"tableCell","attrs":{},"content":[{"type":"paragraph","content":[{"type":"text","text":"2"}]}]},{"type":"tableCell","attrs":{"background":"white"},"content":[{"type":"paragraph","content":[{"type":"text","text":"0"}]}]}]}]}
{adf}
2 SKUs Stuck in Rejected; we will be working on this we will inform you shortly.
Thank you for your patience, support, and cooperation throughout the process. Your brand is important to us, and we look forward to assisting you again.</t>
  </si>
  <si>
    <t>UCW-32179</t>
  </si>
  <si>
    <t>Tata Cliq-adidas DTC|Apparel| Attributes_03-06-26</t>
  </si>
  <si>
    <t>Date :06/03/2026  &lt;Pre Processing query to Brand &lt;Fit &amp; Country Jersey Confirmation Required&gt;&gt; &lt;Anwesha&gt; ;Image deliver - Date :06/03/2026 &lt;Images Delivered 543  Processed Options 92 Rejected Options 0&gt; &lt;Nitish Biswas&gt;;Date :06/04/2026 &lt;Ticket has been successfully uploaded in our system. Option *33* Sku *219 for LUX &amp;* Option *42* Sku *276 for MP*&gt; &lt;Anwesha Mondal&gt;
[^Post Upload Status_32179.xlsx]
[^Summary.zip]
;[^UCW-32179 Post upload sheet.xlsx]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304f9b47-5824-45dd-9644-447e167f6a23"},"content":[{"type":"tableRow","content":[{"type":"tableCell","attrs":{"background":"#44b3e1"},"content":[{"type":"paragraph","content":[{"type":"text","text":"Ticket ID","marks":[{"type":"strong"}]}]}]},{"type":"tableCell","attrs":{"colspan":4,"background":"#44b3e1"},"content":[{"type":"paragraph","content":[{"type":"text","text":"UCW-32179","marks":[{"type":"strong"}]}]}]}]},{"type":"tableRow","content":[{"type":"tableCell","attrs":{"background":"#44b3e1"},"content":[{"type":"paragraph","content":[{"type":"text","text":"Brand Name","marks":[{"type":"strong"}]}]}]},{"type":"tableCell","attrs":{"colspan":4,"background":"#44b3e1"},"content":[{"type":"paragraph","content":[{"type":"text","text":"Adidas","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274"}]}]},{"type":"tableCell","attrs":{"background":"white"},"content":[{"type":"paragraph","content":[{"type":"text","text":"42"}]}]},{"type":"tableCell","attrs":{"background":"white"},"content":[{"type":"paragraph","content":[{"type":"text","text":"325"}]}]},{"type":"tableCell","attrs":{"background":"white"},"content":[{"type":"paragraph","content":[{"type":"text","text":"50"}]}]}]},{"type":"tableRow","content":[{"type":"tableCell","attrs":{"background":"white"},"content":[{"type":"paragraph","content":[{"type":"text","text":"Uploaded"}]}]},{"type":"tableCell","attrs":{"background":"white"},"content":[{"type":"paragraph","content":[{"type":"text","text":"219"}]}]},{"type":"tableCell","attrs":{"background":"white"},"content":[{"type":"paragraph","content":[{"type":"text","text":"33"}]}]},{"type":"tableCell","attrs":{"background":"white"},"content":[{"type":"paragraph","content":[{"type":"text","text":"270"}]}]},{"type":"tableCell","attrs":{"background":"white"},"content":[{"type":"paragraph","content":[{"type":"text","text":"42"}]}]}]},{"type":"tableRow","content":[{"type":"tableCell","attrs":{"background":"white"},"content":[{"type":"paragraph","content":[{"type":"text","text":"MPN+Brand"}]}]},{"type":"tableCell","attrs":{"background":"white"},"content":[{"type":"paragraph","content":[{"type":"text","text":"0"}]}]},{"type":"tableCell","attrs":{"background":"white"},"content":[{"type":"paragraph","content":[{"type":"text","text":"0"}]}]},{"type":"tableCell","attrs":{"background":"white"},"content":[{"type":"paragraph","content":[{"type":"text","text":"55"}]}]},{"type":"tableCell","attrs":{"background":"white"},"content":[{"type":"paragraph","content":[{"type":"text","text":"8"}]}]}]},{"type":"tableRow","content":[{"type":"tableCell","attrs":{"background":"white"},"content":[{"type":"paragraph","content":[{"type":"text","text":"Already listed"}]}]},{"type":"tableCell","attrs":{"background":"white"},"content":[{"type":"paragraph","content":[{"type":"text","text":"55"}]}]},{"type":"tableCell","attrs":{"background":"white"},"content":[{"type":"paragraph","content":[{"type":"text","text":"9"}]}]},{"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184"}]}]},{"type":"tableCell","attrs":{"background":"white"},"content":[{"type":"paragraph","content":[{"type":"text","text":"28"}]}]},{"type":"tableCell","attrs":{"background":"white"},"content":[{"type":"paragraph","content":[{"type":"text","text":"264"}]}]},{"type":"tableCell","attrs":{"background":"white"},"content":[{"type":"paragraph","content":[{"type":"text","text":"41"}]}]}]},{"type":"tableRow","content":[{"type":"tableCell","attrs":{"background":"white"},"content":[{"type":"paragraph","content":[{"type":"text","text":"LIDs Stuck in the System"}]}]},{"type":"tableCell","attrs":{},"content":[{"type":"paragraph","content":[{"type":"text","text":"35"}]}]},{"type":"tableCell","attrs":{"background":"white"},"content":[{"type":"paragraph","content":[{"type":"text","text":"5"}]}]},{"type":"tableCell","attrs":{},"content":[{"type":"paragraph","content":[{"type":"text","text":"6"}]}]},{"type":"tableCell","attrs":{"background":"white"},"content":[{"type":"paragraph","content":[{"type":"text","text":"1"}]}]}]}]}
{adf}
Currently, 5 Luxury options and 1 Fashion option are stuck in the system. Our team is actively working on the issue, and we will share an update once it has been resolved.
Thank you for your patience, support, and cooperation throughout the process. Your brand is important to us, and we look forward to assisting you again.</t>
  </si>
  <si>
    <t>UCW-32187</t>
  </si>
  <si>
    <t xml:space="preserve">Tata Cliq  - New listing - L'Occitane GWP (28-05-2026) </t>
  </si>
  <si>
    <t>Date :06/03/2026 &lt;Ticket picked for pre processing Option 4 Sku 4&gt; &lt;Piyali Bose&gt;;Image deliver - Date :06/03/2026 &lt;Images Delivered Processed Options 4 Rejected Options 0&gt; &lt;Moumita&gt;;[^UCW-32187_Post Upload Status_V.2 (1).xlsx]
[^Summary.zip]
Date :6/3/2026 &lt;Ticket has been successfully uploaded in our system. Option 4 Sku 4 &gt; &lt;Piyali Bose&gt;;[^UCW-32187_LID.xlsx]
Hi @Pratik Singh,
Please find attached the sheet, where 4 options have been listed. Kindly update the price and inventory, and share the summary once completed.
{color:#ffffff}__{color}
{adf:display=block}
{"type":"table","attrs":{"isNumberColumnEnabled":false,"layout":"center","localId":"6125a206-6d59-46bc-bad4-4f1e9d468374"},"content":[{"type":"tableRow","content":[{"type":"tableCell","attrs":{"background":"#44b3e1"},"content":[{"type":"paragraph","content":[{"type":"text","text":"Ticket ID","marks":[{"type":"strong"}]}]}]},{"type":"tableCell","attrs":{"colspan":2,"background":"#44b3e1"},"content":[{"type":"paragraph","content":[{"type":"text","text":"UCW-32187","marks":[{"type":"strong"}]}]}]}]},{"type":"tableRow","content":[{"type":"tableCell","attrs":{"background":"#44b3e1"},"content":[{"type":"paragraph","content":[{"type":"text","text":"Brand Name","marks":[{"type":"strong"}]}]}]},{"type":"tableCell","attrs":{"colspan":2,"background":"#44b3e1"},"content":[{"type":"paragraph","content":[{"type":"text","text":"L'Occitane ","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type":"tableCell","attrs":{"background":"white"},"content":[{"type":"paragraph","content":[{"type":"text","text":"4"}]}]}]},{"type":"tableRow","content":[{"type":"tableCell","attrs":{"background":"white"},"content":[{"type":"paragraph","content":[{"type":"text","text":"Uploaded"}]}]},{"type":"tableCell","attrs":{"background":"white"},"content":[{"type":"paragraph","content":[{"type":"text","text":"4"}]}]},{"type":"tableCell","attrs":{"background":"white"},"content":[{"type":"paragraph","content":[{"type":"text","text":"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type":"tableCell","attrs":{"background":"white"},"content":[{"type":"paragraph","content":[{"type":"text","text":"4"}]}]}]},{"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</si>
  <si>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UCW-32188</t>
  </si>
  <si>
    <t>L'Occi X TataCliq_GWP New Listings</t>
  </si>
  <si>
    <t>This ticket is being closed as the details provided are duplicates of those already covered under UCW-32188.;Date :06/03/2026 &lt;The details are duplicates of UCW-32188.&gt; &lt;Tania&gt;</t>
  </si>
  <si>
    <t>UCW-32190</t>
  </si>
  <si>
    <t>Request for New Product Listing on Tata Cliq</t>
  </si>
  <si>
    <t>Dermatouch</t>
  </si>
  <si>
    <t>Date :06/03/2026 &lt;Ticket picked for pre processing Option 1 Sku 1&gt; &lt;Piyali Bose&gt;;Image deliver - Date :06/03/2026 &lt;Images Delivered Processed Options 1 Rejected Options 0&gt; &lt;Moumita&gt;;[^UCW-32190_Post Upload Status_V.2 (1).xlsx]
[^Summary.zip]
Date :6/3/2026 &lt;Ticket has been successfully uploaded in our system. Option 1 Sku 1 &gt; &lt;Piyali Bose&gt;;[^UCW-32190_LID.xlsx]
Hi [@Minhaz Shaikh|mailto:minhaz.shaikh@dermatouch.com],
Please find attached the sheet, where 1 options have been listed. Kindly update the price and inventory, and share the summary once completed.
{adf:display=block}
{"type":"table","attrs":{"isNumberColumnEnabled":false,"layout":"center","localId":"3e2a33a2-60aa-416e-ada7-72a0744c0319"},"content":[{"type":"tableRow","content":[{"type":"tableCell","attrs":{"background":"#44b3e1"},"content":[{"type":"paragraph","content":[{"type":"text","text":"Ticket ID","marks":[{"type":"strong"}]}]}]},{"type":"tableCell","attrs":{"colspan":2,"background":"#44b3e1"},"content":[{"type":"paragraph","content":[{"type":"text","text":"UCW-32190","marks":[{"type":"strong"}]}]}]}]},{"type":"tableRow","content":[{"type":"tableCell","attrs":{"background":"#44b3e1"},"content":[{"type":"paragraph","content":[{"type":"text","text":"Brand Name","marks":[{"type":"strong"}]}]}]},{"type":"tableCell","attrs":{"colspan":2,"background":"#44b3e1"},"content":[{"type":"paragraph","content":[{"type":"text","text":"Dermatouch","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</si>
  <si>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UCW-32192</t>
  </si>
  <si>
    <t>JC - PINK BLUE - 5 STD - TATA - 28/05/26</t>
  </si>
  <si>
    <t>JUST CAVALLI</t>
  </si>
  <si>
    <t>Image deliver - Date :06/03/2026 &lt;Images Delivered Processed Options 5 Rejected Options 0&gt; &lt;Moumita&gt;;Date :06/03/2026 &lt;Ticket picked for pre processing Option 5 Sku 5&gt; &lt;Tania&gt;;|Date :06/03/2026 &lt;Ticket picked for Production and QC review Option 5 SKU&gt; &lt;Tania&gt;|
|Date :06/03/2026 &lt;Ticket has been successfully uploaded in our system. Sku 5&gt; &lt;Tania&gt;|;We have successfully uploaded this batch. Please find the attached summary sheet and summary report.[^ProductBulkUpload_125928_Beauty__Grooming(MPH22)_Fragrances_and_Perfumes(MPH2211)_Fragrances(MPH2211100)_Perfumes(MPH2211100104)_338.csv] [^UCW-32192_Post Upload Status.xlsx] ;[^UCW-32192_LID.xlsx]
Hi [@Yash Shah|mailto:Yash.Shah@tarzlifestyle.com],
Please find attached the sheet, where 5 options have been listed. Kindly update the price and inventory, and share the summary once completed.
{adf:display=block}
{"type":"table","attrs":{"isNumberColumnEnabled":false,"layout":"center","localId":"43d7f68c-a687-4f4c-9a18-dbc88b7465ae"},"content":[{"type":"tableRow","content":[{"type":"tableCell","attrs":{"background":"#44b3e1"},"content":[{"type":"paragraph","content":[{"type":"text","text":"Ticket ID","marks":[{"type":"strong"}]}]}]},{"type":"tableCell","attrs":{"colspan":2,"background":"#44b3e1"},"content":[{"type":"paragraph","content":[{"type":"text","text":"UCW-32192","marks":[{"type":"strong"}]}]}]}]},{"type":"tableRow","content":[{"type":"tableCell","attrs":{"background":"#44b3e1"},"content":[{"type":"paragraph","content":[{"type":"text","text":"Brand Name","marks":[{"type":"strong"}]}]}]},{"type":"tableCell","attrs":{"colspan":2,"background":"#44b3e1"},"content":[{"type":"paragraph","content":[{"type":"text","text":"JUST CAVALLI","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type":"tableCell","attrs":{"background":"white"},"content":[{"type":"paragraph","content":[{"type":"text","text":"5"}]}]}]},{"type":"tableRow","content":[{"type":"tableCell","attrs":{"background":"white"},"content":[{"type":"paragraph","content":[{"type":"text","text":"Uploaded"}]}]},{"type":"tableCell","attrs":{"background":"white"},"content":[{"type":"paragraph","content":[{"type":"text","text":"5"}]}]},{"type":"tableCell","attrs":{"background":"white"},"content":[{"type":"paragraph","content":[{"type":"text","text":"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type":"tableCell","attrs":{"background":"white"},"content":[{"type":"paragraph","content":[{"type":"text","text":"5"}]}]}]},{"type":"tableRow","content":[{"type":"tableCell","attrs":{"background":"white"},"content":[{"type":"paragraph","content":[{"type":"text","text":"LIDs Stuck in the System"}]}]},{"type":"tableCell","attrs":{"background":"white"},"content":[{"type":"paragraph","content":[{"type":"text","text":"0"}]}]},{"type":"tableCell","attrs":{"background":"white"},"content":[{"type":"paragraph","content":[{"type":"text","text":"0"}]}]}]}]}
{adf}
Regards,
Team Netscribes</t>
  </si>
  <si>
    <t>New Listing Template : - 28-05-2026</t>
  </si>
  <si>
    <t>Liberty</t>
  </si>
  <si>
    <t>UCW-32206</t>
  </si>
  <si>
    <t>Shoe New Listing shared on 26-05-2026</t>
  </si>
  <si>
    <t>Vector X</t>
  </si>
  <si>
    <t>Date :06/03/2026  &lt;Ticket picked for pre processing Option: 21  SKU: 153&gt; &lt;Sanjana Ghosh&gt;;Date :06/03/2026  &lt;Pre Processing query to Brand &lt;Size Chart Details &amp; Image issue&gt; &lt;Sanjana Ghosh&gt; ;Analysis Shared - Date :06/03/2026 &lt;Analysis Shared Processed Options 0 Rejected Options 9 Rejected Reason Reject all for mandatory view&gt; &lt;Saswati Dey&gt;;Date :06/04/2026 &lt; Pre Processing query to Brand 1st Follow Up&gt; &lt;Ankita&gt;;Date :06/04/2026 &lt;Size Chart Creation&gt;&lt;L1 Raised &gt;&lt;Sanjana Ghosh&gt;;Image deliver - Date :06/04/1990 &lt;Images Delivered LOT 2 Processed Options 4 Rejected Options 5&gt; &lt;Saswati Dey&gt;;Image deliver - Date :06/04/2026 &lt;Images Delivered LOT 2 Processed Options 4 Rejected Options 5&gt; &lt;Saswati Dey&gt;;Date :06/05/2026  &lt;Pre Processing query to Brand &lt;Image Query&gt; &lt;Sanjana Ghosh&gt; ;Date :06/06/2026 &lt; Pre Processing query to Brand 1st Follow Up&gt; &lt;Sanjana Ghosh&gt;</t>
  </si>
  <si>
    <t>UCW-32208</t>
  </si>
  <si>
    <t>Date :06/03/2026  &lt;Ticket picked for pre processing Option: 23  SKU: 135&gt; &lt;Sanjana Ghosh&gt;;Image deliver - Date :06/04/2026 &lt;Images Delivered Processed Options 23 Rejected Options 0&gt; &lt;Subhankar&gt;;Date :06/04/2026  &lt;Pre Processing query to Brand &lt;size Chart details and some sizes are duplicate&gt; &lt;Sanjana Ghosh&gt; ;Date :06/04/2026 &lt;Ticket picked for Production and QC review Option 23 Sku 135&gt; &lt;Ishani &amp; Ankita&gt;;Date :06/04/2026 &lt;Ticket has been successfully uploaded in our system. Option 23 Sku 135&gt; &lt;Ishani&gt;
[^Post Upload Status_V.2 (1) (1).xlsx]
[^Summary.zip]
;[^UCW-32208_LID.xlsx]
Hi [@Parvesh Swami|mailto:ecommp6@libertyshoes.com],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cc1f907-aef7-4994-8135-016fc4987226"},"content":[{"type":"tableRow","content":[{"type":"tableCell","attrs":{"background":"#44b3e1"},"content":[{"type":"paragraph","content":[{"type":"text","text":"Ticket ID","marks":[{"type":"strong"}]}]}]},{"type":"tableCell","attrs":{"colspan":2,"background":"#44b3e1"},"content":[{"type":"paragraph","content":[{"type":"text","text":"UCW-32208","marks":[{"type":"strong"}]}]}]}]},{"type":"tableRow","content":[{"type":"tableCell","attrs":{"background":"#44b3e1"},"content":[{"type":"paragraph","content":[{"type":"text","text":"Brand Name","marks":[{"type":"strong"}]}]}]},{"type":"tableCell","attrs":{"colspan":2,"background":"#44b3e1"},"content":[{"type":"paragraph","content":[{"type":"text","text":"Liberty","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135"}]}]},{"type":"tableCell","attrs":{"background":"white"},"content":[{"type":"paragraph","content":[{"type":"text","text":"23"}]}]}]},{"type":"tableRow","content":[{"type":"tableCell","attrs":{"background":"white"},"content":[{"type":"paragraph","content":[{"type":"text","text":"Uploaded"}]}]},{"type":"tableCell","attrs":{"background":"white"},"content":[{"type":"paragraph","content":[{"type":"text","text":"135"}]}]},{"type":"tableCell","attrs":{"background":"white"},"content":[{"type":"paragraph","content":[{"type":"text","text":"23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135"}]}]},{"type":"tableCell","attrs":{"background":"white"},"content":[{"type":"paragraph","content":[{"type":"text","text":"23"}]}]}]},{"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</si>
  <si>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UCW-32217</t>
  </si>
  <si>
    <t>ERROR_Catalogue New errors for the Multibrands Agency (NETSCRIBES) 3rd June _NC</t>
  </si>
  <si>
    <t>Multibrand</t>
  </si>
  <si>
    <t>Date :06/04/2026 &lt;Ticket picked for pre processing Option 7 Sku 7&gt; &lt;Debabrata&gt;;Thank you for highlighting the issue. We have taken the necessary action on the errors and updated the Agency Comment column accordingly. We will inform once changes reflect.
For the New Balance brand, the highlighted MP Codes have been identified as having fewer than 3 images uploaded - We had received less than 3 images. We asked for more images to the brand; however, they were unable to provide more images at that time. So, we have confirmed with category and proceeded to upload less than 3 images with their approval. Please refer to the UCW-30313 for further details
For the Saint G brand, the highlighted SKUs have a color attribute mismatch with the uploaded images - As per brand provide details Color is silver, and in footwear we cannot consider sole color as brand color.
*We are facing connectivity issues with FileZilla, which is preventing us from performing bulk uploads. We have already escalated the matter to* @Mohd Tahir Shaikh *Once the issue is resolved, we will upload the required files and work on resolving the color attribute mismatch issue for the New Balance brand at the earliest.*;Date :06/04/2026 &lt;Uploaded/ Retriggered 11 SKUs &gt; &lt;Debabrata&gt;;[^ERROR AGENCY (NETSCRIBES) 3rd JUNE.xlsx]
Closed the Ticket</t>
  </si>
  <si>
    <t>UCW-32222</t>
  </si>
  <si>
    <t>Giva | Silver Jewellery | 125927 | 26-05-2026 (42 Sku)</t>
  </si>
  <si>
    <t>Giva</t>
  </si>
  <si>
    <t>Analysis Shared - Date :)06/04/2026 &lt;Analysis Shared Processed Options 42 Rejected Options 0 Rejected Reason XXX&gt; &lt;Saswati Dey&gt;;4th , Jun 2026 Pre-Processing Done ( Brand to QUery for Bangle &amp; Kada) -Mousumi
4th , Jun 2026 production Done- Mousumi
4th , Jun 2026 Description Done-Khushnuma
5th , Jun 2026 QC &amp; Uploaded Done -Mousumi.
PFA the Summary &amp; Post-uploaded sheet[^Summary.zip] [^UCW-32222 Post Upload Status_V.2 (1).xlsx] ;Revised Analysis Shared - Date :06/04/2026 &lt;Analysis Shared Processed Options 39 Rejected Options 3 Rejected Reason Image NA&gt; &lt;Saswati Dey&gt;;Image deliver - Date :06/04/2026 &lt;Images Delivered Processed Options 39 Rejected Options 3&gt; &lt;Saswati Dey&gt;;Image deliver - Date : 06/04/2026 &lt;Images Delivered LOT 2 Processed Options 3 Rejected Options 0 &lt;Saswati Dey&gt;;Image deliver - Date :06/04/1990 &lt;Images Delivered LOT 2 Processed Options 3 Rejected Options 0&gt; &lt;Saswati Dey&gt;;Date: 5th June 2026, resolution from Brand . QCWIP-Mousumi;[^UCW-32222_LID.xlsx]
{adf:display=block}
{"type":"table","attrs":{"isNumberColumnEnabled":false,"layout":"center","localId":"968633b4-a459-4d51-b957-2cd6b7c545a8"},"content":[{"type":"tableRow","content":[{"type":"tableCell","attrs":{},"content":[{"type":"paragraph","content":[{"type":"text","text":"Ticket ID"}]}]},{"type":"tableCell","attrs":{"colspan":2},"content":[{"type":"paragraph","content":[{"type":"text","text":"UCW-32222"}]}]}]},{"type":"tableRow","content":[{"type":"tableCell","attrs":{},"content":[{"type":"paragraph","content":[{"type":"text","text":"Brand Name"}]}]},{"type":"tableCell","attrs":{"colspan":2},"content":[{"type":"paragraph","content":[{"type":"text","text":"Giva"}]}]}]},{"type":"tableRow","content":[{"type":"tableCell","attrs":{},"content":[{"type":"paragraph","content":[{"type":"text","text":"Platform"}]}]},{"type":"tableCell","attrs":{"colspan":2},"content":[{"type":"paragraph","content":[{"type":"text","text":"Mall"}]}]}]},{"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42"}]}]},{"type":"tableCell","attrs":{},"content":[{"type":"paragraph","content":[{"type":"text","text":"42"}]}]}]},{"type":"tableRow","content":[{"type":"tableCell","attrs":{},"content":[{"type":"paragraph","content":[{"type":"text","text":"Uploaded"}]}]},{"type":"tableCell","attrs":{},"content":[{"type":"paragraph","content":[{"type":"text","text":"42"}]}]},{"type":"tableCell","attrs":{},"content":[{"type":"paragraph","content":[{"type":"text","text":"42"}]}]}]},{"type":"tableRow","content":[{"type":"tableCell","attrs":{},"content":[{"type":"paragraph","content":[{"type":"text","text":"Not Uploaded"}]}]},{"type":"tableCell","attrs":{},"content":[{"type":"paragraph","content":[{"type":"text","text":"0"}]}]},{"type":"tableCell","attrs":{},"content":[{"type":"paragraph","content":[{"type":"text","text":"0"}]}]}]},{"type":"tableRow","content":[{"type":"tableCell","attrs":{},"content":[{"type":"paragraph","content":[{"type":"text","text":"LIDs Shared"}]}]},{"type":"tableCell","attrs":{},"content":[{"type":"paragraph","content":[{"type":"text","text":"42"}]}]},{"type":"tableCell","attrs":{},"content":[{"type":"paragraph","content":[{"type":"text","text":"42"}]}]}]},{"type":"tableRow","content":[{"type":"tableCell","attrs":{},"content":[{"type":"paragraph","content":[{"type":"text","text":"LIDs Stuck in the System"}]}]},{"type":"tableCell","attrs":{},"content":[{"type":"paragraph","content":[{"type":"text","text":"0"}]}]},{"type":"tableCell","attrs":{},"content":[{"type":"paragraph","content":[{"type":"text","text":"0"}]}]}]}]}
{adf}</t>
  </si>
  <si>
    <t>UCW-32224</t>
  </si>
  <si>
    <t>WHP Jewellers | Silver Rakhi | 43 SKU | 126291-WHPJ1 | 28-05-2026</t>
  </si>
  <si>
    <t>Analysis Shared - Date :06/04/2026 &lt;Analysis Shared Processed Options 43 Rejected Options 0 Rejected Reason XXX&gt; &lt;Saswati Dey&gt;;4th Jun, 2026 Preprocessing Done( Brand to Query for price PDP &amp; invoice, Rakhi size-Mousumi 
4th Jun, 2026-Images Done saswati
4th Jun, 2026-Description Done-Khushnuma
4th Jun, 2026-Production Done-Mousumi
4th Jun, 2026- QC &amp; Uploaded done-Mousumi
PFA the Summary &amp; Post-Uploaded sheet[^UCW-32224 Post Upload Status_V.2 (1).xlsx] [^Summary.zip] 
;Image deliver - Date :06/04/1990 &lt;Images Delivered LOT 2 Processed Options 43 Rejected Options 0&gt; &lt;Saswati Dey&gt;;[^UCW-32224_LID.xlsx]
Hi [@Aishwarya Surve|mailto:aishwarya.surve@whpjewellers.in],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b6f4156-c202-41f1-b62f-fc83dfad9463"},"content":[{"type":"tableRow","content":[{"type":"tableCell","attrs":{"background":"#44b3e1"},"content":[{"type":"paragraph","content":[{"type":"text","text":"Ticket ID","marks":[{"type":"strong"}]}]}]},{"type":"tableCell","attrs":{"colspan":2,"background":"#44b3e1"},"content":[{"type":"paragraph","content":[{"type":"text","text":"UCW-32224","marks":[{"type":"strong"}]}]}]}]},{"type":"tableRow","content":[{"type":"tableCell","attrs":{"background":"#44b3e1"},"content":[{"type":"paragraph","content":[{"type":"text","text":"Brand Name","marks":[{"type":"strong"}]}]}]},{"type":"tableCell","attrs":{"colspan":2,"background":"#44b3e1"},"content":[{"type":"paragraph","content":[{"type":"text","text":"WHP","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43"}]}]},{"type":"tableCell","attrs":{"background":"white"},"content":[{"type":"paragraph","content":[{"type":"text","text":"43"}]}]}]},{"type":"tableRow","content":[{"type":"tableCell","attrs":{"background":"white"},"content":[{"type":"paragraph","content":[{"type":"text","text":"Uploaded"}]}]},{"type":"tableCell","attrs":{"background":"white"},"content":[{"type":"paragraph","content":[{"type":"text","text":"43"}]}]},{"type":"tableCell","attrs":{"background":"white"},"content":[{"type":"paragraph","content":[{"type":"text","text":"43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43"}]}]},{"type":"tableCell","attrs":{"background":"white"},"content":[{"type":"paragraph","content":[{"type":"text","text":"43"}]}]}]},{"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</si>
  <si>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UCW-32225</t>
  </si>
  <si>
    <t>Palmonas | Fashion Jwellery | 128366 | 02-06-2026 (237 SKUs)</t>
  </si>
  <si>
    <t>4th June, 2026 pre-processing done (Brand to Query Chain Length,&amp; Images Query )-Mousumi
Date: 5th June 2026, Some resolution from Brand &amp; Images Query Pending . WIP-Mousumi
Date: 5th June 2026, -Production Done -Mousumi.
Date: 5th June 2026, -Images done-Nitish
Date: 5th June 2026, description Done-Khushnuma
Date: 5th June 2026, Qc &amp; Uploaded Done-Mousumi.
PFA the Summary &amp; Post-Uploaded sheet[^Summary.zip] [^UCW-32225 Post Upload Status_V.2 (1).xlsx] ;[^UCW-32225_LID.xlsx] 
Hi [@Yogesh Goswami|mailto:yogesh.goswami@palmonas.com],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fe18dc1-6ca2-4923-9673-c673124c802a"},"content":[{"type":"tableRow","content":[{"type":"tableCell","attrs":{"background":"#44b3e1"},"content":[{"type":"paragraph","content":[{"type":"text","text":"Ticket ID","marks":[{"type":"strong"}]}]}]},{"type":"tableCell","attrs":{"colspan":2,"background":"#44b3e1"},"content":[{"type":"paragraph","content":[{"type":"text","text":"UCW-32225","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237"}]}]},{"type":"tableCell","attrs":{"background":"white"},"content":[{"type":"paragraph","content":[{"type":"text","text":"237"}]}]}]},{"type":"tableRow","content":[{"type":"tableCell","attrs":{"background":"white"},"content":[{"type":"paragraph","content":[{"type":"text","text":"Uploaded"}]}]},{"type":"tableCell","attrs":{"background":"white"},"content":[{"type":"paragraph","content":[{"type":"text","text":"235"}]}]},{"type":"tableCell","attrs":{"background":"white"},"content":[{"type":"paragraph","content":[{"type":"text","text":"235"}]}]}]},{"type":"tableRow","content":[{"type":"tableCell","attrs":{"background":"white"},"content":[{"type":"paragraph","content":[{"type":"text","text":"Not Uploaded (ALready Listed &amp; Single images provied)"}]}]},{"type":"tableCell","attrs":{"background":"white"},"content":[{"type":"paragraph","content":[{"type":"text","text":"2"}]}]},{"type":"tableCell","attrs":{"background":"white"},"content":[{"type":"paragraph","content":[{"type":"text","text":"2"}]}]}]},{"type":"tableRow","content":[{"type":"tableCell","attrs":{"background":"white"},"content":[{"type":"paragraph","content":[{"type":"text","text":"LIDs Shared"}]}]},{"type":"tableCell","attrs":{"background":"white"},"content":[{"type":"paragraph","content":[{"type":"text","text":"235"}]}]},{"type":"tableCell","attrs":{"background":"white"},"content":[{"type":"paragraph","content":[{"type":"text","text":"235"}]}]}]},{"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</si>
  <si>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UCW-32230</t>
  </si>
  <si>
    <t>Sell now - Bata KIDs footwear - New listing on Seller code: 100243 and 127887 - 122 SKus_88 Options - 19-05-2026</t>
  </si>
  <si>
    <t xml:space="preserve">The *Sell Now* activity has been successfully completed for 127887 seller codes. Please find the attached summary sheet for your reference.
{adf:display=block}
{"type":"table","attrs":{"isNumberColumnEnabled":false,"layout":"center","localId":"218b0e2b-2409-44aa-ae7c-e2c843050f56"},"content":[{"type":"tableRow","content":[{"type":"tableCell","attrs":{},"content":[{"type":"paragraph","content":[{"type":"text","text":"Ticket ID"}]}]},{"type":"tableCell","attrs":{"colspan":2},"content":[{"type":"paragraph","content":[{"type":"text","text":"UCW-32230"}]}]}]},{"type":"tableRow","content":[{"type":"tableCell","attrs":{},"content":[{"type":"paragraph","content":[{"type":"text","text":"Brand Name"}]}]},{"type":"tableCell","attrs":{"colspan":2},"content":[{"type":"paragraph","content":[{"type":"text","text":"Bubblegummers, Bata, Floatz, Power, North Star"}]}]}]},{"type":"tableRow","content":[{"type":"tableCell","attrs":{},"content":[{"type":"paragraph","content":[{"type":"text","text":"Particulars"}]}]},{"type":"tableCell","attrs":{},"content":[{"type":"paragraph","content":[{"type":"text","text":"SKU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122"}]}]},{"type":"tableCell","attrs":{},"content":[{"type":"paragraph","content":[{"type":"text","text":"88"}]}]}]},{"type":"tableRow","content":[{"type":"tableCell","attrs":{},"content":[{"type":"paragraph","content":[{"type":"text","text":"Not Uploaded"}]}]},{"type":"tableCell","attrs":{},"content":[{"type":"paragraph","content":[{"type":"text","text":"78"}]}]},{"type":"tableCell","attrs":{},"content":[{"type":"paragraph","content":[{"type":"text","text":"74"}]}]}]},{"type":"tableRow","content":[{"type":"tableCell","attrs":{},"content":[{"type":"paragraph","content":[{"type":"text","text":"Uploaded"}]}]},{"type":"tableCell","attrs":{},"content":[{"type":"paragraph","content":[{"type":"text","text":"44"}]}]},{"type":"tableCell","attrs":{},"content":[{"type":"paragraph","content":[{"type":"text","text":"14"}]}]}]}]}
{adf}
[^Summery.zip]
[^Status of UCW-32230.xlsx]
;The LID has been generated successfully. Please find the attached sheet for your reference.
As the requested activity has been completed, we will proceed with closing this ticket for now. If you require any further assistance or encounter any issues, please feel free to reach out to us. We will be happy to help.[^LID of UCW-32230.xlsx] </t>
  </si>
  <si>
    <t>UCW-32234</t>
  </si>
  <si>
    <t>Saint G - 27-05-2026 - 128537 - Party &amp; Club Wear Women Heels</t>
  </si>
  <si>
    <t xml:space="preserve">Date :06/04/2026  &lt;Ticket picked for pre processing Option: 171 SKU: 1026&gt; &lt;Sanjana Ghosh&gt;;Date :06/04/2026  &lt;Already Listed Option: 168 SKU: 1026&gt; &lt;Sanjana Ghosh&gt;
PFA the status - [^Already Listed UCW-32234.xlsx] </t>
  </si>
  <si>
    <t>UCW-32248</t>
  </si>
  <si>
    <t>Sell now - Tata Cliq-adidas DTC|Footwear| Attributes_03-06-26</t>
  </si>
  <si>
    <t>[^Summary Lux.zip]
[^Summary Mall.zip]
[^Summary Mall 2.zip]
We have done the sell now task, Here we attach the summery file for your reference.;{adf:display=block}
{"type":"table","attrs":{"isNumberColumnEnabled":false,"layout":"center","localId":"c28337b5-1eee-432b-b5ab-0546cfb55972"},"content":[{"type":"tableRow","content":[{"type":"tableCell","attrs":{},"content":[{"type":"paragraph","content":[{"type":"text","text":"Ticket ID"}]}]},{"type":"tableCell","attrs":{"colspan":2},"content":[{"type":"paragraph","content":[{"type":"text","text":"UCW-32248"}]}]}]},{"type":"tableRow","content":[{"type":"tableCell","attrs":{},"content":[{"type":"paragraph","content":[{"type":"text","text":"Brand Name"}]}]},{"type":"tableCell","attrs":{"colspan":2},"content":[{"type":"paragraph","content":[{"type":"text","text":"Adidas"}]}]}]},{"type":"tableRow","content":[{"type":"tableCell","attrs":{},"content":[{"type":"paragraph","content":[{"type":"text","text":"Platform"}]}]},{"type":"tableCell","attrs":{"colspan":2},"content":[{"type":"paragraph","content":[{"type":"text","text":"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82*3=246"}]}]},{"type":"tableCell","attrs":{},"content":[{"type":"paragraph","content":[{"type":"text","text":"10*3=30"}]}]}]},{"type":"tableRow","content":[{"type":"tableCell","attrs":{},"content":[{"type":"paragraph","content":[{"type":"text","text":"Uploaded"}]}]},{"type":"tableCell","attrs":{},"content":[{"type":"paragraph","content":[{"type":"text","text":"246"}]}]},{"type":"tableCell","attrs":{},"content":[{"type":"paragraph","content":[{"type":"text","text":"30"}]}]}]}]}
{adf}
{adf:display=block}
{"type":"table","attrs":{"isNumberColumnEnabled":false,"layout":"center","localId":"22671563-e394-42bb-b455-6c18af5f5eb5"},"content":[{"type":"tableRow","content":[{"type":"tableCell","attrs":{"background":"#ffd966"},"content":[{"type":"paragraph","content":[{"type":"text","text":"t ID","marks":[{"type":"strong"}]}]}]},{"type":"tableCell","attrs":{"colspan":2,"background":"#ffd966"},"content":[{"type":"paragraph","content":[{"type":"text","text":"UCW-32248","marks":[{"type":"strong"}]}]}]}]},{"type":"tableRow","content":[{"type":"tableCell","attrs":{"background":"#ffd966"},"content":[{"type":"paragraph","content":[{"type":"text","text":"Brand Name","marks":[{"type":"strong"}]}]}]},{"type":"tableCell","attrs":{"colspan":2,"background":"#ffd966"},"content":[{"type":"paragraph","content":[{"type":"text","text":"Adidas","marks":[{"type":"strong"}]}]}]}]},{"type":"tableRow","content":[{"type":"tableCell","attrs":{"background":"#ffd966"},"content":[{"type":"paragraph","content":[{"type":"text","text":"Platform","marks":[{"type":"strong"}]}]}]},{"type":"tableCell","attrs":{"colspan":2,"background":"#ffd966"},"content":[{"type":"paragraph","content":[{"type":"text","text":"Marketplace","marks":[{"type":"strong"}]}]}]}]},{"type":"tableRow","content":[{"type":"tableCell","attrs":{"background":"#ffd966"},"content":[{"type":"paragraph","content":[{"type":"text","text":"Particulars","marks":[{"type":"strong"}]}]}]},{"type":"tableCell","attrs":{"background":"#ffd966"},"content":[{"type":"paragraph","content":[{"type":"text","text":"SKU Count","marks":[{"type":"strong"}]}]}]},{"type":"tableCell","attrs":{"background":"#ffd966"},"content":[{"type":"paragraph","content":[{"type":"text","text":"Option Count","marks":[{"type":"strong"}]}]}]}]},{"type":"tableRow","content":[{"type":"tableCell","attrs":{"background":"white"},"content":[{"type":"paragraph","content":[{"type":"text","text":"Received"}]}]},{"type":"tableCell","attrs":{"background":"white"},"content":[{"type":"paragraph","content":[{"type":"text","text":"259*8=2072"}]}]},{"type":"tableCell","attrs":{"background":"white"},"content":[{"type":"paragraph","content":[{"type":"text","text":"35*8=280"}]}]}]},{"type":"tableRow","content":[{"type":"tableCell","attrs":{"background":"white"},"content":[{"type":"paragraph","content":[{"type":"text","text":"Uploaded"}]}]},{"type":"tableCell","attrs":{"background":"white"},"content":[{"type":"paragraph","content":[{"type":"text","text":"1808"}]}]},{"type":"tableCell","attrs":{"background":"white"},"content":[{"type":"paragraph","content":[{"type":"text","text":"248"}]}]}]},{"type":"tableRow","content":[{"type":"tableCell","attrs":{"background":"white"},"content":[{"type":"paragraph","content":[{"type":"text","text":"Already sell now"}]}]},{"type":"tableCell","attrs":{"background":"white"},"content":[{"type":"paragraph","content":[{"type":"text","text":"33*8=264"}]}]},{"type":"tableCell","attrs":{"background":"white"},"content":[{"type":"paragraph","content":[{"type":"text","text":"4*8=32"}]}]}]}]}
{adf};Date :06/05/2026&lt;Ticket has been successfully uploaded in our system. Option 310Sku 2318&gt; &lt;Rupa&gt;</t>
  </si>
  <si>
    <t>UCW-32251</t>
  </si>
  <si>
    <t>CLONE - PUMA Footwear 124130 &amp; 125381 New Listing 06-05-2026</t>
  </si>
  <si>
    <t>Image deliver - Date :06/04/2026 &lt;Images Delivered Processed Options 6 Rejected Options 0&gt; &lt;Subhankar&gt;;Date :06/04/2026 &lt;Ticket has been successfully uploaded in our system. Option 6 Sku 114&gt; &lt;Ankita&gt;[^UCW-32251_Post Upload Status_V.2 (1).xlsx] [^Summary.zip] ;[^UCW-32251_LID.xlsx]
Hi [@Prakasha, Guru|mailto:guru.prakasha@puma.com],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a365b8a-b535-4d64-be25-67a96542f544"},"content":[{"type":"tableRow","content":[{"type":"tableCell","attrs":{"background":"#44b3e1"},"content":[{"type":"paragraph","content":[{"type":"text","text":"Ticket ID","marks":[{"type":"strong"}]}]}]},{"type":"tableCell","attrs":{"colspan":2,"background":"#44b3e1"},"content":[{"type":"paragraph","content":[{"type":"text","text":"UCW-32251","marks":[{"type":"strong"}]}]}]}]},{"type":"tableRow","content":[{"type":"tableCell","attrs":{"background":"#44b3e1"},"content":[{"type":"paragraph","content":[{"type":"text","text":"Brand Name","marks":[{"type":"strong"}]}]}]},{"type":"tableCell","attrs":{"colspan":2,"background":"#44b3e1"},"content":[{"type":"paragraph","content":[{"type":"text","text":"PUM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114"}]}]},{"type":"tableCell","attrs":{"background":"white"},"content":[{"type":"paragraph","content":[{"type":"text","text":"6"}]}]}]},{"type":"tableRow","content":[{"type":"tableCell","attrs":{"background":"white"},"content":[{"type":"paragraph","content":[{"type":"text","text":"Uploaded"}]}]},{"type":"tableCell","attrs":{"background":"white"},"content":[{"type":"paragraph","content":[{"type":"text","text":"114"}]}]},{"type":"tableCell","attrs":{"background":"white"},"content":[{"type":"paragraph","content":[{"type":"text","text":"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114"}]}]},{"type":"tableCell","attrs":{"background":"white"},"content":[{"type":"paragraph","content":[{"type":"text","text":"6"}]}]}]},{"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</si>
  <si>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UCW-32254</t>
  </si>
  <si>
    <t>Saint G - 27-05-2026 - 128537 - Party &amp; Club Wear Men Boots SS26</t>
  </si>
  <si>
    <t xml:space="preserve">Date :06/04/2026  &lt;Ticket picked for pre processing Option: 18  SKU: 85&gt; &lt;Sanjana Ghosh&gt;;Date :06/04/2026  &lt;Already Listed Option: 17  SKU: 85&gt; &lt;Sanjana Ghosh&gt;
PFA the status - [^Already Listed UCW-32254.xlsx] </t>
  </si>
  <si>
    <t>UCW-32283</t>
  </si>
  <si>
    <t>Hoversoul Listing - CS Enterprise  02 Jun 2026 Men Monk Shoe</t>
  </si>
  <si>
    <t>Date :06/04/2026  &lt;Ticket picked for pre processing Option: 7  SKU: 35&gt; &lt;Sanjana Ghosh&gt;;Date :06/04/2026&lt;Ticket picked for Production and QC review Option 7 Sku 35&gt; &lt;Ankita&gt;;Date :06/04/2026&lt;Ticket shared for QC review to category and CCMT Option 7 Sku 35&gt; &lt;Ankita&gt;</t>
  </si>
  <si>
    <t>UCW-32300</t>
  </si>
  <si>
    <t>Belle Organics | Cataloguing</t>
  </si>
  <si>
    <t>Belle Organics</t>
  </si>
  <si>
    <t>|Date : 06/04/2026 &lt;Ticket picked for pre processing Option 16 Sku 16&gt; &lt;Tania&gt;|
|Date : {{2026-06-04}} &lt;Pre Processing query to Brand &lt;Skin Type is missing, Ingredients full list is missing, SKU Code has some special character, Image n certificate Query&gt;&gt; &lt;Tania&gt;|;Date :06/05/2026 &lt; Pre Processing query to Brand 1st Follow Up&gt; &lt;Tania&gt;;Analysis Shared - Date :06/04/2026 &lt;Analysis Shared Processed Options 16 Rejected Options 3 Rejected Reason multiple issue&gt; &lt;Moumita&gt;</t>
  </si>
  <si>
    <t>UCW-32302</t>
  </si>
  <si>
    <t>CLONE - SOMA ESSENTIAL - Cataloguing</t>
  </si>
  <si>
    <t xml:space="preserve">Soma Essential </t>
  </si>
  <si>
    <t>Date :6/4/2026&lt;Ticket picked for pre processing Option 5 Sku 5&gt; &lt;Piyali Bose&gt;;Date :6/4/2026  &lt;Pre Processing query to Brand &lt;Image, Certificate, Best Within&gt;&gt; &lt;Piyai Bose&gt; ;Date :6/5/2026 &lt; Pre Processing query to Brand 1st Follow Up&gt; &lt;Piyali Bose&gt;;Analysis Shared - Date :06/04/2026 &lt;Analysis Shared Processed Options 5 Rejected Options 1 Rejected Reason multiple issue&gt; &lt;Moumita&gt;;Date :6/6/2026 &lt; Pre Processing query to Brand 2nd Follow Up&gt; &lt;Piyali Bose&gt;</t>
  </si>
  <si>
    <t>UCW-32316</t>
  </si>
  <si>
    <t>New Listing - 18 SKUs - PEDITEQ</t>
  </si>
  <si>
    <t>PEDITEQ</t>
  </si>
  <si>
    <t>Date :06/04/2026 &lt;Ticket picked for pre processing Option: 3 SKU: 18&gt; &lt;Sanjana Ghosh&gt;;Date :06/04/2026  &lt;Pre Processing query to Brand &lt;Size chart query&gt; &lt;Sanjana Ghosh&gt; ;Date :06/05/2026 &lt; Pre Processing query to Brand 1st Follow Up&gt; &lt;Sanjana Ghosh&gt;;Date :06/05/2026&lt;Ticket picked for Production and QC review Option: 3 SKU: 18&gt; &lt;Ankita&gt;;Image deliver - Date :06/05/2026 &lt;Images Delivered Processed Options 3 Rejected Options 0&gt; &lt;Moumita&gt;;Date :06/05/2026 &lt;Ticket has been successfully uploaded in our system. Option: 3 SKU: 18&gt; &lt;Ankita&gt;[^UCW-32316_Post Upload Status_V.2 (1).xlsx] [^Summary.zip] ;[^UCW-32316_LID.xlsx]
Hi [@Sales Team 1|mailto:sales.1@pediteq.com],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956e8c13-0408-456e-a8c9-fb1e570c48fb"},"content":[{"type":"tableRow","content":[{"type":"tableCell","attrs":{"background":"#44b3e1"},"content":[{"type":"paragraph","content":[{"type":"text","text":"Ticket ID","marks":[{"type":"strong"}]}]}]},{"type":"tableCell","attrs":{"colspan":2,"background":"#44b3e1"},"content":[{"type":"paragraph","content":[{"type":"text","text":"UCW-32316","marks":[{"type":"strong"}]}]}]}]},{"type":"tableRow","content":[{"type":"tableCell","attrs":{"background":"#44b3e1"},"content":[{"type":"paragraph","content":[{"type":"text","text":"Brand Name","marks":[{"type":"strong"}]}]}]},{"type":"tableCell","attrs":{"colspan":2,"background":"#44b3e1"},"content":[{"type":"paragraph","content":[{"type":"text","text":"PEDITEQ","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18"}]}]},{"type":"tableCell","attrs":{"background":"white"},"content":[{"type":"paragraph","content":[{"type":"text","text":"3"}]}]}]},{"type":"tableRow","content":[{"type":"tableCell","attrs":{"background":"white"},"content":[{"type":"paragraph","content":[{"type":"text","text":"Uploaded"}]}]},{"type":"tableCell","attrs":{"background":"white"},"content":[{"type":"paragraph","content":[{"type":"text","text":"18"}]}]},{"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18"}]}]},{"type":"tableCell","attrs":{"background":"white"},"content":[{"type":"paragraph","content":[{"type":"text","text":"3"}]}]}]},{"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</si>
  <si>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UCW-32333</t>
  </si>
  <si>
    <t>woodland</t>
  </si>
  <si>
    <t>|Woodlands|[+https://tatacliqhelpdesk.freshservice.com/support/tickets/214802+|https://tatacliqhelpdesk.freshservice.com/support/tickets/214802]|Deletion ticket needs to be raised|Stuck in Rejected_Woodlands_MP_26-05-2026|
|Woodlands|[+https://tatacliqhelpdesk.freshservice.com/support/tickets/214750+|https://tatacliqhelpdesk.freshservice.com/support/tickets/214750]|Collated data shared, L1 WIP|Stuck in SFA_Woodlands_Marketplace_26-05-2026|
|Woodlands|[+https://tatacliqhelpdesk.freshservice.com/support/tickets/214746+|https://tatacliqhelpdesk.freshservice.com/support/tickets/214746]|MPID not generated, L1 WIP|Stuck in Save As Draft_Woodlands_Marketplace_26-05-2026|</t>
  </si>
  <si>
    <t>UCW-32337</t>
  </si>
  <si>
    <t>Upload on TataCliq - 117 Styles - Off Limit</t>
  </si>
  <si>
    <t>OFF LIMITS</t>
  </si>
  <si>
    <t>Date :06/05/2026  &lt;Ticket picked for pre processing Option: 117  SKU: 688&gt; &lt;Sanjana Ghosh&gt;;Date :06/05/2026  &lt;Pre Processing query to Brand &lt;Size Chart, Season Name and Sole Material&gt; &lt;Sanjana Ghosh&gt; ;Analysis Shared - Date :06/04/1990 &lt;Analysis Shared Processed Options 117 Rejected Options 0 Rejected Reason XXX&gt; &lt;Saswati Dey and Moumita Roy&gt;;Date :06/05/2026 &lt;Ticket picked for Production and QC review Option 117 Sku 688&gt; &lt;Ankita &amp; Ishani&gt;;Date :06/05/2026 &lt;Ticket is currently under size guide validation - [https://tatacliqhelpdesk.freshservice.com/support/tickets/216154|https://tatacliqhelpdesk.freshservice.com/support/tickets/216154] Option 117 Sku 688&gt; &lt;Ankita&gt;;Date :06/05/2026 &lt;Ticket has been successfully uploaded in our system. Option 117 Sku 688&gt; &lt;Ankita&gt;[^Summary.zip] [^UCW-32337_Post Upload Status_V.2 (1).xlsx] ;[^UCW-32337_LID.xlsx]
Hi [@Sandeep Patel|mailto:sandeep.patel@offlimits.co.in],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221d483b-9ba7-47d5-9065-e0838a5d0dc3"},"content":[{"type":"tableRow","content":[{"type":"tableCell","attrs":{"background":"#44b3e1"},"content":[{"type":"paragraph","content":[{"type":"text","text":"Ticket ID","marks":[{"type":"strong"}]}]}]},{"type":"tableCell","attrs":{"colspan":2,"background":"#44b3e1"},"content":[{"type":"paragraph","content":[{"type":"text","text":"UCW-32337","marks":[{"type":"strong"}]}]}]}]},{"type":"tableRow","content":[{"type":"tableCell","attrs":{"background":"#44b3e1"},"content":[{"type":"paragraph","content":[{"type":"text","text":"Brand Name","marks":[{"type":"strong"}]}]}]},{"type":"tableCell","attrs":{"colspan":2,"background":"#44b3e1"},"content":[{"type":"paragraph","content":[{"type":"text","text":"OFF LIMIT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669"}]}]},{"type":"tableCell","attrs":{"background":"white"},"content":[{"type":"paragraph","content":[{"type":"text","text":"117"}]}]}]},{"type":"tableRow","content":[{"type":"tableCell","attrs":{"background":"white"},"content":[{"type":"paragraph","content":[{"type":"text","text":"Uploaded"}]}]},{"type":"tableCell","attrs":{"background":"white"},"content":[{"type":"paragraph","content":[{"type":"text","text":"669"}]}]},{"type":"tableCell","attrs":{"background":"white"},"content":[{"type":"paragraph","content":[{"type":"text","text":"117"}]}]}]},{"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669"}]}]},{"type":"tableCell","attrs":{"background":"white"},"content":[{"type":"paragraph","content":[{"type":"text","text":"117"}]}]}]},{"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</si>
  <si>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UCW-32348</t>
  </si>
  <si>
    <t>Tata Cliq-Reebok Brand-Footwear -127776 - 02-06-2026</t>
  </si>
  <si>
    <t>Date :06/05/2026  &lt;Ticket picked for pre processing Option: 24  SKU: 208&gt; &lt;Sanjana Ghosh&gt;;Analysis Shared - Date :06/05/2026 &lt;Analysis Shared Processed Options 20 Rejected Options 4 Rejected Reason XXX&gt; &lt;Saswati Dey&gt;;Date :06/05/2026  &lt;Pre Processing query to Brand &lt;Image view missing&gt; &lt;Sanjana Ghosh&gt; ;Image deliver - Date :06/05/2026 &lt;Images Delivered Processed Options 20 Rejected Options 4&gt; &lt;Saswati Dey&gt;;Date :06/06/2026 &lt; Pre Processing query to Brand 1st Follow Up&gt; &lt;Sanjana Ghosh&gt;</t>
  </si>
  <si>
    <t>UCW-32351</t>
  </si>
  <si>
    <t xml:space="preserve">SKU EAN Updates &amp; Stock Activation (Primespot) - L'Occitane Almond Range and others </t>
  </si>
  <si>
    <t>SPOC asked for a query from the category; they will inform, and then it will start.</t>
  </si>
  <si>
    <t>UCW-32352</t>
  </si>
  <si>
    <t>PDP images update light oil 150ml</t>
  </si>
  <si>
    <t>The Face Shop</t>
  </si>
  <si>
    <t>Date :06/5/2026 &lt;Ticket picked for pre processing Option 1 Sku 1&gt; &lt;Anjalita&gt;;Image deliver - Date :06/05/2026 &lt;Images Delivered Processed Options 1 Rejected Options 0&gt; &lt;Moumita&gt;;Date :05/06/2000 &lt;Ticket has been successfully Retriggered in our system. Option 1 Sku 1&gt; &lt;Anjalita&gt;;Date :06/06/2026 &lt;Images have been successfully processed/ retriggered. Option 1 Sku 1&gt; &lt;Monu Saha&gt;</t>
  </si>
  <si>
    <t>UCW-32355</t>
  </si>
  <si>
    <t>New Listing | Neutrogena Ultra Sheer® Body Mist Sunscreen Broad Spectrum SPF 45</t>
  </si>
  <si>
    <t xml:space="preserve">Neutrogena </t>
  </si>
  <si>
    <t>Date :06/05/2026 &lt;Ticket picked for pre processing Option 1 Sku 1&gt; &lt;Tania&gt;;Analysis Shared - Date :06/05/2026 &lt;Analysis Shared Processed Options 1 Rejected Options 0 Rejected Reason certificate issue&gt; &lt;Moumita&gt;;Date :06-05-2026 &lt;Pre Processing query to Brand &lt;Certificate Issues mismatch with details&gt;&gt; &lt;Tania&gt;;Image deliver - Date :06/05/2026 &lt;Images Delivered Processed Options 1 Rejected Options 0&gt; &lt;Moumita&gt;;Date :06/06/2026 &lt;Ticket has been successfully uploaded in our system. Sku 1&gt; &lt;Tania&gt;;[^ProductBulkUpload_125928_Beauty__Grooming(MPH22)_Skin_Care(MPH2216)_Moisturizers_and_Serums(MPH2216103)_Sunscreen(MPH2216103109)_33887_1.csv]
[^UCW-32355_Post Upload Status.xlsx]
We have successfully uploaded this batch. Please find the attached summary sheet and summary report.</t>
  </si>
  <si>
    <t>UCW-32357</t>
  </si>
  <si>
    <t>(Bioderma x TataCliq) Photoderm X Defense Listing - April 2026</t>
  </si>
  <si>
    <t xml:space="preserve">Bioderma </t>
  </si>
  <si>
    <t>Date :6/5/2026 &lt;Ticket picked for pre processing Option 2 Sku 2 &gt; &lt;Piyali Bose &gt;;Analysis Shared - Date :06/05/2026 &lt;Analysis Shared Processed Options 2 Rejected Options 2 Rejected Reason size issue&gt; &lt;Moumita&gt;;Image deliver - Date :06/05/2026 &lt;Images Delivered Processed Options 2 Rejected Options 0&gt; &lt;Moumita&gt;;[^UCW-32357_Post Upload Status_V.2 (1).xlsx]
[^Summary.zip]
;Date :06/05/2026&lt;Ticket has been successfully uploaded in our system. Option 2Sku 2&gt; &lt;Piyali Bose&gt;;[^UCW-32357_LID.xlsx]
Hi [@Ashrit Sunkad|mailto:ashrit.sunkad@in.naos.com],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910652a2-7e49-48bf-8cc5-1e432150af24"},"content":[{"type":"tableRow","content":[{"type":"tableCell","attrs":{"background":"#44b3e1"},"content":[{"type":"paragraph","content":[{"type":"text","text":"Ticket ID","marks":[{"type":"strong"}]}]}]},{"type":"tableCell","attrs":{"colspan":2,"background":"#44b3e1"},"content":[{"type":"paragraph","content":[{"type":"text","text":"UCW-32357","marks":[{"type":"strong"}]}]}]}]},{"type":"tableRow","content":[{"type":"tableCell","attrs":{"background":"#44b3e1"},"content":[{"type":"paragraph","content":[{"type":"text","text":"Brand Name","marks":[{"type":"strong"}]}]}]},{"type":"tableCell","attrs":{"colspan":2,"background":"#44b3e1"},"content":[{"type":"paragraph","content":[{"type":"text","text":"Bioderma ","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type":"tableCell","attrs":{"background":"white"},"content":[{"type":"paragraph","content":[{"type":"text","text":"2"}]}]}]},{"type":"tableRow","content":[{"type":"tableCell","attrs":{"background":"white"},"content":[{"type":"paragraph","content":[{"type":"text","text":"Uploaded"}]}]},{"type":"tableCell","attrs":{"background":"white"},"content":[{"type":"paragraph","content":[{"type":"text","text":"2"}]}]},{"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type":"tableCell","attrs":{"background":"white"},"content":[{"type":"paragraph","content":[{"type":"text","text":"2"}]}]}]},{"type":"tableRow","content":[{"type":"tableCell","attrs":{"background":"white"},"content":[{"type":"paragraph","content":[{"type":"text","text":"LIDs 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</si>
  <si>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UCW-32358</t>
  </si>
  <si>
    <t xml:space="preserve">Bobbi Brown - VEFB Headband Cataloging |125928 | OR </t>
  </si>
  <si>
    <t>Date :06/05/2026 &lt;Ticket picked for pre processing Option 1 Sku 1&gt; &lt;Tania&gt;;Image deliver - Date :06/05/2026 &lt;Images Delivered Processed Options 1 Rejected Options 0&gt; &lt;Moumita&gt;;Date :06/05/2026 &lt;Pre Processing query to Brand &lt;HSN Missing &amp; Packer Details mismatched&gt;&gt; &lt;Tania&gt;;Date :06-06-2026 &lt; Pre Processing query to Brand 1st Follow Up&gt; &lt;Tania&gt;</t>
  </si>
  <si>
    <t>UCW-32381</t>
  </si>
  <si>
    <t>Request to Update the Correct Title &amp; Gm for LH Sindoor RED &lt;&gt; TataCliq</t>
  </si>
  <si>
    <t xml:space="preserve">Lotus </t>
  </si>
  <si>
    <t>Date :05/06/2000 &lt;Ticket picked for pre processing Option 1 Sku 1&gt; &lt;Anjalita&gt;;Date :06/05/2026 &lt;Ticket has been successfully Retriggered in our system. Option 1 Sku 1&gt; &lt;Anjalita&gt;;Date :06/06/2026 &lt;Images have been successfully processed/ retriggered. Option 1 Sku 1&gt; &lt;Monu Saha&gt;</t>
  </si>
  <si>
    <t>UCW-32386</t>
  </si>
  <si>
    <t>New Listing | Neutrogena UltraSheer Mineral Sunscreen 40 ml</t>
  </si>
  <si>
    <t>Date :06/05/2026  &lt;Ticket picked for pre processing Option 1 Sku 1&gt; &lt;Tania&gt;
Date :06/05/2026  &lt;Pre Processing query to Brand &lt;COO/ Manufacturer/ Importer/ Packer Query&gt;&gt; &lt;Tania&gt;;Analysis Shared - Date :06/06/2026 &lt;Analysis Shared Processed Options 1 Rejected Options 0 Rejected Reason certificate issue&gt; &lt;Moumita&gt;;Date :06/06/2026&lt; Pre Processing query to Brand 1st Follow Up&gt; &lt;Piyali&gt;</t>
  </si>
  <si>
    <t>UCW-32392</t>
  </si>
  <si>
    <t>Tata Cliq - New Listing - Fragrance GWP (MDP &amp; Bvlgari)</t>
  </si>
  <si>
    <t>Juliette Has A Gun</t>
  </si>
  <si>
    <t>Date :06/05/2026&lt;Ticket picked for pre processing Option 14Sku 14&gt; &lt;Piyali Bose&gt;;Image deliver - Date :06/06/2026 &lt;Images Delivered Processed Options 14 Rejected Options 0&gt; &lt;Moumita&gt;;[^UCW-32392_Post Upload Status_V.2 (1).xlsx]
[^Summary (1) (19633acd-dfc2-4dd7-96ff-e2611808b1a3).zip]
Date :06/06/2026&lt;Ticket has been successfully uploaded in our system. Option 14Sku 14&gt; &lt;Piyali Bose&gt;</t>
  </si>
  <si>
    <t>UCW-32398</t>
  </si>
  <si>
    <t>Cetaphil - new listings batch 3</t>
  </si>
  <si>
    <t xml:space="preserve">Cetaphil </t>
  </si>
  <si>
    <t>Date :06/05/2026 &lt;Ticket picked for pre processing Option 57 Sku 57&gt; &lt;Tania&gt;
Date :06/05/2026 &lt;Pre Processing query to Brand &lt;Image Missing&gt;&gt; &lt;Tania&gt;;Date :06/06/2026 &lt; Pre Processing query to Brand 1st Follow Up&gt; &lt;Tania&gt;</t>
  </si>
  <si>
    <t>UCW-32407</t>
  </si>
  <si>
    <t>Libas Apparel 127532 03-06-2026 (SIZE ADDITION)</t>
  </si>
  <si>
    <t>Date :06/06/2026 &lt;Ticket picked for pre processing Option 7 Sku 7&gt; &lt;Debabrata&gt;;[^SIZE ADDITION TATACLIQ 3-6-26.xlsx]
Please find attached the sheet, where 7 SKUs have been listed which is given for Cut size addition.
Kindly update the price and inventory, and share the summary once completed.
With this, we are closing this request from our end.
Thank you for your patience, support, and cooperation throughout the process. Your brand is important to us, and we look forward to assisting you again.</t>
  </si>
  <si>
    <t>UCW-32408</t>
  </si>
  <si>
    <t>Silvostyle | Multi-category | Seller Code | 06/06/2026 (231)</t>
  </si>
  <si>
    <t>Silvostyle</t>
  </si>
  <si>
    <t>UCW-32418</t>
  </si>
  <si>
    <t>ALDO Footwear Catalog Submission (TC&amp;TCL) - 01.06.2025</t>
  </si>
  <si>
    <t>Aldo</t>
  </si>
  <si>
    <t>Date :06/05/2026  &lt;Ticket picked for pre processing Option: 16  SKU: 106&gt; &lt;Sanjana Ghosh&gt;;Date :06/05/2026  &lt;Pre Processing query to Brand &lt;Image Issue - Link Expired&gt; &lt;Sanjana Ghosh&gt; ;Date :06/06/2026 &lt; Pre Processing query to Brand 1st Follow Up&gt; &lt;Sanjana Ghosh&gt;</t>
  </si>
  <si>
    <t>UCW-32428</t>
  </si>
  <si>
    <t>IKONIC  - TATA CLIQ  - Black Beauty Hair Straightener Image Update</t>
  </si>
  <si>
    <t xml:space="preserve">IKONIC  </t>
  </si>
  <si>
    <t>Date :06/05/2026 &lt;Ticket picked for pre processing Option 1 Sku 1&gt; &lt;Anjalita&gt;;Date :06/05/2026 &lt;Ticket has been successfully uploaded in our system. Option 1 Sku 1&gt; &lt;Anjalita&gt;;Date :06/06/2026 &lt;Images have been successfully processed/ retriggered. Option 1 Sku 1&gt; &lt;Monu Saha&gt;</t>
  </si>
  <si>
    <t>UCW-32429</t>
  </si>
  <si>
    <t>Arata X Tata Cliq - Catalogue Revision - 1 June</t>
  </si>
  <si>
    <t>Date :06/05/2026 &lt;Ticket picked for pre processing Option 2 Sku 2 &gt; &lt;Anjalita&gt;;Date :06/06/2026 &lt;Pre Processing query to Brand &lt;Image analysis shared&gt;&gt; &lt;Anjalita&gt;</t>
  </si>
  <si>
    <t>UCW-32432</t>
  </si>
  <si>
    <t>Eego Italy Footwear New Catalog // Tata Cliq Seller Code - 128558 // Dated 01-06-2026</t>
  </si>
  <si>
    <t>Eego Italy</t>
  </si>
  <si>
    <t>Date :06/05/2026  &lt;Ticket picked for pre processing Option: 24  SKU: 152&gt; &lt;Sanjana Ghosh&gt;;Date :06/06/2026 &lt;Ticket picked for Production and QC review Option 24 Sku 152&gt; &lt;Ishani&gt;;Analysis Shared - Date :06/06/2026 &lt;Analysis Shared Processed Options 17 Rejected Options 7 Rejected Reason XXX&gt; &lt;Saswati Dey&gt;;Date :06/06/2026 &lt;Pre Processing query to Brand &lt;Sole View Missing
* Right Side View Missing&gt;&gt; &lt;Ishani&gt;;Analysis Shared - Date :06/05/2026 &lt;Analysis Shared Processed Options 16 Rejected Options 8 Rejected Reason XXX&gt; &lt;Agent Name&gt;</t>
  </si>
  <si>
    <t>UCW-32436</t>
  </si>
  <si>
    <t>PDP Update | TATACLIQ</t>
  </si>
  <si>
    <t>Loreal Paris</t>
  </si>
  <si>
    <t>Date :06/05/2026 &lt;Ticket picked for preprocessing Option 14 Sku 14 &gt; &lt;Anjalita&gt;;Image deliver - Date :06/06/2026 &lt;Images Delivered Processed Options 3 Rejected Options 0&gt; &lt;Moumita&gt;;Date :06/06/2026 &lt;Ticket has been successfully retriggered in our system. Option 14 Sku 14&gt; &lt;Anjalita&gt;</t>
  </si>
  <si>
    <t>UCW-32448</t>
  </si>
  <si>
    <t>New Launch Catalouge format</t>
  </si>
  <si>
    <t>Twenty-Seven</t>
  </si>
  <si>
    <t>Date :06/05/2026  &lt;Ticket picked for pre processing Option 1 Sku 1&gt; &lt;Tania&gt;
Date :06/05/2026  &lt;Pre Processing query to Brand &lt;Certificate Query&gt;&gt; &lt;Tania&gt; ;Analysis Shared - Date :06/06/2026 &lt;Analysis Shared Processed Options 1 Rejected Options 0 Rejected Reason certificate issue&gt; &lt;Moumita&gt;</t>
  </si>
  <si>
    <t>UCW-32457</t>
  </si>
  <si>
    <t>TQ | Brand: Converse | Catalog Listing | FA26 FTWR Carryover.</t>
  </si>
  <si>
    <t>Date :06/05/2026 &lt;Ticket picked for pre processing Option: 14 SKU: 107&gt; &lt;Sanjana Ghosh&gt;;Date :06/05/2026 &lt;Ticket picked for Production and QC review Option 14 Sku 107&gt; &lt;Ishani&gt;;Image deliver - Date :06/05/2026 &lt;Images Delivered Processed Options 13 Rejected Options 1&gt; &lt;Moumita&gt;;Date :06/05/2026 &lt;Tech Error - L1 Raised for size chart creation&gt; &lt;Sanjana Ghosh&gt;;Date :06/05/2026  &lt;Pre Processing query to Brand &lt;Image sole view missing&gt; &lt;Sanjana Ghosh&gt; ;Image deliver - Date :06/06/2026 &lt;Images Delivered LOT 2 Processed Options 1 Rejected Options 0&gt; &lt;Moumita&gt;</t>
  </si>
  <si>
    <t>UCW-32458</t>
  </si>
  <si>
    <t>Giva | Silver Jewellery | 125927 | 04-06-2026 (49Sku)</t>
  </si>
  <si>
    <t>Date : 6th Jun, 2026 pre-Processing Done (Brand to Query For Chain Length, MRP, Kada Size, Images Query)- Mousumi
Date : 6th Jun, 2026 Images Done-Nitish
Date : 6th Jun, 2026 Production Done -Mousumi.
Date : 6th Jun, 2026 Description Done-Khushnuma
;Image deliver - Date :06/06/2026 &lt;Images Delivered265 Processed Options 49 Rejected Options 2&gt; &lt;Nitish Biswas&gt;</t>
  </si>
  <si>
    <t>UCW-32459</t>
  </si>
  <si>
    <t>Regenerating mask 75 ml -PDP update</t>
  </si>
  <si>
    <t>belif</t>
  </si>
  <si>
    <t>Date :06/05/2026 &lt;Ticket picked for pre processing Option 1 Sku 1&gt; &lt;Anjalita&gt;;Platform confirmation needed</t>
  </si>
  <si>
    <t>UCW-32460</t>
  </si>
  <si>
    <t>Tata Cliq Listing_03-06-2026 Lavie Luxe &amp; Lavie Sport Perfume</t>
  </si>
  <si>
    <t>Lavie</t>
  </si>
  <si>
    <t>Analysis Shared - Date :06/06/2026 &lt;Analysis Shared Processed Options 6 Rejected Options 0 &gt; &lt;Moumita&gt;;Date :06/06/2026&lt;Ticket picked for pre processing Option 6 Sku 6&gt; &lt;Piyali&gt;;Image deliver - Date :06/06/2026 &lt;Images Delivered Processed Options 6 Rejected Options 0&gt; &lt;Moumita&gt;</t>
  </si>
  <si>
    <t>UCW-32467</t>
  </si>
  <si>
    <t>London Rag/Rag &amp; Co + Footwear+ 127227 + New Listing+ 3323+ 7 + 02-06-2026</t>
  </si>
  <si>
    <t>London Rag, Rag &amp; Co</t>
  </si>
  <si>
    <t>Date :06/06/2026  &lt;Ticket picked for pre processing Option: 551  SKU: 3323&gt; &lt;Sanjana Ghosh&gt;</t>
  </si>
  <si>
    <t>UCW-32468</t>
  </si>
  <si>
    <t>Xtep Footwear 129553, 129560 Listing 133 SKU ( 19 Options ) 27/05/2026.</t>
  </si>
  <si>
    <t>Xstep</t>
  </si>
  <si>
    <t>Date :06/06/2026  &lt;Ticket picked for pre processing Option: 19  SKU: 133&gt; &lt;Sanjana Ghosh&gt;;Analysis Shared - Date :06/06/2026 &lt;Analysis Shared Processed Options 0 Rejected Options 19 Rejected Reason Sole View NA&gt; &lt;Subhankar&gt;;Date :06/06/2026 &lt;Pre Processing query to Brand &lt;SKU confirmation, Image query&gt;&gt; &lt;Ankita&gt;</t>
  </si>
  <si>
    <t>UCW-32471</t>
  </si>
  <si>
    <t>Tatacliq Footwear  batch 24 (May) _USPA_01-06-2026</t>
  </si>
  <si>
    <t>Date :06/06/2026 &lt;Ticket picked for pre processing Option 132 Sku 798&gt; &lt;Amandeep&gt;;Date :06/06/2026 &lt;Pre Processing query to Brand &lt;*Sizes are Duplicate*
* *Importer Details Missing*
* *Upper Material is marked as "Others"*
For your reference, we have attached the issue sheet highlighting the affected SKUs.
*Additionally, the size chart has not been provided yet. Kindly share the size chart as well so that we can proceed with the batch processing smoothly.*&gt;&gt; &lt;Ishani&gt;</t>
  </si>
  <si>
    <t>No task was assigned for this ticket</t>
  </si>
  <si>
    <t>Multiple clone created for the same ticket</t>
  </si>
  <si>
    <t>Client asked not to proceed with this ticket</t>
  </si>
  <si>
    <t>UCW-32474</t>
  </si>
  <si>
    <t>REGAL TATACLIQ TEMPLATE 03.06.2026</t>
  </si>
  <si>
    <t>IMPERIO, REGAL</t>
  </si>
  <si>
    <t>Assigned on 6th June post 8pm, will be uploaded on 8th June if no queries arise</t>
  </si>
  <si>
    <t>UCW-32826</t>
  </si>
  <si>
    <t>E2E - Isharya - Jewellery - 21st May - 28 SKUs</t>
  </si>
  <si>
    <t>UCW-32824</t>
  </si>
  <si>
    <t>Xtep Footwear 129553, 129560 Listing 156 SKU ( 24 Options ) 10/06/2026.</t>
  </si>
  <si>
    <t>UCW-32823</t>
  </si>
  <si>
    <t>Sparkles Arias by Lara Dutta 15 Styles</t>
  </si>
  <si>
    <t>UCW-32817</t>
  </si>
  <si>
    <t>CLONE - Jokerandwitch | Fashion Jewellery | 127801 | 20-05-2026</t>
  </si>
  <si>
    <t>UCW-32785</t>
  </si>
  <si>
    <t>E2E - Rosso Brunello - FTW - 09/06/26 - 148 SKUs</t>
  </si>
  <si>
    <t>UCW-32782</t>
  </si>
  <si>
    <t>Anta Footwear S225 127055 &amp; 126934 New listing</t>
  </si>
  <si>
    <t>UCW-32776</t>
  </si>
  <si>
    <t>Accessory+ROWBWH+IDEE+09.06.2026</t>
  </si>
  <si>
    <t>Eyewear</t>
  </si>
  <si>
    <t>UCW-32772</t>
  </si>
  <si>
    <t>Tata interperfum cataloguing 1st June'26_pending</t>
  </si>
  <si>
    <t>UCW-32759</t>
  </si>
  <si>
    <t>Tata Cliq-Multi Brand-Footwear -129236 - 127776 - 09-06-2026</t>
  </si>
  <si>
    <t>UCW-32749</t>
  </si>
  <si>
    <t>TCL - June Cycle Cataloguing</t>
  </si>
  <si>
    <t>UCW-32734</t>
  </si>
  <si>
    <t>Tata Cliq Luxury - New listing - Juliette has a gun MDP (Powder Love) ( 09-06-2026)</t>
  </si>
  <si>
    <t>UCW-32718</t>
  </si>
  <si>
    <t>TATA x HUL | Assortment Recommendation</t>
  </si>
  <si>
    <t>UCW-32717</t>
  </si>
  <si>
    <t>New Listing for Tata Cliq: Earrings ( 266 SKUs) – Kushal’s</t>
  </si>
  <si>
    <t>UCW-32716</t>
  </si>
  <si>
    <t>Charles &amp; Keith_Footwear_125610_11thJun'26 (Batch 13)</t>
  </si>
  <si>
    <t>UCW-32702</t>
  </si>
  <si>
    <t>Foxtale X Tata Cliq Baked Valina listing</t>
  </si>
  <si>
    <t>UCW-32697</t>
  </si>
  <si>
    <t>Tata Cliq Content Sheet - Philips</t>
  </si>
  <si>
    <t>UCW-32694</t>
  </si>
  <si>
    <t>Foxtale X Tatacliq 6 NPI roll-on Listings</t>
  </si>
  <si>
    <t>UCW-32687</t>
  </si>
  <si>
    <t>CLONE - Clone_Woodland / Footwear / 2714 sku's / 377 Options / 29-04-26</t>
  </si>
  <si>
    <t>UCW-32676</t>
  </si>
  <si>
    <t>YSL x Tata Cliq Luxury - New Launch Tracking</t>
  </si>
  <si>
    <t>UCW-32675</t>
  </si>
  <si>
    <t>BIO CODE Range</t>
  </si>
  <si>
    <t>UCW-32660</t>
  </si>
  <si>
    <t>124246 Luxury New Balance 2000 OR New Listing 10.06.2026</t>
  </si>
  <si>
    <t>UCW-32654</t>
  </si>
  <si>
    <t>CDC - ON Running Listing | 04-06-2026</t>
  </si>
  <si>
    <t>UCW-32649</t>
  </si>
  <si>
    <t>INSIGHT X TATA : Brand Master : Catalog &amp; Listing</t>
  </si>
  <si>
    <t>UCW-32637</t>
  </si>
  <si>
    <t>ERROR_Catalogue New errors for the Multibrands Agency (NETSCRIBES) 9th June _NC</t>
  </si>
  <si>
    <t>UCW-32614</t>
  </si>
  <si>
    <t>UCW-32610</t>
  </si>
  <si>
    <t>Red Tape +Footwear+127785+New Listing+956 Skus + 186 Options+ 8 July 2026</t>
  </si>
  <si>
    <t>UCW-32606</t>
  </si>
  <si>
    <t>Lotto/Footwear UPTO Lot-35/Seller code- 129247/ 05-06-2026</t>
  </si>
  <si>
    <t>UCW-32602</t>
  </si>
  <si>
    <t>Palmonas | Fashion Jwellery | 128366 | 05-06-2026 (238 SKUs)</t>
  </si>
  <si>
    <t>UCW-32600</t>
  </si>
  <si>
    <t>Campus x Tata CliQ ~ New Listings_05.06.2026 Batch-25</t>
  </si>
  <si>
    <t>UCW-32594</t>
  </si>
  <si>
    <t>Tatacliq Footwear  batch 20 (June) _USPA_05-06-2026</t>
  </si>
  <si>
    <t>UCW-32579</t>
  </si>
  <si>
    <t>Tata Cliq Footwear Catalogue | 01-06-2026</t>
  </si>
  <si>
    <t>UCW-32572</t>
  </si>
  <si>
    <t>New Catalog For Brand Prolific- Lot-49.</t>
  </si>
  <si>
    <t>UCW-32557</t>
  </si>
  <si>
    <t>NVR New 196 Style Listing</t>
  </si>
  <si>
    <t>UCW-32552</t>
  </si>
  <si>
    <t>Data update for existing styles</t>
  </si>
  <si>
    <t>UCW-32543</t>
  </si>
  <si>
    <t>Giva | Silver Jewellery | 125927 | 06-06-2026 (79Sku)</t>
  </si>
  <si>
    <t>UCW-32539</t>
  </si>
  <si>
    <t>ZAVERI PEARLS | JEWELLERY | SELLER CODE: 124167 | 06-06-2026 | 53 SKUs</t>
  </si>
  <si>
    <t>UCW-32538</t>
  </si>
  <si>
    <t>Images Update - OOMPH - 0406.2026 - Fashion Jewellery - TATACLIQ</t>
  </si>
  <si>
    <t>Fashion Jewellery</t>
  </si>
  <si>
    <t>UCW-32536</t>
  </si>
  <si>
    <t>Sqintalk x Tatacliq : Dr.Reju-All New SKUs</t>
  </si>
  <si>
    <t>UCW-32535</t>
  </si>
  <si>
    <t>Request to Update Product Images- LE117</t>
  </si>
  <si>
    <t>UCW-32534</t>
  </si>
  <si>
    <t>Hair &amp; Body Mists listing – Content Sheet Attached: TATA Cliq x HMB</t>
  </si>
  <si>
    <t>UCW-32533</t>
  </si>
  <si>
    <t xml:space="preserve">Estee Lauder - Listings NPL June'26 </t>
  </si>
  <si>
    <t>UCW-32524</t>
  </si>
  <si>
    <t>R&amp;B - Apparel - Seller Code 123986 - New Listing - 04-06-2026</t>
  </si>
  <si>
    <t>UCW-32523</t>
  </si>
  <si>
    <t>Update the new Images on Tata Cliq</t>
  </si>
  <si>
    <t>UCW-32517</t>
  </si>
  <si>
    <t>Tata Cliq Cataloguing Data (Men Women &amp; Kids)-2nd June'26</t>
  </si>
  <si>
    <t>UCW-32504</t>
  </si>
  <si>
    <t>Redchief_Sport Shoes_123781_280526</t>
  </si>
  <si>
    <t>UCW-32500</t>
  </si>
  <si>
    <t>CLONE - Accessorize London X Tata Cliq _Jewellery Catalogue_18_05_2026</t>
  </si>
  <si>
    <t>UCW-32499</t>
  </si>
  <si>
    <t>CLONE - Accessorize X TataCliq// Women fashion Jewel Catalog_27.01.26</t>
  </si>
  <si>
    <t>Isharya</t>
  </si>
  <si>
    <t>Xtep</t>
  </si>
  <si>
    <t>Sparkles</t>
  </si>
  <si>
    <t>Jokerandwitch</t>
  </si>
  <si>
    <t>Anta</t>
  </si>
  <si>
    <t>IDEE</t>
  </si>
  <si>
    <t>Allen Solly</t>
  </si>
  <si>
    <t>Klian Paris</t>
  </si>
  <si>
    <t>Juliette</t>
  </si>
  <si>
    <t>Lakme</t>
  </si>
  <si>
    <t>Kushal's Fashion Jewellery</t>
  </si>
  <si>
    <t>Philips</t>
  </si>
  <si>
    <t>BIO CODE</t>
  </si>
  <si>
    <t>New Balance</t>
  </si>
  <si>
    <t>ON</t>
  </si>
  <si>
    <t>Insight Cosmetics</t>
  </si>
  <si>
    <t xml:space="preserve">Palmonas </t>
  </si>
  <si>
    <t>Campus</t>
  </si>
  <si>
    <t>U.S.POLO ASSN.</t>
  </si>
  <si>
    <t>Prolific</t>
  </si>
  <si>
    <t>NVR</t>
  </si>
  <si>
    <t>GIVA</t>
  </si>
  <si>
    <t xml:space="preserve">OOMPH </t>
  </si>
  <si>
    <t>Dr.Reju-All</t>
  </si>
  <si>
    <t>Herabaria</t>
  </si>
  <si>
    <t>Estee Lauder</t>
  </si>
  <si>
    <t>R&amp;B</t>
  </si>
  <si>
    <t>SPARX</t>
  </si>
  <si>
    <t>Red Chief</t>
  </si>
  <si>
    <t>Date : 13rd Jun, 2026 Pre-Processing Done ( Brand to Query for weight, warranty Type , warranty Time, Bracelet Size, ring size, size Measurement, MRP, Chain Length) -Mousumi.
;Image deliver - Date :06/13/2026 &lt;Images Delivered Processed Options 24 Rejected Options 0&gt; &lt;Moumita&gt;</t>
  </si>
  <si>
    <t>Date :06/13/2026  &lt;Ticket picked for pre processing Option: 26 SKU: 156&gt; &lt;Sanjana Ghosh&gt;;Analysis Shared - Date :06/13/2026 &lt;Analysis Shared Processed Options 26 Rejected Options 0 Rejected Reason XXX&gt; &lt;Saswati Dey&gt;;Date :06/13/2026  &lt;Pre Processing query to Brand &lt;Size Chart Grid Mismatch&gt; &lt;Sanjana Ghosh&gt; ;Date :06/13/2026 &lt;Ticket picked for Production and QC review Option: 26  SKU: 156&gt; &lt;Sanjana Ghosh&gt;</t>
  </si>
  <si>
    <t>Date: 13rd Jun, 2026 A confirmation has been obtained from the CCMT team for this file.</t>
  </si>
  <si>
    <t xml:space="preserve">Date-13rd Jun, 2026 QC &amp; uploaded Done -Mousumi.
PFA the Summary &amp; Post-Uploaded sheet[^UCW-32817 Post Upload Status_V.2 (1).xlsx] [^Summary.zip] </t>
  </si>
  <si>
    <t xml:space="preserve">Date :13-06-2026 &lt;Ticket picked for pre processing Option 18Sku 148&gt; &lt;Amandeep&gt;;Date :06/13/2026 &lt;Ticket has been successfully uploaded in our system. Option 18 Sku 148&gt; &lt;Ishani&gt;[^Post Upload Status_V.2 (1) (1).xlsx] [^Summary.zip] </t>
  </si>
  <si>
    <t>Analysis Shared - Date :06/13/2026 &lt;Analysis Shared Processed Options 0 Rejected Options 40 Rejected Reason XXX&gt; &lt;Saswati Dey&gt;;Date :Date :06/13/2026 &lt;Pre Processing query to Brand &lt;Query Deatils- Season and image&gt;&gt; &lt;Amandeep&gt;;Image deliver - Date :03/13/2026 &lt;Images Delivered Processed Options 0 Rejected Options 40&gt; &lt;Saswati Dey&gt;</t>
  </si>
  <si>
    <t>Date :06/12/2026 &lt;Ticket picked for pre processing Option: 25 SKU: 25&gt; &lt;Sanjana Ghosh&gt;;Analysis Shared - Date :06/13/2026 &lt;Analysis Shared Processed Options 25 Rejected Options 0 Rejected Reason XXX&gt; &lt;Saswati Dey&gt;;Date :06/13/2026  &lt;Pre Processing query to Brand &lt;Lens Material missing&gt; &lt;Sanjana Ghosh&gt; ;Analysis Shared - Date :06/13/2026&lt;Analysis Shared Processed Options 25 Rejected Options 0 Rejected Reason XXX&gt; &lt;Saswati Dey&gt;;Date :06/13/2026 &lt;Ticket has been successfully uploaded in our system. Option: 25  SKU: 25&gt; &lt;Sanjana Ghosh&gt;
PFA the post upload status and summary file: [^Summary.zip] [^UCW-32776 - Post Upload Status .xlsx] ;Image deliver - Date :06/13/2026 &lt;Images Delivered Processed Options 25 Rejected Options 0&gt; &lt;Saswati Dey&gt;</t>
  </si>
  <si>
    <t>Date :12-06-2026 &lt;Ticket picked for pre processing Option 88 Sku 525&gt; &lt;Amandeep&gt;;Date :12-06-2026 &lt;Pre Processing query to Brand &lt;Query Deatils -size and image&gt;&gt; &lt;Amandeep&gt;;Date :06/13/2026 &lt;Ticket picked for Production and QC review Option 88 Sku 525&gt; &lt;Ishani&gt;;Date :06/13/2026 &lt;Pre Processing query to Brand &lt;Thank you for sharing the Reebok size chart grid.
However, we have not yet received the size charts for the remaining brands. We already have existing size chart codes available for those brands. Kindly confirm whether we can use the existing size chart codes for processing. For your reference, we have attached a sheet containing the brand-wise and gender-wise size chart details.
Additionally, upon analyzing the images, we identified a *Right Side View NA* issue. We have attached the corresponding reference sheet highlighting the affected SKUs. Kindly review and provide the required resolution at the earliest so that we can proceed with processing the batch without further delay.&gt;&gt; &lt;Ishani&gt;;Image deliver - Date :06/13/2026 &lt;Images Delivered Processed Options 83 Rejected Options 5&gt; &lt;Subhankar&gt;</t>
  </si>
  <si>
    <t>Analysis Shared - Date :06/13/2026 &lt;Analysis Shared Processed Options 52 Rejected Options 52 Rejected Reason multiple issue&gt; &lt;Moumita&gt;;|Date :06/13/2026 &lt;Ticket picked for pre processing Sku 52&gt; &lt;Tania&gt;|
|Date :06/13/2026 &lt;Pre Processing query to Brand &lt;Images Mssing&gt;&gt; &lt;Tania&gt;|</t>
  </si>
  <si>
    <t xml:space="preserve">Analysis Shared - Date :06/12/2026 &lt;Analysis Shared Processed Options 2 Rejected Options 0 &gt; &lt;Moumita&gt;;Image deliver - Date :06/12/2026 &lt;Images Delivered Processed Options 2 Rejected Options 0&gt; &lt;Moumita&gt;;|Date :06/12/2026 &lt;Ticket picked for pre processing 2 SKU&gt; &lt;Tania&gt;|
|Date :06/12/2026 &lt;Ticket picked for Production and QC review 2 SKU&gt; &lt;Tania&gt;|
|Date :06/13/2026 &lt;Ticket has been successfully uploaded in our system 2 SKU&gt; &lt;Tania&gt;|;We have successfully uploaded this batch. Please find the attached summary sheet and summary report.[^Post Upload Status (b8bf418f-8f55-4ec1-9000-403c4953423e).xlsx] </t>
  </si>
  <si>
    <t>|Date :06-11-2026 &lt;Ticket picked for pre processing SKU 79&gt; &lt;Tania&gt;|
|Date :06-11-2026 &lt;Pre Processing query to Brand &lt;Manufacturer &amp; Ingredients Details&gt;&gt; &lt;Tania&gt;|;Analysis Shared - Date :06/12/2026 &lt;Analysis Shared Processed Options 79 Rejected Options 21 Rejected Reason multiple issue&gt; &lt;Moumita&gt;;Date :06/13/2026 &lt; Pre Processing query to Brand 1st Follow Up&gt; &lt;Tania&gt;</t>
  </si>
  <si>
    <t>Analysis Shared - Date :06/11/2026 &lt;Analysis Shared Processed Options 266 Rejected Options XXX Rejected Reason XXX&gt; &lt;Saswati Dey&gt;;Date : 11th Jun, 2026 Pre-Processing done ( Brand to QUery for Warranrt Type , Warranty Time , Price Break up on PDP &amp; Price Brekup on Invoice , purity-Mousumi.
Date : 11th Jun, 2026 Images Done-Saswati
Date : 12th Jun, 2026 Production Done -Mousumi.
Date : 12th Jun, 2026 Description Done-Khushnuma .
Date : 12th Jun, 2026 Qc &amp; Uploaded Done -Mousumi
PFA the Summary &amp; Post-Uploaded sheet[^Summary.zip] [^UCW-32717 Post Upload Status_V.2 (1).xlsx] ;Analysis Shared - Date :06/11/2026 &lt;Analysis Shared Processed Options 266 Rejected Options 0 Rejected Reason XXX&gt; &lt;Saswati Dey &amp; Moumita Roy&gt;;[^UCW-32717.xlsx]
Hi [@Naveen Kumar|mailto:naveen.kumar@kushals.com],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3ddc902-09a0-4a6b-b6f5-8e817bf956e6"},"content":[{"type":"tableRow","content":[{"type":"tableCell","attrs":{"background":"#44b3e1"},"content":[{"type":"paragraph","content":[{"type":"text","text":"Ticket ID","marks":[{"type":"strong"}]}]}]},{"type":"tableCell","attrs":{"colspan":2,"background":"#44b3e1"},"content":[{"type":"paragraph","content":[{"type":"text","text":"UCW-32717","marks":[{"type":"strong"}]}]}]}]},{"type":"tableRow","content":[{"type":"tableCell","attrs":{"background":"#44b3e1"},"content":[{"type":"paragraph","content":[{"type":"text","text":"Brand Name","marks":[{"type":"strong"}]}]}]},{"type":"tableCell","attrs":{"colspan":2,"background":"#44b3e1"},"content":[{"type":"paragraph","content":[{"type":"text","text":"Kushal's Fashion Jewellery","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266"}]}]},{"type":"tableCell","attrs":{"background":"white"},"content":[{"type":"paragraph","content":[{"type":"text","text":"266"}]}]}]},{"type":"tableRow","content":[{"type":"tableCell","attrs":{"background":"white"},"content":[{"type":"paragraph","content":[{"type":"text","text":"Uploaded"}]}]},{"type":"tableCell","attrs":{"background":"white"},"content":[{"type":"paragraph","content":[{"type":"text","text":"266"}]}]},{"type":"tableCell","attrs":{"background":"white"},"content":[{"type":"paragraph","content":[{"type":"text","text":"266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218"}]}]},{"type":"tableCell","attrs":{"background":"white"},"content":[{"type":"paragraph","content":[{"type":"text","text":"218"}]}]}]},{"type":"tableRow","content":[{"type":"tableCell","attrs":{"background":"white"},"content":[{"type":"paragraph","content":[{"type":"text","text":"Stuck in SFA"}]}]},{"type":"tableCell","attrs":{"background":"white"},"content":[{"type":"paragraph","content":[{"type":"text","text":"48"}]}]},{"type":"tableCell","attrs":{"background":"white"},"content":[{"type":"paragraph","content":[{"type":"text","text":"48"}]}]}]}]}
{adf}
With this, we are closing this request from our end.
Thank you for your patience, support, and cooperation throughout the process. Your brand is important to us, and we look forward to assisting you again.
Regards,
Team Netscribes</t>
  </si>
  <si>
    <t xml:space="preserve">Date :06/11/2026 &lt;Ticket picked for pre processing Option: 262 SKU: 3528&gt; &lt;Sanjana Ghosh&gt;;Date :06/11/2026  &lt;Pre Processing query to Brand &lt;Query Sizes, sole material, images&gt;&gt; &lt;Amandeep&gt; ;Analysis Shared - Date :06/11/2026 &lt;Analysis Shared Processed Options 420 Rejected Options 28 Rejected Reason Multiple Issue&gt; &lt;Subhankar&gt;;Date :06/12/2026 &lt; Pre Processing query to Brand 1st Follow Up&gt; &lt;Ishani&gt;;Date :06/12/2026 &lt;Ticket picked for Production and QC review Option 478 Sku 3449&gt; &lt;Ishani, Ankita, Amandeep &amp; Sanjana&gt;;Date :06/13/2026 &lt;Ticket has been successfully uploaded in our system. Option: 414  SKU: 3015, Already Listed - Option: 43 SKU: 332, Image Issue - Option: 28 SKU: 158, Size Issue - Option: 6 SKU: 23&gt; &lt;Sanjana Ghosh&gt;
PFA the post upload status and summary file: [^Summary.zip] [^UCW-32716 - Post Upload Status .xlsx] </t>
  </si>
  <si>
    <t>Date :06-11-2026 &lt;Ticket picked for pre processing 1 SKU&gt; &lt;Tania&gt;;Analysis Shared - Date :06/11/2026 &lt;Analysis Shared Processed Options 1 Rejected Options 1 Rejected Reason less than 5 image &amp; cerificate issue&gt; &lt;Moumita&gt;;Date :06-11-2026 &lt;Pre Processing query to Brand &lt;Packer Details &amp; Image Analysis&gt;&gt; &lt;Agent Name&gt;;Date :06/13/2026 &lt; Pre Processing query to Brand 1st Follow Up&gt; &lt;Tania&gt;</t>
  </si>
  <si>
    <t>Date :06-11-2026 &lt;Ticket picked for pre processing 19 SKU&gt; &lt;Tania&gt;
Date :06-11-2026 &lt;Pre Processing query to Brand &lt;Images Links unavailable&gt;&gt; &lt;Tania&gt;;Analysis Shared - Date :06/11/2026 &lt;Analysis Shared Processed Options 19 Rejected Options 0 Rejected Reason certificate issue&gt; &lt;Moumita&gt;;Date :06-11-2026 &lt;Pre Processing query to Brand &lt;Set Size Details Query Raised, Manufacturer n COO is mismatched, Certificate Query&gt;&gt; &lt;Tania&gt;;Date :06/12/2029 &lt; Pre Processing query to Brand 1st Follow Up&gt; &lt;Tania&gt;</t>
  </si>
  <si>
    <t>Analysis Shared - Date :06/11/2026 &lt;Analysis Shared Processed Options 6 Rejected Options 6 Rejected Reason multiple issue&gt; &lt;Moumita&gt;;Date :06-11-2026 &lt;Pre Processing query to Brand &lt;Packer Details &amp; Image Analysis&gt;&gt; &lt;Tania&gt;;Date :06/12/2026 &lt; Pre Processing query to Brand 1st Follow Up&gt; &lt;Tania&gt;;Date :06/13/2026 &lt; Pre Processing query to Brand 2nd Follow Up&gt; &lt;Tania&gt;</t>
  </si>
  <si>
    <t>|Woodlands|[+https://tatacliqhelpdesk.freshservice.com/support/tickets/214750+|https://tatacliqhelpdesk.freshservice.com/support/tickets/214750]|Collated data shared, L1 WIP|Stuck in SFA_Woodlands_Marketplace_26-05-2026|
|Woodlands|[+https://tatacliqhelpdesk.freshservice.com/support/tickets/214746+|https://tatacliqhelpdesk.freshservice.com/support/tickets/214746]|MPID not generated, L1 WIP|Stuck in Save As Draft_Woodlands_Marketplace_26-05-2026|</t>
  </si>
  <si>
    <t>Date :06/11/2026 &lt;Ticket picked for pre processing Option 3 Sku 3&gt; &lt;Tania&gt;
Date :06/11/2026  &lt;Pre Processing query to Brand &lt;Longevity &amp; Ingredients missing, Images analysis&gt;&gt; &lt;Tania&gt; ;Analysis Shared - Date :06/11/2026 &lt;Analysis Shared Processed Options 3 Rejected Options 1 Rejected Reason less than 5 image&gt; &lt;Moumita&gt;;Date :06/11/2026 &lt; Pre Processing query to Brand 1st Follow Up&gt; &lt;Tania&gt;;* Date :06/12/2026 &lt; Pre Processing query to Brand 2nd Follow Up&gt; &lt;Tania&gt;</t>
  </si>
  <si>
    <t>[https://tataunistore.atlassian.net/browse/UCW-32675|https://tataunistore.atlassian.net/browse/UCW-32675|smart-link] Assigned at {{2026-06-12}};Analysis Shared - Date :06/12/2026 &lt;Analysis Shared Processed Options 6 Rejected Options 0 Rejected Reason certificate not available&gt; &lt;Moumita&gt;;|Date :06/12/2026&lt;Ticket picked for pre processing 6 SKU&gt; &lt;Tania&gt;|
|Date :06/12/2026 &lt;Pre Processing query to Brand &lt;Certificate Query&gt;&gt; &lt;Tania&gt;|;Date :06/13/2026 &lt; Pre Processing query to Brand 1st Follow Up&gt; &lt;Tania&gt;</t>
  </si>
  <si>
    <t>Date :06/10/2026  &lt;Ticket picked for pre processing Option: 4  SKU: 51&gt; &lt;Sanjana Ghosh&gt;;Date :06/10/2026  &lt;Pre Processing query to Brand &lt;Image issue and Size chart missing&gt; &lt;Sanjana Ghosh&gt; ;Date :06/10/2026  &lt;Pre Processing query to Brand &lt;Image issue&gt; &lt;Sanjana Ghosh&gt;;Date :06/10/2026 &lt;Ticket has been successfully uploaded in our system. Option: 4  SKU: 51&gt; &lt;Sanjana Ghosh&gt;
PFA the post upload status and summary file: [^Summary.zip] [^UCW-32660 - Post Upload Status .xlsx] ;[^UCW-32660_LID.xlsx]
Hi [@Kritika Shastri|mailto:kritika@asr-india.co.in],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58c73824-a8cf-46e5-8dde-31682faad2d3"},"content":[{"type":"tableRow","content":[{"type":"tableCell","attrs":{"background":"#44b3e1"},"content":[{"type":"paragraph","content":[{"type":"text","text":"Ticket ID","marks":[{"type":"strong"}]}]}]},{"type":"tableCell","attrs":{"colspan":2,"background":"#44b3e1"},"content":[{"type":"paragraph","content":[{"type":"text","text":"UCW-32660","marks":[{"type":"strong"}]}]}]}]},{"type":"tableRow","content":[{"type":"tableCell","attrs":{"background":"#44b3e1"},"content":[{"type":"paragraph","content":[{"type":"text","text":"Brand Name","marks":[{"type":"strong"}]}]}]},{"type":"tableCell","attrs":{"colspan":2,"background":"#44b3e1"},"content":[{"type":"paragraph","content":[{"type":"text","text":"New Balance","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51"}]}]},{"type":"tableCell","attrs":{"background":"white"},"content":[{"type":"paragraph","content":[{"type":"text","text":"4"}]}]}]},{"type":"tableRow","content":[{"type":"tableCell","attrs":{"background":"white"},"content":[{"type":"paragraph","content":[{"type":"text","text":"Uploaded"}]}]},{"type":"tableCell","attrs":{"background":"white"},"content":[{"type":"paragraph","content":[{"type":"text","text":"51"}]}]},{"type":"tableCell","attrs":{"background":"white"},"content":[{"type":"paragraph","content":[{"type":"text","text":"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51"}]}]},{"type":"tableCell","attrs":{"background":"white"},"content":[{"type":"paragraph","content":[{"type":"text","text":"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</si>
  <si>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:06/10/2026  &lt;Ticket picked for pre processing Option: 49  SKU: 309&gt; &lt;Sanjana Ghosh&gt;;Date :06/10/2026  &lt;Pre Processing query to Brand &lt;Image issue, SKU and sizes are duplicate, Importer and Manufacturing details are missing&gt; &lt;Sanjana Ghosh&gt; ;Image deliver - Date :06/10/2026 &lt;Images Delivered Processed Options 31 Rejected Options 16&gt; &lt;Subhankar&gt;;Date :06/11/2026 &lt; Pre Processing query to Brand 1st Follow Up&gt; &lt;Ishani&gt;;Date :06/12/2026 &lt; Pre Processing query to Brand 2nd Follow Up&gt; &lt;Ishani&gt;;Date :06/12/2026  &lt;Pre Processing query to Brand &lt;SKUs are duplicate and Size chart details&gt; &lt;Sanjana Ghosh&gt;;Date :06/13/2026 &lt;Pre Processing query to Brand &lt;Upon validating the input sheet, we identified several image-related issues, including:
* Multiple color images provided in the folder
* Color mismatch
* Color appears slightly different due to lighting conditions (please confirm whether we can proceed with the images as provided)
* Image NA issue
* Additionally, we would like to inform you that the size chart has not yet been created on the Luxury platform. We are currently working on creating the size chart from our end.
Size Chart Creation Link= [https://tatacliqhelpdesk.freshservice.com/support/tickets/217300|https://tatacliqhelpdesk.freshservice.com/support/tickets/217300]&gt;&gt; &lt;Ishani&gt;;Date :06/13/2026 &lt;Ticket picked for Production and QC review Option 49 Sku 309&gt; &lt;Ishani&gt;</t>
  </si>
  <si>
    <t>|Date :06-10-2026 &lt;Ticket picked for pre processing 3 SKU&gt; &lt;Tania&gt;|
|Date :06-10-2026 &lt;Pre Processing query to Brand &lt;Images Missing&gt;&gt; &lt;Tania&gt;|;Date :06-11-2026 &lt; Pre Processing query to Brand 1st Follow Up&gt; &lt;Tania&gt;;Date :06/12/2026 &lt; Pre Processing query to Brand 2nd Follow Up&gt; &lt;Tania&gt;;Date :06/13/2026 &lt; Pre Processing query to Brand 3rd Follow Up&gt; &lt;Tania&gt;</t>
  </si>
  <si>
    <t>[^PCM_DataExtractCsv-20260610132500.csv]
[^125927_SKUEDITRETRIGGER_INDIEJEWEL_FASHIONS_PRIVATE_LIMITED(125927)_Rings(MPH1915101121)_20260610_123806_695_summary.csv]
[^ERROR AGENCY (NETSCRIBES) 9TH June.xlsx]
[^127939_SKUEDITRETRIGGER__Perfumes(MPH2211100104)_20260610_124512_601_summary.csv]
Thank you for highlighting the issues. We have taken the necessary actions on the identified errors and updated the Agency Comment column accordingly. We will inform you once the changes are reflected.
As discussed with you on Teams, please find our observations below:
# *Brand: Palmonas – Size Chart Errors*
We found 4 MP Codes highlighted with Size Chart Errors:
Our concern is that the Bracelets and Rings are marked as *Free Size*. In such cases, please advise how the size chart should be handled. Additionally, for Necklaces where the size attribute is *Length*, kindly confirm whether a size chart is required and how it should be mapped.
#* Womens Fashion Necklaces – MP000000031380482 – Size: Length
#* Womens Fashion Necklaces – MP000000031380488 – Size: Length
#* Womens Fashion Bracelets – MP000000031379642 – Size: Free Size
#* Womens Fashion Rings – MP000000031380688 – Size: Free Size
# *Mapping Error and Size Chart Not Reflecting*
We found that the same USSID and SKU are associated with two MP Codes:
Among these, MP000000031372962 has been highlighted for a *Mapping Error* and *Size Chart Not Reflecting* issue. Upon review, we observed that the price has still not been pushed, which may be the reason the size chart is not reflecting.
Additionally, on 11-Mar-2026, we received a request to update the title for MP000000007146441. The title was updated as per the brand's instructions. Since both MP Codes belong to the same product and share the same USSID, the currently displayed title may be reflecting the latest update made on 11-Mar-2026.
#* MP000000007146441
#* MP000000031372962
# *Brand: Neutrogena – SPF Value Concern*
One MP Code was highlighted where the SPF value was expected to be 45 instead of 30.
Upon reviewing the LOV, we found that SPF 45 is not available as an option. Therefore, we selected *"Strong Above 30 SPF"*, which is the closest available value in the LOV.
# *Brand: Libas – Image Sequencing Concern*
Upon review, we found that the highlighted MP Code was created under a *Cut Size Addition* request.
For Cut Size Addition activities, image uploads are not required, as we only add the new size to the existing cluster. Therefore, image sequencing was not part of our scope of work and was not performed by our team.
Additionally, this cluster was not processed by the NS team.
# *Remaining Highlighted MP Codes*
Necessary actions have already been taken on all remaining highlighted MP Codes. We are currently monitoring the updates and will share a confirmation once the changes are reflected.;Changes are reflected properly</t>
  </si>
  <si>
    <t xml:space="preserve">Date :06/10/2026 &lt;Pre Processing query to Brand &lt;image NA, Duplicate Size ,Size chart&gt;&gt; &lt;Ankita&gt;;Image deliver - Date :06/11/2026 &lt;Images Delivered MP and LUX Processed Options 18 Rejected Options 0&gt; &lt;Subhankar&gt;;Image deliver - Date :06/12/2026 &lt;Images Delivered LOT 2 LUX Processed Options 48 Rejected Options 0&gt; &lt;Subhankar&gt;;Date :06/12/2026&lt;Ticket has been successfully uploaded in our system. Mall- Option 19 Sku 162,LUX- Option 66 sKU- 495&gt; &lt;Ankita&gt;[^UCW-32614_Post Upload Status.xlsx] [^Summary.zip] </t>
  </si>
  <si>
    <t>Analysis Shared - Date :06/09/2026 &lt;Analysis Shared Processed Options 186 Rejected Options 2 Rejected Reason right side &amp; sole view missing&gt; &lt;Moumita&gt;;Date :06/10/2026 &lt;Pre Processing query to Brand &lt;Sole View Missing
* Right Side View Missing&gt;&gt; &lt;Ishani&gt;;Date :06/09/2026 &lt;Ticket picked for Production and QC review Option 186 Sku 956&gt; &lt;Ishani, Ankita, Amandeep &amp; Sanjana&gt;;Image deliver - Date :06/10/2026 &lt;Images Delivered Processed Options 184 Rejected Options 2&gt; &lt;Subhankar&gt;;Date :06/10/2026 &lt;Ticket has been successfully uploaded in our system. Option 184 Sku 945&gt; &lt;Ankita&gt;[^Summary.zip] [^Post Upload Status_V.2 (1).xlsx] ;[^UCW-32610_LID.xlsx]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468707e-f872-49f9-afc2-d65301dababd"},"content":[{"type":"tableRow","content":[{"type":"tableCell","attrs":{"background":"#44b3e1"},"content":[{"type":"paragraph","content":[{"type":"text","text":"Ticket ID","marks":[{"type":"strong"}]}]}]},{"type":"tableCell","attrs":{"colspan":2,"background":"#44b3e1"},"content":[{"type":"paragraph","content":[{"type":"text","text":"UCW-32610","marks":[{"type":"strong"}]}]}]}]},{"type":"tableRow","content":[{"type":"tableCell","attrs":{"background":"#44b3e1"},"content":[{"type":"paragraph","content":[{"type":"text","text":"Brand Name","marks":[{"type":"strong"}]}]}]},{"type":"tableCell","attrs":{"colspan":2,"background":"#44b3e1"},"content":[{"type":"paragraph","content":[{"type":"text","text":"Red Tap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956"}]}]},{"type":"tableCell","attrs":{"background":"white"},"content":[{"type":"paragraph","content":[{"type":"text","text":"186"}]}]}]},{"type":"tableRow","content":[{"type":"tableCell","attrs":{"background":"white"},"content":[{"type":"paragraph","content":[{"type":"text","text":"Uploaded"}]}]},{"type":"tableCell","attrs":{"background":"white"},"content":[{"type":"paragraph","content":[{"type":"text","text":"945"}]}]},{"type":"tableCell","attrs":{"background":"white"},"content":[{"type":"paragraph","content":[{"type":"text","text":"184"}]}]}]},{"type":"tableRow","content":[{"type":"tableCell","attrs":{"background":"white"},"content":[{"type":"paragraph","content":[{"type":"text","text":"Not Uploaded (Image issue)"}]}]},{"type":"tableCell","attrs":{"background":"white"},"content":[{"type":"paragraph","content":[{"type":"text","text":"11"}]}]},{"type":"tableCell","attrs":{"background":"white"},"content":[{"type":"paragraph","content":[{"type":"text","text":"2"}]}]}]},{"type":"tableRow","content":[{"type":"tableCell","attrs":{"background":"white"},"content":[{"type":"paragraph","content":[{"type":"text","text":"LIDs Shared"}]}]},{"type":"tableCell","attrs":{"background":"white"},"content":[{"type":"paragraph","content":[{"type":"text","text":"945"}]}]},{"type":"tableCell","attrs":{"background":"white"},"content":[{"type":"paragraph","content":[{"type":"text","text":"184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t>
  </si>
  <si>
    <t>Date :06/09/2026 &lt;Ticket picked for pre processing Option 8 Sku 53&gt; &lt;Ankita&gt;;Analysis Shared - Date :06/09/2026 &lt;Analysis Shared Processed Options 8 Rejected Options 1 Rejected Reason sole view missing&gt; &lt;Moumita&gt;;Date :06/09/2026&lt;Pre Processing query to Brand &lt;Image Query&gt;&gt; &lt;Ankita&gt;;Date :06/10/2026 &lt; Pre Processing query to Brand 1st Follow Up&gt; &lt;Ankita&gt;;Image deliver - Date :06/10/2026 &lt;Images Delivered 41 Processed Options 8 Rejected Options 0&gt; &lt;Nitish Biswas&gt;;Date :06/11/2026 &lt;Ticket has been successfully uploaded in our system. Option 8 Sku 53&gt; &lt;Ankita&gt;[^UCW-32606_Post Upload Status_V.2 (1).xlsx] [^Summary.zip] ;[^UCW-32606_LID.xlsx]
Hi [@Keerthi Raj|mailto:keerthi.raj@agilitas.in],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be7c43f-e384-4c53-a395-fb7dfc2bf2c3"},"content":[{"type":"tableRow","content":[{"type":"tableCell","attrs":{"background":"#44b3e1"},"content":[{"type":"paragraph","content":[{"type":"text","text":"Ticket ID","marks":[{"type":"strong"}]}]}]},{"type":"tableCell","attrs":{"colspan":2,"background":"#44b3e1"},"content":[{"type":"paragraph","content":[{"type":"text","text":"UCW-32606","marks":[{"type":"strong"}]}]}]}]},{"type":"tableRow","content":[{"type":"tableCell","attrs":{"background":"#44b3e1"},"content":[{"type":"paragraph","content":[{"type":"text","text":"Brand Name","marks":[{"type":"strong"}]}]}]},{"type":"tableCell","attrs":{"colspan":2,"background":"#44b3e1"},"content":[{"type":"paragraph","content":[{"type":"text","text":"Lotto","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53"}]}]},{"type":"tableCell","attrs":{"background":"white"},"content":[{"type":"paragraph","content":[{"type":"text","text":"8"}]}]}]},{"type":"tableRow","content":[{"type":"tableCell","attrs":{"background":"white"},"content":[{"type":"paragraph","content":[{"type":"text","text":"Uploaded"}]}]},{"type":"tableCell","attrs":{"background":"white"},"content":[{"type":"paragraph","content":[{"type":"text","text":"53"}]}]},{"type":"tableCell","attrs":{"background":"white"},"content":[{"type":"paragraph","content":[{"type":"text","text":"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53"}]}]},{"type":"tableCell","attrs":{"background":"white"},"content":[{"type":"paragraph","content":[{"type":"text","text":"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</si>
  <si>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10th Jun, 2026 Pre-Processing Done ( Brand to Query for Chain Length , Ring Size)-Mousumi.
Date: 10th Jun, 2026 Production Done -Mousumi
Date: 10th Jun, 2026 images Done Saswati
Date: 10th Jun, 2026 description Done-Khushnuma
Date: 10th Jun, 2026 QC &amp; Uploaded Done -Mousumi.
PFA the Summary &amp; Post-uploaded sheet[^Summary.zip] [^UCW-32602 Post Upload Status_V.2 (1).xlsx] ;Analysis Shared - Date :06/10/2026 &lt;Analysis Shared Processed Options 238 Rejected Options 0 Rejected Reason XXX&gt; &lt;Saswati Dey&gt;;Analysis Shared - Date :06/10/2026 &lt;Analysis Shared Processed Options 238 Rejected Options 0 Rejected Reason XXX&gt; &lt;Saswati Dey&gt;;[^UCW-32602_LID.xlsx]
Hi [@Akash Udgire|mailto:akash.udire@palmonas.com],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5662f327-aec8-4e1a-a667-873b1abc53ff"},"content":[{"type":"tableRow","content":[{"type":"tableCell","attrs":{"background":"#44b3e1"},"content":[{"type":"paragraph","content":[{"type":"text","text":"Ticket ID","marks":[{"type":"strong"}]}]}]},{"type":"tableCell","attrs":{"colspan":2,"background":"#44b3e1"},"content":[{"type":"paragraph","content":[{"type":"text","text":"UCW-32602","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238"}]}]},{"type":"tableCell","attrs":{"background":"white"},"content":[{"type":"paragraph","content":[{"type":"text","text":"238"}]}]}]},{"type":"tableRow","content":[{"type":"tableCell","attrs":{"background":"white"},"content":[{"type":"paragraph","content":[{"type":"text","text":"Uploaded"}]}]},{"type":"tableCell","attrs":{"background":"white"},"content":[{"type":"paragraph","content":[{"type":"text","text":"226"}]}]},{"type":"tableCell","attrs":{"background":"white"},"content":[{"type":"paragraph","content":[{"type":"text","text":"226"}]}]}]},{"type":"tableRow","content":[{"type":"tableCell","attrs":{"background":"white"},"content":[{"type":"paragraph","content":[{"type":"text","text":"Not Uploaded (Already Listed)"}]}]},{"type":"tableCell","attrs":{"background":"white"},"content":[{"type":"paragraph","content":[{"type":"text","text":"12"}]}]},{"type":"tableCell","attrs":{"background":"white"},"content":[{"type":"paragraph","content":[{"type":"text","text":"12"}]}]}]},{"type":"tableRow","content":[{"type":"tableCell","attrs":{"background":"white"},"content":[{"type":"paragraph","content":[{"type":"text","text":"LIDs Shared"}]}]},{"type":"tableCell","attrs":{"background":"white"},"content":[{"type":"paragraph","content":[{"type":"text","text":"226"}]}]},{"type":"tableCell","attrs":{"background":"white"},"content":[{"type":"paragraph","content":[{"type":"text","text":"226"}]}]}]},{"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</si>
  <si>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:09-06-2026&lt;Ticket picked for pre processing Option 20 Sku 281&gt; &lt;Amandeep&gt;;Date :09-06-2026 &lt;Pre Processing query to Brand &lt;Images and season query&gt;&gt; &lt;Amandeep&gt;;Date :10-06-2026&lt; Pre Processing query to Brand 1st Follow Up&gt; &lt;Ankita&gt;;Image deliver - Date :06/10/2026 &lt;Images Delivered185 Processed Options 37 Rejected Options 19&gt; &lt;Nitish Biswas&gt;;Analysis Shared Revised - Date :06/11/2026 &lt;Analysis Shared Processed Options 0 Rejected Options 19 Rejected Reason Right Side NA&gt; &lt;Subhankar&gt;;Date :06/11/2026  &lt;Pre Processing query to Brand &lt;EAN and Season not provided and Image issue&gt; &lt;Sanjana Ghosh&gt; ;Image deliver - Date :06/11/2026 &lt;Images Delivered LOT 2 Processed Options 19 Rejected Options 0&gt; &lt;Subhankar&gt;;We have successfully uploaded this batch. Please find the summary of this batch. and attach Summary zip and Post upload Sheet.
Date :06/11/2026 &lt;Ticket has been successfully uploaded in our system. Option  56 Sku 281&gt; &lt;Ishani&gt;
[^Summary.zip] [^Post Upload Status_V.2 (1) (1) (fa8c8ec7-d4bf-4340-9d66-9eb277906e7f).xlsx] ;[^UCW-32600.xlsx]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02748315-b437-4d47-99cf-95cff0108cfd"},"content":[{"type":"tableRow","content":[{"type":"tableCell","attrs":{"background":"#44b3e1"},"content":[{"type":"paragraph","content":[{"type":"text","text":"Ticket ID","marks":[{"type":"strong"}]}]}]},{"type":"tableCell","attrs":{"colspan":2,"background":"#44b3e1"},"content":[{"type":"paragraph","content":[{"type":"text","text":"UCW-32600","marks":[{"type":"strong"}]}]}]}]},{"type":"tableRow","content":[{"type":"tableCell","attrs":{"background":"#44b3e1"},"content":[{"type":"paragraph","content":[{"type":"text","text":"Brand Name","marks":[{"type":"strong"}]}]}]},{"type":"tableCell","attrs":{"colspan":2,"background":"#44b3e1"},"content":[{"type":"paragraph","content":[{"type":"text","text":"Camp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281"}]}]},{"type":"tableCell","attrs":{},"content":[{"type":"paragraph","content":[{"type":"text","text":"56"}]}]}]},{"type":"tableRow","content":[{"type":"tableCell","attrs":{"background":"white"},"content":[{"type":"paragraph","content":[{"type":"text","text":"Uploaded"}]}]},{"type":"tableCell","attrs":{},"content":[{"type":"paragraph","content":[{"type":"text","text":"281"}]}]},{"type":"tableCell","attrs":{},"content":[{"type":"paragraph","content":[{"type":"text","text":"56"}]}]}]},{"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281"}]}]},{"type":"tableCell","attrs":{},"content":[{"type":"paragraph","content":[{"type":"text","text":"56"}]}]}]},{"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</si>
  <si>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 xml:space="preserve">Date :09-06-2026  &lt;Ticket picked for pre processing Option 7 Sku 45&gt; &lt;Amandeep&gt;;Analysis Shared - Date :06/09/2026 &lt;Analysis Shared Processed Options 9 Rejected Options 0 Rejected Reason XXX&gt; &lt;Saswati Dey&gt;;Date :06-09-2026&lt;Pre Processing query to Brand &lt;size chart&gt;&gt; &lt;Aman&gt;;Date :06-10-2026 &lt; Pre Processing query to Brand 1st Follow Up&gt; &lt;Ankita&gt;;Image deliver - Date :06/10/2026 &lt;Images Delivered 72 Processed Options 9 Rejected Options 0&gt; &lt;Nitish Biswas&gt;;Date :06/10/2026 &lt;Ticket has been successfully uploaded in our system. Option 8 Sku 40&gt; &lt;Ankita&gt;[^UCW-32594-Post Upload Status_V.2 (1).xlsx] [^Summary.zip] ;Hi [@K H Vasundhara|mailto:vasundhara@piqit.in],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4449970-37fc-4c27-bff2-16443c5f3fe4"},"content":[{"type":"tableRow","content":[{"type":"tableCell","attrs":{"background":"#44b3e1"},"content":[{"type":"paragraph","content":[{"type":"text","text":"Ticket ID","marks":[{"type":"strong"}]}]}]},{"type":"tableCell","attrs":{"colspan":2,"background":"#44b3e1"},"content":[{"type":"paragraph","content":[{"type":"text","text":"UCW-32594","marks":[{"type":"strong"}]}]}]}]},{"type":"tableRow","content":[{"type":"tableCell","attrs":{"background":"#44b3e1"},"content":[{"type":"paragraph","content":[{"type":"text","text":"Brand Name","marks":[{"type":"strong"}]}]}]},{"type":"tableCell","attrs":{"colspan":2,"background":"#44b3e1"},"content":[{"type":"paragraph","content":[{"type":"text","text":"U.S.POLO ASS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45"}]}]},{"type":"tableCell","attrs":{"background":"white"},"content":[{"type":"paragraph","content":[{"type":"text","text":"9"}]}]}]},{"type":"tableRow","content":[{"type":"tableCell","attrs":{"background":"white"},"content":[{"type":"paragraph","content":[{"type":"text","text":"Uploaded"}]}]},{"type":"tableCell","attrs":{"background":"white"},"content":[{"type":"paragraph","content":[{"type":"text","text":"40"}]}]},{"type":"tableCell","attrs":{"background":"white"},"content":[{"type":"paragraph","content":[{"type":"text","text":"8"}]}]}]},{"type":"tableRow","content":[{"type":"tableCell","attrs":{"background":"white"},"content":[{"type":"paragraph","content":[{"type":"text","text":"Not Uploaded (Already Listed)"}]}]},{"type":"tableCell","attrs":{"background":"white"},"content":[{"type":"paragraph","content":[{"type":"text","text":"5"}]}]},{"type":"tableCell","attrs":{"background":"white"},"content":[{"type":"paragraph","content":[{"type":"text","text":"1"}]}]}]},{"type":"tableRow","content":[{"type":"tableCell","attrs":{"background":"white"},"content":[{"type":"paragraph","content":[{"type":"text","text":"LIDs Shared"}]}]},{"type":"tableCell","attrs":{"background":"white"},"content":[{"type":"paragraph","content":[{"type":"text","text":"40"}]}]},{"type":"tableCell","attrs":{"background":"white"},"content":[{"type":"paragraph","content":[{"type":"text","text":"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Netscribes;[^UCW-32594_LID.xlsx]
</t>
  </si>
  <si>
    <t>Date :06/09/2026  &lt;Ticket picked for pre processing Option: 11  SKU: 93&gt; &lt;Sanjana Ghosh&gt;;Analysis Shared - Date :06/09/2026 &lt;Analysis Shared Processed Options 11 Rejected Options 0 Rejected Reason XXX&gt; &lt;Saswati Dey&gt;;Date :06/09/2026 &lt;Pre Processing query to Brand &lt;COO &amp; Importers Details Missing&gt;&gt; &lt;Ishani&gt;;Date :06/09/2026 &lt;Ticket picked for Production and QC review Option 11 Sku 93&gt; &lt;Ishani&gt;;Image deliver - Date :06/10/2026 &lt;Images Delivered 88 Processed Options 11 Rejected Options 0&gt; &lt;Nitish Biswas&gt;;Date :06/10/2026&lt;Ticket has been successfully uploaded in our system. Option 11 Sku 93&gt; &lt;Ankita&gt;[^UCW-32579_Post Upload Status_V.2 (1).xlsx] [^Summary.zip] ;[^UCW-32579_LID.xlsx]
Hi [@Shreya Agarwal|mailto:shreya.agarwal@asics.com],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b9dde8d-fbc4-4fa7-8352-18c946e1ea9b"},"content":[{"type":"tableRow","content":[{"type":"tableCell","attrs":{"background":"#44b3e1"},"content":[{"type":"paragraph","content":[{"type":"text","text":"Ticket ID","marks":[{"type":"strong"}]}]}]},{"type":"tableCell","attrs":{"colspan":2,"background":"#44b3e1"},"content":[{"type":"paragraph","content":[{"type":"text","text":"UCW-32579","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93"}]}]},{"type":"tableCell","attrs":{"background":"white"},"content":[{"type":"paragraph","content":[{"type":"text","text":"11"}]}]}]},{"type":"tableRow","content":[{"type":"tableCell","attrs":{"background":"white"},"content":[{"type":"paragraph","content":[{"type":"text","text":"Uploaded"}]}]},{"type":"tableCell","attrs":{"background":"white"},"content":[{"type":"paragraph","content":[{"type":"text","text":"93"}]}]},{"type":"tableCell","attrs":{"background":"white"},"content":[{"type":"paragraph","content":[{"type":"text","text":"11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93"}]}]},{"type":"tableCell","attrs":{"background":"white"},"content":[{"type":"paragraph","content":[{"type":"text","text":"11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</si>
  <si>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:06/09/2026  &lt;Ticket picked for pre processing Option: 45  SKU: 227&gt; &lt;Sanjana Ghosh&gt;;Date :06/09/2026 &lt;Pre Processing query to Brand &lt;EAN not provided&gt; &lt;Sanjana Ghosh&gt;;Analysis Shared - Date :06/09/2026 &lt;Analysis Shared Processed Options 45 Rejected Options 0 Rejected Reason 0&gt; &lt;Saswati Dey&gt;;Date :06/10/2026 &lt;Ticket has been successfully uploaded in our system. Option 45 Sku 227&gt; &lt;Ishani[^UCW-32572_Post Upload Status_V.2 (1).xlsx] [^Summary (2).zip] &gt;;[^UCW-32572_LID.xlsx]
Hi [@Manish Hemnani|mailto:rchemnani1@gmail.com],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500dbc8-2ac4-4ef3-8d25-a6883af20a34"},"content":[{"type":"tableRow","content":[{"type":"tableCell","attrs":{"background":"#44b3e1"},"content":[{"type":"paragraph","content":[{"type":"text","text":"Ticket ID","marks":[{"type":"strong"}]}]}]},{"type":"tableCell","attrs":{"colspan":2,"background":"#44b3e1"},"content":[{"type":"paragraph","content":[{"type":"text","text":"UCW-32572","marks":[{"type":"strong"}]}]}]}]},{"type":"tableRow","content":[{"type":"tableCell","attrs":{"background":"#44b3e1"},"content":[{"type":"paragraph","content":[{"type":"text","text":"Brand Name","marks":[{"type":"strong"}]}]}]},{"type":"tableCell","attrs":{"colspan":2,"background":"#44b3e1"},"content":[{"type":"paragraph","content":[{"type":"text","text":"Prolific","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227"}]}]},{"type":"tableCell","attrs":{"background":"white"},"content":[{"type":"paragraph","content":[{"type":"text","text":"45"}]}]}]},{"type":"tableRow","content":[{"type":"tableCell","attrs":{"background":"white"},"content":[{"type":"paragraph","content":[{"type":"text","text":"Uploaded"}]}]},{"type":"tableCell","attrs":{"background":"white"},"content":[{"type":"paragraph","content":[{"type":"text","text":"227"}]}]},{"type":"tableCell","attrs":{"background":"white"},"content":[{"type":"paragraph","content":[{"type":"text","text":"45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227"}]}]},{"type":"tableCell","attrs":{"background":"white"},"content":[{"type":"paragraph","content":[{"type":"text","text":"45"}]}]}]},{"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</si>
  <si>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
Date : 9th Jun, 2026 pre-Processing Done (Brand to Query For Gender Confirmation , Size &amp; Images Query)- Mousumi
Date-9th jun ,2026 production Done-Mousumi
Date-9th jun ,2026 Images Done-Moumita
Date-9th jun ,2026 Description Done _Khushnuma
Date-9th jun ,2026 QC &amp; Uploaded Done -Mousumi.
PFA the Summary &amp; Post-Uploaded sheet[^SUmmary.zip] [^UCW-32557 Post Upload Status_V.2 (1).xlsx] ;Image deliver - Date :06/09/2026 &lt;Images Delivered Processed Options 196 Rejected Options 0&gt; &lt;Moumita&gt;;[^UCW-32557_LID.xlsx]
Hi [@NR Retail|mailto:nrretail2021@gmail.com],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94dfa6e-fcad-4dbf-ba9d-0cd5b7670baf"},"content":[{"type":"tableRow","content":[{"type":"tableCell","attrs":{"background":"#44b3e1"},"content":[{"type":"paragraph","content":[{"type":"text","text":"Ticket ID","marks":[{"type":"strong"}]}]}]},{"type":"tableCell","attrs":{"colspan":2,"background":"#44b3e1"},"content":[{"type":"paragraph","content":[{"type":"text","text":"UCW-32557","marks":[{"type":"strong"}]}]}]}]},{"type":"tableRow","content":[{"type":"tableCell","attrs":{"background":"#44b3e1"},"content":[{"type":"paragraph","content":[{"type":"text","text":"Brand Name","marks":[{"type":"strong"}]}]}]},{"type":"tableCell","attrs":{"colspan":2,"background":"#44b3e1"},"content":[{"type":"paragraph","content":[{"type":"text","text":"NVR","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196"}]}]},{"type":"tableCell","attrs":{"background":"white"},"content":[{"type":"paragraph","content":[{"type":"text","text":"196"}]}]}]},{"type":"tableRow","content":[{"type":"tableCell","attrs":{"background":"white"},"content":[{"type":"paragraph","content":[{"type":"text","text":"Uploaded"}]}]},{"type":"tableCell","attrs":{"background":"white"},"content":[{"type":"paragraph","content":[{"type":"text","text":"196"}]}]},{"type":"tableCell","attrs":{"background":"white"},"content":[{"type":"paragraph","content":[{"type":"text","text":"196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196"}]}]},{"type":"tableCell","attrs":{"background":"white"},"content":[{"type":"paragraph","content":[{"type":"text","text":"196"}]}]}]},{"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</si>
  <si>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[^New Status of UCW-32552.xlsx] [^Summery.zip] 
Hi [@Merchandise 2|mailto:Merchandise2@blumangoes.ai],
We have updated all the SKUs as per the LOV values and have also updated the titles through PCM. Please find the attached summary sheet for your reference.
Once the changes are successfully reflected on the platform, we will notify you.
{adf:display=block}
{"type":"table","attrs":{"isNumberColumnEnabled":false,"layout":"center","localId":"840f9b19-2b91-458b-8216-6e2c6a896201"},"content":[{"type":"tableRow","content":[{"type":"tableCell","attrs":{"background":"#61cbf3"},"content":[{"type":"paragraph","content":[{"type":"text","text":"Ticket ID","marks":[{"type":"strong"}]}]}]},{"type":"tableCell","attrs":{"colspan":2,"background":"#61cbf3"},"content":[{"type":"paragraph","content":[{"type":"text","text":"UCW-32552","marks":[{"type":"strong"}]}]}]}]},{"type":"tableRow","content":[{"type":"tableCell","attrs":{"background":"#61cbf3"},"content":[{"type":"paragraph","content":[{"type":"text","text":"Platform","marks":[{"type":"strong"}]}]}]},{"type":"tableCell","attrs":{"colspan":2,"background":"#61cbf3"},"content":[{"type":"paragraph","content":[{"type":"text","text":"Marketplace","marks":[{"type":"strong"}]}]}]}]},{"type":"tableRow","content":[{"type":"tableCell","attrs":{"background":"#61cbf3"},"content":[{"type":"paragraph","content":[{"type":"text","text":"Particulars","marks":[{"type":"strong"}]}]}]},{"type":"tableCell","attrs":{"background":"#61cbf3"},"content":[{"type":"paragraph","content":[{"type":"text","text":"SKU Count","marks":[{"type":"strong"}]}]}]},{"type":"tableCell","attrs":{"background":"#61cbf3"},"content":[{"type":"paragraph","content":[{"type":"text","text":"Option Count","marks":[{"type":"strong"}]}]}]}]},{"type":"tableRow","content":[{"type":"tableCell","attrs":{"background":"white"},"content":[{"type":"paragraph","content":[{"type":"text","text":"Received"}]}]},{"type":"tableCell","attrs":{"background":"white"},"content":[{"type":"paragraph","content":[{"type":"text","text":"13734"}]}]},{"type":"tableCell","attrs":{"background":"white"},"content":[{"type":"paragraph","content":[{"type":"text","text":"13734"}]}]}]},{"type":"tableRow","content":[{"type":"tableCell","attrs":{"background":"white"},"content":[{"type":"paragraph","content":[{"type":"text","text":"Not Upload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13733"}]}]},{"type":"tableCell","attrs":{"background":"white"},"content":[{"type":"paragraph","content":[{"type":"text","text":"13733"}]}]}]}]}
{adf}
Regards,
Team Netscribes</t>
  </si>
  <si>
    <t>Analysis Shared - Date :06/08/2026 &lt;Analysis Shared Processed Options 79 Rejected Options 0 &gt; &lt;Moumita&gt;;Date: 8th Jun, 2026 Pre-Processing Done ( Brand to Query for Chain Length )-Mousumi
Date-9th jun ,2026 Production Done . -Mousumi
Date-9th jun ,2026 Images Done-Moumita
Date-9th jun ,2026 Description Done-Khushnuma
Date-9th jun ,2026 QC &amp; Uploaded Done-Mousumi
PFA the SUmmary &amp; Post-Uploaded sheet[^Summary.zip] [^UCW-32543 Post Upload Status_V.2 (1).xlsx] 
;Image deliver - Date :06/09/2026 &lt;Images Delivered Processed Options 79 Rejected Options 0&gt; &lt;Moumita&gt;;[^UCW-32543_LID.xlsx]
Hi [@Antara Ghosh|mailto:antara@giva.co],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be25120-1c64-49b3-9416-2ef9aef9f273"},"content":[{"type":"tableRow","content":[{"type":"tableCell","attrs":{"background":"#44b3e1"},"content":[{"type":"paragraph","content":[{"type":"text","text":"Ticket ID","marks":[{"type":"strong"}]}]}]},{"type":"tableCell","attrs":{"colspan":2,"background":"#44b3e1"},"content":[{"type":"paragraph","content":[{"type":"text","text":"UCW-32543","marks":[{"type":"strong"}]}]}]}]},{"type":"tableRow","content":[{"type":"tableCell","attrs":{"background":"#44b3e1"},"content":[{"type":"paragraph","content":[{"type":"text","text":"Brand Name","marks":[{"type":"strong"}]}]}]},{"type":"tableCell","attrs":{"colspan":2,"background":"#44b3e1"},"content":[{"type":"paragraph","content":[{"type":"text","text":"GIV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79"}]}]},{"type":"tableCell","attrs":{"background":"white"},"content":[{"type":"paragraph","content":[{"type":"text","text":"79"}]}]}]},{"type":"tableRow","content":[{"type":"tableCell","attrs":{"background":"white"},"content":[{"type":"paragraph","content":[{"type":"text","text":"Uploaded"}]}]},{"type":"tableCell","attrs":{"background":"white"},"content":[{"type":"paragraph","content":[{"type":"text","text":"79"}]}]},{"type":"tableCell","attrs":{"background":"white"},"content":[{"type":"paragraph","content":[{"type":"text","text":"79"}]}]}]},{"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79"}]}]},{"type":"tableCell","attrs":{"background":"white"},"content":[{"type":"paragraph","content":[{"type":"text","text":"79"}]}]}]},{"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</si>
  <si>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Analysis Shared - Date :06/08/2026 &lt;Analysis Shared Processed Options 53 Rejected Options 0 &gt; &lt;Moumita&gt;;Image deliver - Date :06/09/2026 &lt;Images Delivered Processed Options 53 Rejected Options 0&gt; &lt;Moumita&gt;;Date-9th jun ,2026 Pre-Processing Done . No Query-Mousumi
Date-9th jun ,2026 Production Done.-Mousumi
Date-9th jun ,2026 Images DOne -Moumita
Date-9th jun ,2026 -Description Done-Khushnuma
Date-9th jun ,2026 QC &amp; uploaded Done[^Summary.zip] [^UCW-32539 Post Upload Status_V.2 (1).xlsx] ;[^UCW-32539_LID.xlsx]
Hi [@Rupa Rupa|mailto:rupa@zaveri-pearls.com],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dc5bbfe-eb77-4626-a12d-83fe3d6d9107"},"content":[{"type":"tableRow","content":[{"type":"tableCell","attrs":{"background":"#44b3e1"},"content":[{"type":"paragraph","content":[{"type":"text","text":"Ticket ID","marks":[{"type":"strong"}]}]}]},{"type":"tableCell","attrs":{"colspan":2,"background":"#44b3e1"},"content":[{"type":"paragraph","content":[{"type":"text","text":"UCW-32539","marks":[{"type":"strong"}]}]}]}]},{"type":"tableRow","content":[{"type":"tableCell","attrs":{"background":"#44b3e1"},"content":[{"type":"paragraph","content":[{"type":"text","text":"Brand Name","marks":[{"type":"strong"}]}]}]},{"type":"tableCell","attrs":{"colspan":2,"background":"#44b3e1"},"content":[{"type":"paragraph","content":[{"type":"text","text":"Zaveri Pearl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52"}]}]},{"type":"tableCell","attrs":{"background":"white"},"content":[{"type":"paragraph","content":[{"type":"text","text":"52"}]}]}]},{"type":"tableRow","content":[{"type":"tableCell","attrs":{"background":"white"},"content":[{"type":"paragraph","content":[{"type":"text","text":"Uploaded"}]}]},{"type":"tableCell","attrs":{"background":"white"},"content":[{"type":"paragraph","content":[{"type":"text","text":"50"}]}]},{"type":"tableCell","attrs":{"background":"white"},"content":[{"type":"paragraph","content":[{"type":"text","text":"50"}]}]}]},{"type":"tableRow","content":[{"type":"tableCell","attrs":{"background":"white"},"content":[{"type":"paragraph","content":[{"type":"text","text":"Not Uploaded (Already Listed)"}]}]},{"type":"tableCell","attrs":{"background":"white"},"content":[{"type":"paragraph","content":[{"type":"text","text":"2"}]}]},{"type":"tableCell","attrs":{"background":"white"},"content":[{"type":"paragraph","content":[{"type":"text","text":"2"}]}]}]},{"type":"tableRow","content":[{"type":"tableCell","attrs":{"background":"white"},"content":[{"type":"paragraph","content":[{"type":"text","text":"LIDs Shared"}]}]},{"type":"tableCell","attrs":{"background":"white"},"content":[{"type":"paragraph","content":[{"type":"text","text":"50"}]}]},{"type":"tableCell","attrs":{"background":"white"},"content":[{"type":"paragraph","content":[{"type":"text","text":"50"}]}]}]},{"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</si>
  <si>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We have updated the images. Please find the attached summary sheet for your reference. Once the images are successfully reflected, we will notify you.
{adf:display=block}
{"type":"table","attrs":{"isNumberColumnEnabled":false,"layout":"center","localId":"0250889d-a148-4000-b9d2-d15821fde302"},"content":[{"type":"tableRow","content":[{"type":"tableCell","attrs":{},"content":[{"type":"paragraph","content":[{"type":"text","text":"Ticket ID"}]}]},{"type":"tableCell","attrs":{"colspan":2},"content":[{"type":"paragraph","content":[{"type":"text","text":"UCW-32538"}]}]}]},{"type":"tableRow","content":[{"type":"tableCell","attrs":{},"content":[{"type":"paragraph","content":[{"type":"text","text":"Brand Name"}]}]},{"type":"tableCell","attrs":{"colspan":2},"content":[{"type":"paragraph","content":[{"type":"text","text":"OOMPH"}]}]}]},{"type":"tableRow","content":[{"type":"tableCell","attrs":{},"content":[{"type":"paragraph","content":[{"type":"text","text":"Platform"}]}]},{"type":"tableCell","attrs":{"colspan":2},"content":[{"type":"paragraph","content":[{"type":"text","text":"Marketplace"}]}]}]},{"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48"}]}]},{"type":"tableCell","attrs":{},"content":[{"type":"paragraph","content":[{"type":"text","text":"48"}]}]}]},{"type":"tableRow","content":[{"type":"tableCell","attrs":{},"content":[{"type":"paragraph","content":[{"type":"text","text":"Uploaded"}]}]},{"type":"tableCell","attrs":{},"content":[{"type":"paragraph","content":[{"type":"text","text":"48"}]}]},{"type":"tableCell","attrs":{},"content":[{"type":"paragraph","content":[{"type":"text","text":"48"}]}]}]}]}
{adf};The images have been successfully updated. Please find the attached screenshot for your reference. We are closing this ticket for now. If you require any further assistance, please feel free to reach out to us.</t>
  </si>
  <si>
    <t>Image deliver - Date :06/08/2026 &lt;Images Delivered Processed Options 2 Rejected Options 0 &gt; &lt;Moumita&gt;;Date :06-08-2026 &lt;Ticket picked for pre processing SKU 2&gt; &lt;Tania&gt;
Date :06-08-2026 &lt;Pre Processing query to Brand &lt;Manufacturer Pincode is missing&gt;&gt; &lt;Tania&gt;;Date :06-09-2026 &lt; Pre Processing query to Brand 1st Follow Up&gt; &lt;Tania&gt;;[^UCW-32536_Post Upload Status_V.2 (1).xlsx]
[^Summary.zip]
Date : 6/9/2026 &lt;Ticket has been successfully uploaded in our system. Option 2 Sku 2 &gt; &lt;Piyali Bose&gt;;[^UCW-32536_LID.xlsx]
Hi [@Shivani Dorai|mailto:shivani@skinbae.in],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8557ff49-af28-4719-90ed-d72df7b1e4c5"},"content":[{"type":"tableRow","content":[{"type":"tableCell","attrs":{"background":"#44b3e1"},"content":[{"type":"paragraph","content":[{"type":"text","text":"Ticket ID","marks":[{"type":"strong"}]}]}]},{"type":"tableCell","attrs":{"colspan":2,"background":"#44b3e1"},"content":[{"type":"paragraph","content":[{"type":"text","text":"UCW-32536","marks":[{"type":"strong"}]}]}]}]},{"type":"tableRow","content":[{"type":"tableCell","attrs":{"background":"#44b3e1"},"content":[{"type":"paragraph","content":[{"type":"text","text":"Brand Name","marks":[{"type":"strong"}]}]}]},{"type":"tableCell","attrs":{"colspan":2,"background":"#44b3e1"},"content":[{"type":"paragraph","content":[{"type":"text","text":"Dr.Reju-All","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type":"tableCell","attrs":{"background":"white"},"content":[{"type":"paragraph","content":[{"type":"text","text":"2"}]}]}]},{"type":"tableRow","content":[{"type":"tableCell","attrs":{"background":"white"},"content":[{"type":"paragraph","content":[{"type":"text","text":"Uploaded"}]}]},{"type":"tableCell","attrs":{"background":"white"},"content":[{"type":"paragraph","content":[{"type":"text","text":"2"}]}]},{"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type":"tableCell","attrs":{"background":"white"},"content":[{"type":"paragraph","content":[{"type":"text","text":"2"}]}]}]},{"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</si>
  <si>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:06/08/2026 &lt;Ticket picked for pre processing Option 1 Sku 1 &gt; &lt;Anjalita&gt;;Image deliver - Date :06/08/2026 &lt;Images Delivered Processed Options 1 Rejected Options 0&gt; &lt;Moumita&gt;;Date :06/09/2026 &lt;Ticket has been successfully uploaded in our system. Option 1 Sku 1&gt; &lt;Anjalita&gt;;Reflecting</t>
  </si>
  <si>
    <t>Analysis Shared - Date :06/08/2026 &lt;Analysis Shared Processed Options 2 Rejected Options 0 Rejected Reason Platform &amp; seller code required &gt; &lt;Moumita&gt;;Date :06/08/2026 &lt;Ticket picked for pre processing Sku 01&gt; &lt;Tania&gt;;Image deliver - Date :06/08/2026 &lt;Images Delivered Processed Options 2 Rejected Options 0&gt; &lt;Moumita&gt;;Date :06/09/2026 &lt; Query to Category, Dropdown not available at seller code&gt; &lt;Tania&gt;;Date :06/13/2026 &lt; Dropdown not available at seller code&gt; &lt;Tania&gt;</t>
  </si>
  <si>
    <t>Analysis Shared - Date :06/08/2026 &lt;Analysis Shared Processed Options 5 Rejected Options 0 Rejected Reason Ean Code required &gt; &lt;Moumita&gt;;|Date :06-08-2026 &lt;Ticket picked for pre processing 5 SKU&gt; &lt;Tania&gt;|
|Date :06-08-2026 &lt;Pre Processing query to Brand &lt;EAN &amp; Packer Details Missing, Manufacturer n Coo are mismatched&gt;&gt; &lt;Tania&gt;|;Date :06-09-2026 &lt; Pre Processing query to Brand 1st Follow Up&gt; &lt;Tania&gt;;Image deliver - Date :06/09/2026 &lt;Images Delivered Processed Options 5 Rejected Options 0&gt; &lt;Moumita&gt;;[^UCW-32533_Post Upload Status_V.2 (1).xlsx]
[^Summary.zip]
Date :6/9/2026 &lt;Ticket has been successfully uploaded in our system. Option 5 Sku 5&gt; &lt;Piyali Bose&gt;;[^UCW-32533_LID.xlsx]
Hi [@Mehta, Pearl|mailto:pmehta@estee.com],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1534f6d-db9e-4dcd-b209-be0a4431d832"},"content":[{"type":"tableRow","content":[{"type":"tableCell","attrs":{"background":"#44b3e1"},"content":[{"type":"paragraph","content":[{"type":"text","text":"Ticket ID","marks":[{"type":"strong"}]}]}]},{"type":"tableCell","attrs":{"colspan":2,"background":"#44b3e1"},"content":[{"type":"paragraph","content":[{"type":"text","text":"UCW-32533","marks":[{"type":"strong"}]}]}]}]},{"type":"tableRow","content":[{"type":"tableCell","attrs":{"background":"#44b3e1"},"content":[{"type":"paragraph","content":[{"type":"text","text":"Brand Name","marks":[{"type":"strong"}]}]}]},{"type":"tableCell","attrs":{"colspan":2,"background":"#44b3e1"},"content":[{"type":"paragraph","content":[{"type":"text","text":"Estee Lauder","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type":"tableCell","attrs":{"background":"white"},"content":[{"type":"paragraph","content":[{"type":"text","text":"5"}]}]}]},{"type":"tableRow","content":[{"type":"tableCell","attrs":{"background":"white"},"content":[{"type":"paragraph","content":[{"type":"text","text":"Uploaded"}]}]},{"type":"tableCell","attrs":{"background":"white"},"content":[{"type":"paragraph","content":[{"type":"text","text":"5"}]}]},{"type":"tableCell","attrs":{"background":"white"},"content":[{"type":"paragraph","content":[{"type":"text","text":"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type":"tableCell","attrs":{"background":"white"},"content":[{"type":"paragraph","content":[{"type":"text","text":"5"}]}]}]},{"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</si>
  <si>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Date :06/09/2026  &lt;Ticket picked for pre processing Option 235 Sku 1123&gt; &lt;Anwesha Mondal&gt;;Date :06/09/2026  &lt;Ticket picked for pre processing Option: 6 SKU: 30&gt; &lt;Sanjana Ghosh&gt;;Analysis Shared - Date :06/09/2026&lt;Analysis Shared Processed Options 101 Rejected Options 0 Rejected Reason XXX&gt; &lt;Saswati Dey&gt;;Analysis Shared - Date :06/09/2026&lt;Analysis Shared Processed Options 107 Rejected Options 0 Rejected Reason XXX&gt; &lt;Saswati Dey&gt;;Date :06/09/2026 &lt;Ticket picked for Production and QC review Option 6 Sku 31 (FOR FOOTWEAR&gt; &lt;Ishani&gt;;Date :06/09/2026 &lt;Ticket is currently under size chart creation Option 6 Sku 31 (FOR FOOTWEAR)&gt; &lt;Ishani&gt;;Image deliver Footwear - Date :06/09/2026 &lt;Images Delivered Processed Options 6 Rejected Options 0&gt; &lt;Moumita&gt;;Image deliver - Date :06/09/2026 &lt;Images Delivered Processed Options 101 Rejected Options 0&gt; &lt;Saswati Dey&gt;;Image deliver - Date :06/09/2026 &lt;Images Delivered Processed Options 107 Rejected Options 0&gt; &lt;Saswati Dey&gt;;Date :06/10/2026 &lt;Ticket has been successfully partially uploaded(Footwear) in our system. Uploaded Option 6 Sku 29  Not Uploaded Sku 2 ( :: Attribute LOV entered is not valid for attribute :: agekids.## of productId :8909353439609)&gt; &lt;Ishani&gt;[^Post Upload Status_V.2 (1) (1).xlsx] [^Summary.zip] ;Date :06/10/2026 &lt;The ticket has been partially uploaded (Kids),Uploaded Option 86 SKU 377 ,Not Uploaded Option 23(Already Listed, Less than 3 sku in 1 cluster &amp; Size Chart Revision WIP) , while Men's and Women's Apparel have been uploaded successfully. Uploaded Option 107 Sku 560 , Already Listed Option 19&gt; &lt;Anwesha&gt;
[^Summary (16bb9eb2-1103-4c0d-87ad-7a1fe7d02dfc).zip]
[^Post Upload Status_UCW-32524 Men, Women &amp; Kids.xlsx]
</t>
  </si>
  <si>
    <t>Date :06/10/2026 &lt;Ticket picked for pre processing Option 19 Sku 19&gt; &lt;Anjalita&gt;;Image deliver - Date :06/11/2026 &lt;Images Delivered Processed Options 18 Rejected Options 1&gt; &lt;Moumita&gt;;Date :06/11/2026 &lt;Ticket has been successfully uploaded in our system. Option 19 Sku 19…1 SKU image NA&gt; &lt;Anjalita&gt;;{adf:display=block}
{"type":"table","attrs":{"isNumberColumnEnabled":false,"layout":"center","localId":"053ff7fa-7d4c-4ca3-8126-0fb85b21907e"},"content":[{"type":"tableRow","content":[{"type":"tableCell","attrs":{},"content":[{"type":"paragraph","content":[{"type":"text","text":"Ticket ID"}]}]},{"type":"tableCell","attrs":{"colspan":2},"content":[{"type":"paragraph","content":[{"type":"text","text":"UCW-32523"}]}]}]},{"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19"}]}]},{"type":"tableCell","attrs":{},"content":[{"type":"paragraph","content":[{"type":"text","text":"19"}]}]}]},{"type":"tableRow","content":[{"type":"tableCell","attrs":{},"content":[{"type":"paragraph","content":[{"type":"text","text":"Successfully Retriggered"}]}]},{"type":"tableCell","attrs":{},"content":[{"type":"paragraph","content":[{"type":"text","text":"18"}]}]},{"type":"tableCell","attrs":{},"content":[{"type":"paragraph","content":[{"type":"text","text":"18"}]}]}]},{"type":"tableRow","content":[{"type":"tableCell","attrs":{},"content":[{"type":"paragraph","content":[{"type":"text","text":"Image Not Available"}]}]},{"type":"tableCell","attrs":{},"content":[{"type":"paragraph","content":[{"type":"text","text":"1"}]}]},{"type":"tableCell","attrs":{},"content":[{"type":"paragraph","content":[{"type":"text","text":"1"}]}]}]}]}
{adf}</t>
  </si>
  <si>
    <t xml:space="preserve">Date :06/09/2026  &lt;Ticket picked for pre processing Option: 87  SKU: 756&gt; &lt;Sanjana Ghosh&gt;;Date :06/09/2026&lt;Ticket picked for Production and QC review Option: 145  SKU: 756&gt; &lt;Ankita&gt;;Date :06/09/2026&lt;Pre Processing query to Brand &lt;Image Query&gt;&gt; &lt;Ankita&gt;;Date :06/09/2026 &lt; Pre Processing query to Brand 1st Follow Up&gt; &lt;Ankita&gt;;Image deliver - Date :06/10/2026 &lt;Images Delivered Processed Options 141 Rejected Options 4&gt; &lt;Moumita&gt;;Date :06/11/2026 &lt;Ticket has been successfully uploaded in our system. Option 139 Sku 726&gt; &lt;Ankita&gt;[^Post Upload Status_V.2 (1).xlsx] [^Summary.zip] </t>
  </si>
  <si>
    <t>Date :08-06-2026  &lt;Ticket picked for pre processing Option 17Sku 85&gt; &lt;Amandeep&gt;;Date :08-06-2026 &lt;Pre Processing query to Brand &lt;Size chart&gt;&gt; &lt;Amandeep&gt;;Image deliver - Date :06/08/2026 &lt;Images Delivered Processed Options 17 Rejected Options 0&gt; &lt;Subhankar&gt;;Date :06/08/2026 &lt;Ticket has been successfully uploaded in our system. Option: 17 SKU: 85&gt; &lt;Sanjana Ghosh&gt;
PFA the post upload status and summary file: [^Summary.zip] [^UCW-32504 - Post Upload Status .xlsx] ;[^UCW-32504_LID.xlsx]
Hi [@Channel Sales|mailto:cs@digixito.com],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f70971d-dc80-4243-9d88-086f8975ec49"},"content":[{"type":"tableRow","content":[{"type":"tableCell","attrs":{"background":"#44b3e1"},"content":[{"type":"paragraph","content":[{"type":"text","text":"Ticket ID","marks":[{"type":"strong"}]}]}]},{"type":"tableCell","attrs":{"colspan":2,"background":"#44b3e1"},"content":[{"type":"paragraph","content":[{"type":"text","text":"UCW-32504","marks":[{"type":"strong"}]}]}]}]},{"type":"tableRow","content":[{"type":"tableCell","attrs":{"background":"#44b3e1"},"content":[{"type":"paragraph","content":[{"type":"text","text":"Brand Name","marks":[{"type":"strong"}]}]}]},{"type":"tableCell","attrs":{"colspan":2,"background":"#44b3e1"},"content":[{"type":"paragraph","content":[{"type":"text","text":"Red Chief","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85"}]}]},{"type":"tableCell","attrs":{"background":"white"},"content":[{"type":"paragraph","content":[{"type":"text","text":"17"}]}]}]},{"type":"tableRow","content":[{"type":"tableCell","attrs":{"background":"white"},"content":[{"type":"paragraph","content":[{"type":"text","text":"Uploaded"}]}]},{"type":"tableCell","attrs":{"background":"white"},"content":[{"type":"paragraph","content":[{"type":"text","text":"85"}]}]},{"type":"tableCell","attrs":{"background":"white"},"content":[{"type":"paragraph","content":[{"type":"text","text":"17"}]}]}]},{"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85"}]}]},{"type":"tableCell","attrs":{"background":"white"},"content":[{"type":"paragraph","content":[{"type":"text","text":"17"}]}]}]},{"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</si>
  <si>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Date-8th Jun, 2026 PFA the Summary &amp; Post-Uploaded Sheet
[^UCW-32500 Post Upload Status_V.2 (1).xlsx] [^Remaining Summary.zip] ;[^UCW-32500_LID.xlsx]
Hi [@rutuja sawant|mailto:rutuja.sawant@planetretail.in],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af15f89-d4ff-4e1b-b7d3-d2f4e215f974"},"content":[{"type":"tableRow","content":[{"type":"tableCell","attrs":{"background":"#44b3e1"},"content":[{"type":"paragraph","content":[{"type":"text","text":"Ticket ID","marks":[{"type":"strong"}]}]}]},{"type":"tableCell","attrs":{"colspan":2,"background":"#44b3e1"},"content":[{"type":"paragraph","content":[{"type":"text","text":"UCW-32500","marks":[{"type":"strong"}]}]}]}]},{"type":"tableRow","content":[{"type":"tableCell","attrs":{"background":"#44b3e1"},"content":[{"type":"paragraph","content":[{"type":"text","text":"Brand Name","marks":[{"type":"strong"}]}]}]},{"type":"tableCell","attrs":{"colspan":2,"background":"#44b3e1"},"content":[{"type":"paragraph","content":[{"type":"text","text":"Accessorize Londo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type":"tableCell","attrs":{"background":"white"},"content":[{"type":"paragraph","content":[{"type":"text","text":"2"}]}]}]},{"type":"tableRow","content":[{"type":"tableCell","attrs":{"background":"white"},"content":[{"type":"paragraph","content":[{"type":"text","text":"Uploaded"}]}]},{"type":"tableCell","attrs":{"background":"white"},"content":[{"type":"paragraph","content":[{"type":"text","text":"2"}]}]},{"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type":"tableCell","attrs":{"background":"white"},"content":[{"type":"paragraph","content":[{"type":"text","text":"2"}]}]}]},{"type":"tableRow","content":[{"type":"tableCell","attrs":{"background":"white"},"content":[{"type":"paragraph","content":[{"type":"text","text":"LIDs Stuck in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</si>
  <si>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Date:-9th Jun, 2026 PFA the Summary &amp; Post-Uploaded sheet
[^UCW-32499 Post Upload Status_V.2 (1).xlsx] [^Summary.zip] ;[^UCW-32499_LID.xlsx]
Hi [@rutuja sawant|mailto:rutuja.sawant@planetretail.in],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afff7de-3fa0-4251-b334-c46dc5639a76"},"content":[{"type":"tableRow","content":[{"type":"tableCell","attrs":{"background":"#44b3e1"},"content":[{"type":"paragraph","content":[{"type":"text","text":"Ticket ID","marks":[{"type":"strong"}]}]}]},{"type":"tableCell","attrs":{"colspan":2,"background":"#44b3e1"},"content":[{"type":"paragraph","content":[{"type":"text","text":"UCW-32499","marks":[{"type":"strong"}]}]}]}]},{"type":"tableRow","content":[{"type":"tableCell","attrs":{"background":"#44b3e1"},"content":[{"type":"paragraph","content":[{"type":"text","text":"Brand Name","marks":[{"type":"strong"}]}]}]},{"type":"tableCell","attrs":{"colspan":2,"background":"#44b3e1"},"content":[{"type":"paragraph","content":[{"type":"text","text":"Accessorize Londo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175"}]}]},{"type":"tableCell","attrs":{"background":"white"},"content":[{"type":"paragraph","content":[{"type":"text","text":"175"}]}]}]},{"type":"tableRow","content":[{"type":"tableCell","attrs":{"background":"white"},"content":[{"type":"paragraph","content":[{"type":"text","text":"Uploaded"}]}]},{"type":"tableCell","attrs":{"background":"white"},"content":[{"type":"paragraph","content":[{"type":"text","text":"169"}]}]},{"type":"tableCell","attrs":{"background":"white"},"content":[{"type":"paragraph","content":[{"type":"text","text":"169"}]}]}]},{"type":"tableRow","content":[{"type":"tableCell","attrs":{"background":"white"},"content":[{"type":"paragraph","content":[{"type":"text","text":"Not Uploaded (Already listed)"}]}]},{"type":"tableCell","attrs":{"background":"white"},"content":[{"type":"paragraph","content":[{"type":"text","text":"6"}]}]},{"type":"tableCell","attrs":{"background":"white"},"content":[{"type":"paragraph","content":[{"type":"text","text":"6"}]}]}]},{"type":"tableRow","content":[{"type":"tableCell","attrs":{"background":"white"},"content":[{"type":"paragraph","content":[{"type":"text","text":"LIDs Shared"}]}]},{"type":"tableCell","attrs":{"background":"white"},"content":[{"type":"paragraph","content":[{"type":"text","text":"168"}]}]},{"type":"tableCell","attrs":{"background":"white"},"content":[{"type":"paragraph","content":[{"type":"text","text":"168"}]}]}]},{"type":"tableRow","content":[{"type":"tableCell","attrs":{"background":"white"},"content":[{"type":"paragraph","content":[{"type":"text","text":"LIDs Stuck in SFA"}]}]},{"type":"tableCell","attrs":{"background":"white"},"content":[{"type":"paragraph","content":[{"type":"text","text":"1"}]}]},{"type":"tableCell","attrs":{"background":"white"},"content":[{"type":"paragraph","content":[{"type":"text","text":"1"}]}]}]}]}
{adf}
With this, we are closing this request from our end.
Thank you for your patience, support, and cooperation throughout the process. Your brand is important to us, and we look forward to assisting you again.
Regards,
Team Netscribes</t>
  </si>
  <si>
    <t>UCW-33207</t>
  </si>
  <si>
    <t>UCW-33191</t>
  </si>
  <si>
    <t>UCW-33186</t>
  </si>
  <si>
    <t>UCW-33181</t>
  </si>
  <si>
    <t>UCW-33172</t>
  </si>
  <si>
    <t>UCW-33159</t>
  </si>
  <si>
    <t>UCW-33148</t>
  </si>
  <si>
    <t>UCW-33144</t>
  </si>
  <si>
    <t>UCW-33143</t>
  </si>
  <si>
    <t>UCW-33141</t>
  </si>
  <si>
    <t>UCW-33129</t>
  </si>
  <si>
    <t>UCW-33123</t>
  </si>
  <si>
    <t>UCW-33122</t>
  </si>
  <si>
    <t>UCW-33117</t>
  </si>
  <si>
    <t>UCW-33109</t>
  </si>
  <si>
    <t>UCW-33106</t>
  </si>
  <si>
    <t>UCW-33096</t>
  </si>
  <si>
    <t>UCW-33095</t>
  </si>
  <si>
    <t>UCW-33089</t>
  </si>
  <si>
    <t>UCW-33082</t>
  </si>
  <si>
    <t>UCW-33066</t>
  </si>
  <si>
    <t>UCW-33065</t>
  </si>
  <si>
    <t>UCW-33063</t>
  </si>
  <si>
    <t>UCW-33059</t>
  </si>
  <si>
    <t>UCW-33058</t>
  </si>
  <si>
    <t>UCW-33057</t>
  </si>
  <si>
    <t>UCW-33052</t>
  </si>
  <si>
    <t>UCW-33050</t>
  </si>
  <si>
    <t>UCW-33048</t>
  </si>
  <si>
    <t>UCW-33046</t>
  </si>
  <si>
    <t>UCW-33043</t>
  </si>
  <si>
    <t>UCW-33037</t>
  </si>
  <si>
    <t>UCW-33035</t>
  </si>
  <si>
    <t>UCW-33028</t>
  </si>
  <si>
    <t>UCW-33027</t>
  </si>
  <si>
    <t>UCW-33025</t>
  </si>
  <si>
    <t>UCW-33021</t>
  </si>
  <si>
    <t>UCW-33020</t>
  </si>
  <si>
    <t>UCW-33004</t>
  </si>
  <si>
    <t>UCW-33001</t>
  </si>
  <si>
    <t>UCW-32999</t>
  </si>
  <si>
    <t>UCW-32992</t>
  </si>
  <si>
    <t>UCW-32990</t>
  </si>
  <si>
    <t>UCW-32986</t>
  </si>
  <si>
    <t>UCW-32975</t>
  </si>
  <si>
    <t>UCW-32973</t>
  </si>
  <si>
    <t>UCW-32968</t>
  </si>
  <si>
    <t>UCW-32965</t>
  </si>
  <si>
    <t>UCW-32964</t>
  </si>
  <si>
    <t>UCW-32963</t>
  </si>
  <si>
    <t>UCW-32955</t>
  </si>
  <si>
    <t>UCW-32948</t>
  </si>
  <si>
    <t>UCW-32938</t>
  </si>
  <si>
    <t>UCW-32933</t>
  </si>
  <si>
    <t>UCW-32930</t>
  </si>
  <si>
    <t>UCW-32929</t>
  </si>
  <si>
    <t>UCW-32927</t>
  </si>
  <si>
    <t>UCW-32918</t>
  </si>
  <si>
    <t>UCW-32912</t>
  </si>
  <si>
    <t>UCW-32908</t>
  </si>
  <si>
    <t>UCW-32907</t>
  </si>
  <si>
    <t>UCW-32906</t>
  </si>
  <si>
    <t>UCW-32905</t>
  </si>
  <si>
    <t>UCW-32902</t>
  </si>
  <si>
    <t>UCW-32901</t>
  </si>
  <si>
    <t>UCW-32893</t>
  </si>
  <si>
    <t>UCW-32877</t>
  </si>
  <si>
    <t>UCW-32868</t>
  </si>
  <si>
    <t>UCW-32867</t>
  </si>
  <si>
    <t>UCW-32847</t>
  </si>
  <si>
    <t>UCW-32843</t>
  </si>
  <si>
    <t>UCW-32841</t>
  </si>
  <si>
    <t>UCW-32840</t>
  </si>
  <si>
    <t>Sqintalk x Tatacliq : Mediheal Packaging Updates</t>
  </si>
  <si>
    <t>Tata Cliq Fashion  -  New Image Update - Jacques Bogart (17-06-2026)</t>
  </si>
  <si>
    <t>Little Surprise Box Kids Gumboots- 128130 - 16-06-2026</t>
  </si>
  <si>
    <t>CLONE - Tata Cliq Content Sheet - Philips</t>
  </si>
  <si>
    <t>Skechers Add now catalogue dated 10th June 2026</t>
  </si>
  <si>
    <t>Tata Note Cosmetics PDP Image Update</t>
  </si>
  <si>
    <t>New Listings+Khadlaj+Perfumes+126349+TCF+15th June 2026</t>
  </si>
  <si>
    <t>Joules by Radhika - Jewellery - 14/06/26</t>
  </si>
  <si>
    <t>Pitchwai Collection Catalog for Tata Cliq.</t>
  </si>
  <si>
    <t>Monkstory - FTW - 36 SKUs - 14/06/26</t>
  </si>
  <si>
    <t>Request to Update Images</t>
  </si>
  <si>
    <t>Colors Queen || Makeup || 129094 || 28-05-2026</t>
  </si>
  <si>
    <t>Tata Cliq-adidas DTC|Apparel| Attributes_19-06-26</t>
  </si>
  <si>
    <t>TATACLIQ x O3+ Catalog Update 29-05-2026</t>
  </si>
  <si>
    <t>TataCliq x O3+ New Launch 12-06-2026</t>
  </si>
  <si>
    <t>ERROR_Catalogue New errors for the Multibrands Agency (Netscribes) 18th June _NC</t>
  </si>
  <si>
    <t>Tata Cliq Fashion - New listing - Franck Olivier (12-06-2026)</t>
  </si>
  <si>
    <t>Redchief_Leather Shoes and Open Footwear_123781_120626</t>
  </si>
  <si>
    <t>CLONE - K18 Hair Oil 10ml New Listing</t>
  </si>
  <si>
    <t>Asics | Footwear | Sell Now Fashion to Luxury | 12-06-2026</t>
  </si>
  <si>
    <t>Palmonas | Fashion Jwellery | 128366 | 17-06-2026 (204 SKUs)</t>
  </si>
  <si>
    <t>Palmonas | Fashion Jwellery | 128366 | 17-06-2026 (146 SKUs)</t>
  </si>
  <si>
    <t>Giva | Silver Jewellery | 125927 | 17-06-2026 (113SKUs)</t>
  </si>
  <si>
    <t>SWEET DREAMS Boys 12-06-2026</t>
  </si>
  <si>
    <t>SWEET DREAMS Girls 12-06-2026</t>
  </si>
  <si>
    <t>SWEET DREAMS Men 12-06-2026</t>
  </si>
  <si>
    <t xml:space="preserve"> Jeroboam Cataloguing </t>
  </si>
  <si>
    <t xml:space="preserve">IKONIC - TATA CLIQ  - 8904231015999 - Ultra Light Hair Dryer - Black - IMAGE UPDATE </t>
  </si>
  <si>
    <t>New listings to create</t>
  </si>
  <si>
    <t>Rubans | Jewellery Set , Earings &amp; Bangles | 124272 | SKU :- 184</t>
  </si>
  <si>
    <t>Puig GWP Cataloguing 09.06.26</t>
  </si>
  <si>
    <t>2065376_Mist New listing_TCL</t>
  </si>
  <si>
    <t>Tata Cliq X Sebastian Professional Restage Listings</t>
  </si>
  <si>
    <t>HA Tint Listing | OAP | Tata Cliq</t>
  </si>
  <si>
    <t>Ustraa &amp; VLCC - Facial Kit &amp; Hair Serum - 8904223820723 , 8904223818737 , 8907122020201</t>
  </si>
  <si>
    <t>Tata Cliq  Fashion - New listing - Eze Perfume (New launch)</t>
  </si>
  <si>
    <t>Tata Cliq Footwear Catalogue | 11-06-2026</t>
  </si>
  <si>
    <t>Silver Rakhi Listing - 11.06.2026</t>
  </si>
  <si>
    <t>Touch925 | Silver Jewellery | 128759 | 12-06-2026 (37 SKUs)</t>
  </si>
  <si>
    <t>New Listing for Tata Cliq: Zircon Necklace ( 199 SKUs) – Kushal’s</t>
  </si>
  <si>
    <t>New Listing | HONASA Lumineve Tata Cliq Luxe</t>
  </si>
  <si>
    <t>Honasa Updated A+ and E-Commerce Creatives- Tata Cliq</t>
  </si>
  <si>
    <t>CLONE - CLONE - SOMA ESSENTIAL - Cataloguing</t>
  </si>
  <si>
    <t>Tata Cliq - New listing - Adidas Vibes &amp; Franck Olivier</t>
  </si>
  <si>
    <t>Error_FW: Tata Cliq - Cataloguing Templates</t>
  </si>
  <si>
    <t>Footwear Lot 6 SS26 Skechers -35 SKUs - 9 Style - Marketplace and Luxury - Marketplace seller code - 126948 - Luxury seller code - 128174 - 16.6.2026</t>
  </si>
  <si>
    <t>Error_Images Not reflecting-Need To re-trigger</t>
  </si>
  <si>
    <t>Error_Styles Migration to Tata Cliq ABFRL Account - 27-05-2026</t>
  </si>
  <si>
    <t>ALDO Footwear Catalog Submission (TC&amp;TCL) - 10.06.2025</t>
  </si>
  <si>
    <t>UCW-32178 - Dual listing &amp; sell now - Tata Cliq-adidas DTC|Footwear| Attributes_03-06-26_NC</t>
  </si>
  <si>
    <t>Yufta - New Catalog Link Tatacliq(35 Styles</t>
  </si>
  <si>
    <t>BERRYLICIOUS + Apparel + Annapurna Impex (128094) + 03/05/2026</t>
  </si>
  <si>
    <t>Tata Cliq Footwear Catalogue | 12-06-2026</t>
  </si>
  <si>
    <t>Tinted Serum 7-8 Shade Listing Correction_Infaillible | OAP | Tata Cliq</t>
  </si>
  <si>
    <t>New Listing for Tata Cliq: Necklaces (231 SKUs) | Kushal’s | 16-06-2026</t>
  </si>
  <si>
    <t>New Earrings listing-21 SKUS</t>
  </si>
  <si>
    <t>CLONE - Sora Dora Listing</t>
  </si>
  <si>
    <t>CLONE-New Listing | Neutrogena UltraSheer Mineral Sunscreen 40 ml</t>
  </si>
  <si>
    <t>ERROR_Catalogue New errors for the Multibrands Agency (NETSCRIBES) 16th June _NC</t>
  </si>
  <si>
    <t>Garnier | Color Naturals PDP Update | TATACLIQ</t>
  </si>
  <si>
    <t>Titan New listings - New EAN</t>
  </si>
  <si>
    <t xml:space="preserve">Jovoy  Cataloguing </t>
  </si>
  <si>
    <t>Error_Launch of FEDS Jerseys on 6th Nov’25 – Strict Adherence to Launch Date</t>
  </si>
  <si>
    <t xml:space="preserve">Error_NCH_ESC_127776060299901_Wrong product received </t>
  </si>
  <si>
    <t xml:space="preserve">Tatacliq listing </t>
  </si>
  <si>
    <t>Tinted Serum New Shades Listing_Infaillible | OAP | Tata Cliq</t>
  </si>
  <si>
    <t>Touch925 | Silver Jewellery | 128759 | 10-06-2026 ( 38 SKUs )</t>
  </si>
  <si>
    <t>Bioderma - EAN Code Change</t>
  </si>
  <si>
    <t>CLONE - 78248680_LANCOME Q2 New Listing_TCL</t>
  </si>
  <si>
    <t>Pilgrim &lt;&gt; Tata Cliq : New MRP &amp; Image Update</t>
  </si>
  <si>
    <t xml:space="preserve"> Campus x Tata CliQ ~ New Listings_05.06.2026 Batch-26</t>
  </si>
  <si>
    <t xml:space="preserve">Sqintalk </t>
  </si>
  <si>
    <t>Jacques Bogart</t>
  </si>
  <si>
    <t>Date :06/20/2026 &lt;Ticket picked for pre processing Option 18 Sku 18&gt; &lt;Anjalita&gt;;unable to select primary seller code and image analysis shared</t>
  </si>
  <si>
    <t>Little Surprise Box</t>
  </si>
  <si>
    <t>Date :06/19/2026 &lt;Ticket picked for pre processing Option 30 Sku 208&gt; &lt;Ishani&gt;;Date :06/19/2026 &lt;Pre Processing query to Brand &lt;Size Chart Missing&gt;&gt; &lt;Ishani&gt;;Date :06/19/2026&lt;Upon reviewing the Seller Portal, we noticed that the *L4 – Footwear* category is currently not available in the portal. Due to this, we are unable to proceed with processing the batch&gt; &lt;Ishani&gt;</t>
  </si>
  <si>
    <t>Phillips</t>
  </si>
  <si>
    <t>|Date :06/19/2026 &lt;Ticket picked for Production and QC review SKU 19&gt; &lt;Tania&gt;|
|Date :06/19/2026 &lt;Ticket has been successfully uploaded in our system. SKU 19&gt; &lt;Tania&gt;|;*We have successfully uploaded this batch. Please find the attached summary sheet and summary report.*[^UCW-32697 (e56f19b1-9a10-4c30-a4cb-fecdb1fc242c).zip] [^UCW-32697_Post Upload Status.xlsx] ;[^UCW-33181.xlsx]
Hi [@Yadav, Kanika|mailto:Kanika.Yadav@philips.com],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e325668-0ed0-407a-8ef0-b026d7854932"},"content":[{"type":"tableRow","content":[{"type":"tableCell","attrs":{"background":"#44b3e1"},"content":[{"type":"paragraph","content":[{"type":"text","text":"Ticket ID","marks":[{"type":"strong"}]}]}]},{"type":"tableCell","attrs":{"colspan":2,"background":"#44b3e1"},"content":[{"type":"paragraph","content":[{"type":"text","text":"UCW-33181","marks":[{"type":"strong"}]}]}]}]},{"type":"tableRow","content":[{"type":"tableCell","attrs":{"background":"#44b3e1"},"content":[{"type":"paragraph","content":[{"type":"text","text":"Brand Name","marks":[{"type":"strong"}]}]}]},{"type":"tableCell","attrs":{"colspan":2,"background":"#44b3e1"},"content":[{"type":"paragraph","content":[{"type":"text","text":"Phillips","marks":[{"type":"strong"}]}]}]}]},{"type":"tableRow","content":[{"type":"tableCell","attrs":{"background":"#44b3e1"},"content":[{"type":"paragraph","content":[{"type":"text","text":"Platform","marks":[{"type":"strong"}]}]}]},{"type":"tableCell","attrs":{"colspan":2,"background":"#44b3e1"},"content":[{"type":"paragraph","content":[{"type":"text","text":"Luxury, 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19"}]}]},{"type":"tableCell","attrs":{"background":"white"},"content":[{"type":"paragraph","content":[{"type":"text","text":"19"}]}]}]},{"type":"tableRow","content":[{"type":"tableCell","attrs":{"background":"white"},"content":[{"type":"paragraph","content":[{"type":"text","text":"Uploaded"}]}]},{"type":"tableCell","attrs":{"background":"white"},"content":[{"type":"paragraph","content":[{"type":"text","text":"16"}]}]},{"type":"tableCell","attrs":{"background":"white"},"content":[{"type":"paragraph","content":[{"type":"text","text":"16"}]}]}]},{"type":"tableRow","content":[{"type":"tableCell","attrs":{},"content":[{"type":"paragraph","content":[{"type":"text","text":"Not Uploaded (Already Listed)"}]}]},{"type":"tableCell","attrs":{"background":"white"},"content":[{"type":"paragraph","content":[{"type":"text","text":"3"}]}]},{"type":"tableCell","attrs":{"background":"white"},"content":[{"type":"paragraph","content":[{"type":"text","text":"3"}]}]}]},{"type":"tableRow","content":[{"type":"tableCell","attrs":{"background":"white"},"content":[{"type":"paragraph","content":[{"type":"text","text":"LIDs Shared"}]}]},{"type":"tableCell","attrs":{"background":"white"},"content":[{"type":"paragraph","content":[{"type":"text","text":"16"}]}]},{"type":"tableCell","attrs":{"background":"white"},"content":[{"type":"paragraph","content":[{"type":"text","text":"16"}]}]}]},{"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</si>
  <si>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Date :06/19/2026 &lt;Ticket picked for pre processing Option 145 Sku 801 &gt; &lt;Ishani&gt;;Date :06/19/2026 &lt;Pre Processing query to Brand &lt;Size Chart Query&gt;&gt; &lt;Ishani&gt;;Analysis Shared - Date :06/20/2026 &lt;Analysis Shared Processed Options 114 Rejected Options 31 Rejected Reason XXX&gt; &lt;Saswati Dey&gt;;Date :06/20/2026  &lt;Pre Processing query to Brand &lt;Image Query&gt; &lt;Sanjana Ghosh&gt; </t>
  </si>
  <si>
    <t>Note</t>
  </si>
  <si>
    <t>Image deliver - Date :06/20/2026 &lt;Images Delivered Processed Options 16 Rejected Options 4&gt; &lt;Saswati Dey&gt;</t>
  </si>
  <si>
    <t xml:space="preserve">Khadlaj </t>
  </si>
  <si>
    <t>Date :06/19/2026 &lt;Ticket picked for pre processing SKU 3&gt; &lt;Amandeep&gt;;Date :06/19/2026 &lt;Ticket picked for Production and QC review Option 3Sku 3&gt; &lt;Amandeep&gt;;Date :06/19/2026 &lt;Ticket has been successfully uploaded in our system. Option 3 Sku 3&gt; &lt;Amandeep&gt;[^ProductBulkUpload_126349_Beauty__Grooming(MPH22)_Fragrances_and_Perfumes(MPH2211)_Fragrances(MPH2211100)_Perfumes(MPH2211100104)_35212_1781868719089_20260619_050159_592_summary.csv] [^Post Upload Status_V.2 (1).xlsx] ;[^UCW-33148.xlsx]
Hi [@priya@sharaya.in|mailto:priya@sharaya.in],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a3011cc-4aba-48a7-9baf-0b71c512ddad"},"content":[{"type":"tableRow","content":[{"type":"tableCell","attrs":{"background":"#44b3e1"},"content":[{"type":"paragraph","content":[{"type":"text","text":"Ticket ID","marks":[{"type":"strong"}]}]}]},{"type":"tableCell","attrs":{"colspan":2,"background":"#44b3e1"},"content":[{"type":"paragraph","content":[{"type":"text","text":"UCW-33148","marks":[{"type":"strong"}]}]}]}]},{"type":"tableRow","content":[{"type":"tableCell","attrs":{"background":"#44b3e1"},"content":[{"type":"paragraph","content":[{"type":"text","text":"Brand Name","marks":[{"type":"strong"}]}]}]},{"type":"tableCell","attrs":{"colspan":2,"background":"#44b3e1"},"content":[{"type":"paragraph","content":[{"type":"text","text":"Khadlaj","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</si>
  <si>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Joules by Radhika</t>
  </si>
  <si>
    <t>Date : 19th Jun 2026 This ticket has been picked for Pre-Processing and Image Analysis -Mousumi. 
Date : 19th Jun 2026 Pre-Processing done ( Brand to Query for Style Code &amp; Images Query)-Mousumi.
Date : 20th, Jun 2026 Ist follow up Done -Mousumi;Analysis Shared - Date :06/19/2026 &lt;Analysis Shared Processed Options 61 Rejected Options 7 Rejected Reason XXX&gt; &lt;Saswati Dey&gt;</t>
  </si>
  <si>
    <t>Shaya by CaratLane</t>
  </si>
  <si>
    <t xml:space="preserve">Image deliver - Date :06/19/2026 &lt;Images Delivered Processed Options 47 Rejected Options 0&gt; &lt;Saswati Dey&gt;;Date : 19th Jun 2026 This ticket has been picked for Pre-Processing and Image Analysis -Mousumi. 
Date : 19th Jun 2026 Pre-Processing Done (Brand to query weight, coo,Anklet length, Bracelet size, cHain length, ring Size, Toe ring size)-Mousumi.
Date : 19th Jun 2026  Images Done-Saswsti
Date : 20th Jun 2026 Production Done.-Mousumi.
Date : 20th Jun 2026-Description Done -Khushnuma.
Date : 20th Jun 2026 QC &amp; Uploaded done-Mousumi.
PFA the Summaryy &amp; Post-Uploaded sheet[^Summary.zip] [^UCW-33143 Post Upload Status_V.2 (1).xlsx] 
</t>
  </si>
  <si>
    <t xml:space="preserve">Date :06/19/2026  &lt;Ticket picked for pre processing Option: 4 SKU: 24&gt; &lt;Sanjana Ghosh&gt;;Date :06/20/2026  &lt;Pre Processing query to Brand &lt;Gender and size chart details&gt; &lt;Sanjana Ghosh&gt; ;Analysis Shared - Date :06/20/2026 &lt;Analysis Shared Processed Options 4 Rejected Options 0 Rejected Reason XXX&gt; &lt;Saswati Dey&gt;;Date :06/20/2026&lt;Ticket has been successfully uploaded in our system. Option 4 Sku 24&gt; &lt;Ankita&gt;[^Post Upload Status_V.2 (1).xlsx] [^Summary.zip] </t>
  </si>
  <si>
    <t>Date :06/20/2026&lt;Partial Success(Rest 5 Image issue ) Option 4 Sku 4 &gt; &lt;Rupa&gt;</t>
  </si>
  <si>
    <t>|Date :06/19/2026 &lt;Ticket picked for pre processing SKU 1&gt; &lt;Amandeep&gt;|
|Date :06/19/2026 &lt;Ticket picked for Production and QC review SKU 1&gt; &lt;Amandeep&gt;|;Date :06/19/2026 &lt;Ticket has been successfully uploaded in our system. Option 1 Sku 1&gt; &lt;Amandeep&gt;[^ProductBulkUpload_129094_Beauty__Grooming(MPH22)_Makeup(MPH2214)_Face(MPH2214101)_Setting_Sprays_and_powders(MPH2214101116)_48868_1781868624716_20260619_050025_033_summary.csv] [^Post Upload Status_V.2 (1).xlsx] ;[^UCW-33123.xlsx]
Hi [@Tamanna .|mailto:Tamanna@colorsqueen.com]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eb109cc-a03f-453c-9de4-dbeb9779dfc4"},"content":[{"type":"tableRow","content":[{"type":"tableCell","attrs":{"background":"#44b3e1"},"content":[{"type":"paragraph","content":[{"type":"text","text":"Ticket ID","marks":[{"type":"strong"}]}]}]},{"type":"tableCell","attrs":{"colspan":2,"background":"#44b3e1"},"content":[{"type":"paragraph","content":[{"type":"text","text":"UCW-33123","marks":[{"type":"strong"}]}]}]}]},{"type":"tableRow","content":[{"type":"tableCell","attrs":{"background":"#44b3e1"},"content":[{"type":"paragraph","content":[{"type":"text","text":"Brand Name","marks":[{"type":"strong"}]}]}]},{"type":"tableCell","attrs":{"colspan":2,"background":"#44b3e1"},"content":[{"type":"paragraph","content":[{"type":"text","text":"Colors Quee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</si>
  <si>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Adidas, Adidas Original</t>
  </si>
  <si>
    <t xml:space="preserve">Date :06/19/2026  &lt;Ticket picked for pre processing Option: 86  SKU: 488&gt; &lt;Sanjana Ghosh&gt;;Date :06/20/2026  &lt;Pre Processing query to Brand &lt;Mandatory Image &amp; Country of Origin Missing&gt;&gt; &lt;Anwesha Mondal&gt; </t>
  </si>
  <si>
    <t>Date :06/19/2026 &lt;Ticket picked for pre processing Option 10 Sku 10&gt; &lt;Monu Saha&gt;;Image deliver - Date :06/19/2026 &lt;Images Delivered Processed Options 7 Rejected Options 0&gt; &lt;Saswati Dey&gt;;Date :06/18/2026 &lt;Ticket has been successfully uploaded in our system. Option 10 Sku 10&gt; &lt;Monu&gt;;Date :06/20/2026 &lt;Ticket has been successfully uploaded in our system. Option 10 Sku 10&gt; &lt;Monu&gt;</t>
  </si>
  <si>
    <t>Image deliver - Date :06/19/2026 &lt;Images Delivered Processed Options 2 Rejected Options 0&gt; &lt;Moumita&gt;;|Date :06/19/2026 &lt;Ticket picked for pre processing SKU 2&gt; &lt;Tania&gt;|
|Date :06/19/2026 &lt;Ticket picked for Production and QC review SKU 2&gt; &lt;Tania&gt;|;Date :06/19/2026 &lt;Ticket has been successfully uploaded in our system. SKU 2&gt; &lt;Tania&gt;;*We have successfully uploaded this batch. Please find the attached summary sheet and summary report.*[^UCW-33109z.zip] [^UCW-33109_Post Upload Status.xlsx] ;[^UCW-33109.xlsx]
Hi [@Aryan Pal|mailto:aryan.pal@o3plus.com],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685f7ed8-4d66-425d-bc3f-71bb39f3e600"},"content":[{"type":"tableRow","content":[{"type":"tableCell","attrs":{"background":"#44b3e1"},"content":[{"type":"paragraph","content":[{"type":"text","text":"Ticket ID","marks":[{"type":"strong"}]}]}]},{"type":"tableCell","attrs":{"colspan":2,"background":"#44b3e1"},"content":[{"type":"paragraph","content":[{"type":"text","text":"UCW-33109","marks":[{"type":"strong"}]}]}]}]},{"type":"tableRow","content":[{"type":"tableCell","attrs":{"background":"#44b3e1"},"content":[{"type":"paragraph","content":[{"type":"text","text":"Brand Name","marks":[{"type":"strong"}]}]}]},{"type":"tableCell","attrs":{"colspan":2,"background":"#44b3e1"},"content":[{"type":"paragraph","content":[{"type":"text","text":"O3+","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type":"tableCell","attrs":{"background":"white"},"content":[{"type":"paragraph","content":[{"type":"text","text":"2"}]}]}]},{"type":"tableRow","content":[{"type":"tableCell","attrs":{"background":"white"},"content":[{"type":"paragraph","content":[{"type":"text","text":"Uploaded"}]}]},{"type":"tableCell","attrs":{"background":"white"},"content":[{"type":"paragraph","content":[{"type":"text","text":"2"}]}]},{"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type":"tableCell","attrs":{"background":"white"},"content":[{"type":"paragraph","content":[{"type":"text","text":"2"}]}]}]},{"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</si>
  <si>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:06/19/2026 &lt;Ticket picked for pre processing Option 39 Sku 39&gt; &lt;Ankita&gt;;Date :06/19/2026 &lt;*Palmonas*
* The requested changes have been implemented and are reflecting successfully.
*CHARLES &amp; KEITH*
# We have uploaded the product under the correct L4 category (*Women Formal Shoes*). However, on the PDP it is displaying under a different L4 category (*Women Shoe Wedges*). Kindly advise on any further action required from our end. Summary is attached for your reference.
# As per the Luxury platform guidelines, the 45-degree image should be used as the primary image. Since the available 45-degree image is in pair view, we have used the same accordingly.
# We have uploaded the product under the correct L4 category (*Women Casual Shoes*). However, on the PDP it is displaying under a different L4 category (*Women Shoes Espadrilles*). Kindly advise on any further action required from our end. Summary is attached for your reference.
*London Rag*
* The color mentioned in the title is aligned with the color provided in the content sheet. Therefore, we have proceeded with the color specified in the content sheet.
*Adidas*
# We found that the product belongs to the *Beachwear Sandals* category and has been uploaded under the appropriate sandal category. Therefore, no action was required from our end. Summary is attached for your reference.
# We found that the product belongs to the *Running Shoes* category and has been uploaded under the appropriate *Sports Running* category. Therefore, no action was required from our end. Summary is attached for your reference.
# The color mentioned in the title is aligned with the color provided in the content sheet. Therefore, we have proceeded with the color specified in the content sheet.
Option 39 Sku 39&gt; &lt;Ankita&gt;</t>
  </si>
  <si>
    <t>Franck Olivier</t>
  </si>
  <si>
    <t>Image deliver - Date :06/19/2026 &lt;Images Delivered Processed Options 2 Rejected Options 0&gt; &lt;Moumita&gt;;|Date :06/19/2026 &lt;Ticket picked for pre processing SKU 2&gt; &lt;Tania&gt;|
|Date :06/19/2026 &lt;Ticket picked for Production and QC review SKU 2&gt; &lt;Tania&gt;|;*We have successfully uploaded this batch. Please find the attached summary sheet and summary report.*[^UCW-33096_Post Upload Status.xlsx] [^UCW-33096 Z.zip] ;Date :06/19/2026 &lt;Ticket has been successfully uploaded in our system. SKU 2&gt; &lt;Tania&gt;;[^UCW-33096.xlsx]
Hi [@Pratik Singh|mailto:pratik_singh@bcplgroup.com],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cebf401-70f4-4146-9987-e2ecd90cc008"},"content":[{"type":"tableRow","content":[{"type":"tableCell","attrs":{"background":"#44b3e1"},"content":[{"type":"paragraph","content":[{"type":"text","text":"Ticket ID","marks":[{"type":"strong"}]}]}]},{"type":"tableCell","attrs":{"colspan":2,"background":"#44b3e1"},"content":[{"type":"paragraph","content":[{"type":"text","text":"UCW-33096","marks":[{"type":"strong"}]}]}]}]},{"type":"tableRow","content":[{"type":"tableCell","attrs":{"background":"#44b3e1"},"content":[{"type":"paragraph","content":[{"type":"text","text":"Brand Name","marks":[{"type":"strong"}]}]}]},{"type":"tableCell","attrs":{"colspan":2,"background":"#44b3e1"},"content":[{"type":"paragraph","content":[{"type":"text","text":"Franck Olivier","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type":"tableCell","attrs":{"background":"white"},"content":[{"type":"paragraph","content":[{"type":"text","text":"2"}]}]}]},{"type":"tableRow","content":[{"type":"tableCell","attrs":{"background":"white"},"content":[{"type":"paragraph","content":[{"type":"text","text":"Uploaded"}]}]},{"type":"tableCell","attrs":{"background":"white"},"content":[{"type":"paragraph","content":[{"type":"text","text":"2"}]}]},{"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type":"tableCell","attrs":{"background":"white"},"content":[{"type":"paragraph","content":[{"type":"text","text":"2"}]}]}]},{"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</si>
  <si>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:06/18/2026  &lt;Ticket picked for pre processing Option: 93  SKU: 520&gt; &lt;Sanjana Ghosh&gt;;Date :06/18/2026 &lt;Pre Processing query to Brand &lt;Size chart , Season &gt;&gt; &lt;Ankita&gt;;Analysis Shared - Date :06/18/2026 &lt;Analysis Shared Processed Options 93 Rejected Options 0 Rejected Reason NA&gt; &lt;Subhankar&gt;;Date :06/19/2026 &lt; Pre Processing query to Brand 1st Follow Up&gt; &lt;Ishani&gt;;Date :06/19/2026 &lt;Ticket picked for Production and QC review Option 93 Sku 520&gt; &lt;Ishani, Ankita &amp; Sanjana&gt;;Date :06/20/2026&lt;Ticket has been successfully uploaded in our system. Option 96 Sku 474&gt; &lt;Ankita&gt;</t>
  </si>
  <si>
    <t>Date :06/19/2026 &lt;Ticket picked for pre processing Option 1 Sku 1&gt; &lt;Monu&gt;;Image deliver - Date :06/19/2026 &lt;Images Delivered Processed Options 1 Rejected Options 0&gt; &lt;Saswati Dey&gt;;Date :06/20/2026 &lt;Ticket has been successfully uploaded in our system. Option 1 Sku 1 &gt; &lt;Anjalita&gt;</t>
  </si>
  <si>
    <t xml:space="preserve">The dual listing has been completed for seller code 129537. Please find the attached summary sheet for your reference.
{adf:display=block}
{"type":"table","attrs":{"isNumberColumnEnabled":false,"layout":"center","localId":"2ebbf652-f1d3-426c-941c-694dc93201c6"},"content":[{"type":"tableRow","content":[{"type":"tableCell","attrs":{},"content":[{"type":"paragraph","content":[{"type":"text","text":"Ticket ID"}]}]},{"type":"tableCell","attrs":{"colspan":2},"content":[{"type":"paragraph","content":[{"type":"text","text":"UCW-33082"}]}]}]},{"type":"tableRow","content":[{"type":"tableCell","attrs":{},"content":[{"type":"paragraph","content":[{"type":"text","text":"Brand Name"}]}]},{"type":"tableCell","attrs":{"colspan":2},"content":[{"type":"paragraph","content":[{"type":"text","text":"Asics"}]}]}]},{"type":"tableRow","content":[{"type":"tableCell","attrs":{},"content":[{"type":"paragraph","content":[{"type":"text","text":"Platform"}]}]},{"type":"tableCell","attrs":{"colspan":2},"content":[{"type":"paragraph","content":[{"type":"text","text":"Luxury"}]}]}]},{"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12"}]}]},{"type":"tableCell","attrs":{},"content":[{"type":"paragraph","content":[{"type":"text","text":"1"}]}]}]},{"type":"tableRow","content":[{"type":"tableCell","attrs":{},"content":[{"type":"paragraph","content":[{"type":"text","text":"Uploaded"}]}]},{"type":"tableCell","attrs":{},"content":[{"type":"paragraph","content":[{"type":"text","text":"12"}]}]},{"type":"tableCell","attrs":{},"content":[{"type":"paragraph","content":[{"type":"text","text":"1"}]}]}]}]}
{adf}
[^ProductBulkUpload_129537_Footwear(MPH13)_Men(MPH1311)_Sports(MPH1311103)_Running(MPH1311103100)_53589_1781783131506_20260618_051531_868_summary.csv]
[^Status of UCW_33082.xlsx]
</t>
  </si>
  <si>
    <t>Date : 18th Jun, 2026 This ticket has been picked for Pre-Processing and Image Analysis -Mousumi.
Date : 19th Jun, 2026 Pre-Processing Done ( Brand to Query for Chain Length  Bracelet Size , ring Size, Gender Confirmation , Weight &amp; Images Quey)
Date : 19th Jun, 2026 Production Done-Mousumi
Date : 19th Jun, 2026 Description Done -Khushnuma
Date : 20th, Jun 2026 Ist follow up Done -Mousumi</t>
  </si>
  <si>
    <t>Date : 18th Jun, 2026 This ticket has been picked for Pre-Processing and Image Analysis -Mousumi.
Date : 19th Jun, 2026 Pre-Processing Done ( Brand to Query for Chain Length ,Bracelet Size , ring Size &amp; Images Quey)
Date : 19th Jun, 2026  Production Done -Mousumi.
Date : 19th Jun, 2026 -Description Done -Khushnuma
Date : 20th, Jun 2026 Ist follow up Done -Mousumi</t>
  </si>
  <si>
    <t>Date : 18th Jun, 2026 This ticket has been picked for Pre-Processing and Image Analysis -Mousumi.
Date : 18th Jun, 2026 Pre-Processing Done ( Brand to query  Images analysis chain length , SIze Chart measurment)-Mousumi
Date : 18th Jun, 2026 L1 Raised for Deletion_Size
[https://tatacliqhelpdesk.freshservice.com/support/tickets/218044|https://tatacliqhelpdesk.freshservice.com/support/tickets/218044] 
Date : 18th Jun, 2026 Resolution has been received from the brand- Mousumi.
Date : 19th Jun, 2026 Creation L1 tickets Raised [https://tatacliqhelpdesk.freshservice.com/support/tickets/218815|https://tatacliqhelpdesk.freshservice.com/support/tickets/218815] 
Date : 19th Jun, 2026 QC &amp; Uploade WIP -Mousumi.
Date : 20th Jun, 2026 QC &amp; Uploaded Done-Mousumi.
PFA the Summary &amp; Post-Uplaoded Sheet[^Summary.zip] [^UCW-33063 Post Upload Status_V.2 (1) (42a7bf50-d4e7-4f23-9e62-61e6acfbff75).xlsx] ;Image deliver - Date :06/18/2026 &lt;Images Delivered Processed Options 113 Rejected Options 0&gt; &lt;Moumita&gt;</t>
  </si>
  <si>
    <t>Sweet Dreams</t>
  </si>
  <si>
    <t>Date :06/18/2026  &lt;Ticket picked for pre processing Option 7 Sku 56&gt; &lt;Anwesha&gt;;Date :06/18/2026  &lt;Pre Processing query to Brand &lt;Global Identifier Missing&gt;&gt; &lt;Anwesha&gt; ;Image deliver - Date :06/18/2026 &lt;Images Delivered Processed Options 7 Rejected Options 0&gt; &lt;Subhankar&gt;;Date :06/19/2026 &lt; Production and QC done [https://tatacliqhelpdesk.freshservice.com/support/tickets/219035|https://tatacliqhelpdesk.freshservice.com/support/tickets/219035] -Size Chart Creation_Sweet Dreams_UCW-33059_19-06-2026&gt; &lt;Anwesha&gt;;Date :06/19/2026 &lt;Ticket has been successfully uploaded in our system. Option 7 Sku 56&gt; &lt;Anwesha&gt;
[^Summary.zip]
[^Post Upload Status_UCW-33059 (56ec0078-031a-4de6-98a9-95717aa2269d).xlsx]
;[^UCW-33059.xlsx]
Hi [@Hitaxi|mailto:cataloguemp@sweetdreamsindia.com],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43d41f66-0d19-4b86-b5ba-fdf40b7dd6e3"},"content":[{"type":"tableRow","content":[{"type":"tableCell","attrs":{"background":"#44b3e1"},"content":[{"type":"paragraph","content":[{"type":"text","text":"Ticket ID","marks":[{"type":"strong"}]}]}]},{"type":"tableCell","attrs":{"colspan":2,"background":"#44b3e1"},"content":[{"type":"paragraph","content":[{"type":"text","text":"UCW-33059","marks":[{"type":"strong"}]}]}]}]},{"type":"tableRow","content":[{"type":"tableCell","attrs":{"background":"#44b3e1"},"content":[{"type":"paragraph","content":[{"type":"text","text":"Brand Name","marks":[{"type":"strong"}]}]}]},{"type":"tableCell","attrs":{"colspan":2,"background":"#44b3e1"},"content":[{"type":"paragraph","content":[{"type":"text","text":"Sweet Dream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56"}]}]},{"type":"tableCell","attrs":{"background":"white"},"content":[{"type":"paragraph","content":[{"type":"text","text":"7"}]}]}]},{"type":"tableRow","content":[{"type":"tableCell","attrs":{"background":"white"},"content":[{"type":"paragraph","content":[{"type":"text","text":"Uploaded"}]}]},{"type":"tableCell","attrs":{"background":"white"},"content":[{"type":"paragraph","content":[{"type":"text","text":"56"}]}]},{"type":"tableCell","attrs":{"background":"white"},"content":[{"type":"paragraph","content":[{"type":"text","text":"7"}]}]}]},{"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56"}]}]},{"type":"tableCell","attrs":{"background":"white"},"content":[{"type":"paragraph","content":[{"type":"text","text":"7"}]}]}]},{"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</si>
  <si>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:06/18/2026  &lt;Ticket picked for pre processing Option 11 Sku 88&gt; &lt;Anwesha&gt;;Date :06/18/2026 &lt;Pre Processing query to Brand &lt;Global Identifier Missing&gt;&gt; &lt;Anwesha&gt; ;Image deliver - Date :06/18/2026 &lt;Images Delivered Processed Options 11 Rejected Options 0&gt; &lt;Subhankar&gt;;Date :06/19/2026 &lt; Production and QC done [https://tatacliqhelpdesk.freshservice.com/support/tickets/219032|https://tatacliqhelpdesk.freshservice.com/support/tickets/219032] Size Chart-Size Chart Creation_Sweet Dreams_UCW-33058_19-06-2026 &lt;Anwesha&gt;;Date :06/19/2026 &lt;Ticket has been successfully uploaded in our system. Option 11 Sku 88&gt; &lt;Anwesha&gt;
[^Summary.zip]
[^Post Upload Status_UCW-33058 (ee2f6e4f-0744-487f-adb8-247fbe74d5b0).xlsx]
;[^UCW-33058.xlsx]
Hi [@Hitaxi|mailto:cataloguemp@sweetdreamsindia.com],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c9a988f-89c5-4e73-8b8f-7776ad4be924"},"content":[{"type":"tableRow","content":[{"type":"tableCell","attrs":{"background":"#44b3e1"},"content":[{"type":"paragraph","content":[{"type":"text","text":"Ticket ID","marks":[{"type":"strong"}]}]}]},{"type":"tableCell","attrs":{"colspan":2,"background":"#44b3e1"},"content":[{"type":"paragraph","content":[{"type":"text","text":"UCW-33058","marks":[{"type":"strong"}]}]}]}]},{"type":"tableRow","content":[{"type":"tableCell","attrs":{"background":"#44b3e1"},"content":[{"type":"paragraph","content":[{"type":"text","text":"Brand Name","marks":[{"type":"strong"}]}]}]},{"type":"tableCell","attrs":{"colspan":2,"background":"#44b3e1"},"content":[{"type":"paragraph","content":[{"type":"text","text":"Sweet Dream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88"}]}]},{"type":"tableCell","attrs":{"background":"white"},"content":[{"type":"paragraph","content":[{"type":"text","text":"11"}]}]}]},{"type":"tableRow","content":[{"type":"tableCell","attrs":{"background":"white"},"content":[{"type":"paragraph","content":[{"type":"text","text":"Uploaded"}]}]},{"type":"tableCell","attrs":{"background":"white"},"content":[{"type":"paragraph","content":[{"type":"text","text":"88"}]}]},{"type":"tableCell","attrs":{"background":"white"},"content":[{"type":"paragraph","content":[{"type":"text","text":"11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87"}]}]},{"type":"tableCell","attrs":{"background":"white"},"content":[{"type":"paragraph","content":[{"type":"text","text":"11"}]}]}]},{"type":"tableRow","content":[{"type":"tableCell","attrs":{"background":"white"},"content":[{"type":"paragraph","content":[{"type":"text","text":"Stuck in SFA"}]}]},{"type":"tableCell","attrs":{"background":"white"},"content":[{"type":"paragraph","content":[{"type":"text","text":"1"}]}]},{"type":"tableCell","attrs":{"background":"white"},"content":[{"type":"paragraph","content":[{"type":"text","text":"0"}]}]}]}]}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</si>
  <si>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:06/18/2026  &lt;Ticket picked for pre processing Option 8 Sku 44&gt; &lt;Anwesha Mondal&gt;;Image deliver - Date :06/18/2026 &lt;Images Delivered Processed Options 8 Rejected Options 0&gt; &lt;Subhankar&gt;;Date :06/18/2026  &lt;Pre Processing query to Brand &lt;Global Identifier Missing, Incorrect Season, Incorrect Fabric &amp; Country of Origin Missing &gt;&gt; &lt;Anwesha&gt; ;Date :06/19/2026 &lt;Ticket has been successfully uploaded in our system. Option 8 Sku 44&gt; &lt;Anwesha&gt;
[^Summary.zip]
[^Post Upload Status_UCW-33057 (473883e7-1331-4da9-abdc-e98adaebfd9c).xlsx]
;[^UCW-33057.xlsx]
Hi [@Hitaxi|mailto:cataloguemp@sweetdreamsindia.com],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015b438-286d-4e42-84d2-7037840d8960"},"content":[{"type":"tableRow","content":[{"type":"tableCell","attrs":{"background":"#44b3e1"},"content":[{"type":"paragraph","content":[{"type":"text","text":"Ticket ID","marks":[{"type":"strong"}]}]}]},{"type":"tableCell","attrs":{"colspan":2,"background":"#44b3e1"},"content":[{"type":"paragraph","content":[{"type":"text","text":"UCW-33057","marks":[{"type":"strong"}]}]}]}]},{"type":"tableRow","content":[{"type":"tableCell","attrs":{"background":"#44b3e1"},"content":[{"type":"paragraph","content":[{"type":"text","text":"Brand Name","marks":[{"type":"strong"}]}]}]},{"type":"tableCell","attrs":{"colspan":2,"background":"#44b3e1"},"content":[{"type":"paragraph","content":[{"type":"text","text":"Sweet Dream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44"}]}]},{"type":"tableCell","attrs":{"background":"white"},"content":[{"type":"paragraph","content":[{"type":"text","text":"8"}]}]}]},{"type":"tableRow","content":[{"type":"tableCell","attrs":{"background":"white"},"content":[{"type":"paragraph","content":[{"type":"text","text":"Uploaded"}]}]},{"type":"tableCell","attrs":{"background":"white"},"content":[{"type":"paragraph","content":[{"type":"text","text":"44"}]}]},{"type":"tableCell","attrs":{"background":"white"},"content":[{"type":"paragraph","content":[{"type":"text","text":"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44"}]}]},{"type":"tableCell","attrs":{"background":"white"},"content":[{"type":"paragraph","content":[{"type":"text","text":"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</si>
  <si>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Jeroboam </t>
  </si>
  <si>
    <t>|Date :06/18/2026 &lt;Ticket picked for pre processing SKU 12&gt; &lt;Tania&gt;|
|Date :06/18/2026 &lt;Pre Processing query to Brand &lt;Image Link Expired&gt;&gt; &lt;Tania&gt;|;Analysis Shared - Date :06/18/2026 &lt;Analysis Shared Processed Options 12 Rejected Options 12 Rejected Reason less than 5 images&gt; &lt;Moumita&gt;;Image deliver - Date :06/18/2026 &lt;Images Delivered Processed Options 12 Rejected Options 0&gt; &lt;Moumita&gt;;Date :06/18/2026 &lt;Ticket has been successfully uploaded in our system. Option 12 Sku 12&gt; &lt;Amandeep[^ProductBulkUpload_125783_Beauty__Grooming(MPH22)_Fragrances_and_Perfumes(MPH2211)_Fragrances(MPH2211100)_Perfumes(MPH2211100104)_32723_1781792896493_20260618_075816_702_summary.csv] [^Post Upload Status_V.2 (1).xlsx] &gt;;[^UCW-33052.xlsx]
Hi [@Tarika S|mailto:tarika.s@mirasimofragrances.com],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a216340-8767-4b36-86eb-a682d51299c7"},"content":[{"type":"tableRow","content":[{"type":"tableCell","attrs":{"background":"#44b3e1"},"content":[{"type":"paragraph","content":[{"type":"text","text":"Ticket ID","marks":[{"type":"strong"}]}]}]},{"type":"tableCell","attrs":{"colspan":2,"background":"#44b3e1"},"content":[{"type":"paragraph","content":[{"type":"text","text":"UCW-33052","marks":[{"type":"strong"}]}]}]}]},{"type":"tableRow","content":[{"type":"tableCell","attrs":{"background":"#44b3e1"},"content":[{"type":"paragraph","content":[{"type":"text","text":"Brand Name","marks":[{"type":"strong"}]}]}]},{"type":"tableCell","attrs":{"colspan":2,"background":"#44b3e1"},"content":[{"type":"paragraph","content":[{"type":"text","text":"Jeroboam","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12"}]}]},{"type":"tableCell","attrs":{"background":"white"},"content":[{"type":"paragraph","content":[{"type":"text","text":"12"}]}]}]},{"type":"tableRow","content":[{"type":"tableCell","attrs":{"background":"white"},"content":[{"type":"paragraph","content":[{"type":"text","text":"Uploaded"}]}]},{"type":"tableCell","attrs":{"background":"white"},"content":[{"type":"paragraph","content":[{"type":"text","text":"12"}]}]},{"type":"tableCell","attrs":{"background":"white"},"content":[{"type":"paragraph","content":[{"type":"text","text":"12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12"}]}]},{"type":"tableCell","attrs":{"background":"white"},"content":[{"type":"paragraph","content":[{"type":"text","text":"12"}]}]}]},{"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</si>
  <si>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IKONIC </t>
  </si>
  <si>
    <t xml:space="preserve">Date :06/18/2026 &lt;Ticket picked for pre processing Option 1 Sku 1&gt; &lt;Anjalita&gt;;Date :06/18/2026 &lt;Ticket has been successfully uploaded in our system. Option 1 Sku 1&gt; &lt;Anjalita&gt;;The changes have been successfully updated and are now reflecting on the PDP. </t>
  </si>
  <si>
    <t>MP000000025478699</t>
  </si>
  <si>
    <t>Date :06/18/2026 &lt;Ticket picked for pre processing Option 11 Sku 11 &gt; &lt;Anjalita&gt;;Date :06/18/2026 &lt;New EANs were already listed. Please find the LIDs.[^LID-UCW-33048.xlsx] &gt; &lt;Anjlaita&gt;</t>
  </si>
  <si>
    <t>|Date :06/18/2026 &lt;Ticket picked for pre processing Option 3 Sku 3&gt; &lt;Tania&gt;|
|Date :06/18/2026 &lt;Ticket picked for Production and QC review Option 3 Sku 3&gt; &lt;Tania&gt;|;Date :06/18/2026 &lt;Ticket has been successfully uploaded in our system. Option 3 Sku 3&gt; &lt;Anjalita&gt;;[^UCW-33046.xlsx]
Hi [@KHANNA Gaurav|mailto:gaurav.khanna@loreal.com],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39e4bae6-b1bb-4206-a5c3-e7bb4c90b033"},"content":[{"type":"tableRow","content":[{"type":"tableCell","attrs":{"background":"#44b3e1"},"content":[{"type":"paragraph","content":[{"type":"text","text":"Ticket ID","marks":[{"type":"strong"}]}]}]},{"type":"tableCell","attrs":{"colspan":2,"background":"#44b3e1"},"content":[{"type":"paragraph","content":[{"type":"text","text":"UCW-33046","marks":[{"type":"strong"}]}]}]}]},{"type":"tableRow","content":[{"type":"tableCell","attrs":{"background":"#44b3e1"},"content":[{"type":"paragraph","content":[{"type":"text","text":"Brand Name","marks":[{"type":"strong"}]}]}]},{"type":"tableCell","attrs":{"colspan":2,"background":"#44b3e1"},"content":[{"type":"paragraph","content":[{"type":"text","text":"Yves Saint Laurent","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</si>
  <si>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Rubans</t>
  </si>
  <si>
    <t>Date : 18th Jun, 2026 This ticket has been picked for Pre-Processing and Image Analysis -Mousumi.
Date : 18th Jun, 2026 pre-procesing Done ( Brand to query Warranty Time, Warranty type, bracelet size, chain length, images Query &amp; Size chart Measurment,)-Mousumi
Date : 19th Jun, 2026 Resolution has been received from the brand- Mousumi.
Date : 19th Jun, 2026 QC &amp; Uploade WIP
Date : 20th Jun, 2026 QC &amp; Uplaode Done -Mousumi.
PFA the Summary &amp; Post-Uploaded sheet[^Summary.zip] [^UCW-33043 Post Upload Status_V.2 (1).xlsx] ;Analysis Shared - Date :06/18/2026 &lt;Analysis Shared Processed Options 162 Rejected Options 22 Rejected Reason XXX&gt; &lt;Saswati Dey&gt;;Image deliver - Date :06/18/2026 &lt;Images Delivered Processed Options 162 Rejected Options 22&gt; &lt;Saswati Dey&gt;;Image deliver - Date :06/19/2026 &lt;Images Delivered LOT 2 Processed Options 21 Rejected Options 1&gt; &lt;Saswati Dey&gt;</t>
  </si>
  <si>
    <t>|Date :06/18/2026 &lt;Ticket picked for pre processing Option 4 Sku 4&gt; &lt;Tania&gt;|
|Date :06/18/2026 &lt;Ticket picked for Production and QC review Option 4 Sku 4&gt; &lt;Tania&gt;|;Analysis Shared - Date :06/18/2026 &lt;Analysis Shared Processed Options 4 Rejected Options 1 Rejected Reason image na &gt; &lt;Moumita&gt;;Image deliver - Date :06/18/2026 &lt;Images Delivered Processed Options 4 Rejected Options 1&gt; &lt;Moumita&gt;;Date :06/18/2026 &lt;Ticket has been successfully uploaded in our system. Option 3 Sku 3&gt; &lt;Monu saha&gt; 1 SKU image not available.  ;[^Post Upload Sheet UCW-33037.xlsx]
;[^UCW-33037.xlsx]
Hi [@Challapalli, Suma|mailto:suma.challapalli@puig.com],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a3c53af-85a6-4130-9768-226d84ac2cc8"},"content":[{"type":"tableRow","content":[{"type":"tableCell","attrs":{"background":"#44b3e1"},"content":[{"type":"paragraph","content":[{"type":"text","text":"Ticket ID","marks":[{"type":"strong"}]}]}]},{"type":"tableCell","attrs":{"colspan":2,"background":"#44b3e1"},"content":[{"type":"paragraph","content":[{"type":"text","text":"UCW-33037","marks":[{"type":"strong"}]}]}]}]},{"type":"tableRow","content":[{"type":"tableCell","attrs":{"background":"#44b3e1"},"content":[{"type":"paragraph","content":[{"type":"text","text":"Brand Name","marks":[{"type":"strong"}]}]}]},{"type":"tableCell","attrs":{"colspan":2,"background":"#44b3e1"},"content":[{"type":"paragraph","content":[{"type":"text","text":"Puig","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type":"tableCell","attrs":{"background":"white"},"content":[{"type":"paragraph","content":[{"type":"text","text":"4"}]}]}]},{"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Not Uploaded (Image not available)"}]}]},{"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</si>
  <si>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:06/18/2026 &lt;Ticket picked for pre processing Option 1 Sku 1&gt; &lt;Tania&gt;
Date :06/18/2026 &lt;Pre Processing query to Brand &lt;Image link expired&gt;&gt; &lt;Tania&gt;;Date :06/19/2026 &lt; Pre Processing query to Brand 1st Follow Up&gt; &lt;Tania&gt;;Date :06/19/2026 &lt;Ticket has been successfully uploaded in our system. SKU 1&gt; &lt;Tania&gt;;*We have successfully uploaded this batch. Please find the attached summary sheet and summary report.*[^ProductBulkUpload_125928_Beauty__Grooming(MPH22)_Fragrances_and_Perfumes(MPH2211)_Fragrances(MPH2211100)_Body_Mists(MPH2211100100)_3.csv] [^UCW-33035_Post Upload Status.xlsx] ;[^UCW-33035.xlsx]
Hi [@RENGARAJ Parkavi - ACCENTURE|mailto:parkavi.rengaraj@loreal.com],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bc5c9a7-116a-42ad-8cee-5d6644d9e1d7"},"content":[{"type":"tableRow","content":[{"type":"tableCell","attrs":{"background":"#44b3e1"},"content":[{"type":"paragraph","content":[{"type":"text","text":"Ticket ID","marks":[{"type":"strong"}]}]}]},{"type":"tableCell","attrs":{"colspan":2,"background":"#44b3e1"},"content":[{"type":"paragraph","content":[{"type":"text","text":"UCW-33035","marks":[{"type":"strong"}]}]}]}]},{"type":"tableRow","content":[{"type":"tableCell","attrs":{"background":"#44b3e1"},"content":[{"type":"paragraph","content":[{"type":"text","text":"Brand Name","marks":[{"type":"strong"}]}]}]},{"type":"tableCell","attrs":{"colspan":2,"background":"#44b3e1"},"content":[{"type":"paragraph","content":[{"type":"text","text":"Lancome","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</si>
  <si>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Sebastian Professional</t>
  </si>
  <si>
    <t>|Date :06/18/2026 &lt;Ticket picked for pre processing Option 61 Sku 61&gt; &lt;Amandeep&gt;|
|Date :06/18/2026 &lt;Ticket picked for Production and QC review Option 61 Sku 61&gt; &lt;Amandeep&gt;|;Analysis Shared - Date :06/18/2026 &lt;Analysis Shared Processed Options 61 Rejected Options 9 Rejected Reason multiple issue&gt; &lt;Moumita&gt;;Date :06/18/2026  &lt;Pre Processing query to Brand &lt;Query Deatils- Manufacturer-pincode and image query&gt;&gt; &lt;Amandeep&gt; ;Date :06/19/2026 &lt; Pre Processing query to Brand 1st Follow Up&gt; &lt;Tania&gt;;Image deliver - Date :06/19/2026 &lt;Images Delivered Processed Options 61 Rejected Options 0&gt; &lt;Moumita&gt;;Date :06/19/2026 &lt;Ticket has been successfully uploaded in our system. SKU 61&gt; &lt;Tania&gt;;*We have successfully uploaded this batch. Please find the attached summary sheet and summary report.*[^UCW-33028_Post Upload Status.xlsx] [^UCW-33028.zip] ;[^UCW-33028.xlsx]
Hi [@AASIYA SHAIKH (Contractor)|mailto:aasiya.shaikh@wella.com],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8fb762a-f8e3-45d3-b432-a570a7a92bb5"},"content":[{"type":"tableRow","content":[{"type":"tableCell","attrs":{"background":"#44b3e1"},"content":[{"type":"paragraph","content":[{"type":"text","text":"Ticket ID","marks":[{"type":"strong"}]}]}]},{"type":"tableCell","attrs":{"colspan":2,"background":"#44b3e1"},"content":[{"type":"paragraph","content":[{"type":"text","text":"UCW-33028","marks":[{"type":"strong"}]}]}]}]},{"type":"tableRow","content":[{"type":"tableCell","attrs":{"background":"#44b3e1"},"content":[{"type":"paragraph","content":[{"type":"text","text":"Brand Name","marks":[{"type":"strong"}]}]}]},{"type":"tableCell","attrs":{"colspan":2,"background":"#44b3e1"},"content":[{"type":"paragraph","content":[{"type":"text","text":"Sebastian Professional","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61"}]}]},{"type":"tableCell","attrs":{"background":"white"},"content":[{"type":"paragraph","content":[{"type":"text","text":"61"}]}]}]},{"type":"tableRow","content":[{"type":"tableCell","attrs":{"background":"white"},"content":[{"type":"paragraph","content":[{"type":"text","text":"Uploaded"}]}]},{"type":"tableCell","attrs":{"background":"white"},"content":[{"type":"paragraph","content":[{"type":"text","text":"61"}]}]},{"type":"tableCell","attrs":{"background":"white"},"content":[{"type":"paragraph","content":[{"type":"text","text":"61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61"}]}]},{"type":"tableCell","attrs":{"background":"white"},"content":[{"type":"paragraph","content":[{"type":"text","text":"61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</si>
  <si>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Image deliver - Date :06/18/2026 &lt;Images Delivered Processed Options 6 Rejected Options 0 &gt; &lt;Moumita&gt;;|Date :06/18/2026 &lt;Ticket picked for pre processing Option 3 Sku 3&gt; &lt;Tania&gt;|
|Date :06/18/2026 &lt;Ticket picked for Production and QC review Option 3 Sku 3&gt; &lt;Tania&gt;|;Date :06/18/2026 &lt;Ticket has been successfully uploaded in our system. Option 6 Sku 6 &gt; &lt;Anjalita&gt;;[^UCW-33027.xlsx]
Hi [@MANIKANTA Sai Abhinay - ACCENTURE|mailto:saiabhinay.manikanta@loreal.com],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76a8a0fc-a819-4df8-a6bb-12ad8f9e0f88"},"content":[{"type":"tableRow","content":[{"type":"tableCell","attrs":{"background":"#44b3e1"},"content":[{"type":"paragraph","content":[{"type":"text","text":"Ticket ID","marks":[{"type":"strong"}]}]}]},{"type":"tableCell","attrs":{"colspan":2,"background":"#44b3e1"},"content":[{"type":"paragraph","content":[{"type":"text","text":"UCW-33027","marks":[{"type":"strong"}]}]}]}]},{"type":"tableRow","content":[{"type":"tableCell","attrs":{"background":"#44b3e1"},"content":[{"type":"paragraph","content":[{"type":"text","text":"Brand Name","marks":[{"type":"strong"}]}]}]},{"type":"tableCell","attrs":{"colspan":2,"background":"#44b3e1"},"content":[{"type":"paragraph","content":[{"type":"text","text":"Loreal Pari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type":"tableCell","attrs":{"background":"white"},"content":[{"type":"paragraph","content":[{"type":"text","text":"6"}]}]}]},{"type":"tableRow","content":[{"type":"tableCell","attrs":{"background":"white"},"content":[{"type":"paragraph","content":[{"type":"text","text":"Uploaded"}]}]},{"type":"tableCell","attrs":{"background":"white"},"content":[{"type":"paragraph","content":[{"type":"text","text":"6"}]}]},{"type":"tableCell","attrs":{"background":"white"},"content":[{"type":"paragraph","content":[{"type":"text","text":"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type":"tableCell","attrs":{"background":"white"},"content":[{"type":"paragraph","content":[{"type":"text","text":"6"}]}]}]},{"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</si>
  <si>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:06/18/2026 &lt;Ticket picked for pre processing Option 3 Sku 3&gt; &lt;Tania&gt;|
|Date :06/18/2026 &lt;Ticket picked for Production and QC review Option 3 Sku 3&gt; &lt;Tania&gt;|;Analysis Shared - Date :06/18/2026 &lt;Analysis Shared Processed Options 3 Rejected Options 0 Rejected Reason Certificate issue&gt; &lt;Moumita&gt;;Image deliver - Date :06/18/2026 &lt;Images Delivered Processed Options 3 Rejected Options 0&gt; &lt;Moumita&gt;;Date :06/19/2026 &lt;Ticket has been successfully uploaded in our system. SKU 3&gt; &lt;Tania&gt;;*We have successfully uploaded this batch. Please find the attached summary sheet and summary report.*[^UCW-33025.zip] [^UCW-33025_Post Upload Status.xlsx] ;[^UCW-33025.xlsx]
Hi [@Kunal Pandey|mailto:kunal.pandey@vlccgroup.com],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c0d94d1-483f-4010-96d3-799aa424602b"},"content":[{"type":"tableRow","content":[{"type":"tableCell","attrs":{"background":"#44b3e1"},"content":[{"type":"paragraph","content":[{"type":"text","text":"Ticket ID","marks":[{"type":"strong"}]}]}]},{"type":"tableCell","attrs":{"colspan":2,"background":"#44b3e1"},"content":[{"type":"paragraph","content":[{"type":"text","text":"UCW-33025","marks":[{"type":"strong"}]}]}]}]},{"type":"tableRow","content":[{"type":"tableCell","attrs":{"background":"#44b3e1"},"content":[{"type":"paragraph","content":[{"type":"text","text":"Brand Name","marks":[{"type":"strong"}]}]}]},{"type":"tableCell","attrs":{"colspan":2,"background":"#44b3e1"},"content":[{"type":"paragraph","content":[{"type":"text","text":"VLCC","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type":"tableCell","attrs":{"background":"white"},"content":[{"type":"paragraph","content":[{"type":"text","text":"3"}]}]}]},{"type":"tableRow","content":[{"type":"tableCell","attrs":{"background":"white"},"content":[{"type":"paragraph","content":[{"type":"text","text":"Uploaded"}]}]},{"type":"tableCell","attrs":{"background":"white"},"content":[{"type":"paragraph","content":[{"type":"text","text":"3"}]}]},{"type":"tableCell","attrs":{"background":"white"},"content":[{"type":"paragraph","content":[{"type":"text","text":"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type":"tableCell","attrs":{"background":"white"},"content":[{"type":"paragraph","content":[{"type":"text","text":"3"}]}]}]},{"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</si>
  <si>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Eze Perfume</t>
  </si>
  <si>
    <t>Date :06/18/2026 &lt;Ticket picked for pre processing Option 55  Sku 55&gt; &lt;Tania&gt;;Analysis Shared - Date :06/18/2026 &lt;Analysis Shared Processed Options 55 Rejected Options 13 Rejected Reason multiple issue&gt; &lt;Moumita&gt;;Date :06/18/2026 &lt;Pre Processing query to Brand &lt;Shelf Life Missing, Title Mismatch, Notes are Missing, Image Analysis and Certificate Query&gt;&gt; &lt;Tania&gt;;Date :06/19/2026 &lt; Pre Processing query to Brand 1st Follow Up&gt; &lt;Tania&gt;;Image deliver - Date :06/19/2026 &lt;Images Delivered Processed Options 55 Rejected Options 0 &gt; &lt;Moumita&gt;;Date :06/19/2026 &lt;Ticket has been successfully uploaded in our system. SKU 55&gt; &lt;Tania&gt;;*We have successfully uploaded this batch. Please find the attached summary sheet and summary report.*[^UCW-33021.zip] [^UCW-33021_Post Upload Status.xlsx] ;[^UCW-33021.xlsx]
Hi [@Pratik Singh|mailto:pratik_singh@bcplgroup.com],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effd82b-1f91-47bc-8472-c8b5b6a796f4"},"content":[{"type":"tableRow","content":[{"type":"tableCell","attrs":{"background":"#44b3e1"},"content":[{"type":"paragraph","content":[{"type":"text","text":"Ticket ID","marks":[{"type":"strong"}]}]}]},{"type":"tableCell","attrs":{"colspan":2,"background":"#44b3e1"},"content":[{"type":"paragraph","content":[{"type":"text","text":"UCW-33021","marks":[{"type":"strong"}]}]}]}]},{"type":"tableRow","content":[{"type":"tableCell","attrs":{"background":"#44b3e1"},"content":[{"type":"paragraph","content":[{"type":"text","text":"Brand Name","marks":[{"type":"strong"}]}]}]},{"type":"tableCell","attrs":{"colspan":2,"background":"#44b3e1"},"content":[{"type":"paragraph","content":[{"type":"text","text":"Eze Perfume","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55"}]}]},{"type":"tableCell","attrs":{"background":"white"},"content":[{"type":"paragraph","content":[{"type":"text","text":"55"}]}]}]},{"type":"tableRow","content":[{"type":"tableCell","attrs":{"background":"white"},"content":[{"type":"paragraph","content":[{"type":"text","text":"Uploaded"}]}]},{"type":"tableCell","attrs":{"background":"white"},"content":[{"type":"paragraph","content":[{"type":"text","text":"55"}]}]},{"type":"tableCell","attrs":{"background":"white"},"content":[{"type":"paragraph","content":[{"type":"text","text":"55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55"}]}]},{"type":"tableCell","attrs":{"background":"white"},"content":[{"type":"paragraph","content":[{"type":"text","text":"55"}]}]}]},{"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</si>
  <si>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:17-06-2026  &lt;Ticket picked for pre processing Option 134 Sku 1079&gt; &lt;Amandeep&gt;;Date :17-06-2026&lt;Pre Processing query to Brand &lt;COO, Size chart details confirmation&gt;&gt; &lt;Ankita&gt;;Analysis Shared - Date :06/17/2026 &lt;Analysis Shared Processed Options 134 Rejected Options 0 Rejected Reason NA&gt; &lt;Subhankar&gt;;Image deliver - Date :06/18/2026 &lt;Images Delivered Processed Options 134 Rejected Options 0&gt; &lt;Subhankar&gt;;Date :06-18-2026&lt;Ticket has been successfully uploaded in our system. Option 134 Sku 1079&gt; &lt;Agent Name&gt;[^Summary.zip] [^UCW-33020_Post Upload Status_V.2 (1).xlsx] ;[^UCW-33020.xlsx]
Hi [@Shreya Agarwal|mailto:shreya.agarwal@asics.com],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321b8a9-a176-426b-9dcd-706f241a0738"},"content":[{"type":"tableRow","content":[{"type":"tableCell","attrs":{"background":"#44b3e1"},"content":[{"type":"paragraph","content":[{"type":"text","text":"Ticket ID","marks":[{"type":"strong"}]}]}]},{"type":"tableCell","attrs":{"colspan":2,"background":"#44b3e1"},"content":[{"type":"paragraph","content":[{"type":"text","text":"UCW-33020","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1079"}]}]},{"type":"tableCell","attrs":{"background":"white"},"content":[{"type":"paragraph","content":[{"type":"text","text":"134"}]}]}]},{"type":"tableRow","content":[{"type":"tableCell","attrs":{"background":"white"},"content":[{"type":"paragraph","content":[{"type":"text","text":"Uploaded"}]}]},{"type":"tableCell","attrs":{"background":"white"},"content":[{"type":"paragraph","content":[{"type":"text","text":"1079"}]}]},{"type":"tableCell","attrs":{"background":"white"},"content":[{"type":"paragraph","content":[{"type":"text","text":"134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1078"}]}]},{"type":"tableCell","attrs":{"background":"white"},"content":[{"type":"paragraph","content":[{"type":"text","text":"134"}]}]}]},{"type":"tableRow","content":[{"type":"tableCell","attrs":{"background":"white"},"content":[{"type":"paragraph","content":[{"type":"text","text":"Stuck in SFA"}]}]},{"type":"tableCell","attrs":{"background":"white"},"content":[{"type":"paragraph","content":[{"type":"text","text":"1"}]}]},{"type":"tableCell","attrs":{"background":"white"},"content":[{"type":"paragraph","content":[{"type":"text","text":"0"}]}]}]}]}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</si>
  <si>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 17th Jun, 2026 This ticket has been picked for Pre-Processing and Image Analysis -Mousumi. 
Date : 17th Jun, 2026  Pre-processing Done ( Brand to QUeryPrice Brekup On PDP) -Mousumi.
Date : 17th Jun, 2026  resolution Received.
Date : 17th Jun, 2026  Production Done -Mousumi.
Date : 17th Jun, 2026  -Description Done -Khushnuma
Date : 17th Jun, 2026  Images Done-Saswati
Date : 17th Jun, 2026  QC &amp; Uploaded Done -Mousumi
PFA the Summary &amp; Post-Uploaded Sheet[^Summary.zip] [^UCW-33004 Post Upload Status_V.2 (1).xlsx] ;Analysis Shared - Date :06/17/2026 &lt;Analysis Shared Processed Options 18 Rejected Options 0 Rejected Reason XXX&gt; &lt;Saswati Dey&gt;;Image deliver - Date :06/17/2026 &lt;Images Delivered Processed Options 18 Rejected Options 0&gt; &lt;Saswati Dey&gt;;[^UCW-33004.xlsx]
Hi [@Marketplaces OrnateJewels|mailto:marketplaces@ornatejewels.com],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64cb7b81-a83d-46c0-9545-54ecee360346"},"content":[{"type":"tableRow","content":[{"type":"tableCell","attrs":{"background":"#44b3e1"},"content":[{"type":"paragraph","content":[{"type":"text","text":"Ticket ID","marks":[{"type":"strong"}]}]}]},{"type":"tableCell","attrs":{"colspan":2,"background":"#44b3e1"},"content":[{"type":"paragraph","content":[{"type":"text","text":"UCW-33004","marks":[{"type":"strong"}]}]}]}]},{"type":"tableRow","content":[{"type":"tableCell","attrs":{"background":"#44b3e1"},"content":[{"type":"paragraph","content":[{"type":"text","text":"Brand Name","marks":[{"type":"strong"}]}]}]},{"type":"tableCell","attrs":{"colspan":2,"background":"#44b3e1"},"content":[{"type":"paragraph","content":[{"type":"text","text":"Ornate Jewel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18"}]}]},{"type":"tableCell","attrs":{"background":"white"},"content":[{"type":"paragraph","content":[{"type":"text","text":"18"}]}]}]},{"type":"tableRow","content":[{"type":"tableCell","attrs":{"background":"white"},"content":[{"type":"paragraph","content":[{"type":"text","text":"Uploaded"}]}]},{"type":"tableCell","attrs":{"background":"white"},"content":[{"type":"paragraph","content":[{"type":"text","text":"18"}]}]},{"type":"tableCell","attrs":{"background":"white"},"content":[{"type":"paragraph","content":[{"type":"text","text":"18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18"}]}]},{"type":"tableCell","attrs":{"background":"white"},"content":[{"type":"paragraph","content":[{"type":"text","text":"18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</si>
  <si>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Touch925</t>
  </si>
  <si>
    <t xml:space="preserve">Date : 17th Jun, 2026 This ticket has been picked for Pre-Processing and Image Analysis -Mousumi. 
Date : 17th Jun, 2026 Pre-Processing Done ( Brand to Query for Chain Length , Warranty Tpe, Purity, Style COde, Association COde ,Price Breakup on PDP &amp; Invoice , Anklet Length , Metal &amp; Gross weight , gender confirmation) -Mousumi.
Date : 18th Jun, 2026  1st Followup Done. -Mousumi.
Date : 19th Jun, 2026  2nd Followup Done -Mousumi.
Date: 20th Jun, 2026 QC &amp; Uploaded Done -Mousumi.
PFA the Summary &amp; Post-uploaded sheet[^Summary.zip] [^UCW-33001 Post Upload Status_V.2 (1).xlsx] ;Analysis Shared - Date :06/17/2026 &lt;Analysis Shared Processed Options 38 Rejected Options 0 Rejected Reason XXX&gt; &lt;Saswati Dey&gt;;Image deliver - Date :06/17/2026 &lt;Images Delivered Processed Options 38 Rejected Options XXX&gt; &lt;Saswati Dey&gt;;Date : 18th Jun, 2026  1st Followup Done. -Mousumi.
Date : 19th Jun, 2026  2nd Followup Done -Mousumi.
Date : 19th Jun, 2026 Resolution has been received from the brand -Mousumi.
Date : 19th Jun, 2026 QC &amp; Uploaded WIP
</t>
  </si>
  <si>
    <t>Date : 17th Jun, 2026 This ticket has been picked for Pre-Processing and Image Analysis -Mousumi.
Date : 17th Jun, 2026 Pre-Processing Done ( No Queries)-Mousumi
Date : 17th Jun, 2026 Production Done-Mousumi
Date : 17th Jun, 2026 Description Done -Khushnuma
Date : 17th Jun, 2026 images Done -Moumita
Date : 17th Jun, 2026 QC &amp; Uploaded Done -Mousumi
PFA the Summary &amp; Post-Uploaded Sheet[^UCW-32999 Post Upload Status_V.2 (1).xlsx] [^Summary.zip] ;Image deliver - Date :06/17/2026 &lt;Images Delivered Processed Options 199 Rejected Options 0&gt; &lt;Moumita&gt;;[^UCW-32999.xlsx]
Hi [@Naveen Kumar|mailto:naveen.kumar@kushals.com],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5801aada-ca53-4a08-be1a-060c389310b1"},"content":[{"type":"tableRow","content":[{"type":"tableCell","attrs":{"background":"#44b3e1"},"content":[{"type":"paragraph","content":[{"type":"text","text":"Ticket ID","marks":[{"type":"strong"}]}]}]},{"type":"tableCell","attrs":{"colspan":2,"background":"#44b3e1"},"content":[{"type":"paragraph","content":[{"type":"text","text":"UCW-32999","marks":[{"type":"strong"}]}]}]}]},{"type":"tableRow","content":[{"type":"tableCell","attrs":{"background":"#44b3e1"},"content":[{"type":"paragraph","content":[{"type":"text","text":"Brand Name","marks":[{"type":"strong"}]}]}]},{"type":"tableCell","attrs":{"colspan":2,"background":"#44b3e1"},"content":[{"type":"paragraph","content":[{"type":"text","text":"Kushal's Fashion Jewellery","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199"}]}]},{"type":"tableCell","attrs":{"background":"white"},"content":[{"type":"paragraph","content":[{"type":"text","text":"199"}]}]}]},{"type":"tableRow","content":[{"type":"tableCell","attrs":{"background":"white"},"content":[{"type":"paragraph","content":[{"type":"text","text":"Uploaded"}]}]},{"type":"tableCell","attrs":{"background":"white"},"content":[{"type":"paragraph","content":[{"type":"text","text":"199"}]}]},{"type":"tableCell","attrs":{"background":"white"},"content":[{"type":"paragraph","content":[{"type":"text","text":"199"}]}]}]},{"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199"}]}]},{"type":"tableCell","attrs":{"background":"white"},"content":[{"type":"paragraph","content":[{"type":"text","text":"199"}]}]}]},{"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</si>
  <si>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Lumineve </t>
  </si>
  <si>
    <t>|Date :06/17/2026 &lt;Ticket picked for pre processing 10 SKU&gt; &lt;Tania&gt;|
|Date :06/17/2026 &lt;Pre Processing query to Brand &lt;Manufacturer with Packer Details, &amp; Skin Type, Image &amp; Certificate Query&gt;&gt; &lt;Tania&gt;|;Date :06/19/2026 &lt; Post Processing query to Brand &lt;Manufacturer Details &amp; Ingredients Details&gt;&gt; &lt;Tania&gt;;Image deliver - Date :06/19/2026 &lt;Images Delivered Processed Options 10 Rejected Options 0&gt; &lt;Moumita&gt;;Date :06/19/2026 &lt;Ticket has been successfully uploaded in our system. SKU 10&gt; &lt;Tania&gt;;*We have successfully uploaded this batch. Please find the attached summary sheet and summary report.*[^UCW-32992_Post Upload Status.xlsx] [^UCW-32992.zip] ;[^UCW-32992.xlsx]
Hi [@Nandini Soni|mailto:nandini.s@mamaearth.in],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e529d48-2dc4-4176-a7c8-32ffef3fba92"},"content":[{"type":"tableRow","content":[{"type":"tableCell","attrs":{"background":"#44b3e1"},"content":[{"type":"paragraph","content":[{"type":"text","text":"Ticket ID","marks":[{"type":"strong"}]}]}]},{"type":"tableCell","attrs":{"colspan":2,"background":"#44b3e1"},"content":[{"type":"paragraph","content":[{"type":"text","text":"UCW-32992","marks":[{"type":"strong"}]}]}]}]},{"type":"tableRow","content":[{"type":"tableCell","attrs":{"background":"#44b3e1"},"content":[{"type":"paragraph","content":[{"type":"text","text":"Brand Name","marks":[{"type":"strong"}]}]}]},{"type":"tableCell","attrs":{"colspan":2,"background":"#44b3e1"},"content":[{"type":"paragraph","content":[{"type":"text","text":"Lumineve","marks":[{"type":"strong"}]}]}]}]},{"type":"tableRow","content":[{"type":"tableCell","attrs":{"background":"#44b3e1"},"content":[{"type":"paragraph","content":[{"type":"text","text":"Platform","marks":[{"type":"strong"}]}]}]},{"type":"tableCell","attrs":{"colspan":2,"background":"#44b3e1"},"content":[{"type":"paragraph","content":[{"type":"text","text":"Mall,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10"}]}]},{"type":"tableCell","attrs":{"background":"white"},"content":[{"type":"paragraph","content":[{"type":"text","text":"10"}]}]}]},{"type":"tableRow","content":[{"type":"tableCell","attrs":{"background":"white"},"content":[{"type":"paragraph","content":[{"type":"text","text":"Uploaded"}]}]},{"type":"tableCell","attrs":{"background":"white"},"content":[{"type":"paragraph","content":[{"type":"text","text":"10"}]}]},{"type":"tableCell","attrs":{"background":"white"},"content":[{"type":"paragraph","content":[{"type":"text","text":"10"}]}]}]},{"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10"}]}]},{"type":"tableCell","attrs":{"background":"white"},"content":[{"type":"paragraph","content":[{"type":"text","text":"10"}]}]}]},{"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</si>
  <si>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:06/17/2026 &lt;Ticket picked for pre processing Option 17 Sku 17&gt; &lt;Anjalita&gt;;Date :06/17/2026 &lt;Pre Processing query to Brand &lt;Image analysis shared&gt;&gt; &lt;Anjalita&gt;;Date :06/18/2026 &lt;Pre Processing query to Brand 2nd Follow Up&lt;Image analysis shared&gt;&gt; &lt;Anjalita&gt;;* Date :06/19/2026 &lt;Ticket picked for pre processing Option 17 Sku 17&gt; &lt;Anjalita&gt;
** ;* Date :06/20/2026 &lt;Pre Processing query to Brand &lt;Image analysis shared&gt;&gt; &lt;Anjalita&gt;
** 
* ;{adf:display=block}
{"type":"table","attrs":{"isNumberColumnEnabled":false,"layout":"center","localId":"3dc7d97d-6976-4b32-900a-877cacd8ccb5"},"content":[{"type":"tableRow","content":[{"type":"tableCell","attrs":{},"content":[{"type":"paragraph","content":[{"type":"text","text":"Ticket ID"}]}]},{"type":"tableCell","attrs":{"colspan":2},"content":[{"type":"paragraph","content":[{"type":"text","text":"UCW-32990"}]}]}]},{"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17"}]}]},{"type":"tableCell","attrs":{},"content":[{"type":"paragraph","content":[{"type":"text","text":"17"}]}]}]},{"type":"tableRow","content":[{"type":"tableCell","attrs":{},"content":[{"type":"paragraph","content":[{"type":"text","text":"Successfully Retriggered"}]}]},{"type":"tableCell","attrs":{},"content":[{"type":"paragraph","content":[{"type":"text","text":"14"}]}]},{"type":"tableCell","attrs":{},"content":[{"type":"paragraph","content":[{"type":"text","text":"14"}]}]}]},{"type":"tableRow","content":[{"type":"tableCell","attrs":{},"content":[{"type":"paragraph","content":[{"type":"text","text":"Image Analysis shared"}]}]},{"type":"tableCell","attrs":{},"content":[{"type":"paragraph","content":[{"type":"text","text":"2"}]}]},{"type":"tableCell","attrs":{},"content":[{"type":"paragraph","content":[{"type":"text","text":"2"}]}]}]},{"type":"tableRow","content":[{"type":"tableCell","attrs":{},"content":[{"type":"paragraph","content":[{"type":"text","text":"Duplicate SKU"}]}]},{"type":"tableCell","attrs":{},"content":[{"type":"paragraph","content":[{"type":"text","text":"1"}]}]},{"type":"tableCell","attrs":{},"content":[{"type":"paragraph","content":[{"type":"text","text":"1"}]}]}]}]}
{adf}</t>
  </si>
  <si>
    <t>Date :06/17/2026 &lt;Brand name added in LOV proceeding with upload Option 5 Sku 5&gt; &lt;Amandeep&gt;;Date :06/17/2026 &lt;Ticket has been successfully uploaded in our system. Option 5 Sku 5&gt; &lt;Amandeep&gt;[^UCW-32986_Post Upload Status.xlsx] [^Summaary.zip] ;[^UCW-32986.xlsx]
Hi Team,
Please find the attached file for your reference, along with the summary table below.
{color:#ffffff}__{color}
{adf:display=block}
{"type":"table","attrs":{"isNumberColumnEnabled":false,"layout":"center","localId":"9a9144d2-3a66-4903-9b41-e3afed1676a9"},"content":[{"type":"tableRow","content":[{"type":"tableCell","attrs":{"background":"#44b3e1"},"content":[{"type":"paragraph","content":[{"type":"text","text":"Ticket ID","marks":[{"type":"strong"}]}]}]},{"type":"tableCell","attrs":{"colspan":2,"background":"#44b3e1"},"content":[{"type":"paragraph","content":[{"type":"text","text":"UCW-32986","marks":[{"type":"strong"}]}]}]}]},{"type":"tableRow","content":[{"type":"tableCell","attrs":{"background":"#44b3e1"},"content":[{"type":"paragraph","content":[{"type":"text","text":"Brand Name","marks":[{"type":"strong"}]}]}]},{"type":"tableCell","attrs":{"colspan":2,"background":"#44b3e1"},"content":[{"type":"paragraph","content":[{"type":"text","text":"Soma Essential","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type":"tableCell","attrs":{"background":"white"},"content":[{"type":"paragraph","content":[{"type":"text","text":"5"}]}]}]},{"type":"tableRow","content":[{"type":"tableCell","attrs":{"background":"white"},"content":[{"type":"paragraph","content":[{"type":"text","text":"Uploaded"}]}]},{"type":"tableCell","attrs":{"background":"white"},"content":[{"type":"paragraph","content":[{"type":"text","text":"5"}]}]},{"type":"tableCell","attrs":{"background":"white"},"content":[{"type":"paragraph","content":[{"type":"text","text":"5"}]}]}]},{"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0"}]}]},{"type":"tableCell","attrs":{"background":"white"},"content":[{"type":"paragraph","content":[{"type":"text","text":"0"}]}]}]},{"type":"tableRow","content":[{"type":"tableCell","attrs":{"background":"white"},"content":[{"type":"paragraph","content":[{"type":"text","text":"Stuck in Pending for commission"}]}]},{"type":"tableCell","attrs":{"background":"white"},"content":[{"type":"paragraph","content":[{"type":"text","text":"5"}]}]},{"type":"tableCell","attrs":{"background":"white"},"content":[{"type":"paragraph","content":[{"type":"text","text":"5"}]}]}]}]}
{adf}
All the SKUs have been uploaded successfully and are currently stuck in the Pending for Commission stage. No further action is required from our end, and the case needs to be taken up by the respective team for commission approval.
With this, we are closing this request from our end.
Thank you for your patience, support, and cooperation throughout the process. Your brand is important to us, and we look forward to assisting you again.
Regards,
Team Netscribes</t>
  </si>
  <si>
    <t>Adidas, Frank Oliver</t>
  </si>
  <si>
    <t>Image deliver - Date :06/17/2026 &lt;Images Delivered Processed Options 14 Rejected Options 0&gt; &lt;Moumita&gt;;Date :06/18/2026 &lt;Ticket has been successfully uploaded in our system. Option 14 Sku 14&gt; &lt;Anjalita&gt;;[^UCW-32975.xlsx]
Hi [@Naushaba Ansari|mailto:naushaba_ansari@bcplgroup.com],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6932d570-009b-494b-be13-e75a69b6330c"},"content":[{"type":"tableRow","content":[{"type":"tableCell","attrs":{"background":"#44b3e1"},"content":[{"type":"paragraph","content":[{"type":"text","text":"Ticket ID","marks":[{"type":"strong"}]}]}]},{"type":"tableCell","attrs":{"colspan":2,"background":"#44b3e1"},"content":[{"type":"paragraph","content":[{"type":"text","text":"UCW-32975","marks":[{"type":"strong"}]}]}]}]},{"type":"tableRow","content":[{"type":"tableCell","attrs":{"background":"#44b3e1"},"content":[{"type":"paragraph","content":[{"type":"text","text":"Brand Name","marks":[{"type":"strong"}]}]}]},{"type":"tableCell","attrs":{"colspan":2,"background":"#44b3e1"},"content":[{"type":"paragraph","content":[{"type":"text","text":"Adidas, Frank Oliver","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14"}]}]},{"type":"tableCell","attrs":{"background":"white"},"content":[{"type":"paragraph","content":[{"type":"text","text":"14"}]}]}]},{"type":"tableRow","content":[{"type":"tableCell","attrs":{"background":"white"},"content":[{"type":"paragraph","content":[{"type":"text","text":"Uploaded"}]}]},{"type":"tableCell","attrs":{"background":"white"},"content":[{"type":"paragraph","content":[{"type":"text","text":"14"}]}]},{"type":"tableCell","attrs":{"background":"white"},"content":[{"type":"paragraph","content":[{"type":"text","text":"14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14"}]}]},{"type":"tableCell","attrs":{"background":"white"},"content":[{"type":"paragraph","content":[{"type":"text","text":"14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</si>
  <si>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Decathlon</t>
  </si>
  <si>
    <t>Data dump received from Brand on 26th Nov. We will share our post processing file after doing the analysis.;All the queries are not resolved yet. Query shared with the brand.;2nd Brand follow-up mail done on 9th Dec’24;Womens apparel part uploaded.
[^Decathlan_Post Upload Status_V.1.xlsx] [^summary.zip] ;PFA post-upload status for Kids Apparel. [^Summary.zip] [^Post Upload Status_V.1 (6030bdfa-f557-4dfc-81ea-391e2253e174).xlsx] ;Hi Team ,
PFA the Summary File &amp; Post Upload Status for *Accessories Category.*
[^Summary_Lot-1.zip]
[^Summary_Lot-2.zip]
[^Post Upload Status_V.1 (730e081a-8390-4b8c-8b1f-4ac8c499881e).xlsx]
;All the LIDs are generated for the category accessories
[^Post Upload Status_V.1 (7).xlsx]
;Hi Team,
PFA the post processing file for Footwear and Equipment Category
[^Post Upload Status_Footwear and Equipment.xlsx] ;[^UCW-4146.xlsx]
PFA LID;[^UCW-4146_Women's.xlsx]
PFA LID Womens Apparel;[^UCW-4146_Kids Apparel.xlsx]
|PARTICULARS|No of LIDs|
|Total LIDs to be Shared|1340|
|LIDs Generated|1340|
|LIDs Stuck in the System|0|
Kids Apparel;[^UCW-4146 (ec7afbe7-a158-4325-bea5-5245eac743b7).xlsx]
PFA LID
Accessories;Date :06/17/2026 &lt;Ticket picked for pre processing Option 1 Sku 6&gt; &lt;Anjalita&gt;;Reviewing the data;Image deliver - Date :07/12/2026 &lt;Images Delivered Processed Options 1 Rejected Options 0&gt; &lt;Saswati Dey&gt;;Date :06/18/2026 &lt;Ticket has been successfully uploaded in our system. Option 1 Sku 6&gt; &lt;Anjalita&gt;;The changes have been successfully updated and are now reflecting on the PDP.</t>
  </si>
  <si>
    <t>Date :06/17/2026&lt;Ticket picked for pre processing Option 9 Sku 35&gt; &lt;Aman&gt;;Date :06/17/2026&lt;Pre Processing query to Brand &lt;less than 3 SKu in cluster&gt;&gt; &lt;Ankita&gt;;Image deliver - Date :06/17/2026 &lt;Images Delivered MP Processed Options 9 Rejected Options 0 LUX Processed Options 5 Rejected Options 0  &gt; &lt;Subhankar&gt;;Date :06/17/2026 &lt;Ticket has been successfully uploaded in our system. Option: 8  SKU: 35&gt; &lt;Ankita&gt;[^UCW-32968_Post Upload Status_V.2 (1).xlsx] [^Summary.zip] ;[^UCW-32968.xlsx]
Hi [@Shraddha Thorat|mailto:shraddha.thorat-ns@skechers.com],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25c07ff-9152-4252-b7e3-528e125f2f90"},"content":[{"type":"tableRow","content":[{"type":"tableCell","attrs":{"background":"#4d93d9"},"content":[{"type":"paragraph","content":[{"type":"text","text":"Ticket ID","marks":[{"type":"strong"}]}]}]},{"type":"tableCell","attrs":{"colspan":4,"background":"#4d93d9"},"content":[{"type":"paragraph","content":[{"type":"text","text":"UCW-32968","marks":[{"type":"strong"}]}]}]}]},{"type":"tableRow","content":[{"type":"tableCell","attrs":{"background":"#4d93d9"},"content":[{"type":"paragraph","content":[{"type":"text","text":"Brand Name","marks":[{"type":"strong"}]}]}]},{"type":"tableCell","attrs":{"colspan":4,"background":"#4d93d9"},"content":[{"type":"paragraph","content":[{"type":"text","text":"Skechers","marks":[{"type":"strong"}]}]}]}]},{"type":"tableRow","content":[{"type":"tableCell","attrs":{"background":"#ace5fe"},"content":[{"type":"paragraph","content":[{"type":"text","text":"Platform","marks":[{"type":"strong"}]}]}]},{"type":"tableCell","attrs":{"colspan":2,"background":"#ace5fe"},"content":[{"type":"paragraph","content":[{"type":"text","text":"Mall","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35"}]}]},{"type":"tableCell","attrs":{"background":"white"},"content":[{"type":"paragraph","content":[{"type":"text","text":"9"}]}]},{"type":"tableCell","attrs":{"background":"white"},"content":[{"type":"paragraph","content":[{"type":"text","text":"13"}]}]},{"type":"tableCell","attrs":{"background":"white"},"content":[{"type":"paragraph","content":[{"type":"text","text":"5"}]}]}]},{"type":"tableRow","content":[{"type":"tableCell","attrs":{"background":"white"},"content":[{"type":"paragraph","content":[{"type":"text","text":"Uploaded"}]}]},{"type":"tableCell","attrs":{"background":"white"},"content":[{"type":"paragraph","content":[{"type":"text","text":"34"}]}]},{"type":"tableCell","attrs":{"background":"white"},"content":[{"type":"paragraph","content":[{"type":"text","text":"8"}]}]},{"type":"tableCell","attrs":{"background":"white"},"content":[{"type":"paragraph","content":[{"type":"text","text":"12"}]}]},{"type":"tableCell","attrs":{"background":"white"},"content":[{"type":"paragraph","content":[{"type":"text","text":"4"}]}]}]},{"type":"tableRow","content":[{"type":"tableCell","attrs":{"background":"white"},"content":[{"type":"paragraph","content":[{"type":"text","text":"Not Uploaded (Already Listed)"}]}]},{"type":"tableCell","attrs":{"background":"white"},"content":[{"type":"paragraph","content":[{"type":"text","text":"1"}]}]},{"type":"tableCell","attrs":{"background":"white"},"content":[{"type":"paragraph","content":[{"type":"text","text":"1"}]}]},{"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34"}]}]},{"type":"tableCell","attrs":{"background":"white"},"content":[{"type":"paragraph","content":[{"type":"text","text":"8"}]}]},{"type":"tableCell","attrs":{"background":"white"},"content":[{"type":"paragraph","content":[{"type":"text","text":"12"}]}]},{"type":"tableCell","attrs":{"background":"white"},"content":[{"type":"paragraph","content":[{"type":"text","text":"4"}]}]}]},{"type":"tableRow","content":[{"type":"tableCell","attrs":{"background":"white"},"content":[{"type":"paragraph","content":[{"type":"text","text":"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</si>
  <si>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:06/17/2026 &lt;Ticket picked for pre processing Option 1 Sku 9&gt; &lt;Anjalita&gt;;Date :06/18/2026 &lt;Ticket has been successfully uploaded in our system. Option 1 Sku 13 &gt; &lt;Anjalita&gt;</t>
  </si>
  <si>
    <t>ABFRL brands</t>
  </si>
  <si>
    <t>We have re-triggered the images for the primary seller code. Please find the attached summary sheet for your reference.</t>
  </si>
  <si>
    <t>Date :06/17/2026 &lt;Ticket picked for pre processing Option 183 Sku 586 &gt; &lt;Amandeep&gt;;Date :06/17/2026 &lt;Pre Processing query to Brand &lt;
*Less than 3 SKUs in Cluster*
* *Sizes are Not Continuous*
* *Duplicate Sizes*
* *Images Not Present*&gt;&gt; &lt;Ishani&gt;;Date :06/17/2026 &lt;Ticket picked for Production and QC review Option 64 Sku 414&gt; &lt;Ishani&gt;;Date :06/18/2026 &lt; Pre Processing query to Brand 1st Follow Up&gt; &lt;Ishani&gt;;Date :06/19/2026 &lt; Pre Processing query to Brand 2nd Follow Up&gt; &lt;Ishani&gt;;Date :06/20/2026 &lt; Closing ticket for Brand not Responding 1st Follow Up 18th , 2nd Follow Up 19th, 3rd Follow up 20&gt; &lt;Ishani&gt;</t>
  </si>
  <si>
    <t>Date :06/17/2026 &lt;Upon reviewing the highlighted SKU, we found that it was not processed by our team and is already listed in the system. As a result, we do not have any related data or activity details for this SKU. Please find the attached post-upload sheet, which was previously shared in *Ticket UCW-32178*. We have already shared status with already listed and Mpcode previously for the batch. &gt; &lt;Debabrata&gt;</t>
  </si>
  <si>
    <t>Yufta</t>
  </si>
  <si>
    <t>* Date :06/17/2026  &lt;Ticket picked for pre processing Option 35  Sku 148&gt; &lt;Anwesha&gt;;Date :06/17/2026  &lt;Pre Processing query to Brand &lt;Fit &amp; size chart not available for a few SKUs&gt;&gt; &lt;Anwesha&gt; ;Analysis Shared - Date :06/17/2026 &lt;Analysis Shared Processed Options 34 Rejected Options 1 Rejected Reason XXX&gt; &lt;Saswati Dey&gt;;Image deliver - Date :06/17/2026 &lt;Images Delivered Processed Options 34 Rejected Options 1&gt; &lt;Saswati Dey&gt;;Date :06/18/2026 &lt; Pre Processing query to Brand 1st Follow Up&gt; &lt;Anwesha&gt;;Date :06/17/2026 &lt; Production and QC done [https://tatacliqhelpdesk.freshservice.com/support/tickets/219054|https://tatacliqhelpdesk.freshservice.com/support/tickets/219054] Size chart Creation_Yufta_UCW-32948_19-06-2026&gt; &lt;Anwesha&gt;;Image deliver - Date :06/19/2026 &lt;Images Delivered LOT 2 Processed Options 1 Rejected Options 0&gt; &lt;Saswati Dey&gt;</t>
  </si>
  <si>
    <t xml:space="preserve">Berrylicious </t>
  </si>
  <si>
    <t>Date :06/16/2026  &lt;Ticket picked for pre processing Option 102  Sku 457&gt; &lt;Anwesha&gt;;Date :06/16/2026  &lt;Pre Processing query to Brand &lt;Fit,Address,Global Identifier &amp; Mandatory Image Missing&gt;&gt; &lt;Anwesha&gt; ;Analysis Shared - Date :06/17/2026 &lt;Analysis Shared Processed Options 77 Rejected Options 4 Rejected Reason XXX&gt; &lt;Saswati Dey&gt;;Image deliver - Date :06/17/2026 &lt;Images Delivered Processed Options 77 Rejected Options 4&gt; &lt;Saswati Dey&gt;;Date :06/17/2026 &lt; Pre Processing query to Brand 1st Follow Up&gt; &lt;Anwesha&gt;;Date :06/18/2026 &lt; Pre Processing query to Brand 2nd Follow Up&gt; &lt;Anwesha&gt;;Date :06/20/2026 &lt; Closing ticket for Brand not Responding 1st Follow Up 17th , 2nd Follow Up 18th, 3rd Follow up 19th&gt; &lt;Anwesha&gt;</t>
  </si>
  <si>
    <t>Ascis</t>
  </si>
  <si>
    <t>Date :06/16/2026 &lt;Ticket picked for pre processing Option 2 Sku 14&gt; &lt;Ankita&gt;;Date :06/16/2026&lt;Pre Processing query to Brand &lt;Size chart Query&gt;&gt; &lt;Ankita&gt;;Date :06/16/2026&lt;Ticket has been successfully uploaded in our system. Option 2 Sku 14&gt; &lt;Ankita&gt;;[^UCW-32933.xlsx]
Hi [@Shreya Agarwal|mailto:shreya.agarwal@asics.com],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96fc5e19-8eb4-4671-b526-0164c44e04a2"},"content":[{"type":"tableRow","content":[{"type":"tableCell","attrs":{"background":"#44b3e1"},"content":[{"type":"paragraph","content":[{"type":"text","text":"Ticket ID","marks":[{"type":"strong"}]}]}]},{"type":"tableCell","attrs":{"colspan":2,"background":"#44b3e1"},"content":[{"type":"paragraph","content":[{"type":"text","text":"UCW-32933","marks":[{"type":"strong"}]}]}]}]},{"type":"tableRow","content":[{"type":"tableCell","attrs":{"background":"#44b3e1"},"content":[{"type":"paragraph","content":[{"type":"text","text":"Brand Name","marks":[{"type":"strong"}]}]}]},{"type":"tableCell","attrs":{"colspan":2,"background":"#44b3e1"},"content":[{"type":"paragraph","content":[{"type":"text","text":"Asci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14"}]}]},{"type":"tableCell","attrs":{"background":"white"},"content":[{"type":"paragraph","content":[{"type":"text","text":"2"}]}]}]},{"type":"tableRow","content":[{"type":"tableCell","attrs":{"background":"white"},"content":[{"type":"paragraph","content":[{"type":"text","text":"Uploaded"}]}]},{"type":"tableCell","attrs":{"background":"white"},"content":[{"type":"paragraph","content":[{"type":"text","text":"14"}]}]},{"type":"tableCell","attrs":{"background":"white"},"content":[{"type":"paragraph","content":[{"type":"text","text":"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14"}]}]},{"type":"tableCell","attrs":{"background":"white"},"content":[{"type":"paragraph","content":[{"type":"text","text":"2"}]}]}]},{"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</si>
  <si>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:06/16/2026 &lt;Ticket picked for pre processing Option 1 Sku 1&gt; &lt;Anjalita&gt;;Date :06/16/2026 &lt;Ticket has been successfully uploaded in our system. Option 1 Sku 1&gt; &lt;Anjalita&gt;;Images are reflecting</t>
  </si>
  <si>
    <t>Date : 16th Jun, 2026 This ticket has been picked for Pre-Processing and Image Analysis. Mousumi.
Date : 16th Jun, 2026 Pre-Processing Done (Brand to Query For Chian Length &amp; EAN Values). -Mousumi.
Date : 17th Jun, 2026 Production Done -Mousumi
Date : 17th Jun, 2026 Images Done -Moumita
Date : 17th Jun, 2026 Description Done -Khushnuma
Date : 17th Jun, 2026 QC &amp; Uploade Done -Mousumi.
PFA the Summary &amp; Post-Uploaded Sheet[^Summary.zip] [^UCW-32929 Post Upload Status_V.2 (1).xlsx] ;Image deliver - Date :06/17/2026 &lt;Images Delivered Processed Options 231 Rejected Options 0 &gt; &lt;Moumita&gt;;[^UCW-32929.xlsx]
Hi [@Naveen Kumar|mailto:naveen.kumar@kushals.com],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af9c8e4-a7e3-4673-89fc-7cf8af53d196"},"content":[{"type":"tableRow","content":[{"type":"tableCell","attrs":{"background":"#44b3e1"},"content":[{"type":"paragraph","content":[{"type":"text","text":"Ticket ID","marks":[{"type":"strong"}]}]}]},{"type":"tableCell","attrs":{"colspan":2,"background":"#44b3e1"},"content":[{"type":"paragraph","content":[{"type":"text","text":"UCW-32929","marks":[{"type":"strong"}]}]}]}]},{"type":"tableRow","content":[{"type":"tableCell","attrs":{"background":"#44b3e1"},"content":[{"type":"paragraph","content":[{"type":"text","text":"Brand Name","marks":[{"type":"strong"}]}]}]},{"type":"tableCell","attrs":{"colspan":2,"background":"#44b3e1"},"content":[{"type":"paragraph","content":[{"type":"text","text":"Kushal's Fashion Jewellery","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231"}]}]},{"type":"tableCell","attrs":{"background":"white"},"content":[{"type":"paragraph","content":[{"type":"text","text":"231"}]}]}]},{"type":"tableRow","content":[{"type":"tableCell","attrs":{"background":"white"},"content":[{"type":"paragraph","content":[{"type":"text","text":"Uploaded"}]}]},{"type":"tableCell","attrs":{"background":"white"},"content":[{"type":"paragraph","content":[{"type":"text","text":"231"}]}]},{"type":"tableCell","attrs":{"background":"white"},"content":[{"type":"paragraph","content":[{"type":"text","text":"231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231"}]}]},{"type":"tableCell","attrs":{"background":"white"},"content":[{"type":"paragraph","content":[{"type":"text","text":"231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</si>
  <si>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Rihi by P.C. Chandra Jewellers</t>
  </si>
  <si>
    <t>Analysis Shared - Date :06/16/2026 &lt;Analysis Shared Processed Options 21 Rejected Options 0 &gt; &lt;Moumita&gt;;Image deliver - Date :06/16/2026 &lt;Images Delivered Processed Options 21 Rejected Options 0&gt; &lt;Moumita&gt;;Date : 16th Jun, 2026 Pre-Processing Done ( No Query)-Mousumi.
Date : 16th Jun, 2026 Production Done -Mousumi.
Date : 16th Jun, 2026 Images Done - Moumita.
Date : 16th Jun, 2026 Description Done Khushnuma
Date : 16th Jun, 2026 QC &amp; Uploaded Done-Mousumi.
PFA the Summary &amp; Post-Uploaded sheet[^Summary.zip] [^UCW-32927 Post Upload Status_V.2 (1).xlsx] ;Image deliver - Date :06/16/2026 &lt;Images Delivered Processed Options 1 Rejected Options 0&gt; &lt;Moumita&gt;;[^UCW-32927.xlsx]
Hi [@PCC Rihi|mailto:rihi@pcchandraindia.com],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2e2c8e3-27e2-42bc-97ae-05d8b7332ffc"},"content":[{"type":"tableRow","content":[{"type":"tableCell","attrs":{"background":"#44b3e1"},"content":[{"type":"paragraph","content":[{"type":"text","text":"Ticket ID","marks":[{"type":"strong"}]}]}]},{"type":"tableCell","attrs":{"colspan":2,"background":"#44b3e1"},"content":[{"type":"paragraph","content":[{"type":"text","text":"UCW-32927","marks":[{"type":"strong"}]}]}]}]},{"type":"tableRow","content":[{"type":"tableCell","attrs":{"background":"#44b3e1"},"content":[{"type":"paragraph","content":[{"type":"text","text":"Brand Name","marks":[{"type":"strong"}]}]}]},{"type":"tableCell","attrs":{"colspan":2,"background":"#44b3e1"},"content":[{"type":"paragraph","content":[{"type":"text","text":"Rihi by P.C. Chandra Jeweller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21"}]}]},{"type":"tableCell","attrs":{"background":"white"},"content":[{"type":"paragraph","content":[{"type":"text","text":"21"}]}]}]},{"type":"tableRow","content":[{"type":"tableCell","attrs":{"background":"white"},"content":[{"type":"paragraph","content":[{"type":"text","text":"Uploaded"}]}]},{"type":"tableCell","attrs":{"background":"white"},"content":[{"type":"paragraph","content":[{"type":"text","text":"21"}]}]},{"type":"tableCell","attrs":{"background":"white"},"content":[{"type":"paragraph","content":[{"type":"text","text":"21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21"}]}]},{"type":"tableCell","attrs":{"background":"white"},"content":[{"type":"paragraph","content":[{"type":"text","text":"21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</si>
  <si>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Sora Dora</t>
  </si>
  <si>
    <t>Analysis Shared - Date :06/16/2026 &lt;Analysis Shared Processed Options 11 Rejected Options 5 Rejected Reason multiple issue&gt; &lt;Moumita&gt;;|Date :06/16/2026&lt;Ticket picked for pre processing SKU 11&gt; &lt;Tania&gt;|
|Date :06/16/2026 &lt;Pre Processing query to Brand &lt;Manufacturer, Importer, Packer Details missing &amp; image analysis&gt;&gt; &lt;Tania&gt;|;Date :06/17/2026 &lt; Pre Processing query to Brand 1st Follow Up&gt; &lt;Tania&gt;;Image deliver - Date :06/17/2026 &lt;Images Delivered Processed Options 11 Rejected Options 0 &lt;Moumita&gt;;Date :06/17/2026 &lt;Ticket picked for Production and QC review SKU 11&gt; &lt;Tania&gt;;Date :06/19/2026 &lt;Production and QC done awaiting brand LOV addition SKU 11&gt; &lt;Tania&gt;</t>
  </si>
  <si>
    <t>[^UCW-32912_Post Upload Status_V.2 (1).xlsx]
[^Summary.zip]
Date :6/16/2026 &lt;Ticket has been successfully uploaded in our system. Option 1 Sku 1 &gt; &lt;Piyali Bose &gt;;[^UCW-32912.xlsx]
Hi [@DALAL, ABHISHEK|mailto:ADalal@kenvue.com],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179e258c-bfbc-451e-b439-27d16c26095e"},"content":[{"type":"tableRow","content":[{"type":"tableCell","attrs":{"background":"#44b3e1"},"content":[{"type":"paragraph","content":[{"type":"text","text":"Ticket ID","marks":[{"type":"strong"}]}]}]},{"type":"tableCell","attrs":{"colspan":2,"background":"#44b3e1"},"content":[{"type":"paragraph","content":[{"type":"text","text":"UCW-32912","marks":[{"type":"strong"}]}]}]}]},{"type":"tableRow","content":[{"type":"tableCell","attrs":{"background":"#44b3e1"},"content":[{"type":"paragraph","content":[{"type":"text","text":"Brand Name","marks":[{"type":"strong"}]}]}]},{"type":"tableCell","attrs":{"colspan":2,"background":"#44b3e1"},"content":[{"type":"paragraph","content":[{"type":"text","text":"Neutrogen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</si>
  <si>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:06/16/2026 &lt;Ticket picked for pre processing Option 4 Sku 4&gt; &lt;Anjalita&gt;;Image deliver - Date :06/16/2026 &lt;Images Delivered Processed Options 4 Rejected Options 0&gt; &lt;Moumita&gt;;Date :06/15/2026 &lt;Ticket has been successfully uploaded in our system. Option 4 Sku 4&gt; &lt;Anjalita&gt;;Images are reflecting</t>
  </si>
  <si>
    <t xml:space="preserve">Skinn by Titan </t>
  </si>
  <si>
    <t>Date :06/16/2026  &lt;Ticket picked for pre processing Option 11 Sku 11&gt; &lt;Anjalita&gt;;Image deliver - Date :06/16/2026 &lt;Images Delivered Processed Options 11 Rejected Options 0&gt; &lt;Moumita&gt;;Date :06/16/2026  &lt;Pre Processing query to Brand &lt;COO and Ingredients Needed&gt;&gt; &lt;Anjalita&gt; ;Date :06/17/2026 &lt;Ticket has been successfully uploaded in our system. Option 11 Sku 11&gt; &lt;Anjalita&gt;;{adf:display=block}
{"type":"table","attrs":{"isNumberColumnEnabled":false,"layout":"center","localId":"30392ef6-921d-4c4e-8c72-64322f4ab13c"},"content":[{"type":"tableRow","content":[{"type":"tableCell","attrs":{},"content":[{"type":"paragraph","content":[{"type":"text","text":"Ticket ID"}]}]},{"type":"tableCell","attrs":{"colspan":2},"content":[{"type":"paragraph","content":[{"type":"text","text":"UCW-32906"}]}]}]},{"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11"}]}]},{"type":"tableCell","attrs":{},"content":[{"type":"paragraph","content":[{"type":"text","text":"11"}]}]}]},{"type":"tableRow","content":[{"type":"tableCell","attrs":{},"content":[{"type":"paragraph","content":[{"type":"text","text":"Successfully Retriggered"}]}]},{"type":"tableCell","attrs":{},"content":[{"type":"paragraph","content":[{"type":"text","text":"11"}]}]},{"type":"tableCell","attrs":{},"content":[{"type":"paragraph","content":[{"type":"text","text":"11"}]}]}]},{"type":"tableRow","content":[{"type":"tableCell","attrs":{},"content":[{"type":"paragraph","content":[{"type":"text","text":"LID generated"}]}]},{"type":"tableCell","attrs":{},"content":[{"type":"paragraph","content":[{"type":"text","text":"11"}]}]},{"type":"tableCell","attrs":{},"content":[{"type":"paragraph","content":[{"type":"text","text":"11"}]}]}]}]}
{adf}</t>
  </si>
  <si>
    <t>Jovoy</t>
  </si>
  <si>
    <t>Analysis Shared - Date :06/16/2026 &lt;Analysis Shared Processed Options 11 Rejected Options 11 Rejected Reason less than 5 images &gt; &lt;Moumita&gt;;|Date :06/16/2026 &lt;Ticket picked for pre processing SKU 11&gt; &lt;Tania&gt;|
|Date :06/16/2026&lt;Pre Processing query to Brand &lt;Image Analysis&gt;&gt; &lt;Tania&gt;|;Image deliver - Date :06/16/2026 &lt;Images Delivered Processed Options 11 Rejected Options 0&gt; &lt;Moumita&gt;;Date :06/16/2026 &lt;Ticket picked for Production and QC review SKU 11&gt; &lt;Tania&gt;;[^UCW-32905_Post Upload Status_V.2 (1).xlsx]
[^Summary.zip]
Date : 6/17/2026 &lt;Ticket has been successfully uploaded in our system. Option 11 Sku 11 &gt; &lt;Piyali&gt;;[^UCW-32905.xlsx]
Hi [@E-Commerce Mirasimo|mailto:ecommerce@mirasimofragrances.com],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a49d318-0f50-44a1-bf84-8f43433bb2c8"},"content":[{"type":"tableRow","content":[{"type":"tableCell","attrs":{"background":"#44b3e1"},"content":[{"type":"paragraph","content":[{"type":"text","text":"Ticket ID","marks":[{"type":"strong"}]}]}]},{"type":"tableCell","attrs":{"colspan":2,"background":"#44b3e1"},"content":[{"type":"paragraph","content":[{"type":"text","text":"UCW-32905","marks":[{"type":"strong"}]}]}]}]},{"type":"tableRow","content":[{"type":"tableCell","attrs":{"background":"#44b3e1"},"content":[{"type":"paragraph","content":[{"type":"text","text":"Brand Name","marks":[{"type":"strong"}]}]}]},{"type":"tableCell","attrs":{"colspan":2,"background":"#44b3e1"},"content":[{"type":"paragraph","content":[{"type":"text","text":"Jovoy","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11"}]}]},{"type":"tableCell","attrs":{"background":"white"},"content":[{"type":"paragraph","content":[{"type":"text","text":"11"}]}]}]},{"type":"tableRow","content":[{"type":"tableCell","attrs":{"background":"white"},"content":[{"type":"paragraph","content":[{"type":"text","text":"Uploaded"}]}]},{"type":"tableCell","attrs":{"background":"white"},"content":[{"type":"paragraph","content":[{"type":"text","text":"11"}]}]},{"type":"tableCell","attrs":{"background":"white"},"content":[{"type":"paragraph","content":[{"type":"text","text":"11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11"}]}]},{"type":"tableCell","attrs":{"background":"white"},"content":[{"type":"paragraph","content":[{"type":"text","text":"11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</si>
  <si>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As discussed, we noticed that the same work was assigned twice under different tickets. We have already worked on UCW-32901 and waiting for PCM summary, so we are proceeding to close the clone ticket, UCW-32902.</t>
  </si>
  <si>
    <t>We have uploaded this batch for both platforms. PFA the summary &amp; post-production sheet for your reference.
*Note:* L1 to L4 is not available for “HOME &gt; Health &amp; Fitness &gt; Health &amp; Wellness &gt; Water Bottles” Kindly add the same we can upload the same.
[^Summary_125273_LUX.zip] [^Post Upload Status_UCW-22735_LUX.xlsx] [^Post Upload Status_UCW-22735_MP.xlsx] [^Summary_125236_MP.zip] 
;Please find attached the sheet, where 90 &amp; 91 options have been listed for both Luxury &amp; Marketplace platform.
 Kindly update the price and inventory, and share the summary once completed.
{adf:display=block}
{"type":"table","attrs":{"isNumberColumnEnabled":false,"layout":"center","localId":"e284b70a-9a8b-49b8-9ebc-795f490afb7d"},"content":[{"type":"tableRow","content":[{"type":"tableCell","attrs":{"background":"#44b3e1"},"content":[{"type":"paragraph","content":[{"type":"text","text":"Ticket ID","marks":[{"type":"strong"}]}]}]},{"type":"tableCell","attrs":{"background":"#44b3e1"},"content":[{"type":"paragraph","content":[{"type":"text","text":" ","marks":[{"type":"strong"}]}]}]},{"type":"tableCell","attrs":{"colspan":2,"background":"#44b3e1"},"content":[{"type":"paragraph","content":[{"type":"text","text":"UCW-22735","marks":[{"type":"strong"}]}]}]},{"type":"tableCell","attrs":{"background":"#44b3e1"},"content":[{"type":"paragraph","content":[{"type":"text","text":" ","marks":[{"type":"strong"}]}]}]}]},{"type":"tableRow","content":[{"type":"tableCell","attrs":{"background":"#44b3e1"},"content":[{"type":"paragraph","content":[{"type":"text","text":"Brand Name","marks":[{"type":"strong"}]}]}]},{"type":"tableCell","attrs":{"colspan":4,"background":"#44b3e1"},"content":[{"type":"paragraph","content":[{"type":"text","text":"adidas","marks":[{"type":"strong"}]}]}]}]},{"type":"tableRow","content":[{"type":"tableCell","attrs":{"background":"#ace5fe"},"content":[{"type":"paragraph","content":[{"type":"text","text":"Platform","marks":[{"type":"strong"}]}]}]},{"type":"tableCell","attrs":{"colspan":2,"background":"#ace5fe"},"content":[{"type":"paragraph","content":[{"type":"text","text":"Marketplace ","marks":[{"type":"strong"}]}]}]},{"type":"tableCell","attrs":{"colspan":2,"background":"#ace5fe"},"content":[{"type":"paragraph","content":[{"type":"text","text":"Luxury ","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341"}]}]},{"type":"tableCell","attrs":{"background":"white"},"content":[{"type":"paragraph","content":[{"type":"text","text":"91"}]}]},{"type":"tableCell","attrs":{"background":"white"},"content":[{"type":"paragraph","content":[{"type":"text","text":"341"}]}]},{"type":"tableCell","attrs":{"background":"white"},"content":[{"type":"paragraph","content":[{"type":"text","text":"91"}]}]}]},{"type":"tableRow","content":[{"type":"tableCell","attrs":{"background":"white"},"content":[{"type":"paragraph","content":[{"type":"text","text":"Uploaded"}]}]},{"type":"tableCell","attrs":{"background":"white"},"content":[{"type":"paragraph","content":[{"type":"text","text":"341"}]}]},{"type":"tableCell","attrs":{"background":"white"},"content":[{"type":"paragraph","content":[{"type":"text","text":"91"}]}]},{"type":"tableCell","attrs":{"background":"white"},"content":[{"type":"paragraph","content":[{"type":"text","text":"340"}]}]},{"type":"tableCell","attrs":{"background":"white"},"content":[{"type":"paragraph","content":[{"type":"text","text":"90"}]}]}]},{"type":"tableRow","content":[{"type":"tableCell","attrs":{"background":"white"},"content":[{"type":"paragraph","content":[{"type":"text","text":"Skus Not Uploaded(l4 issue)"}]}]},{"type":"tableCell","attrs":{"background":"white"},"content":[{"type":"paragraph","content":[{"type":"text","text":"0"}]}]},{"type":"tableCell","attrs":{"background":"white"},"content":[{"type":"paragraph","content":[{"type":"text","text":"0"}]}]},{"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340"}]}]},{"type":"tableCell","attrs":{"background":"white"},"content":[{"type":"paragraph","content":[{"type":"text","text":"91"}]}]},{"type":"tableCell","attrs":{"background":"white"},"content":[{"type":"paragraph","content":[{"type":"text","text":"340"}]}]},{"type":"tableCell","attrs":{"background":"white"},"content":[{"type":"paragraph","content":[{"type":"text","text":"90"}]}]}]},{"type":"tableRow","content":[{"type":"tableCell","attrs":{"background":"white"},"content":[{"type":"paragraph","content":[{"type":"text","text":"LIDs Stuck in the System"}]}]},{"type":"tableCell","attrs":{"background":"white"},"content":[{"type":"paragraph","content":[{"type":"text","text":"1"}]}]},{"type":"tableCell","attrs":{"background":"white"},"content":[{"type":"paragraph","content":[{"type":"text","text":"0"}]}]},{"type":"tableCell","attrs":{"background":"white"},"content":[{"type":"paragraph","content":[{"type":"text","text":"0"}]}]},{"type":"tableCell","attrs":{"background":"white"},"content":[{"type":"paragraph","content":[{"type":"text","text":"0"}]}]}]}]}
{adf}
1 sku is stuck in SFA , will update once resolved.
[^UCW-22735 MALL.xlsx]
[^UCW-22735 LUX.xlsx]
;[^UCW-22735 LUX (ee24e335-b455-43e7-85c7-89a283435e73).xlsx]
[^UCW-22735 MALL (8dcda13c-fa29-42ab-875f-c3cab35153ff).xlsx]
Please find attached the sheet, where 90 &amp; 91 options have been listed for both Luxury &amp; Marketplace platform.
 Kindly update the price and inventory, and share the summary once completed.
{adf:display=block}
{"type":"table","attrs":{"isNumberColumnEnabled":false,"layout":"center","localId":"e1559158-713d-4d88-816e-293cd76b1f2e"},"content":[{"type":"tableRow","content":[{"type":"tableCell","attrs":{"background":"#44b3e1"},"content":[{"type":"paragraph","content":[{"type":"text","text":"Ticket ID","marks":[{"type":"strong"}]}]}]},{"type":"tableCell","attrs":{"background":"#44b3e1"},"content":[{"type":"paragraph","content":[{"type":"text","text":" ","marks":[{"type":"strong"}]}]}]},{"type":"tableCell","attrs":{"colspan":2,"background":"#44b3e1"},"content":[{"type":"paragraph","content":[{"type":"text","text":"UCW-22735","marks":[{"type":"strong"}]}]}]},{"type":"tableCell","attrs":{"background":"#44b3e1"},"content":[{"type":"paragraph","content":[{"type":"text","text":" ","marks":[{"type":"strong"}]}]}]}]},{"type":"tableRow","content":[{"type":"tableCell","attrs":{"background":"#44b3e1"},"content":[{"type":"paragraph","content":[{"type":"text","text":"Brand Name","marks":[{"type":"strong"}]}]}]},{"type":"tableCell","attrs":{"colspan":4,"background":"#44b3e1"},"content":[{"type":"paragraph","content":[{"type":"text","text":"adidas","marks":[{"type":"strong"}]}]}]}]},{"type":"tableRow","content":[{"type":"tableCell","attrs":{"background":"#ace5fe"},"content":[{"type":"paragraph","content":[{"type":"text","text":"Platform","marks":[{"type":"strong"}]}]}]},{"type":"tableCell","attrs":{"colspan":2,"background":"#ace5fe"},"content":[{"type":"paragraph","content":[{"type":"text","text":"Marketplace ","marks":[{"type":"strong"}]}]}]},{"type":"tableCell","attrs":{"colspan":2,"background":"#ace5fe"},"content":[{"type":"paragraph","content":[{"type":"text","text":"Luxury ","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341"}]}]},{"type":"tableCell","attrs":{"background":"white"},"content":[{"type":"paragraph","content":[{"type":"text","text":"91"}]}]},{"type":"tableCell","attrs":{"background":"white"},"content":[{"type":"paragraph","content":[{"type":"text","text":"341"}]}]},{"type":"tableCell","attrs":{"background":"white"},"content":[{"type":"paragraph","content":[{"type":"text","text":"91"}]}]}]},{"type":"tableRow","content":[{"type":"tableCell","attrs":{"background":"white"},"content":[{"type":"paragraph","content":[{"type":"text","text":"Uploaded"}]}]},{"type":"tableCell","attrs":{"background":"white"},"content":[{"type":"paragraph","content":[{"type":"text","text":"341"}]}]},{"type":"tableCell","attrs":{"background":"white"},"content":[{"type":"paragraph","content":[{"type":"text","text":"91"}]}]},{"type":"tableCell","attrs":{"background":"white"},"content":[{"type":"paragraph","content":[{"type":"text","text":"340"}]}]},{"type":"tableCell","attrs":{"background":"white"},"content":[{"type":"paragraph","content":[{"type":"text","text":"90"}]}]}]},{"type":"tableRow","content":[{"type":"tableCell","attrs":{"background":"white"},"content":[{"type":"paragraph","content":[{"type":"text","text":"Skus Not Uploaded(l4 issue)"}]}]},{"type":"tableCell","attrs":{"background":"white"},"content":[{"type":"paragraph","content":[{"type":"text","text":"0"}]}]},{"type":"tableCell","attrs":{"background":"white"},"content":[{"type":"paragraph","content":[{"type":"text","text":"0"}]}]},{"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341"}]}]},{"type":"tableCell","attrs":{"background":"white"},"content":[{"type":"paragraph","content":[{"type":"text","text":"91"}]}]},{"type":"tableCell","attrs":{"background":"white"},"content":[{"type":"paragraph","content":[{"type":"text","text":"340"}]}]},{"type":"tableCell","attrs":{"background":"white"},"content":[{"type":"paragraph","content":[{"type":"text","text":"90"}]}]}]},{"type":"tableRow","content":[{"type":"tableCell","attrs":{"background":"white"},"content":[{"type":"paragraph","content":[{"type":"text","text":"LIDs Stuck in the System"}]}]},{"type":"tableCell","attrs":{"background":"white"},"content":[{"type":"paragraph","content":[{"type":"text","text":"0"}]}]},{"type":"tableCell","attrs":{"background":"white"},"content":[{"type":"paragraph","content":[{"type":"text","text":"0"}]}]},{"type":"tableCell","attrs":{"background":"white"},"content":[{"type":"paragraph","content":[{"type":"text","text":"0"}]}]},{"type":"tableCell","attrs":{"background":"white"},"content":[{"type":"paragraph","content":[{"type":"text","text":"0"}]}]}]}]}
{adf}</t>
  </si>
  <si>
    <t>Simon Carter London</t>
  </si>
  <si>
    <t>Taneira</t>
  </si>
  <si>
    <t>Date :06/16/2026  &lt;Ticket picked for pre processing Option 14  Sku 31&gt; &lt;Anwesha&gt;;Date :06/16/2026  &lt;Pre Processing query to Brand &lt;Fit details not provided, Fabric details are incorrect &amp; images are incorrect.&gt;&gt; &lt;Anwesha&gt; ;Date :06/17/2026 &lt; Pre Processing query to Brand 1st Follow Up&gt; &lt;Anwesha&gt;;Date :06/17/2026 &lt; Production and QC done [https://tatacliqhelpdesk.freshservice.com/support/tickets/217825|https://tatacliqhelpdesk.freshservice.com/support/tickets/217825] - *Size Chart Creation_Taneira_UCW-32877_17-06-2026*&gt; &lt;Anwesha&gt;;Date :06/19/2026 &lt;Ticket has been successfully uploaded in our system. Option 14  Sku 31&gt; &lt;Anwesha&gt;
[^Post Upload Status_UCW-32877.xlsx]
[^Summary.zip]
;[^UCW-32877.xlsx]
Hi [@Patha Sharan|mailto:pathasharan@titan.co.in],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b287a80-89fd-471b-b339-befbb289ab22"},"content":[{"type":"tableRow","content":[{"type":"tableCell","attrs":{"background":"#44b3e1"},"content":[{"type":"paragraph","content":[{"type":"text","text":"Ticket ID","marks":[{"type":"strong"}]}]}]},{"type":"tableCell","attrs":{"colspan":2,"background":"#44b3e1"},"content":[{"type":"paragraph","content":[{"type":"text","text":"UCW-32877","marks":[{"type":"strong"}]}]}]}]},{"type":"tableRow","content":[{"type":"tableCell","attrs":{"background":"#44b3e1"},"content":[{"type":"paragraph","content":[{"type":"text","text":"Brand Name","marks":[{"type":"strong"}]}]}]},{"type":"tableCell","attrs":{"colspan":2,"background":"#44b3e1"},"content":[{"type":"paragraph","content":[{"type":"text","text":"Taneir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695"}]}]},{"type":"tableCell","attrs":{"background":"white"},"content":[{"type":"paragraph","content":[{"type":"text","text":"140"}]}]}]},{"type":"tableRow","content":[{"type":"tableCell","attrs":{"background":"white"},"content":[{"type":"paragraph","content":[{"type":"text","text":"Uploaded"}]}]},{"type":"tableCell","attrs":{"background":"white"},"content":[{"type":"paragraph","content":[{"type":"text","text":"591"}]}]},{"type":"tableCell","attrs":{"background":"white"},"content":[{"type":"paragraph","content":[{"type":"text","text":"121"}]}]}]},{"type":"tableRow","content":[{"type":"tableCell","attrs":{"background":"white"},"content":[{"type":"paragraph","content":[{"type":"text","text":"Not Uploaded (Already Listed)"}]}]},{"type":"tableCell","attrs":{"background":"white"},"content":[{"type":"paragraph","content":[{"type":"text","text":"104"}]}]},{"type":"tableCell","attrs":{"background":"white"},"content":[{"type":"paragraph","content":[{"type":"text","text":"19"}]}]}]},{"type":"tableRow","content":[{"type":"tableCell","attrs":{"background":"white"},"content":[{"type":"paragraph","content":[{"type":"text","text":"LIDs Shared"}]}]},{"type":"tableCell","attrs":{"background":"white"},"content":[{"type":"paragraph","content":[{"type":"text","text":"591"}]}]},{"type":"tableCell","attrs":{"background":"white"},"content":[{"type":"paragraph","content":[{"type":"text","text":"121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Netscribes;[^UCW-32877 (7c59c0df-9ca6-4da5-8f76-01f81f630689).xlsx]
Please disregard the previously shared LID report and refer to the updated attached file, which reflects the correct and latest details.
Kindly consider this as the final updated report.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c5a286e-6ae9-4b50-b9dc-1e00a89d9b55"},"content":[{"type":"tableRow","content":[{"type":"tableCell","attrs":{"background":"#44b3e1"},"content":[{"type":"paragraph","content":[{"type":"text","text":"Ticket ID","marks":[{"type":"strong"}]}]}]},{"type":"tableCell","attrs":{"colspan":2,"background":"#44b3e1"},"content":[{"type":"paragraph","content":[{"type":"text","text":"UCW-32877","marks":[{"type":"strong"}]}]}]}]},{"type":"tableRow","content":[{"type":"tableCell","attrs":{"background":"#44b3e1"},"content":[{"type":"paragraph","content":[{"type":"text","text":"Brand Name","marks":[{"type":"strong"}]}]}]},{"type":"tableCell","attrs":{"colspan":2,"background":"#44b3e1"},"content":[{"type":"paragraph","content":[{"type":"text","text":"Taneir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31"}]}]},{"type":"tableCell","attrs":{"background":"white"},"content":[{"type":"paragraph","content":[{"type":"text","text":"14"}]}]}]},{"type":"tableRow","content":[{"type":"tableCell","attrs":{"background":"white"},"content":[{"type":"paragraph","content":[{"type":"text","text":"Uploaded"}]}]},{"type":"tableCell","attrs":{"background":"white"},"content":[{"type":"paragraph","content":[{"type":"text","text":"31"}]}]},{"type":"tableCell","attrs":{"background":"white"},"content":[{"type":"paragraph","content":[{"type":"text","text":"14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31"}]}]},{"type":"tableCell","attrs":{"background":"white"},"content":[{"type":"paragraph","content":[{"type":"text","text":"14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t>
  </si>
  <si>
    <t>Date :6/15/2026  &lt;Ticket picked for pre processing Option 4 Sku 4 &gt; &lt;Piyali Bose&gt;;Image deliver - Date :06/15/2026 &lt;Images Delivered Processed Options 4 Rejected Options 0&gt; &lt;Moumita&gt;;[^Summary.zip]
[^UCW-32868_Post Upload Status_V.2 (1).xlsx]
Date :6/15/2026 &lt;Ticket has been successfully uploaded in our system. Option 4 Sku 4 &gt; &lt;Piyali Bose&gt;;[^UCW-32868.xlsx]
Hi [@MANIKANTA Sai Abhinay - ACCENTURE|mailto:saiabhinay.manikanta@loreal.com],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8bf2fc1-6cdd-4537-a94c-6a0930ad526c"},"content":[{"type":"tableRow","content":[{"type":"tableCell","attrs":{"background":"#44b3e1"},"content":[{"type":"paragraph","content":[{"type":"text","text":"Ticket ID","marks":[{"type":"strong"}]}]}]},{"type":"tableCell","attrs":{"colspan":2,"background":"#44b3e1"},"content":[{"type":"paragraph","content":[{"type":"text","text":"UCW-32868","marks":[{"type":"strong"}]}]}]}]},{"type":"tableRow","content":[{"type":"tableCell","attrs":{"background":"#44b3e1"},"content":[{"type":"paragraph","content":[{"type":"text","text":"Brand Name","marks":[{"type":"strong"}]}]}]},{"type":"tableCell","attrs":{"colspan":2,"background":"#44b3e1"},"content":[{"type":"paragraph","content":[{"type":"text","text":"L'Oreal Pari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4"}]}]},{"type":"tableCell","attrs":{"background":"white"},"content":[{"type":"paragraph","content":[{"type":"text","text":"4"}]}]}]},{"type":"tableRow","content":[{"type":"tableCell","attrs":{"background":"white"},"content":[{"type":"paragraph","content":[{"type":"text","text":"Uploaded"}]}]},{"type":"tableCell","attrs":{"background":"white"},"content":[{"type":"paragraph","content":[{"type":"text","text":"4"}]}]},{"type":"tableCell","attrs":{"background":"white"},"content":[{"type":"paragraph","content":[{"type":"text","text":"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type":"tableCell","attrs":{"background":"white"},"content":[{"type":"paragraph","content":[{"type":"text","text":"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</si>
  <si>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 15th Jun, 2026 Pre-Processing Done ( Brand to Query for Wattanty Type, Purity, Gross &amp; Metal Weight, Price Breakup on PDP &amp; Invoice, Style Code, Association Code) - Mousumi.
Date : 15th Jun, 2026 Resolution has been received from the brand- Mousumi
Date : 15th Jun, 2026 Production Done- Mousumi.
Date : 15th Jun, 2026 Images Done - Moumita
Date : 15th Jun, 2026 Description Done -Khushnuma
Date : 15th Jun, 2026 QC &amp; Uploaded done -Mousumi.
PFA the Summary &amp; Post-Uploaded sheet [^Summary.zip] [^UCW-32867 Post Upload Status_V.2 (1).xlsx]  ;Image deliver - Date :06/15/2026 &lt;Images Delivered Processed Options 39 Rejected Options 0&gt; &lt;Moumita&gt;;[^UCW-32867.xlsx]
Hi [@Varshita Bhagchandani|mailto:varshita@touch925.com],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47c04272-b726-492d-9ff6-0d7392639652"},"content":[{"type":"tableRow","content":[{"type":"tableCell","attrs":{"background":"#44b3e1"},"content":[{"type":"paragraph","content":[{"type":"text","text":"Ticket ID","marks":[{"type":"strong"}]}]}]},{"type":"tableCell","attrs":{"colspan":2,"background":"#44b3e1"},"content":[{"type":"paragraph","content":[{"type":"text","text":"UCW-32867","marks":[{"type":"strong"}]}]}]}]},{"type":"tableRow","content":[{"type":"tableCell","attrs":{"background":"#44b3e1"},"content":[{"type":"paragraph","content":[{"type":"text","text":"Brand Name","marks":[{"type":"strong"}]}]}]},{"type":"tableCell","attrs":{"colspan":2,"background":"#44b3e1"},"content":[{"type":"paragraph","content":[{"type":"text","text":"Touch925","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39"}]}]},{"type":"tableCell","attrs":{"background":"white"},"content":[{"type":"paragraph","content":[{"type":"text","text":"39"}]}]}]},{"type":"tableRow","content":[{"type":"tableCell","attrs":{"background":"white"},"content":[{"type":"paragraph","content":[{"type":"text","text":"Uploaded"}]}]},{"type":"tableCell","attrs":{"background":"white"},"content":[{"type":"paragraph","content":[{"type":"text","text":"38"}]}]},{"type":"tableCell","attrs":{"background":"white"},"content":[{"type":"paragraph","content":[{"type":"text","text":"38"}]}]}]},{"type":"tableRow","content":[{"type":"tableCell","attrs":{"background":"white"},"content":[{"type":"paragraph","content":[{"type":"text","text":"Not Uploaded (Already Listed)"}]}]},{"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38"}]}]},{"type":"tableCell","attrs":{"background":"white"},"content":[{"type":"paragraph","content":[{"type":"text","text":"38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</si>
  <si>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Bioderma</t>
  </si>
  <si>
    <t>Date :06/15/2026 &lt;Ticket picked for pre processing Option 7 Sku 7&gt; &lt;Anjalita&gt;;Image deliver - Date :06/15/2026 &lt;Images Delivered Processed Options 7 Rejected Options 0&gt; &lt;Moumita&gt;;Date :06/15/2026 &lt;Ticket has been successfully uploaded in our system. Option 7 Sku 7&gt; &lt;Anjalita&gt;;LIDs shared</t>
  </si>
  <si>
    <t>LANCOME</t>
  </si>
  <si>
    <t>[^UCW-32843_Post Upload Status_V.2 (1).xlsx]
[^Summary.zip]
Date :6/15/2026 &lt;Ticket has been successfully uploaded in our system. Option 6 Sku 6 &gt; &lt;Piyali Bose&gt;;[^UCW-32843.xlsx]
Hi [@RENGARAJ Parkavi - ACCENTURE|mailto:parkavi.rengaraj@loreal.com],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82a1c32-1ab6-412e-89f5-db97db83de03"},"content":[{"type":"tableRow","content":[{"type":"tableCell","attrs":{"background":"#44b3e1"},"content":[{"type":"paragraph","content":[{"type":"text","text":"Ticket ID","marks":[{"type":"strong"}]}]}]},{"type":"tableCell","attrs":{"colspan":2,"background":"#44b3e1"},"content":[{"type":"paragraph","content":[{"type":"text","text":"UCW-32843","marks":[{"type":"strong"}]}]}]}]},{"type":"tableRow","content":[{"type":"tableCell","attrs":{"background":"#44b3e1"},"content":[{"type":"paragraph","content":[{"type":"text","text":"Brand Name","marks":[{"type":"strong"}]}]}]},{"type":"tableCell","attrs":{"colspan":2,"background":"#44b3e1"},"content":[{"type":"paragraph","content":[{"type":"text","text":"LANCOME","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type":"tableCell","attrs":{"background":"white"},"content":[{"type":"paragraph","content":[{"type":"text","text":"6"}]}]}]},{"type":"tableRow","content":[{"type":"tableCell","attrs":{"background":"white"},"content":[{"type":"paragraph","content":[{"type":"text","text":"Uploaded"}]}]},{"type":"tableCell","attrs":{"background":"white"},"content":[{"type":"paragraph","content":[{"type":"text","text":"6"}]}]},{"type":"tableCell","attrs":{"background":"white"},"content":[{"type":"paragraph","content":[{"type":"text","text":"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type":"tableCell","attrs":{"background":"white"},"content":[{"type":"paragraph","content":[{"type":"text","text":"6"}]}]}]},{"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</si>
  <si>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Pilgrim</t>
  </si>
  <si>
    <t>Date :06/15/2026  &lt;Ticket picked for pre processing Option 1 Sku 1&gt; &lt;Anjalita&gt;;Image deliver - Date :06/15/2026 &lt;Images Delivered Processed Options 1 Rejected Options 0&gt; &lt;Moumita&gt;;Date :06/15/2026 &lt;Ticket has been successfully uploaded in our system. Option 1 Sku 1&gt; &lt;Anjalita&gt;;Changes are reflecting</t>
  </si>
  <si>
    <t>campus</t>
  </si>
  <si>
    <t>Date :06/15/2026  &lt;Ticket picked for pre processing Option: 13 SKU: 114&gt; &lt;Sanjana Ghosh&gt;;Analysis Shared - Date :06/15/2026 &lt;Analysis Shared Processed Options 0 Rejected Options 13 Rejected Reason Right Side NA&gt; &lt;Subhankar&gt;;Date :06/15/2026&lt;Pre Processing query to Brand &lt;Image Query&gt;&gt; &lt;Ankita&gt;;Date :06/16/2026&lt; Pre Processing query to Brand 1st Follow Up&gt; &lt;Ankita&gt;;Date :06/16/2026&lt;Query to CCMT for confirmation &lt;Image Query&gt;&gt; &lt;Ankita&gt;;Date :06/19/2026 &lt; Closing ticket for Category not Responding&gt; &lt;Ishani&gt;</t>
  </si>
  <si>
    <t>HealthyHey</t>
  </si>
  <si>
    <t>UCW-33547</t>
  </si>
  <si>
    <t>UCW-33543</t>
  </si>
  <si>
    <t>UCW-33541</t>
  </si>
  <si>
    <t>UCW-33540</t>
  </si>
  <si>
    <t>UCW-33536</t>
  </si>
  <si>
    <t>UCW-33527</t>
  </si>
  <si>
    <t>UCW-33526</t>
  </si>
  <si>
    <t>UCW-33524</t>
  </si>
  <si>
    <t>UCW-33514</t>
  </si>
  <si>
    <t>UCW-33513</t>
  </si>
  <si>
    <t>UCW-33508</t>
  </si>
  <si>
    <t>UCW-33506</t>
  </si>
  <si>
    <t>UCW-33502</t>
  </si>
  <si>
    <t>UCW-33499</t>
  </si>
  <si>
    <t>UCW-33492</t>
  </si>
  <si>
    <t>UCW-33482</t>
  </si>
  <si>
    <t>UCW-33481</t>
  </si>
  <si>
    <t>UCW-33476</t>
  </si>
  <si>
    <t>UCW-33468</t>
  </si>
  <si>
    <t>UCW-33466</t>
  </si>
  <si>
    <t>UCW-33457</t>
  </si>
  <si>
    <t>UCW-33456</t>
  </si>
  <si>
    <t>UCW-33454</t>
  </si>
  <si>
    <t>UCW-33453</t>
  </si>
  <si>
    <t>UCW-33452</t>
  </si>
  <si>
    <t>UCW-33451</t>
  </si>
  <si>
    <t>UCW-33447</t>
  </si>
  <si>
    <t>UCW-33445</t>
  </si>
  <si>
    <t>UCW-33435</t>
  </si>
  <si>
    <t>UCW-33401</t>
  </si>
  <si>
    <t>UCW-33388</t>
  </si>
  <si>
    <t>UCW-33373</t>
  </si>
  <si>
    <t>UCW-33361</t>
  </si>
  <si>
    <t>UCW-33356</t>
  </si>
  <si>
    <t>UCW-33349</t>
  </si>
  <si>
    <t>UCW-33330</t>
  </si>
  <si>
    <t>UCW-33325</t>
  </si>
  <si>
    <t>UCW-33323</t>
  </si>
  <si>
    <t>UCW-33312</t>
  </si>
  <si>
    <t>UCW-33301</t>
  </si>
  <si>
    <t>UCW-33300</t>
  </si>
  <si>
    <t>UCW-33297</t>
  </si>
  <si>
    <t>UCW-33294</t>
  </si>
  <si>
    <t>UCW-33293</t>
  </si>
  <si>
    <t>UCW-33291</t>
  </si>
  <si>
    <t>UCW-33290</t>
  </si>
  <si>
    <t>UCW-33288</t>
  </si>
  <si>
    <t>UCW-33282</t>
  </si>
  <si>
    <t>UCW-33271</t>
  </si>
  <si>
    <t>UCW-33265</t>
  </si>
  <si>
    <t>UCW-33263</t>
  </si>
  <si>
    <t>UCW-33262</t>
  </si>
  <si>
    <t>UCW-33261</t>
  </si>
  <si>
    <t>UCW-33260</t>
  </si>
  <si>
    <t>UCW-33256</t>
  </si>
  <si>
    <t>UCW-33242</t>
  </si>
  <si>
    <t>UCW-33236</t>
  </si>
  <si>
    <t>UCW-33234</t>
  </si>
  <si>
    <t>Platform Addition - Protouch</t>
  </si>
  <si>
    <t>Sora Dora one new sku Listing</t>
  </si>
  <si>
    <t>Sparkles Arias by Lara Dutta 34 Styles</t>
  </si>
  <si>
    <t>New Catalouge- 26.06.2026</t>
  </si>
  <si>
    <t>New Rakhi Catalogue 2026</t>
  </si>
  <si>
    <t>The ALTERNATE - Footwear - 22/06/2026 - 64 SKUs</t>
  </si>
  <si>
    <t>Italian Shoe Co | New Brand Launch - Catalogue listing</t>
  </si>
  <si>
    <t>Libas Apparel 127532 23-06-2026 (NEW CATALOGUE)</t>
  </si>
  <si>
    <t>New Listing - Crepdog Crew (ON RUNNING) | 26-06-2025</t>
  </si>
  <si>
    <t>Tata Cliq ~ New Listings Batch - 28</t>
  </si>
  <si>
    <t>CLONE: Campus x Tata CliQ ~ New Listings_05.06.2026 Batch-26</t>
  </si>
  <si>
    <t>PUREARTH NEW PRODUCT LISTING On TATA CLIQ</t>
  </si>
  <si>
    <t>TC LUX Asics Footwear 129537 | 23-06-2026</t>
  </si>
  <si>
    <t>CLONE - Content Sheet</t>
  </si>
  <si>
    <t>ADIDAS Add now catalogue dated 9th May 2026_NC</t>
  </si>
  <si>
    <t>TATA - Interparfum Listed Dump</t>
  </si>
  <si>
    <t xml:space="preserve">Catwalk catalogue </t>
  </si>
  <si>
    <t>July'26 Order cycle - Fragrance - Samples + NPLs + GWP : TCL</t>
  </si>
  <si>
    <t>New Listings+Lattafa+Perfumes+126349+TCF+23rd June 2026</t>
  </si>
  <si>
    <t>DMODOT - Footwear - 22/06/2026 - 7 SKUs</t>
  </si>
  <si>
    <t>ERROR_Tata Cliq Luxury  - New listing - Hermès (02-03-2026)</t>
  </si>
  <si>
    <t>Request to Update New Model Images for Softy Tinty // Tatacliq</t>
  </si>
  <si>
    <t>2125762 | Hydra zen New listing| TCL</t>
  </si>
  <si>
    <t>OAP | Glow Powder Primary Image Update |  TATACLIQ - Fashion | Seller Code 125928</t>
  </si>
  <si>
    <t>PUREARTH TATA CLIQ Catalog Update</t>
  </si>
  <si>
    <t>TQ | Brand: Converse | Catalog Listing | FTWR-FA26.</t>
  </si>
  <si>
    <t>Updated Images for Silver Bars</t>
  </si>
  <si>
    <t>NEEMANS+FOOTWEAR+ 125173+ 22-06-2026</t>
  </si>
  <si>
    <t>New Listing - Touch925 (90 SKUs)</t>
  </si>
  <si>
    <t>New collection-(Jaypore 129240) Apparel/Jewellery 15th June (62 Stylecodes)</t>
  </si>
  <si>
    <t xml:space="preserve">Gillette Cataloguing - New listings </t>
  </si>
  <si>
    <t>Diesel + Kenneth Cole + Zegna + EYEWEAR + 126594-OAKOLWH + 19/06/2026</t>
  </si>
  <si>
    <t>Giva | Silver Jewellery | 125927 | 20-06-2026 (56SKUs)</t>
  </si>
  <si>
    <t>Elora ll Women_Apparel ll Seller Code :127835-NJSS1 ll 18th June,2026 ll 36 New Styles &amp; Catalogue Sheet for Fresh Listing</t>
  </si>
  <si>
    <t>Footwear Lot 5 SS26 Skechers -33 SKUs - 13 Style - Marketplace and Luxury - Marketplace seller code - 126948 - Luxury seller code - 128174 - 15.6.2026</t>
  </si>
  <si>
    <t>GK Hair Catalog Required</t>
  </si>
  <si>
    <t>Tata Interperfum PDP image update</t>
  </si>
  <si>
    <t>Error_Soch_Apparel_124205-SAS_08/05/2026_340 Styles</t>
  </si>
  <si>
    <t>Content Correction - Moroccanoil - 7290116979489</t>
  </si>
  <si>
    <t>Request to Update the 1st Image // Tatacliq</t>
  </si>
  <si>
    <t>Colors Queen || Makeup || 129094 || 19-06-2026</t>
  </si>
  <si>
    <t>New Listings+Nusuk+Perfumes+126349+TCF+19th June 2026</t>
  </si>
  <si>
    <t>Tata Cliq - New listing - Fragrance and Bath &amp; Body (20-06-2026)</t>
  </si>
  <si>
    <t>Packaging Label Update (Slot 2) - Tata</t>
  </si>
  <si>
    <t>Onboarding Brand on Tata Cliq_"Rayhaan"</t>
  </si>
  <si>
    <t>CLONE - New Listing_15th Jan,26_Tatacliq</t>
  </si>
  <si>
    <t>Fashion Platform Addition - Lux Brand skus</t>
  </si>
  <si>
    <t>Request to Update Product Details LE51 // Tataliq</t>
  </si>
  <si>
    <t>127+84+13 Articles || New Articles Listing For INC.5 || TataCliq</t>
  </si>
  <si>
    <t>New Listings – Request to Make Live</t>
  </si>
  <si>
    <t>EAN Update - MK Spray conditioner 200ml Tata</t>
  </si>
  <si>
    <t>TataCliq x O3+ New Launch 17-06-2026</t>
  </si>
  <si>
    <t>Arrow_USPA_MP_329__124848_17-06-2026</t>
  </si>
  <si>
    <t>Tata Cliq Luxury | Brandman Retail | Footwear | 19-06-2026</t>
  </si>
  <si>
    <t>Asian Footwear Listing 17 Jun 2026</t>
  </si>
  <si>
    <t>Urban Scottish+ Men Innerwear + 124057-DURATEXMUMBAI+ New Listing + 85+ 17+ 17-06-2026</t>
  </si>
  <si>
    <t>Sneha Nadar</t>
  </si>
  <si>
    <t>Protouc</t>
  </si>
  <si>
    <t>Karatcart</t>
  </si>
  <si>
    <t>THE ALTERNATE</t>
  </si>
  <si>
    <t>ITALIAN SHOES COMPANY</t>
  </si>
  <si>
    <t>Pureearth</t>
  </si>
  <si>
    <t>Interparfum Brands</t>
  </si>
  <si>
    <t>Catwalk</t>
  </si>
  <si>
    <t xml:space="preserve">DMODOT </t>
  </si>
  <si>
    <t>Hermès</t>
  </si>
  <si>
    <t>Joyalukad</t>
  </si>
  <si>
    <t>Jaypore</t>
  </si>
  <si>
    <t xml:space="preserve">Gillette </t>
  </si>
  <si>
    <t xml:space="preserve">Diesel </t>
  </si>
  <si>
    <t>Ellora</t>
  </si>
  <si>
    <t>GK Hair</t>
  </si>
  <si>
    <t>Moroccanoil</t>
  </si>
  <si>
    <t>Nusuk</t>
  </si>
  <si>
    <t>Tabac Guess Ferragamo</t>
  </si>
  <si>
    <t>Forest essentials</t>
  </si>
  <si>
    <t>Rayhaan</t>
  </si>
  <si>
    <t>THE BODY SHOP</t>
  </si>
  <si>
    <t>OR brands</t>
  </si>
  <si>
    <t>Arrow, Arrow Sport, U.S. Polo Assn., Arrow Newyork, U.S. Polo Assn. Denim Co., USPA Innerwear, USPA Active, U.S. Polo Assn. Kids</t>
  </si>
  <si>
    <t>Asian Footwear</t>
  </si>
  <si>
    <t>Urban Scottish</t>
  </si>
  <si>
    <t>Date :06/27/2026 &lt;Ticket picked for pre processing Option 1 Sku 1 &gt; &lt;Anjalita&gt;;Date :06/27/2026 &lt;Ticket has been successfully uploaded in our system. Option 1 Sku 1&gt; &lt;Anjalita&gt;</t>
  </si>
  <si>
    <t>|Date :06/26/2026 &lt;Ticket picked for pre processing SKU 1&gt; &lt;Tania&gt;|
|Date :06/26/2026 &lt;Pre Processing query to Brand &lt;HSN, Fragrance Family Details&gt;&gt; &lt;Tania&gt;|
|Date :06/27/2026 &lt; Pre Processing query to Brand 1st Follow Up&gt; &lt;Agent&gt;|;Date :06/27/2026 &lt;Ticket picked for Production and QC review SKU 1&gt; &lt;Tania&gt; ;Image deliver - Date :06/27/2026 &lt;Images Delivered Processed Options 1 Rejected Options 0&gt; &lt;Saswati Dey&gt;;Date :06/27/2027 &lt;Ticket has been successfully uploaded in our system. Option 1 Sku 1&gt; &lt;Anjalita&gt;</t>
  </si>
  <si>
    <t>Date : 26th Jun 2026 This ticket has been picked for Pre-Processing and Image Analysis -Mousumi.
Date : 26th Jun 2026 Pre-Processing Done( Bracelet Size, CHain length, Ring Size , Dimaond Type ,Image Query)-Mousumi.
Date : 27th Jun 2026 1st Follow up Done -Mousumi.;Date : 27th Jun 2026 1st Follow up Done -Mousumi.;Image deliver - Date :06/27/2026 &lt;Images Delivered Processed Options 34 Rejected Options 2&gt; &lt;Moumita&gt;</t>
  </si>
  <si>
    <t xml:space="preserve">Date : 26th Jun , 2026 This ticket has been picked for Pre-Processing and Image Analysis -Mousumi.
Date : 26th Jun , 2026 pre-Processing Done(Brand to Query for COO Details.)
Date : 27th Jun, 2026 Production Done -Mousumi
Date : 27th Jun, 2026  description Done-Khunuma
Date : 27th Jun, 2026 Images Done - Saswati
;Image deliver - Date :06/27/2026 &lt;Images Delivered Processed Options 13 Rejected Options 0&gt; &lt;Saswati Dey&gt;;Date : 27th Jun, 2026 Resolution has been received from the brand-Mousumi.
Date : 27th Jun, 2026 QC &amp; Uploaded Done -Mousumi
PFA the Summary &amp; Post-Uploaded [^UCW-33540 Post Upload Status_V.2 (1).xlsx] [^Summary.zip] </t>
  </si>
  <si>
    <t>Date : 26th Jun , 2026 This ticket has been picked for Pre-Processing and Image Analysis -Mousumi.
Date : 27th Jun ,Pre Processing Done ( Brand to Query for seller Code)
Date : 27th Jun, 2026 Production Done -Mousumi.
Date : 27th Jun, 2026 Description Done -Mousumi.
Date : 27th Jun, 2026 Images Done-Moumita ;Date : 27th Jun, 2026 Resolution has been received from the brand- Mousumi.
Date : 27th Jun, 2026 QC &amp; Uploaded Done -Mousumi
PFA the Summary &amp; Post-Uploaded sheet
[^UCW-33536 Post Upload Status_V.2 (1) (3b1fb405-0617-4412-8864-66fde1e7ca95).xlsx] [^Summary.zip] ;Image deliver - Date :06/27/2026 &lt;Images Delivered Processed Options 271 Rejected Options 0&gt; &lt;Moumita&gt;</t>
  </si>
  <si>
    <t>Date :06/26/2026 &lt;Ticket picked for pre processing Option 8 Sku 64&gt; &lt;Ankita&gt;;Image deliver - Date :06/26/2026 &lt;Images Delivered Processed Options 8 Rejected Options 0&gt; &lt;Moumita&gt;;Date :06/26/2026 &lt;Pre Processing query to Brand &lt;Season,gender, Size chart &gt;&gt; &lt;Ankita&gt;;Date :06/27/2026 &lt; Pre Processing query to Brand 1st Follow Up&gt; &lt;Ishani&gt;</t>
  </si>
  <si>
    <t>Date :26-06-2026 &lt;Pre Processing query to Brand &lt;Query Deatils-size chat query, image query, style code query&gt;&gt; &lt;Amandeep&gt;;Date :06/27/2026 &lt; Pre Processing query to Brand 1st Follow Up&gt; &lt;Ishani&gt;</t>
  </si>
  <si>
    <t>Date :06/26/2026  &lt;Ticket picked for pre processing Option 30 Sku 130&gt; &lt;Anwesha&gt;;Date :06/26/2026  &lt;Pre Processing query to Brand &lt;Incorrect Fit&gt;&gt; &lt;Anwesha&gt; ;Analysis Shared - Date :06/27/2026 &lt;Analysis Shared Processed Options 29 Rejected Options 1 Rejected Reason XXX&gt; &lt;Saswati Dey&gt;;Image deliver - Date :06/27/2026 &lt;Images Delivered Processed Options 29 Rejected Options 1&gt; &lt;Saswati Dey&gt;</t>
  </si>
  <si>
    <t>Date :06/26/2026 &lt;Ticket picked for pre processing Option: 28 SKU: 225&gt; &lt;Sanjana Ghosh&gt;;Date :06/26/2026 &lt;Pre Processing query to Brand &lt;Size, SKU and Material Query&gt; &lt;Sanjana Ghosh&gt; ;Image deliver - Date :06/26/2026 &lt;Images Delivered Processed Options 30 Rejected Options 0&gt; &lt;Moumita&gt;;Date :06/26/2026 &lt;Ticket has been successfully uploaded in our system. Option: 30 SKU: 208 Duplicate size and SKU - Option: 0 SKU: 17&gt; &lt;Sanjana Ghosh&gt;
PFA the post upload status and summary file: [^Summary.zip] [^UCW-33514 - Post Upload Status .xlsx] ;[^UCW-33514.xlsx]
Please find attached the sheet, where 30 options of Footwear have been listed.
Kindly update the price and inventory, and share the summary once completed.
{adf:display=block}
{"type":"table","attrs":{"isNumberColumnEnabled":false,"layout":"center","localId":"cf70c85f-2291-4c36-97d6-d7ee25cbacc5"},"content":[{"type":"tableRow","content":[{"type":"tableCell","attrs":{"background":"#44b3e1"},"content":[{"type":"paragraph","content":[{"type":"text","text":"Ticket ID","marks":[{"type":"strong"}]}]}]},{"type":"tableCell","attrs":{"colspan":2,"background":"#44b3e1"},"content":[{"type":"paragraph","content":[{"type":"text","text":"UCW-33514","marks":[{"type":"strong"}]}]}]}]},{"type":"tableRow","content":[{"type":"tableCell","attrs":{"background":"#44b3e1"},"content":[{"type":"paragraph","content":[{"type":"text","text":"Brand Name","marks":[{"type":"strong"}]}]}]},{"type":"tableCell","attrs":{"colspan":2,"background":"#44b3e1"},"content":[{"type":"paragraph","content":[{"type":"text","text":"ON","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208"}]}]},{"type":"tableCell","attrs":{},"content":[{"type":"paragraph","content":[{"type":"text","text":"30"}]}]}]},{"type":"tableRow","content":[{"type":"tableCell","attrs":{"background":"white"},"content":[{"type":"paragraph","content":[{"type":"text","text":"Uploaded"}]}]},{"type":"tableCell","attrs":{},"content":[{"type":"paragraph","content":[{"type":"text","text":"208"}]}]},{"type":"tableCell","attrs":{},"content":[{"type":"paragraph","content":[{"type":"text","text":"30"}]}]}]},{"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204"}]}]},{"type":"tableCell","attrs":{},"content":[{"type":"paragraph","content":[{"type":"text","text":"30"}]}]}]},{"type":"tableRow","content":[{"type":"tableCell","attrs":{"background":"white"},"content":[{"type":"paragraph","content":[{"type":"text","text":"LIDs Stuck in the System"}]}]},{"type":"tableCell","attrs":{},"content":[{"type":"paragraph","content":[{"type":"text","text":"4"}]}]},{"type":"tableCell","attrs":{},"content":[{"type":"paragraph","content":[{"type":"text","text":"0"}]}]}]}]}
{adf}
4 SKUs are stuck in SFA. We are working on the issue, and once it is resolved, we will inform you at the earliest.</t>
  </si>
  <si>
    <t>Date :06/26/2026 &lt;Ticket picked for pre processing Option: 26 SKU: 190&gt; &lt;Sanjana Ghosh&gt;;Analysis Shared - Date :06/26/2026 &lt;Analysis Shared Processed Options 26 Rejected Options 26 Rejected Reason right side view missing&gt; &lt;Moumita&gt;;Date :06/26/2026 &lt;Pre Processing query to Brand &lt;Image View Missing&gt; &lt;Sanjana Ghosh&gt; ;Image deliver - Date :06/26/2026 &lt;Images Delivered Processed Options 26 Rejected Options 0&gt; &lt;Moumita&gt;;Date :06/26/2026 &lt;Ticket has been successfully uploaded in our system. Option: 26 SKU: 130 Already Listed - Option: 12 SKU: 60&gt; &lt;Sanjana Ghosh&gt;
PFA the post upload status and summary file: [^Summary.zip] [^UCW-33513 - Post Upload Status .xlsx] ;[^UCW-33513.xlsx]
Please find attached the sheet, where 38 options of Footwear have been listed.
Kindly update the price and inventory, and share the summary once completed.
{adf:display=block}
{"type":"table","attrs":{"isNumberColumnEnabled":false,"layout":"center","localId":"b170e14e-f8dc-425e-8307-f06dee263611"},"content":[{"type":"tableRow","content":[{"type":"tableCell","attrs":{"background":"#44b3e1"},"content":[{"type":"paragraph","content":[{"type":"text","text":"Ticket ID","marks":[{"type":"strong"}]}]}]},{"type":"tableCell","attrs":{"colspan":2,"background":"#44b3e1"},"content":[{"type":"paragraph","content":[{"type":"text","text":"UCW-33513","marks":[{"type":"strong"}]}]}]}]},{"type":"tableRow","content":[{"type":"tableCell","attrs":{"background":"#44b3e1"},"content":[{"type":"paragraph","content":[{"type":"text","text":"Brand Name","marks":[{"type":"strong"}]}]}]},{"type":"tableCell","attrs":{"colspan":2,"background":"#44b3e1"},"content":[{"type":"paragraph","content":[{"type":"text","text":"Camp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190"}]}]},{"type":"tableCell","attrs":{},"content":[{"type":"paragraph","content":[{"type":"text","text":"38"}]}]}]},{"type":"tableRow","content":[{"type":"tableCell","attrs":{"background":"white"},"content":[{"type":"paragraph","content":[{"type":"text","text":"Uploaded"}]}]},{"type":"tableCell","attrs":{},"content":[{"type":"paragraph","content":[{"type":"text","text":"190"}]}]},{"type":"tableCell","attrs":{},"content":[{"type":"paragraph","content":[{"type":"text","text":"38"}]}]}]},{"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188"}]}]},{"type":"tableCell","attrs":{},"content":[{"type":"paragraph","content":[{"type":"text","text":"38"}]}]}]},{"type":"tableRow","content":[{"type":"tableCell","attrs":{"background":"white"},"content":[{"type":"paragraph","content":[{"type":"text","text":"LIDs Stuck in the System"}]}]},{"type":"tableCell","attrs":{},"content":[{"type":"paragraph","content":[{"type":"text","text":"2"}]}]},{"type":"tableCell","attrs":{},"content":[{"type":"paragraph","content":[{"type":"text","text":"0"}]}]}]}]}
{adf}</t>
  </si>
  <si>
    <t>Image deliver - Date :06/26/2026 &lt;Images Delivered Processed Options 13 Rejected Options 0&gt; &lt;Saswati Dey&gt;;Date :06/26/2026 &lt;Ticket has been successfully uploaded in our system. Option 64 Sku 13&gt; &lt;Ankita&gt;;[^UCW-33508.xlsx]
Please find attached the sheet, where 13 options of Footwear have been listed.
Kindly update the price and inventory, and share the summary once completed.
{adf:display=block}
{"type":"table","attrs":{"isNumberColumnEnabled":false,"layout":"center","localId":"12010262-3d35-4c22-99f8-24c8c8e496da"},"content":[{"type":"tableRow","content":[{"type":"tableCell","attrs":{"background":"#44b3e1"},"content":[{"type":"paragraph","content":[{"type":"text","text":"Ticket ID","marks":[{"type":"strong"}]}]}]},{"type":"tableCell","attrs":{"colspan":2,"background":"#44b3e1"},"content":[{"type":"paragraph","content":[{"type":"text","text":"UCW-33508","marks":[{"type":"strong"}]}]}]}]},{"type":"tableRow","content":[{"type":"tableCell","attrs":{"background":"#44b3e1"},"content":[{"type":"paragraph","content":[{"type":"text","text":"Brand Name","marks":[{"type":"strong"}]}]}]},{"type":"tableCell","attrs":{"colspan":2,"background":"#44b3e1"},"content":[{"type":"paragraph","content":[{"type":"text","text":"Campu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64"}]}]},{"type":"tableCell","attrs":{},"content":[{"type":"paragraph","content":[{"type":"text","text":"13"}]}]}]},{"type":"tableRow","content":[{"type":"tableCell","attrs":{"background":"white"},"content":[{"type":"paragraph","content":[{"type":"text","text":"Uploaded"}]}]},{"type":"tableCell","attrs":{},"content":[{"type":"paragraph","content":[{"type":"text","text":"64"}]}]},{"type":"tableCell","attrs":{},"content":[{"type":"paragraph","content":[{"type":"text","text":"13"}]}]}]},{"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62"}]}]},{"type":"tableCell","attrs":{},"content":[{"type":"paragraph","content":[{"type":"text","text":"13"}]}]}]},{"type":"tableRow","content":[{"type":"tableCell","attrs":{"background":"white"},"content":[{"type":"paragraph","content":[{"type":"text","text":"LIDs Stuck in the System"}]}]},{"type":"tableCell","attrs":{},"content":[{"type":"paragraph","content":[{"type":"text","text":"2"}]}]},{"type":"tableCell","attrs":{},"content":[{"type":"paragraph","content":[{"type":"text","text":"0"}]}]}]}]}
{adf}
2 SKUs are currently stuck in SFA. We are actively working on the issue and will keep you informed once a resolution is available.</t>
  </si>
  <si>
    <t>Date :06/27/2026 &lt;Category confirmation required&gt; &lt;Tania&gt;;Analysis Shared - Date :06/27/2026 &lt;Analysis Shared Processed Options 7 Rejected Options 2 Rejected Reason XXX&gt; &lt;Saswati Dey&gt;</t>
  </si>
  <si>
    <t xml:space="preserve">Date :06/26/2026 &lt;Ticket picked for pre processing Option: 134 SKU: 1080&gt; &lt;Sanjana Ghosh&gt;;Date :06/27/2026 &lt;Ticket picked for Production and QC review Option 134 Sku 1080&gt; &lt;Ishani &amp; Amandeep&gt;;Image deliver - Date :06/28/2026 &lt;Images Delivered Processed Options 136 Rejected Options 1&gt; &lt;Moumita&gt;;Date :06/27/2026 &lt;Ticket has been successfully uploaded in our system. Option 134 Sku 1079&gt; &lt;Ishani&gt;[^SUMMARY.zip] [^Post Upload Status_V.2 (1) (1).xlsx] </t>
  </si>
  <si>
    <t>|Date :06/26/2026 &lt;Ticket picked for pre processing SKU 20&gt; &lt;Tania&gt;|
|Date :06/26/2026 &lt;Pre Processing query to Brand &lt;EAN missing and Images Query till not resolved&gt;&gt; &lt;Tania&gt;|;Date :06/27/2026 &lt; Pre Processing query to Brand 1st Follow Up&gt; &lt;Tania&gt;;Date :06/27/2026 &lt;Ticket picked for Production and QC review SKU 20 &gt; &lt;Tania&gt;
&lt;Drop 9 SKU, Brand ask to hold&gt;;Image deliver - Date :06/27/2026 &lt;Images Delivered Processed Options 20 Rejected Options 0&gt; &lt;Moumita&gt;;Date :06/27/2026 &lt;Ticket has been successfully uploaded in our system. Option 10 Sku 10&gt; &lt;Anjalita&gt;</t>
  </si>
  <si>
    <t>Date :06/26/2026 &lt;Sizes retriggered via PCM successfully.&gt;&lt;Rupa&gt;</t>
  </si>
  <si>
    <t>Date :06/26/2026&lt;Ticket picked for pre processing Option 111Sku 111&gt; &lt;Rupa&gt;;Image deliver - Date :06/26/2026 &lt;Images Delivered Processed Options 111 Rejected Options 0&gt; &lt;Saswati Dey&gt;;[^Summary.zip]
[^Status of UCW-33482.xlsx]
We have updated the images and also attached the summary file. Once the images are successfully reflected we will let you know
However, we were unable to update Few SKUS . When we tried to retrigger the SKU, it failed in the summary with the error: "Can't REMOVE PBIIDENTITYCODE/PBIIDENTITYVALUE. WE are working on it.
{adf:display=block}
{"type":"table","attrs":{"isNumberColumnEnabled":false,"layout":"center","localId":"9a29c16d-7487-4c9c-b374-d6b15c3d1972"},"content":[{"type":"tableRow","content":[{"type":"tableCell","attrs":{},"content":[{"type":"paragraph","content":[{"type":"text","text":"Ticket Id"}]}]},{"type":"tableCell","attrs":{"colspan":2},"content":[{"type":"paragraph","content":[{"type":"text","text":"UCW-33482"}]}]}]},{"type":"tableRow","content":[{"type":"tableCell","attrs":{},"content":[{"type":"paragraph","content":[{"type":"text","text":"Brand Name"}]}]},{"type":"tableCell","attrs":{"colspan":2},"content":[{"type":"paragraph","content":[{"type":"text","text":"Interparfum Brands"}]}]}]},{"type":"tableRow","content":[{"type":"tableCell","attrs":{},"content":[{"type":"paragraph","content":[{"type":"text","text":"Platform"}]}]},{"type":"tableCell","attrs":{"colspan":2},"content":[{"type":"paragraph","content":[{"type":"text","text":"Marketplace+LUX, 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111"}]}]},{"type":"tableCell","attrs":{},"content":[{"type":"paragraph","content":[{"type":"text","text":"111"}]}]}]},{"type":"tableRow","content":[{"type":"tableCell","attrs":{},"content":[{"type":"paragraph","content":[{"type":"text","text":"Uploaded"}]}]},{"type":"tableCell","attrs":{},"content":[{"type":"paragraph","content":[{"type":"text","text":"105"}]}]},{"type":"tableCell","attrs":{},"content":[{"type":"paragraph","content":[{"type":"text","text":"105"}]}]}]},{"type":"tableRow","content":[{"type":"tableCell","attrs":{},"content":[{"type":"paragraph","content":[{"type":"text","text":"Failed"}]}]},{"type":"tableCell","attrs":{},"content":[{"type":"paragraph","content":[{"type":"text","text":"6"}]}]},{"type":"tableCell","attrs":{},"content":[{"type":"paragraph","content":[{"type":"text","text":"6"}]}]}]}]}
{adf};Date :06/27/2026&lt;Ticket has been successfully uploaded in our system. Option 105Sku 105&gt; &lt;Rupa&gt;</t>
  </si>
  <si>
    <t>Date :06/26/2026 &lt;Pre Processing query to Brand &lt;Platform confirmation required and input sheet missing&gt;&gt; &lt;Amandeep&gt;</t>
  </si>
  <si>
    <t>|Date :06/25/2026 &lt;Ticket picked for pre processing SKU 10&gt; &lt;Tania&gt;|
|Date :06/26/2026 &lt;Pre Processing query to Brand &lt;Image Link is restricted&gt;&gt; &lt;Tania&gt;|;Image deliver - Date :06/26/2026 &lt;Images Delivered Processed Options 6 Rejected Options 4&gt; &lt;Moumita&gt;;Date :MM/DD/YYYY &lt;Pre Processing query to Brand &lt;Coo Details mismatches, Occasion, longevity and some skus images are unavilable&gt;&gt; &lt;Tania&gt;</t>
  </si>
  <si>
    <t>Date :06/25/2026 &lt;Ticket picked for pre processing SKU 5&gt; &lt;Tania&gt;;Image deliver - Date :06/26/2026 &lt;Images Delivered Processed Options 5 Rejected Options 0&gt; &lt;Moumita&gt;;Date :06/26/2026 &lt;Ticket picked for Production and QC review SKU 5&gt; &lt;Tania&gt;;Date :06/27/2026 &lt;Ticket has been successfully uploaded in our system. Option 2 Sku 2&gt; &lt;Anjalita&gt;</t>
  </si>
  <si>
    <t xml:space="preserve">Date :06/25/2026  &lt;Ticket picked for pre processing Option: 7 SKU: 42&gt; &lt;Sanjana Ghosh&gt;;Date :06/25/2026  &lt;Pre Processing query to Brand &lt;Size Chart Details &amp; Input Sheet Issue&gt; &lt;Sanjana Ghosh&gt; ;Date :06/26/2026 &lt;Ticket picked for Production and QC review Option: 7 SKU: 42&gt; &lt;Ankita&gt;;Image deliver - Date :06/26/2026 &lt;Images Delivered Processed Options 7 Rejected Options 0&gt; &lt;Moumita&gt;;Date :06/26/2026 &lt;Pre Processing query to Brand &lt;Season, EAN Query&gt;&gt; &lt;Ankita&gt;;Date :06/27/2026 &lt; Pre Processing query to Brand 1st Follow Up&gt; &lt;Ishani&gt;;Date :06/27/2026 &lt;Ticket has been successfully uploaded in our system. Option: 7 SKU: 42&gt; &lt;Sanjana Ghosh&gt;
PFA the post upload status and summary file: [^Summary.zip] [^UCW-33466 - Post Upload Status .xlsx] </t>
  </si>
  <si>
    <t xml:space="preserve">Date :06/25/2026 &lt;Ticket picked for pre processing Option 3 Sku 3 &gt; &lt;Anjalita&gt;;Date :06/25/2026 &lt;Ticket has been successfully uploaded in our system. Option 3 Sku 3&gt; &lt;Anjalita&gt;;The changes have been successfully updated and are now reflecting on the PDP. </t>
  </si>
  <si>
    <t>06/25/2026 &lt;Ticket picked for pre processing Option 10 Sku 10&gt; &lt;Anjalita&gt;;Image deliver - Date :06/26/2026 &lt;Images Delivered Processed Options 10 Rejected Options 0&gt; &lt;Moumita&gt;;Date :06/26/2026 &lt;Ticket has been successfully uploaded in our system. Option 10 Sku 10&gt; &lt;Anjalita&gt;;The changes have been successfully updated and are now reflecting on the PDP.</t>
  </si>
  <si>
    <t>|Date :06/25/2026 &lt;Ticket picked for pre processing SKU 1&gt; &lt;Tania&gt;|
|Date :06/26/2026 &lt;Pre Processing query to Brand &lt;Product Weight&gt;&gt; &lt;Tania&gt;|;Image deliver - Date :06/26/2026 &lt;Images Delivered Processed Options 1 Rejected Options 0&gt; &lt;Moumita&gt;;Date :06/27/2026 &lt; Pre Processing query to Brand 1st Follow Up&gt; &lt;Taniia&gt;</t>
  </si>
  <si>
    <t xml:space="preserve">Date :06/25/2026 &lt;Ticket picked for pre processing Option 2 Sku 2&gt; &lt;Anjalita&gt;;Image deliver - Date :06/26/2026 &lt;Images Delivered Processed Options 2 Rejected Options 0&gt; &lt;Moumita&gt;;Date :06/26/2026 &lt;Ticket has been successfully uploaded in our system. Option 2 Sku 2 &gt; &lt;Anjalita&gt;;The changes have been successfully updated and are now reflecting on the PDP. </t>
  </si>
  <si>
    <t>Analysis Shared - Date :06/25/2026 &lt;Analysis Shared Processed Options 17 Rejected Options 3 Rejected Reason XXX&gt; &lt;Saswati Dey&gt;;|Date :06/25/2026 &lt;Ticket picked for pre processing SKU 3&gt; &lt;Tania&gt;|
|Date :06/26/2026 &lt;Pre Processing query to Brand &lt;Image Analysis, Packer Details&gt;&gt; &lt;Tania&gt;|;Date :06/27/2026 &lt; Query to Client Follow Up&gt; &lt;Tania&gt;</t>
  </si>
  <si>
    <t>|Date :06/25/2026 &lt;Ticket picked for pre processing SKU 20&gt; &lt;Tania&gt;|
|Date :06/26/2026 &lt;Pre Processing query to Brand &lt;Image Analysis, Packer Details&gt;&gt; &lt;Tania&gt;|;Date :06/27/2026 &lt; Query to Client Follow Up&gt; &lt;Tania&gt;</t>
  </si>
  <si>
    <t>Date :06/25/2026  &lt;Ticket picked for pre processing Option: 135 SKU: 879&gt; &lt;Sanjana Ghosh&gt;;Date :06/25/2026  &lt;Pre Processing query to Brand &lt;Sizes are Duplicate&gt; &lt;Sanjana Ghosh&gt; ;Analysis Shared - Date :06/25/2026 &lt;Analysis Shared Processed Options 174 Rejected Options 118 Rejected Reason sole view missing&gt; &lt;Moumita&gt;;Date :06/25/2026 &lt;Pre Processing query to Brand &lt;Image View Missing&gt; &lt;Sanjana Ghosh&gt; ;Date :06/26/2026 &lt; Pre Processing query to Brand 1st Follow Up&gt; &lt;Ankita&gt;;Date :06/26/2026 &lt;Query to Category &lt;Image View Missing - Image Process Confirmation&gt; &lt;Sanjana Ghosh&gt; ;LUX Image deliver - Date :06/26/2026 &lt;Images Delivered Processed Options 39 Rejected Options 0&gt; &lt;Moumita&gt;</t>
  </si>
  <si>
    <t xml:space="preserve">Date :06/26/2026 &lt;Ticket picked for pre processing Option 9 Sku 9 &gt; &lt;Anjalita&gt;;Image deliver - Date :06/26/2026 &lt;Images Delivered Processed Options 9 Rejected Options 0&gt; &lt;Saswati Dey&gt;;Date :06/26/2026 &lt;Ticket has been successfully uploaded in our system. Option 9 Sku 9&gt; &lt;Anjalita&gt;; The changes have been successfully updated and are now reflecting on the PDP. </t>
  </si>
  <si>
    <t>Date :06/25/2026 &lt;Ticket picked for pre processing Option 63 Sku 503&gt; &lt;Ankita&gt;;Date :06/25/2026 &lt;Ticket picked for Production and QC review Option 63 Sku 503&gt; &lt;Ankita&gt;;Date :06/25/2026 &lt;Pre Processing query to Brand &lt;Image Query&gt;&gt; &lt;Ankita&gt;;Analysis Shared - Date :06/25/2026 &lt;Analysis Shared Processed Options 63 Rejected Options 17 Rejected Reason multiple issue&gt; &lt;Moumita&gt;;Image deliver - Date :06/25/2026 &lt;Images Delivered Processed Options 63 Rejected Options 0&gt; &lt;Moumita&gt;;Date :06/25/2026 &lt;Ticket has been successfully uploaded in our system. Option 63 Sku 503&gt; &lt;Ankita&gt;[^Post Upload Status_V.2 (1).xlsx] [^Summary.zip] ;[^UCW-33435.xlsx]
Hi [@Ankit Sharma|mailto:ankit.s@neemans.com],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a4c1cf7-0870-481f-84bc-309475691390"},"content":[{"type":"tableRow","content":[{"type":"tableCell","attrs":{"background":"#44b3e1"},"content":[{"type":"paragraph","content":[{"type":"text","text":"Ticket ID","marks":[{"type":"strong"}]}]}]},{"type":"tableCell","attrs":{"colspan":2,"background":"#44b3e1"},"content":[{"type":"paragraph","content":[{"type":"text","text":"UCW-33435","marks":[{"type":"strong"}]}]}]}]},{"type":"tableRow","content":[{"type":"tableCell","attrs":{"background":"#44b3e1"},"content":[{"type":"paragraph","content":[{"type":"text","text":"Brand Name","marks":[{"type":"strong"}]}]}]},{"type":"tableCell","attrs":{"colspan":2,"background":"#44b3e1"},"content":[{"type":"paragraph","content":[{"type":"text","text":"Neeman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503"}]}]},{"type":"tableCell","attrs":{"background":"white"},"content":[{"type":"paragraph","content":[{"type":"text","text":"63"}]}]}]},{"type":"tableRow","content":[{"type":"tableCell","attrs":{"background":"white"},"content":[{"type":"paragraph","content":[{"type":"text","text":"Uploaded"}]}]},{"type":"tableCell","attrs":{"background":"white"},"content":[{"type":"paragraph","content":[{"type":"text","text":"503"}]}]},{"type":"tableCell","attrs":{"background":"white"},"content":[{"type":"paragraph","content":[{"type":"text","text":"63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497"}]}]},{"type":"tableCell","attrs":{"background":"white"},"content":[{"type":"paragraph","content":[{"type":"text","text":"63"}]}]}]},{"type":"tableRow","content":[{"type":"tableCell","attrs":{"background":"white"},"content":[{"type":"paragraph","content":[{"type":"text","text":"Stuck in SFA"}]}]},{"type":"tableCell","attrs":{"background":"white"},"content":[{"type":"paragraph","content":[{"type":"text","text":"6"}]}]},{"type":"tableCell","attrs":{"background":"white"},"content":[{"type":"paragraph","content":[{"type":"text","text":"0"}]}]}]}]}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</si>
  <si>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25th Jun, 2026   ( Brand To Query for unble to access  Images Links)-Mousumi.
Date: 26th Jun, 2026 1st follow up Done -Mousumi.;Date : 27th Jun, 2026 2nd Follow Up Done-Mousumi</t>
  </si>
  <si>
    <t>Date : 24th Jun, 2026This ticket has been picked for Pre-Processing and Image Analysis. Mousumi.
Date : 25th Jun, 2026 Pre-Processing Done For Jewellery Category ( Brand To Query For Weight, Fine or Fashion Confirmation , Gross &amp; Metal Weight, Price Breakup On PDP &amp; Price Breakup On Invoice , Chain Length)-Mousumi.
Date : 25th Jun, 2026 Production Done -Mousumi.
Date : 25th Jun, 2026 description Done -Khushnuma
Date : 25th Jun, 2026 Images done -Moumita
Date : 26th Jun, 2026 The resolution has been received from the brand. However, query has been raised to have the Fine Jewellery category added to the seller portal;Image deliver - Date :06/25/2026 &lt;Images Delivered Processed Options 17 Rejected Options 0&gt; &lt;Moumita&gt;;Date : 26th Jun, 2026 Partially QC &amp; Uploaded Done for jewellery 
PFA the Summary &amp; Post-Uploaded sheet[^Summary.zip] [^UCW-33388 Post Upload Status_V.2 (1) (3431f2e4-433e-4210-89e8-20f641d39c2c).xlsx] ;[^UCW-33388.xlsx]
We are pleased to inform you that the listing IDs of Jewellery have been generated successfully.
Please find the attached file for your reference, along with the summary table below. You may now proceed with price and inventory pushing from your end.
{adf:display=block}
{"type":"table","attrs":{"isNumberColumnEnabled":false,"layout":"center","localId":"16ebee1b-568c-4f34-a94b-0c044fcac7dc"},"content":[{"type":"tableRow","content":[{"type":"tableCell","attrs":{"background":"#44b3e1"},"content":[{"type":"paragraph","content":[{"type":"text","text":"Ticket ID","marks":[{"type":"strong"}]}]}]},{"type":"tableCell","attrs":{"colspan":2,"background":"#44b3e1"},"content":[{"type":"paragraph","content":[{"type":"text","text":"UCW-33388","marks":[{"type":"strong"}]}]}]}]},{"type":"tableRow","content":[{"type":"tableCell","attrs":{"background":"#44b3e1"},"content":[{"type":"paragraph","content":[{"type":"text","text":"Brand Name","marks":[{"type":"strong"}]}]}]},{"type":"tableCell","attrs":{"colspan":2,"background":"#44b3e1"},"content":[{"type":"paragraph","content":[{"type":"text","text":"Jaypore","marks":[{"type":"strong"}]}]}]}]},{"type":"tableRow","content":[{"type":"tableCell","attrs":{"background":"#ace5fe"},"content":[{"type":"paragraph","content":[{"type":"text","text":"Platform","marks":[{"type":"strong"}]}]}]},{"type":"tableCell","attrs":{"colspan":2,"background":"#ace5fe"},"content":[{"type":"paragraph","content":[{"type":"text","text":"Mall +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17"}]}]},{"type":"tableCell","attrs":{},"content":[{"type":"paragraph","content":[{"type":"text","text":"17"}]}]}]},{"type":"tableRow","content":[{"type":"tableCell","attrs":{"background":"white"},"content":[{"type":"paragraph","content":[{"type":"text","text":"Uploaded"}]}]},{"type":"tableCell","attrs":{},"content":[{"type":"paragraph","content":[{"type":"text","text":"15"}]}]},{"type":"tableCell","attrs":{},"content":[{"type":"paragraph","content":[{"type":"text","text":"15"}]}]}]},{"type":"tableRow","content":[{"type":"tableCell","attrs":{"background":"white"},"content":[{"type":"paragraph","content":[{"type":"text","text":"SKUs not uploaded-Fine Jewellery category is not added to the seller portal."}]}]},{"type":"tableCell","attrs":{},"content":[{"type":"paragraph","content":[{"type":"text","text":"2"}]}]},{"type":"tableCell","attrs":{},"content":[{"type":"paragraph","content":[{"type":"text","text":"2"}]}]}]},{"type":"tableRow","content":[{"type":"tableCell","attrs":{"background":"white"},"content":[{"type":"paragraph","content":[{"type":"text","text":"LIDs Shared"}]}]},{"type":"tableCell","attrs":{},"content":[{"type":"paragraph","content":[{"type":"text","text":"15"}]}]},{"type":"tableCell","attrs":{},"content":[{"type":"paragraph","content":[{"type":"text","text":"15"}]}]}]},{"type":"tableRow","content":[{"type":"tableCell","attrs":{"background":"white"},"content":[{"type":"paragraph","content":[{"type":"text","text":"LIDs Stuck in the System"}]}]},{"type":"tableCell","attrs":{},"content":[{"type":"paragraph","content":[{"type":"text","text":"0"}]}]},{"type":"tableCell","attrs":{},"content":[{"type":"paragraph","content":[{"type":"text","text":"0"}]}]}]}]}
{adf};Date :06/27/2026 &lt;L1 raised for size chart-
[+https://tatacliqhelpdesk.freshservice.com/support/tickets/220115+|https://tatacliqhelpdesk.freshservice.com/support/tickets/220115]-Size chart Creation_Jaypore_UCW-33388_LUX_27-06-2026
[https://tatacliqhelpdesk.freshservice.com/support/tickets/220114|https://tatacliqhelpdesk.freshservice.com/support/tickets/220114]-Size chart Creation_Jaypore_UCW-33388_MP_27-06-2026&gt; &lt;Anwesha&gt;</t>
  </si>
  <si>
    <t xml:space="preserve">Date :06/24/2026 &lt;Ticket picked for pre processing Option 7 Sku 7 &gt; &lt;Anjalita&gt;;Date :06/25/2026 &lt;Ticket has been successfully uploaded in our system. Option 7 Sku 7&gt; &lt;Anjalita&gt;;LIDs shared[^Status-UCW-33373 (5e75fe1a-5978-47b2-90a5-0f6ffb56549b).xlsx] </t>
  </si>
  <si>
    <t>Date :06/24/2026  &lt;Ticket picked for pre processing Option: 4 SKU: 4&gt; &lt;Sanjana Ghosh&gt;;Image deliver - Date :06/24/2026 &lt;Images Delivered Processed Options 4 Rejected Options 0&gt; &lt;Moumita&gt;;Date :06/24/2026 &lt;Ticket has been successfully uploaded in our system. Option: 3 SKU: 3 Already Listed - Option: 1 SKU: 1&gt; &lt;Sanjana Ghosh&gt;
PFA the post upload status and summary file: [^Summary.zip] [^UCW-33361 - Post Upload Status .xlsx] ;[^UCW-33361 - Post Upload Status.xlsx]
Please find attached the sheet, where 3 options of Eyewear have been listed.
Kindly update the price and inventory, and share the summary once completed.
{adf:display=block}
{"type":"table","attrs":{"isNumberColumnEnabled":false,"layout":"center","localId":"c9f6b9b4-78ea-4494-ae75-0fbcce6db00b"},"content":[{"type":"tableRow","content":[{"type":"tableCell","attrs":{"background":"#44b3e1"},"content":[{"type":"paragraph","content":[{"type":"text","text":"Ticket ID","marks":[{"type":"strong"}]}]}]},{"type":"tableCell","attrs":{"colspan":2,"background":"#44b3e1"},"content":[{"type":"paragraph","content":[{"type":"text","text":"UCW-33361","marks":[{"type":"strong"}]}]}]}]},{"type":"tableRow","content":[{"type":"tableCell","attrs":{"background":"#44b3e1"},"content":[{"type":"paragraph","content":[{"type":"text","text":"Brand Name","marks":[{"type":"strong"}]}]}]},{"type":"tableCell","attrs":{"colspan":2,"background":"#44b3e1"},"content":[{"type":"paragraph","content":[{"type":"text","text":"Diesel ","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4"}]}]},{"type":"tableCell","attrs":{},"content":[{"type":"paragraph","content":[{"type":"text","text":"4"}]}]}]},{"type":"tableRow","content":[{"type":"tableCell","attrs":{"background":"white"},"content":[{"type":"paragraph","content":[{"type":"text","text":"Uploaded"}]}]},{"type":"tableCell","attrs":{},"content":[{"type":"paragraph","content":[{"type":"text","text":"3"}]}]},{"type":"tableCell","attrs":{},"content":[{"type":"paragraph","content":[{"type":"text","text":"3"}]}]}]},{"type":"tableRow","content":[{"type":"tableCell","attrs":{"background":"white"},"content":[{"type":"paragraph","content":[{"type":"text","text":"Already Listed"}]}]},{"type":"tableCell","attrs":{},"content":[{"type":"paragraph","content":[{"type":"text","text":"1"}]}]},{"type":"tableCell","attrs":{},"content":[{"type":"paragraph","content":[{"type":"text","text":"1"}]}]}]},{"type":"tableRow","content":[{"type":"tableCell","attrs":{"background":"white"},"content":[{"type":"paragraph","content":[{"type":"text","text":"LIDs Shared"}]}]},{"type":"tableCell","attrs":{},"content":[{"type":"paragraph","content":[{"type":"text","text":"3"}]}]},{"type":"tableCell","attrs":{},"content":[{"type":"paragraph","content":[{"type":"text","text":"3"}]}]}]},{"type":"tableRow","content":[{"type":"tableCell","attrs":{"background":"white"},"content":[{"type":"paragraph","content":[{"type":"text","text":"LIDs Stuck in the System"}]}]},{"type":"tableCell","attrs":{},"content":[{"type":"paragraph","content":[{"type":"text","text":"0"}]}]},{"type":"tableCell","attrs":{},"content":[{"type":"paragraph","content":[{"type":"text","text":"0"}]}]}]}]}
{adf}
1 option was already listed earlier. However, during our review, we found that it is appearing in the Rejected dump</t>
  </si>
  <si>
    <t>Date : 24th, Jun ,2026 This ticket has been picked for Pre-Processing and Image Analysis. Mousumi.
Date : 24th, Jun ,2026  Pre-Processing Done ( Brand to Query for Bracelet Size, Images Query, Size Measurement ) -Mousumi.
Date : 25th, Jun ,2026 Ist followup done-Mousumi.
Date : 25th, Jun ,2026 Resolution has been received from the brand. However, a query has been raised regarding the Bracelet Size Chart Measurement.
Date : 26th, Jun ,2026 1st follow up done for Size Chart Measurement.-Mousumi.;Analysis Shared - Date :06/24/2026 &lt;Analysis Shared Processed Options 56 Rejected Options 6 Rejected Reason image NA&gt; &lt;Moumita&gt;;Image deliver - Date :06/25/2026 &lt;Images Delivered Processed Options 56 Rejected Options 0&gt; &lt;Moumita&gt;;Date : 27th, Jun ,2026 2nd follow up done for Size Chart Measurement.-Mousumi.</t>
  </si>
  <si>
    <t xml:space="preserve">Date :06/24/2026  &lt;Ticket picked for pre processing Option: 28 SKU: 28&gt; &lt;Sanjana Ghosh&gt;;Analysis Shared - Date :06/24/2026 &lt;Analysis Shared Processed Options 28 Rejected Options 2 Rejected Reason multiple issue&gt; &lt;Moumita&gt;;Date :06/25/2026 &lt;Pre Processing query to Brand &lt;Global Identifier &amp; Mandatory image Missing&gt;&gt; &lt;Anwesha Mondal&gt;;Date :06/26/2026 &lt; Pre Processing query to Brand 1st Follow Up&gt; &lt;Anwesha&gt;;Image deliver - Date :06/27/2026 &lt;Images Delivered Processed Options 28 Rejected Options 2&gt; &lt;Moumita&gt;;Date :06/27/2026 &lt;Ticket has been successfully uploaded in our system. Uploaded Option 26 Sku 26, Not Uploaded Option 2 Sku 2(Mandatory Image Not Provided)&gt; &lt;Anwesha&gt;
[^Post Upload Status_UCW-33349.xlsx]
[^Summary.zip]
</t>
  </si>
  <si>
    <t>Date :06/24/2026 &lt;Ticket picked for pre processing Option 11 Sku 33&gt; &lt;Ankita&gt;;Date :06/24/2026 &lt;Pre Processing query to Brand &lt;LESS THAN 3 SKUS IN CLUSTER , SIZES ARE NOT CONTINUOUS&gt;&gt; &lt;Ishani&gt;;Date :06/24/2026 &lt;Ticket picked for Production and QC review Option 11 Sku 33&gt; &lt;Ishani&gt;;*Image deliver - Date :06/24/20926 &lt;Images Delivered Processed Options 13 Rejected Options 0&gt; &lt;Saswati Dey&gt;*;Date :06/25/2026 &lt; Pre Processing query to Brand 1st Follow Up&gt; &lt;Ishani&gt;;Date :06/26/2026 &lt;Ticket picked for Production and QC review &amp; Cut Size Addition&gt; &lt;Ishani&gt;;We would like to inform you that your ticket has been successfully uploaded (Fresh Listing) &amp; also Cut Size Addition done in our system.
Please find the attached summary files and post-upload file for your reference. We will share a further update once the listing IDs are generated.
*Adult LUXURY Platform ::* We reviewed the provided SKUs and found that they were shared for cut size addition. However, the lead of this cluster is already in a *Rejected* state due to the *Sales Hierarchy* issue, and all the associated child SKUs are also in the *Rejected* state.
If we proceed with the cut size addition, the newly added sizes will also move to the *Rejected* state.
*Kids Marketplace:* For clusters *319219LI-GRY* and *319219LI-LTPK*, the *Age Group* size attribute is missing for *UK-10* and *UK-11*.
* *Kids Luxury:* Clusters *319219LI-GRY* and *319219LI-LTPK* are not listed on the Luxury platform. Therefore, these need to be processed as *fresh listings*, but the required listing data is currently unavailable.
Kindly provide the missing *Age Group* details for the Marketplace SKUs and share the complete fresh listing data required for the Luxury platform so that we can proceed with processing.
Your request is important to us, and we will continue to keep you updated throughout the ticket journey.
Date :06/26/2026 &lt;Ticket has been successfully uploaded in our system. Mall :: Option 13 Sku 33&gt; &lt;Ishani&gt;
Lux ::  Option 8 Sku 20&gt; &lt;Ishani&gt;
[^All Summary.zip] [^Post Upload Status_V.2 (1) (1).xlsx] ;[^UCW-33330.xlsx]
Please find attached the sheet, where 13 options of Mall and 7 options of Luxury have been listed.
Kindly update the price and inventory, and share the summary once completed.
{adf:display=block}
{"type":"table","attrs":{"isNumberColumnEnabled":false,"layout":"center","localId":"f42790b9-accd-44b1-b871-04d4113f7408"},"content":[{"type":"tableRow","content":[{"type":"tableCell","attrs":{"background":"#44b3e1"},"content":[{"type":"paragraph","content":[{"type":"text","text":"Ticket ID","marks":[{"type":"strong"}]}]}]},{"type":"tableCell","attrs":{"colspan":4,"background":"#44b3e1"},"content":[{"type":"paragraph","content":[{"type":"text","text":"UCW-33330","marks":[{"type":"strong"}]}]}]}]},{"type":"tableRow","content":[{"type":"tableCell","attrs":{"background":"#44b3e1"},"content":[{"type":"paragraph","content":[{"type":"text","text":"Brand Name","marks":[{"type":"strong"}]}]}]},{"type":"tableCell","attrs":{"colspan":4,"background":"#44b3e1"},"content":[{"type":"paragraph","content":[{"type":"text","text":"Skechers","marks":[{"type":"strong"}]}]}]}]},{"type":"tableRow","content":[{"type":"tableCell","attrs":{"background":"#44b3e1"},"content":[{"type":"paragraph","content":[{"type":"text","text":"Platform","marks":[{"type":"strong"}]}]}]},{"type":"tableCell","attrs":{"colspan":2,"background":"#44b3e1"},"content":[{"type":"paragraph","content":[{"type":"text","text":"Luxury","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type":"tableCell","attrs":{"background":"white"},"content":[{"type":"paragraph","content":[{"type":"text","text":"11"}]}]},{"type":"tableCell","attrs":{"background":"white"},"content":[{"type":"paragraph","content":[{"type":"text","text":"33"}]}]},{"type":"tableCell","attrs":{"background":"white"},"content":[{"type":"paragraph","content":[{"type":"text","text":"13"}]}]}]},{"type":"tableRow","content":[{"type":"tableCell","attrs":{"background":"white"},"content":[{"type":"paragraph","content":[{"type":"text","text":"Uploaded"}]}]},{"type":"tableCell","attrs":{"background":"white"},"content":[{"type":"paragraph","content":[{"type":"text","text":"20"}]}]},{"type":"tableCell","attrs":{"background":"white"},"content":[{"type":"paragraph","content":[{"type":"text","text":"8"}]}]},{"type":"tableCell","attrs":{"background":"white"},"content":[{"type":"paragraph","content":[{"type":"text","text":"33"}]}]},{"type":"tableCell","attrs":{"background":"white"},"content":[{"type":"paragraph","content":[{"type":"text","text":"13"}]}]}]},{"type":"tableRow","content":[{"type":"tableCell","attrs":{"background":"white"},"content":[{"type":"paragraph","content":[{"type":"text","text":"SKUs Not Uploaded"}]}]},{"type":"tableCell","attrs":{"background":"white"},"content":[{"type":"paragraph","content":[{"type":"text","text":"3"}]}]},{"type":"tableCell","attrs":{"background":"white"},"content":[{"type":"paragraph","content":[{"type":"text","text":"3"}]}]},{"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17"}]}]},{"type":"tableCell","attrs":{"background":"white"},"content":[{"type":"paragraph","content":[{"type":"text","text":"7"}]}]},{"type":"tableCell","attrs":{"background":"white"},"content":[{"type":"paragraph","content":[{"type":"text","text":"33"}]}]},{"type":"tableCell","attrs":{"background":"white"},"content":[{"type":"paragraph","content":[{"type":"text","text":"13"}]}]}]},{"type":"tableRow","content":[{"type":"tableCell","attrs":{"background":"white"},"content":[{"type":"paragraph","content":[{"type":"text","text":"LIDs Stuck in the System"}]}]},{"type":"tableCell","attrs":{},"content":[{"type":"paragraph","content":[{"type":"text","text":"3"}]}]},{"type":"tableCell","attrs":{"background":"white"},"content":[{"type":"paragraph","content":[{"type":"text","text":"1"}]}]},{"type":"tableCell","attrs":{},"content":[{"type":"paragraph","content":[{"type":"text","text":"0"}]}]},{"type":"tableCell","attrs":{"background":"white"},"content":[{"type":"paragraph","content":[{"type":"text","text":"0"}]}]}]}]}
{adf}
1 Option stuck in Rejected due to "Platform should contain at least one sales hierarchy". We are working on this issue and have already highlighted it to the L1 team. Once we receive a resolution, we will upload the SKUs again with the correct mapping and inform you at the earliest.</t>
  </si>
  <si>
    <t>Image deliver - Date :06/24/2026 &lt;Images Delivered Processed Options 3 Rejected Options 0&gt; &lt;Saswati Dey&gt;;Date :06/24/2026 &lt;Ticket picked for pre processing Option 3Sku 3&gt; &lt;Tania&gt;;Date :06/25/2026 &lt;Pre Processing query to Brand &lt;Ingredients Mismatched&gt;&gt; &lt;Tania&gt;;Date :06/25/2026 &lt;Ticket picked for Production and QC review SKU 3&gt; &lt;Tania&gt;;[^UCW-33325 (870a9a01-8edb-46af-b750-b297fb33f99e).zip]
[^UCW-33325_Post Upload Status.xlsx]
Date :06/26/2026 &lt;Ticket has been successfully uploaded in our system. Option 3 Sku 3 &gt; &lt;Tania&gt;</t>
  </si>
  <si>
    <t>Analysis Shared - Date :06/24/2026 &lt;Analysis Shared Processed Options 78 Rejected Options 0 Rejected Reason XXX&gt; &lt;Saswati Dey&gt;;*Image deliver - Date :06/25/2026 &lt;Images Delivered Processed Options 78 Rejected Options 0&gt; &lt;Saswati Dey&gt;*;[^Status of ucw-33323.xlsx]
[^summary (398a1f83-4728-48cd-8f0a-f1d3744fc336).zip]
72 SKUs were successfully updated with the new images. However, we were unable to update the SKU mentioned below. When we tried to retrigger the SKU, it failed in the summary with the error: "Can't REMOVE PBIIDENTITYCODE/PBIIDENTITYVALUE." We have already highlighted the issue to the Tech Team and will provide an update once a resolution is received. 
{adf:display=block}
{"type":"table","attrs":{"isNumberColumnEnabled":false,"layout":"center","localId":"c04a1807-bfa1-4fca-beef-e0dd05f809b5"},"content":[{"type":"tableRow","content":[{"type":"tableCell","attrs":{},"content":[{"type":"paragraph","content":[{"type":"text","text":"Ticket ID"}]}]},{"type":"tableCell","attrs":{"colspan":2},"content":[{"type":"paragraph","content":[{"type":"text","text":"UCW-33323"}]}]}]},{"type":"tableRow","content":[{"type":"tableCell","attrs":{},"content":[{"type":"paragraph","content":[{"type":"text","text":"Brand Name"}]}]},{"type":"tableCell","attrs":{"colspan":2},"content":[{"type":"paragraph","content":[{"type":"text","text":"Multiple"}]}]}]},{"type":"tableRow","content":[{"type":"tableCell","attrs":{},"content":[{"type":"paragraph","content":[{"type":"text","text":"Platform"}]}]},{"type":"tableCell","attrs":{"colspan":2},"content":[{"type":"paragraph","content":[{"type":"text","text":"Marketplace+LUX,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78"}]}]},{"type":"tableCell","attrs":{},"content":[{"type":"paragraph","content":[{"type":"text","text":"78"}]}]}]},{"type":"tableRow","content":[{"type":"tableCell","attrs":{},"content":[{"type":"paragraph","content":[{"type":"text","text":"Uploaded"}]}]},{"type":"tableCell","attrs":{},"content":[{"type":"paragraph","content":[{"type":"text","text":"72"}]}]},{"type":"tableCell","attrs":{},"content":[{"type":"paragraph","content":[{"type":"text","text":"72"}]}]}]},{"type":"tableRow","content":[{"type":"tableCell","attrs":{},"content":[{"type":"paragraph","content":[{"type":"text","text":"Failed"}]}]},{"type":"tableCell","attrs":{},"content":[{"type":"paragraph","content":[{"type":"text","text":"6"}]}]},{"type":"tableCell","attrs":{},"content":[{"type":"paragraph","content":[{"type":"text","text":"6"}]}]}]}]}
{adf};Date :06/25/2026&lt;Ticket has been successfully uploaded in our system. Option 72Sku 72&gt; &lt;Rupa&gt;;Date :06/25/2026&lt;Option 6  Sku 6 L1 raised  &gt; &lt;Rupa&gt;</t>
  </si>
  <si>
    <t>PFA the Post Upload Sheet &amp; Summary.
[^Post Upload Status_UCW-30929.xlsx]
[^Summary.zip]
;[^UCW-30929.xlsx]
Please find attached the sheet, where 305 options of Women's Apparel have been listed.
Kindly update the price and inventory, and share the summary once completed.
{adf:display=block}
{"type":"table","attrs":{"isNumberColumnEnabled":false,"layout":"center","localId":"d87d75ac-0181-4e84-bf1c-de38df7e4d1f"},"content":[{"type":"tableRow","content":[{"type":"tableCell","attrs":{"background":"#44b3e1"},"content":[{"type":"paragraph","content":[{"type":"text","text":"Ticket ID","marks":[{"type":"strong"}]}]}]},{"type":"tableCell","attrs":{"colspan":2,"background":"#44b3e1"},"content":[{"type":"paragraph","content":[{"type":"text","text":"UCW-30929","marks":[{"type":"strong"}]}]}]}]},{"type":"tableRow","content":[{"type":"tableCell","attrs":{"background":"#44b3e1"},"content":[{"type":"paragraph","content":[{"type":"text","text":"Brand Name","marks":[{"type":"strong"}]}]}]},{"type":"tableCell","attrs":{"colspan":2,"background":"#44b3e1"},"content":[{"type":"paragraph","content":[{"type":"text","text":"Soc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598"}]}]},{"type":"tableCell","attrs":{},"content":[{"type":"paragraph","content":[{"type":"text","text":"340"}]}]}]},{"type":"tableRow","content":[{"type":"tableCell","attrs":{"background":"white"},"content":[{"type":"paragraph","content":[{"type":"text","text":"Uploaded"}]}]},{"type":"tableCell","attrs":{},"content":[{"type":"paragraph","content":[{"type":"text","text":"528"}]}]},{"type":"tableCell","attrs":{},"content":[{"type":"paragraph","content":[{"type":"text","text":"305"}]}]}]},{"type":"tableRow","content":[{"type":"tableCell","attrs":{"background":"white"},"content":[{"type":"paragraph","content":[{"type":"text","text":"SKUs not Uploaded-Less Than 3 sizes present in 1 cluster"}]}]},{"type":"tableCell","attrs":{},"content":[{"type":"paragraph","content":[{"type":"text","text":"70"}]}]},{"type":"tableCell","attrs":{},"content":[{"type":"paragraph","content":[{"type":"text","text":"35"}]}]}]},{"type":"tableRow","content":[{"type":"tableCell","attrs":{"background":"white"},"content":[{"type":"paragraph","content":[{"type":"text","text":"LIDs Shared"}]}]},{"type":"tableCell","attrs":{},"content":[{"type":"paragraph","content":[{"type":"text","text":"528"}]}]},{"type":"tableCell","attrs":{},"content":[{"type":"paragraph","content":[{"type":"text","text":"305"}]}]}]},{"type":"tableRow","content":[{"type":"tableCell","attrs":{"background":"white"},"content":[{"type":"paragraph","content":[{"type":"text","text":"LIDs Stuck in the System"}]}]},{"type":"tableCell","attrs":{},"content":[{"type":"paragraph","content":[{"type":"text","text":"0"}]}]},{"type":"tableCell","attrs":{},"content":[{"type":"paragraph","content":[{"type":"text","text":"0"}]}]}]}]}
{adf};[^UCW-30929_SE.zip]
[^124205_product_retrigger_BULK_UPLOAD_summary.csv]
[^UCW-31218.xlsx]
Thank you for highlighting the issue.
We also reviewed the product and found that the first image was cropped, which may have caused the validation issue. To address this, we have updated the image sequence. The updated images have already been uploaded via FileZilla, and the SKU has been retriggered using the Product Re-Trigger Bulk Upload functionality.
Once the changes are reflected on the platform, we will validate the product and update you accordingly.</t>
  </si>
  <si>
    <t>Analysis Shared - Date :06/24/2026 &lt;Analysis Shared Processed Options 1 Rejected Options 0 Rejected Reason XXX&gt; &lt;Saswati Dey&gt;;*Image deliver - Date :06/24/2026 &lt;Images Delivered Processed Options 1 Rejected Options 0&gt; &lt;Saswati Dey&gt;*;Date :06/24/2026 &lt;Ticket has been successfully uploaded in our system. Option 1 Sku 1&gt; &lt;Anjalita&gt;;The changes have been successfully updated and are now reflecting in the GPS. The product has been delisted and is no longer visible on the PDP.
Kindly push the PI from your end. Once the PI is pushed, the changes will be reflected on the PDP as well.</t>
  </si>
  <si>
    <t xml:space="preserve">Date :06/23/2026 &lt;Ticket picked for pre processing Option 2 Sku 2 &gt; &lt;Anjalita&gt;;Analysis Shared - Date :06/24/2026 &lt;Analysis Shared Processed Options 0 Rejected Options 2 Rejected Reason XXX&gt; &lt;Saswati Dey&gt;;* Analysis Shared - Date :06/24/2026 &lt;Analysis Shared Processed Options 2 Rejected Options 0 Rejected Reason XXX&gt; &lt;Saswati Dey&gt;
** 
* ;*Image deliver - Date :06/24/2026 &lt;Images Delivered Processed Options 2 Rejected Options 0&gt; &lt;Saswati Dey&gt;*;Date :06/24/2026 &lt;Ticket has been successfully uploaded in our system. Option 2 Sku 2 &gt; &lt;Anjalita&gt;;The changes have been successfully updated and are now reflecting on the PDP. </t>
  </si>
  <si>
    <t>|Date :06/24/2026 &lt;Ticket picked for pre processing SKU 13&gt; &lt;Tania&gt;|
|Date :06/24/2026 &lt;Pre Processing query to Brand &lt;EAN Code, Set Size Details, Certificate&gt;&gt; &lt;Tania&gt;|;Date :06/25/2026 &lt; Pre Processing query to Brand 1st Follow Up&gt; &lt;Tania&gt;;Date :06/25/2026 &lt;Ticket picked for Production and QC review SKU 13&gt; &lt;Tania&gt;;Image deliver - Date :06/25/2026 &lt;Images Delivered Processed Options 13 Rejected Options 0&gt; &lt;Moumita&gt;;Date :06/25/2026 &lt;Ticket has been successfully uploaded in our system. SKU 13&gt; &lt;Tania&gt;;We have successfully uploaded this batch. Please find the attached summary sheet and summary report.[^ProductBulkUpload_129094_Beauty__Grooming(MPH22)_Makeup(MPH2214)_Eyes(MPH2214100)_Eyeliner(MPH2214100106)_48868_1782377011967_20260625_021332_129_summary.csv] [^UCW-33297_Post Upload Status.xlsx] [^ProductBulkUpload_129094_Beauty__Grooming(MPH22)_Makeup(MPH2214)_Lips(MPH2214102)_Lip_Gloss(MPH2214102102)_48868_1782377063641_20260625_021423_758_summary.csv] ;[^UCW-33297.xlsx]
Hi [@Tamanna .|mailto:Tamanna@colorsqueen.com]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c7b005e-5464-452a-a90f-bd87b6c7616b"},"content":[{"type":"tableRow","content":[{"type":"tableCell","attrs":{"background":"#44b3e1"},"content":[{"type":"paragraph","content":[{"type":"text","text":"Ticket ID","marks":[{"type":"strong"}]}]}]},{"type":"tableCell","attrs":{"colspan":2,"background":"#44b3e1"},"content":[{"type":"paragraph","content":[{"type":"text","text":"UCW-33297","marks":[{"type":"strong"}]}]}]}]},{"type":"tableRow","content":[{"type":"tableCell","attrs":{"background":"#44b3e1"},"content":[{"type":"paragraph","content":[{"type":"text","text":"Brand Name","marks":[{"type":"strong"}]}]}]},{"type":"tableCell","attrs":{"colspan":2,"background":"#44b3e1"},"content":[{"type":"paragraph","content":[{"type":"text","text":"Colors Queen","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13"}]}]},{"type":"tableCell","attrs":{"background":"white"},"content":[{"type":"paragraph","content":[{"type":"text","text":"13"}]}]}]},{"type":"tableRow","content":[{"type":"tableCell","attrs":{"background":"white"},"content":[{"type":"paragraph","content":[{"type":"text","text":"Uploaded"}]}]},{"type":"tableCell","attrs":{"background":"white"},"content":[{"type":"paragraph","content":[{"type":"text","text":"13"}]}]},{"type":"tableCell","attrs":{"background":"white"},"content":[{"type":"paragraph","content":[{"type":"text","text":"13"}]}]}]},{"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13"}]}]},{"type":"tableCell","attrs":{"background":"white"},"content":[{"type":"paragraph","content":[{"type":"text","text":"13"}]}]}]},{"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</si>
  <si>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:06/23/2026 &lt;Ticket picked for pre processing SKU 3&gt; &lt;Tania&gt;|
|Date :06/23/2026 &lt;Pre Processing query to Brand &lt;Ingredients Mismatch, Occasion, Top Note, Skin Type &amp; Set Size Details Missing, Image Analysis&gt;&gt; &lt;Tania&gt;|;|Date :06/24/2026 &lt; Pre Processing query to Brand 1st Follow Up&gt; &lt;Tania&gt;|;Date :06/25/2026 &lt; Pre Processing query to Brand 2nd Follow Up&gt; &lt;Tania&gt;;Date :06/26/2026 &lt; Pre Processing query to Brand 3rd Follow Up&gt; &lt;Tania&gt;;Date :06/26/2026 &lt; Closing ticket as per brand confirmation&gt; &lt;Tania&gt;</t>
  </si>
  <si>
    <t>Date :06/23/2026 &lt;Ticket picked for pre processing SKU 7&gt; &lt;Tania&gt;;Date :06/24/2026 &lt;Ticket picked for Production and QC review SKU 7&gt; &lt;Tania&gt;;Image deliver - Date :06/24/2026 &lt;Images Delivered Processed Options 7 Rejected Options 0&gt; &lt;Moumita&gt;;Date :06/24/2026&lt;Ticket has been successfully uploaded in our system. Option 7 Sku 7 &gt; &lt;Anjalita&gt;;[^Status-UCW-33293 (78aebfd7-936e-49d3-8002-2f499b12789f).xlsx]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ca3bae6-f6ed-4397-ba91-45887c471367"},"content":[{"type":"tableRow","content":[{"type":"tableCell","attrs":{"background":"#44b3e1"},"content":[{"type":"paragraph","content":[{"type":"text","text":"Ticket ID","marks":[{"type":"strong"}]}]}]},{"type":"tableCell","attrs":{"colspan":2,"background":"#44b3e1"},"content":[{"type":"paragraph","content":[{"type":"text","text":"UCW-33293","marks":[{"type":"strong"}]}]}]}]},{"type":"tableRow","content":[{"type":"tableCell","attrs":{"background":"#44b3e1"},"content":[{"type":"paragraph","content":[{"type":"text","text":"Brand Name","marks":[{"type":"strong"}]}]}]},{"type":"tableCell","attrs":{"colspan":2,"background":"#44b3e1"},"content":[{"type":"paragraph","content":[{"type":"text","text":"Tabac Guess Ferragamo","marks":[{"type":"strong"}]}]}]}]},{"type":"tableRow","content":[{"type":"tableCell","attrs":{"background":"#ace5fe"},"content":[{"type":"paragraph","content":[{"type":"text","text":"Platform","marks":[{"type":"strong"}]}]}]},{"type":"tableCell","attrs":{"colspan":2,"background":"#ace5fe"},"content":[{"type":"paragraph","content":[{"type":"text","text":"Mall + 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7"}]}]},{"type":"tableCell","attrs":{},"content":[{"type":"paragraph","content":[{"type":"text","text":"7"}]}]}]},{"type":"tableRow","content":[{"type":"tableCell","attrs":{"background":"white"},"content":[{"type":"paragraph","content":[{"type":"text","text":"Uploaded"}]}]},{"type":"tableCell","attrs":{},"content":[{"type":"paragraph","content":[{"type":"text","text":"7"}]}]},{"type":"tableCell","attrs":{},"content":[{"type":"paragraph","content":[{"type":"text","text":"7"}]}]}]},{"type":"tableRow","content":[{"type":"tableCell","attrs":{"background":"white"},"content":[{"type":"paragraph","content":[{"type":"text","text":"LIDs Shared"}]}]},{"type":"tableCell","attrs":{},"content":[{"type":"paragraph","content":[{"type":"text","text":"7"}]}]},{"type":"tableCell","attrs":{},"content":[{"type":"paragraph","content":[{"type":"text","text":"7"}]}]}]},{"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</si>
  <si>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Date :06/23/2026 &lt;Ticket picked for pre processing Option 36 Sku 36&gt; &lt;Anjalita&gt;;Date :06/24/2026 &lt;Pre Processing query to Brand &lt;Details Needed&gt;&gt; &lt;Anjalita&gt;;Image deliver - Date :06/24/2026 &lt;Images Delivered Processed Options 36 Rejected Options 0&gt; &lt;Moumita&gt;;Date :06/24/2026 &lt;Ticket has been successfully uploaded in our system. Option 36 Sku 36&gt; &lt;Anjalita&gt;;The changes have been successfully updated and are now reflecting on the PDP.</t>
  </si>
  <si>
    <t xml:space="preserve">|Date :06/23/2026 &lt;Ticket picked for pre processing SKU 8&gt; &lt;Tania&gt;|
|Date :06/23/2026 &lt;Pre Processing query to Brand &lt;Image Analysis&gt;&gt; &lt;Tania&gt;|
|Date :06/24/2026 &lt; Pre Processing query to Brand 1st Follow Up&gt; &lt;Tania&gt;|;Image deliver - Date :06/24/2026 &lt;Images Delivered Processed Options 8 Rejected Options 0&gt; &lt;Moumita&gt;;Date :06/24/2026 &lt;Ticket has been successfully uploaded in our system. Option 8 Sku 8&gt; &lt;Anjalita&gt;;Date :06/25/2026 &lt;LIDs shared&gt;&lt;Piyush&gt;
{adf:display=block}
{"type":"table","attrs":{"isNumberColumnEnabled":false,"layout":"center","localId":"bf5d771a-93a9-4a78-aa82-f43dc9a40683"},"content":[{"type":"tableRow","content":[{"type":"tableCell","attrs":{"background":"#44b3e1"},"content":[{"type":"paragraph","content":[{"type":"text","text":"Ticket ID","marks":[{"type":"strong"}]}]}]},{"type":"tableCell","attrs":{"colspan":2,"background":"#44b3e1"},"content":[{"type":"paragraph","content":[{"type":"text","text":"UCW-33290","marks":[{"type":"strong"}]}]}]}]},{"type":"tableRow","content":[{"type":"tableCell","attrs":{"background":"#44b3e1"},"content":[{"type":"paragraph","content":[{"type":"text","text":"Brand Name","marks":[{"type":"strong"}]}]}]},{"type":"tableCell","attrs":{"colspan":2,"background":"#44b3e1"},"content":[{"type":"paragraph","content":[{"type":"text","text":"Rayhaa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8"}]}]},{"type":"tableCell","attrs":{},"content":[{"type":"paragraph","content":[{"type":"text","text":"8"}]}]}]},{"type":"tableRow","content":[{"type":"tableCell","attrs":{"background":"white"},"content":[{"type":"paragraph","content":[{"type":"text","text":"Uploaded"}]}]},{"type":"tableCell","attrs":{},"content":[{"type":"paragraph","content":[{"type":"text","text":"8"}]}]},{"type":"tableCell","attrs":{},"content":[{"type":"paragraph","content":[{"type":"text","text":"8"}]}]}]},{"type":"tableRow","content":[{"type":"tableCell","attrs":{"background":"white"},"content":[{"type":"paragraph","content":[{"type":"text","text":"LIDs Shared"}]}]},{"type":"tableCell","attrs":{},"content":[{"type":"paragraph","content":[{"type":"text","text":"8"}]}]},{"type":"tableCell","attrs":{},"content":[{"type":"paragraph","content":[{"type":"text","text":"8"}]}]}]}]}
{adf}
[^Post Upload Status-UCW-33290 (5bdb2662-8287-4296-aed7-2f4c1f72607f).xlsx]
</t>
  </si>
  <si>
    <t>Date :06/23/2026 &lt;Ticket picked for pre processing SKU 2&gt; &lt;Tania&gt;;Date :06/24/2026 &lt;Ticket picked for Production and QC review SKU 2&gt; &lt;Tania&gt;;Image deliver - Date :06/24/2026 &lt;Images Delivered Processed Options 2 Rejected Options 0&gt; &lt;Moumita&gt;;Date :06/24/2026 &lt;Ticket has been successfully uploaded in our system. Option 2 Sku 2 &gt; &lt;Anjalita&gt;;[^Post Upload Status-UCW-33288 (5d4ee71f-4698-4349-ae89-f0b46193ff6f).xlsx]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9826b2d0-83da-4c92-8a7e-6e640fbc2817"},"content":[{"type":"tableRow","content":[{"type":"tableCell","attrs":{"background":"#44b3e1"},"content":[{"type":"paragraph","content":[{"type":"text","text":"Ticket ID","marks":[{"type":"strong"}]}]}]},{"type":"tableCell","attrs":{"colspan":2,"background":"#44b3e1"},"content":[{"type":"paragraph","content":[{"type":"text","text":"UCW-33288","marks":[{"type":"strong"}]}]}]}]},{"type":"tableRow","content":[{"type":"tableCell","attrs":{"background":"#44b3e1"},"content":[{"type":"paragraph","content":[{"type":"text","text":"Brand Name","marks":[{"type":"strong"}]}]}]},{"type":"tableCell","attrs":{"colspan":2,"background":"#44b3e1"},"content":[{"type":"paragraph","content":[{"type":"text","text":"Dermatouc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type":"tableCell","attrs":{},"content":[{"type":"paragraph","content":[{"type":"text","text":"2"}]}]}]},{"type":"tableRow","content":[{"type":"tableCell","attrs":{"background":"white"},"content":[{"type":"paragraph","content":[{"type":"text","text":"Uploaded"}]}]},{"type":"tableCell","attrs":{},"content":[{"type":"paragraph","content":[{"type":"text","text":"2"}]}]},{"type":"tableCell","attrs":{},"content":[{"type":"paragraph","content":[{"type":"text","text":"2"}]}]}]},{"type":"tableRow","content":[{"type":"tableCell","attrs":{"background":"white"},"content":[{"type":"paragraph","content":[{"type":"text","text":"LIDs Shared"}]}]},{"type":"tableCell","attrs":{},"content":[{"type":"paragraph","content":[{"type":"text","text":"2"}]}]},{"type":"tableCell","attrs":{},"content":[{"type":"paragraph","content":[{"type":"text","text":"2"}]}]}]},{"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</si>
  <si>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|Date :06/23/2026 &lt;Ticket picked for pre processing SKU 13&gt; &lt;Tania&gt;|
|Date :06/23/2026 &lt;Pre Processing query to Brand &lt;Manufacturer Details, COO Mismatched, Image Analysis, Occasion, Fragrance Family, Notes are missing &gt;&gt; &lt;Tania&gt;|;Date :06/24/2026 &lt; Pre Processing query to Brand 1st Follow Up&gt; &lt;Tania&gt;;Image deliver - Date :06/24/2026 &lt;Images Delivered Processed Options 13 Rejected Options 0&gt; &lt;Moumita&gt;;|Date :06/24/2026 &lt;Ticket picked for Production and QC review SKU 13&gt; &lt;Tania&gt;|
|Date :06/25/2026&lt;Ticket has been successfully uploaded in our system. SKU 13&gt; &lt;Tania&gt;|;We have successfully uploaded this batch. Please find the attached summary sheet and summary report.
[^SUMM.zip]
[^UCw-26154_Post Upload Status.xlsx]
;[^UCw-26154_Post Upload Status (7764219b-1a5e-400f-9012-fc5fe357dd6f).xlsx]
Please find attached the sheet, where 13 options of Beauty &amp; Grooming have been listed.
Kindly update the price and inventory, and share the summary once completed.
{adf:display=block}
{"type":"table","attrs":{"isNumberColumnEnabled":false,"layout":"center","localId":"b337cb0f-0614-422b-ab71-406c150bc907"},"content":[{"type":"tableRow","content":[{"type":"tableCell","attrs":{"background":"#44b3e1"},"content":[{"type":"paragraph","content":[{"type":"text","text":"Ticket ID","marks":[{"type":"strong"}]}]}]},{"type":"tableCell","attrs":{"colspan":2,"background":"#44b3e1"},"content":[{"type":"paragraph","content":[{"type":"text","text":"UCW-26154","marks":[{"type":"strong"}]}]},{"type":"paragraph","content":[{"type":"text","text":"Cloned-UCW-33282","marks":[{"type":"strong"}]}]}]}]},{"type":"tableRow","content":[{"type":"tableCell","attrs":{"background":"#44b3e1"},"content":[{"type":"paragraph","content":[{"type":"text","text":"Brand Name","marks":[{"type":"strong"}]}]}]},{"type":"tableCell","attrs":{"colspan":2,"background":"#44b3e1"},"content":[{"type":"paragraph","content":[{"type":"text","text":"THE BODY SHOP","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13"}]}]},{"type":"tableCell","attrs":{},"content":[{"type":"paragraph","content":[{"type":"text","text":"13"}]}]}]},{"type":"tableRow","content":[{"type":"tableCell","attrs":{"background":"white"},"content":[{"type":"paragraph","content":[{"type":"text","text":"Uploaded"}]}]},{"type":"tableCell","attrs":{},"content":[{"type":"paragraph","content":[{"type":"text","text":"13"}]}]},{"type":"tableCell","attrs":{},"content":[{"type":"paragraph","content":[{"type":"text","text":"13"}]}]}]},{"type":"tableRow","content":[{"type":"tableCell","attrs":{"background":"white"},"content":[{"type":"paragraph","content":[{"type":"text","text":"LIDs Shared"}]}]},{"type":"tableCell","attrs":{},"content":[{"type":"paragraph","content":[{"type":"text","text":"13"}]}]},{"type":"tableCell","attrs":{},"content":[{"type":"paragraph","content":[{"type":"text","text":"13"}]}]}]},{"type":"tableRow","content":[{"type":"tableCell","attrs":{"background":"white"},"content":[{"type":"paragraph","content":[{"type":"text","text":"LIDs Stuck in the System"}]}]},{"type":"tableCell","attrs":{},"content":[{"type":"paragraph","content":[{"type":"text","text":"0"}]}]},{"type":"tableCell","attrs":{},"content":[{"type":"paragraph","content":[{"type":"text","text":"0"}]}]}]}]}
{adf}</t>
  </si>
  <si>
    <t>Date :06/23/2026  &lt;Ticket picked for pre processing Option 75 Sku 75&gt; &lt;Anjalita&gt;;Date :06/24/2026 &lt;Pre Processing query to Brand &lt;Deatils Needed&gt;&gt; &lt;Anjalita&gt;;* Date :06/25/2026 &lt;Pre Processing query to Brand &lt;Deatils Needed&gt;&gt; 2nd follow up by shraddha&lt;Anjalita&gt;;* Date :06/26/2026 &lt;Pre Processing query to Brand &lt;Deatils Needed&gt;3rd follow up&gt; &lt;Anjalita&gt;
** 
* ;Date :06/26/2026 &lt;Ticket has been successfully uploaded in our system.&gt; &lt;Anjalita&gt;
{adf:display=block}
{"type":"table","attrs":{"isNumberColumnEnabled":false,"layout":"center","localId":"741ac31f-c424-4241-b7ee-f950efcadccd"},"content":[{"type":"tableRow","content":[{"type":"tableCell","attrs":{},"content":[{"type":"paragraph","content":[{"type":"text","text":"Ticket ID"}]}]},{"type":"tableCell","attrs":{"colspan":2},"content":[{"type":"paragraph","content":[{"type":"text","text":"UCW-33271"}]}]}]},{"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66"}]}]},{"type":"tableCell","attrs":{},"content":[{"type":"paragraph","content":[{"type":"text","text":"66"}]}]}]},{"type":"tableRow","content":[{"type":"tableCell","attrs":{},"content":[{"type":"paragraph","content":[{"type":"text","text":"Successfully Retriggered"}]}]},{"type":"tableCell","attrs":{},"content":[{"type":"paragraph","content":[{"type":"text","text":"53"}]}]},{"type":"tableCell","attrs":{},"content":[{"type":"paragraph","content":[{"type":"text","text":"53"}]}]}]},{"type":"tableRow","content":[{"type":"tableCell","attrs":{},"content":[{"type":"paragraph","content":[{"type":"text","text":"Failed due to EAN"}]}]},{"type":"tableCell","attrs":{},"content":[{"type":"paragraph","content":[{"type":"text","text":"1"}]}]},{"type":"tableCell","attrs":{},"content":[{"type":"paragraph","content":[{"type":"text","text":"1"}]}]}]},{"type":"tableRow","content":[{"type":"tableCell","attrs":{},"content":[{"type":"paragraph","content":[{"type":"text","text":"Details Required"}]}]},{"type":"tableCell","attrs":{},"content":[{"type":"paragraph","content":[{"type":"text","text":"12"}]}]},{"type":"tableCell","attrs":{},"content":[{"type":"paragraph","content":[{"type":"text","text":"12"}]}]}]}]}
{adf};The changes have been successfully updated and are now reflecting on the PDP. 
{adf:display=block}
{"type":"table","attrs":{"isNumberColumnEnabled":false,"layout":"center","localId":"93c052f4-3ca0-410f-bc48-94dc0fef35e8"},"content":[{"type":"tableRow","content":[{"type":"tableCell","attrs":{},"content":[{"type":"paragraph","content":[{"type":"text","text":"Ticket ID"}]}]},{"type":"tableCell","attrs":{"colspan":2},"content":[{"type":"paragraph","content":[{"type":"text","text":"UCW-33271"}]}]}]},{"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75"}]}]},{"type":"tableCell","attrs":{},"content":[{"type":"paragraph","content":[{"type":"text","text":"75"}]}]}]},{"type":"tableRow","content":[{"type":"tableCell","attrs":{},"content":[{"type":"paragraph","content":[{"type":"text","text":"Successfully Retriggered"}]}]},{"type":"tableCell","attrs":{},"content":[{"type":"paragraph","content":[{"type":"text","text":"53"}]}]},{"type":"tableCell","attrs":{},"content":[{"type":"paragraph","content":[{"type":"text","text":"53"}]}]}]},{"type":"tableRow","content":[{"type":"tableCell","attrs":{},"content":[{"type":"paragraph","content":[{"type":"text","text":"Failed due to EAN"}]}]},{"type":"tableCell","attrs":{},"content":[{"type":"paragraph","content":[{"type":"text","text":"1"}]}]},{"type":"tableCell","attrs":{},"content":[{"type":"paragraph","content":[{"type":"text","text":"1"}]}]}]},{"type":"tableRow","content":[{"type":"tableCell","attrs":{},"content":[{"type":"paragraph","content":[{"type":"text","text":"Details Required"}]}]},{"type":"tableCell","attrs":{},"content":[{"type":"paragraph","content":[{"type":"text","text":"12"}]}]},{"type":"tableCell","attrs":{},"content":[{"type":"paragraph","content":[{"type":"text","text":"12"}]}]}]},{"type":"tableRow","content":[{"type":"tableCell","attrs":{},"content":[{"type":"paragraph","content":[{"type":"text","text":"Data Not Available"}]}]},{"type":"tableCell","attrs":{},"content":[{"type":"paragraph","content":[{"type":"text","text":"9"}]}]},{"type":"tableCell","attrs":{},"content":[{"type":"paragraph","content":[{"type":"text","text":"9"}]}]}]}]}
{adf}</t>
  </si>
  <si>
    <t>Date :06/23/2026 &lt;Ticket picked for pre processing Option 1 Sku 1&gt; &lt;Anjalita&gt;;Date :06/23/2026 &lt;Ticket has been successfully uploaded in our system. Option 1 Sku 1&gt; &lt;Anjalita&gt;;The changes have been successfully updated and are now reflecting on the PDP.</t>
  </si>
  <si>
    <t>Date :06/22/2026  &lt;Ticket picked for pre processing Option: 116 SKU: 1137&gt; &lt;Sanjana Ghosh&gt;;Date :06/23/2026  &lt;Pre Processing query to Brand &lt;Size Chart Details&gt; &lt;Sanjana Ghosh&gt; ;Analysis Shared - Date :06/23/2026 &lt;Analysis Shared Processed Options 217 Rejected Options 0 &gt; &lt;Moumita&gt;;Date :06/23/2026  &lt;Pre Processing query to Brand &lt;*Sole Material issue (marked as "Others")*
* *Country of Origin details are missing*
* *Sizes are duplicate*
* *Duplicate Seller Article SKU*&gt; &lt;Ishani&gt;;Date :06/23/2026 &lt;Ticket picked for Production and QC review Option: 116 SKU: 1137&gt; &lt;Ankita, Ishani, Aman&gt;;Date :06/24/2026 &lt; Pre Processing query to Brand 1st Follow Up&gt; &lt;Ishani&gt;;Image deliver - Date :06/23/2026 &lt;Images Delivered Processed Options 217 Rejected Options 0&gt; &lt;Moumita&gt;;Date :06/24/2026 &lt;Ticket has been successfully uploaded in our system. Option 218 Sku 1497&gt; &lt;Ishani&gt;[^Post Upload Status_V.2 (1) (1).xlsx] [^Summary.zip] ;[^UCW-33263.xlsx]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81488b64-f4c6-48b0-bfe8-dadba442e63a"},"content":[{"type":"tableRow","content":[{"type":"tableCell","attrs":{"background":"#44b3e1"},"content":[{"type":"paragraph","content":[{"type":"text","text":"Ticket ID","marks":[{"type":"strong"}]}]}]},{"type":"tableCell","attrs":{"colspan":2,"background":"#44b3e1"},"content":[{"type":"paragraph","content":[{"type":"text","text":"UCW-33263","marks":[{"type":"strong"}]}]}]}]},{"type":"tableRow","content":[{"type":"tableCell","attrs":{"background":"#44b3e1"},"content":[{"type":"paragraph","content":[{"type":"text","text":"Brand Name","marks":[{"type":"strong"}]}]}]},{"type":"tableCell","attrs":{"colspan":2,"background":"#44b3e1"},"content":[{"type":"paragraph","content":[{"type":"text","text":"Inc.5","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1537"}]}]},{"type":"tableCell","attrs":{},"content":[{"type":"paragraph","content":[{"type":"text","text":"223"}]}]}]},{"type":"tableRow","content":[{"type":"tableCell","attrs":{"background":"white"},"content":[{"type":"paragraph","content":[{"type":"text","text":"Uploaded"}]}]},{"type":"tableCell","attrs":{},"content":[{"type":"paragraph","content":[{"type":"text","text":"1497"}]}]},{"type":"tableCell","attrs":{},"content":[{"type":"paragraph","content":[{"type":"text","text":"218"}]}]}]},{"type":"tableRow","content":[{"type":"tableCell","attrs":{"background":"white"},"content":[{"type":"paragraph","content":[{"type":"text","text":"Duplicate SKUs"}]}]},{"type":"tableCell","attrs":{},"content":[{"type":"paragraph","content":[{"type":"text","text":"7"}]}]},{"type":"tableCell","attrs":{},"content":[{"type":"paragraph","content":[{"type":"text","text":"0"}]}]}]},{"type":"tableRow","content":[{"type":"tableCell","attrs":{"background":"white"},"content":[{"type":"paragraph","content":[{"type":"text","text":"Already Listed"}]}]},{"type":"tableCell","attrs":{},"content":[{"type":"paragraph","content":[{"type":"text","text":"33"}]}]},{"type":"tableCell","attrs":{},"content":[{"type":"paragraph","content":[{"type":"text","text":"5"}]}]}]},{"type":"tableRow","content":[{"type":"tableCell","attrs":{"background":"white"},"content":[{"type":"paragraph","content":[{"type":"text","text":"LIDs Shared"}]}]},{"type":"tableCell","attrs":{},"content":[{"type":"paragraph","content":[{"type":"text","text":"1497"}]}]},{"type":"tableCell","attrs":{},"content":[{"type":"paragraph","content":[{"type":"text","text":"218"}]}]}]},{"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</si>
  <si>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|Date :06/23/2026 &lt;Ticket picked for pre processing SKU 1&gt; &lt;Tania&gt;|
|Date :06/23/2026 &lt;Ticket picked for Production and QC review SKU 1&gt; &lt;Tania&gt;|
|Date :06/23/2026 &lt;Ticket has been successfully uploaded in our system. SKU 1&gt; &lt;Tania&gt;|;We have successfully uploaded this batch. Please find the attached summary sheet and summary report.[^UCW-33262_Post Upload Status.xlsx] [^ProductBulkUpload_126777_Beauty__Grooming(MPH22)_Skin_Care(MPH2216)_Moisturizers_and_Serums(MPH2216103)_Sunscreen(MPH2216103109)_35719_1.csv] ;[^UCW-33262.xlsx]
Hi [@Hardik Thakor|mailto:hardik.thakor@dermatouch.com],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36c89142-e495-45a4-9362-df27acd0cb1a"},"content":[{"type":"tableRow","content":[{"type":"tableCell","attrs":{"background":"#44b3e1"},"content":[{"type":"paragraph","content":[{"type":"text","text":"Ticket ID","marks":[{"type":"strong"}]}]}]},{"type":"tableCell","attrs":{"colspan":2,"background":"#44b3e1"},"content":[{"type":"paragraph","content":[{"type":"text","text":"UCW-33262","marks":[{"type":"strong"}]}]}]}]},{"type":"tableRow","content":[{"type":"tableCell","attrs":{"background":"#44b3e1"},"content":[{"type":"paragraph","content":[{"type":"text","text":"Brand Name","marks":[{"type":"strong"}]}]}]},{"type":"tableCell","attrs":{"colspan":2,"background":"#44b3e1"},"content":[{"type":"paragraph","content":[{"type":"text","text":"Dermatouch","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</si>
  <si>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Date :06/23/2026 &lt;Ticket picked for pre processing Option 1 Sku 1&gt; &lt;Rupa&gt;;Date :06/23/2026 &lt;Pre Processing query to Brand &lt;EAN details incorrect&gt; &lt;Rupa&gt;;Image deliver - Date :06/23/2026 &lt;Images Delivered Processed Options 1 Rejected Options 0&gt; &lt;Moumita&gt;;[^Status of ucw-33261.xlsx]
[^Summary.zip]
We have updated the changes. Please find the status file and summary; we will share the LID soon.
{adf:display=block}
{"type":"table","attrs":{"isNumberColumnEnabled":false,"layout":"center","localId":"1cf95f7d-dd45-4cf1-91e0-3809764df6b0"},"content":[{"type":"tableRow","content":[{"type":"tableCell","attrs":{},"content":[{"type":"paragraph","content":[{"type":"text","text":"Ticket ID"}]}]},{"type":"tableCell","attrs":{"colspan":2},"content":[{"type":"paragraph","content":[{"type":"text","text":"UCW-33261"}]}]}]},{"type":"tableRow","content":[{"type":"tableCell","attrs":{},"content":[{"type":"paragraph","content":[{"type":"text","text":"Brand Name"}]}]},{"type":"tableCell","attrs":{"colspan":2},"content":[{"type":"paragraph","content":[{"type":"text","text":"Schwarzkopf Professional"}]}]}]},{"type":"tableRow","content":[{"type":"tableCell","attrs":{},"content":[{"type":"paragraph","content":[{"type":"text","text":"Platform"}]}]},{"type":"tableCell","attrs":{"colspan":2},"content":[{"type":"paragraph","content":[{"type":"text","text":"Marketplace, LUX"}]}]}]},{"type":"tableRow","content":[{"type":"tableCell","attrs":{},"content":[{"type":"paragraph","content":[{"type":"text","text":"Particulars"}]}]},{"type":"tableCell","attrs":{},"content":[{"type":"paragraph","content":[{"type":"text","text":"SKU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1"}]}]},{"type":"tableCell","attrs":{},"content":[{"type":"paragraph","content":[{"type":"text","text":"1"}]}]}]},{"type":"tableRow","content":[{"type":"tableCell","attrs":{},"content":[{"type":"paragraph","content":[{"type":"text","text":"Uploaded"}]}]},{"type":"tableCell","attrs":{},"content":[{"type":"paragraph","content":[{"type":"text","text":"1"}]}]},{"type":"tableCell","attrs":{},"content":[{"type":"paragraph","content":[{"type":"text","text":"1"}]}]}]}]}
{adf};Date :06/24/2026&lt;Ticket has been successfully uploaded in our system. Option 1 Sku 1 &gt; &lt;Rupa&gt;;[^UCW-33261.xlsx]
Hi [@Divya Bajaj (ext)|mailto:divya.bajaj@henkel.com],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a3cce61-27da-4564-9c37-143a68c00268"},"content":[{"type":"tableRow","content":[{"type":"tableCell","attrs":{"background":"#ffd966"},"content":[{"type":"paragraph","content":[{"type":"text","text":"Ticket ID","marks":[{"type":"strong"}]}]}]},{"type":"tableCell","attrs":{"colspan":2,"background":"#ffd966"},"content":[{"type":"paragraph","content":[{"type":"text","text":"UCW-33261","marks":[{"type":"strong"}]}]}]}]},{"type":"tableRow","content":[{"type":"tableCell","attrs":{"background":"#ffd966"},"content":[{"type":"paragraph","content":[{"type":"text","text":"Brand Name","marks":[{"type":"strong"}]}]}]},{"type":"tableCell","attrs":{"colspan":2,"background":"#ffd966"},"content":[{"type":"paragraph","content":[{"type":"text","text":"Schwarzkopf Professional","marks":[{"type":"strong"}]}]}]}]},{"type":"tableRow","content":[{"type":"tableCell","attrs":{"background":"#ffd966"},"content":[{"type":"paragraph","content":[{"type":"text","text":"Platform","marks":[{"type":"strong"}]}]}]},{"type":"tableCell","attrs":{"colspan":2,"background":"#ffd966"},"content":[{"type":"paragraph","content":[{"type":"text","text":"Marketplace, LUX","marks":[{"type":"strong"}]}]}]}]},{"type":"tableRow","content":[{"type":"tableCell","attrs":{"background":"#ffd966"},"content":[{"type":"paragraph","content":[{"type":"text","text":"Particulars","marks":[{"type":"strong"}]}]}]},{"type":"tableCell","attrs":{"background":"#ffd966"},"content":[{"type":"paragraph","content":[{"type":"text","text":"SKU Count","marks":[{"type":"strong"}]}]}]},{"type":"tableCell","attrs":{"background":"#ffd966"},"content":[{"type":"paragraph","content":[{"type":"text","text":"Option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LID Shared"}]}]},{"type":"tableCell","attrs":{"background":"white"},"content":[{"type":"paragraph","content":[{"type":"text","text":"1"}]}]},{"type":"tableCell","attrs":{"background":"white"},"content":[{"type":"paragraph","content":[{"type":"text","text":"1"}]}]}]}]}
{adf}
With this, we are closing this request from our end.
Thank you for your patience, support, and cooperation throughout the process. Your brand is important to us, and we look forward to assisting you again.
Regards,
Team Netscribes</t>
  </si>
  <si>
    <t>|Date :06/23/2026 &lt;Ticket picked for pre processing SKU 1&gt; &lt;Tania&gt;|
|Date :06/23/2026 &lt;Ticket picked for Production and QC review SKU 1&gt; &lt;Tania&gt;|
|Date :06/23/2026 &lt;Ticket has been successfully uploaded in our system. SKU 1&gt; &lt;Tania&gt;|;We have successfully uploaded this batch. Please find the attached summary sheet and summary report.[^UCW-33260_Post Upload Status.xlsx] [^ProductBulkUpload_125928_Beauty__Grooming(MPH22)_Bath_Body__Hygiene(MPH2210)_Feminine_Hygiene(MPH2210103)_Shaving_and_Hair_Removal(M (1).csv] ;[^UCW-33260.xlsx]
HI [@Aryan Pal|mailto:aryan.pal@o3plus.com],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e66d3ca-ceb6-4a29-8f0b-afe53460586b"},"content":[{"type":"tableRow","content":[{"type":"tableCell","attrs":{"background":"#44b3e1"},"content":[{"type":"paragraph","content":[{"type":"text","text":"Ticket ID","marks":[{"type":"strong"}]}]}]},{"type":"tableCell","attrs":{"colspan":2,"background":"#44b3e1"},"content":[{"type":"paragraph","content":[{"type":"text","text":"UCW-33260","marks":[{"type":"strong"}]}]}]}]},{"type":"tableRow","content":[{"type":"tableCell","attrs":{"background":"#44b3e1"},"content":[{"type":"paragraph","content":[{"type":"text","text":"Brand Name","marks":[{"type":"strong"}]}]}]},{"type":"tableCell","attrs":{"colspan":2,"background":"#44b3e1"},"content":[{"type":"paragraph","content":[{"type":"text","text":"O3+","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</si>
  <si>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 xml:space="preserve">Date :06/23/2026  &lt;Ticket picked for pre processing Option: 342 SKU: 1519&gt; &lt;Sanjana Ghosh&gt;;Analysis Shared - Date :06/23/2023 &lt;Analysis Shared Processed Options 242 Rejected Options 12 Rejected Reason XXX&gt; &lt;Saswati Dey&gt;;Date :06/23/2026  &lt;Pre Processing query to Brand &lt;EAN, Country Of Origin, Packer’s Details, Image Issue and Material Query&gt; &lt;Sanjana Ghosh&gt; ;Analysis Shared - Date :06/23/2023 &lt;Analysis Shared Processed Options 88 Rejected Options 0 Rejected Reason XXX&gt; &lt;Saswati Dey&gt;;Image deliver - Date :06/23/2026 &lt;Images Delivered Processed Options 88 Rejected Options 0&gt; &lt;Saswati Dey&gt;;Image deliver - Date :06/23/2026 &lt;Images Delivered Processed Options 242 Rejected Options 12&gt; &lt;Saswati Dey&gt;;Date :06/24/2026 &lt; Pre Processing query to Brand 1st Follow Up&gt; &lt;Sanjana Ghosh&gt;;Date :06/24/2026 &lt;Accessories&gt; &lt;Ticket has been successfully uploaded in our system. Option: 88 SKU: 88&gt; &lt;Sanjana Ghosh&gt;
PFA the post upload status and summary file: [^Accessories Summary.zip] [^UCW-33256 - Accessories - Post Upload Status .xlsx] ;[^UCW-33256 - Accessories -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d5daeb2-e847-45db-b8ed-8a5e5e77bf87"},"content":[{"type":"tableRow","content":[{"type":"tableCell","attrs":{"background":"#44b3e1"},"content":[{"type":"paragraph","content":[{"type":"text","text":"Ticket ID","marks":[{"type":"strong"}]}]}]},{"type":"tableCell","attrs":{"colspan":2,"background":"#44b3e1"},"content":[{"type":"paragraph","content":[{"type":"text","text":"UCW-33256","marks":[{"type":"strong"}]}]}]}]},{"type":"tableRow","content":[{"type":"tableCell","attrs":{"background":"#44b3e1"},"content":[{"type":"paragraph","content":[{"type":"text","text":"Brand Name","marks":[{"type":"strong"}]}]}]},{"type":"tableCell","attrs":{"colspan":2,"background":"#44b3e1"},"content":[{"type":"paragraph","content":[{"type":"text","text":"Arrow, Arrow Sport, U.S. Polo Assn.,","marks":[{"type":"strong"}]},{"type":"hardBreak"},{"type":"text","text":" Arrow Newyork, U.S. Polo Assn. Denim Co.,","marks":[{"type":"strong"}]},{"type":"hardBreak"},{"type":"text","text":"USPA Innerwear, USPA Active, U.S. Polo Assn. Kid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88"}]}]},{"type":"tableCell","attrs":{},"content":[{"type":"paragraph","content":[{"type":"text","text":"88"}]}]}]},{"type":"tableRow","content":[{"type":"tableCell","attrs":{"background":"white"},"content":[{"type":"paragraph","content":[{"type":"text","text":"Uploaded"}]}]},{"type":"tableCell","attrs":{},"content":[{"type":"paragraph","content":[{"type":"text","text":"88"}]}]},{"type":"tableCell","attrs":{},"content":[{"type":"paragraph","content":[{"type":"text","text":"88"}]}]}]},{"type":"tableRow","content":[{"type":"tableCell","attrs":{"background":"white"},"content":[{"type":"paragraph","content":[{"type":"text","text":"LIDs Shared"}]}]},{"type":"tableCell","attrs":{},"content":[{"type":"paragraph","content":[{"type":"text","text":"88"}]}]},{"type":"tableCell","attrs":{},"content":[{"type":"paragraph","content":[{"type":"text","text":"88"}]}]}]},{"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again.;Date :06/25/2026 &lt;Size chart Query to Brand for Apparel Catagory &lt;Size chart Missing for few L4s&gt;&gt; &lt;Anwesha&gt; ;Date :06/26/2026 &lt;Production QC Done for Apparel Catagory, L1 raised for size chart creation&lt;[https://tatacliqhelpdesk.freshservice.com/support/tickets/220008|https://tatacliqhelpdesk.freshservice.com/support/tickets/220008] -Size Chart Creation_U.S Polo Assn._UCW-33256_26-06-2026&gt;&gt; &lt;Anwesha&gt; </t>
  </si>
  <si>
    <t>Date :06/23/2026 &lt;Ticket picked for pre processing Option 45 Sku 45&gt; &lt;Biplab&gt;;Date:06/23/2026&lt;Query to CCMT&gt;&lt;Dual listing is not possible, as the provided LIDs are not listed under the primary seller code. To list them under seller code 127055, we will need to proceed via Sell Now.Please confirm how you would like us to proceed.&gt;&lt;Biplab&gt;</t>
  </si>
  <si>
    <t>Date :06/22/2026  &lt;Ticket picked for pre processing Option: 49 SKU: 230&gt; &lt;Sanjana Ghosh&gt;;Analysis Shared - Date :06/22/2026 &lt;Analysis Shared Processed Options 49 Rejected Options 3 Rejected Reason multiple issue&gt; &lt;Moumita&gt;;Date :06/22/2026 &lt;Pre Processing query to Brand &lt;Image &amp; LESS THAN 3 SKUS IN CLUSTER&gt;&gt; &lt;Ishani&gt;;Date :06/22/2026 &lt;Ticket picked for Production and QC review Option 49 Sku 230&gt; &lt;Ishani&gt;;Date :06/23/2026 &lt; Pre Processing query to Brand 1st Follow Up&gt; &lt;Ishani&gt;;Date :06/24/2026 &lt; Pre Processing query to Brand 2nd Follow Up&gt; &lt;Ishani&gt;;Date :06/25/2026 &lt; Pre Processing query to Brand 3rd Follow Up&gt; &lt;Ishani&gt;;Date :06/25/2026 &lt;Pre Processing query to Brand &lt;Image query&gt;&gt; &lt;Ankita&gt;;Image deliver - Date :06/25/2026 &lt;Images Delivered Processed Options 49 Rejected Options 1&gt; &lt;Moumita&gt;;We have reviewed the *LESS THAN 3 SKUS IN CLUSTER* issue and found that the details of the previous sizes corresponding to the provided SKU and Style Code are not available. Therefore, we are currently dropping these options from the batch. If you are able to provide the missing size details, we will be able to process the remaining options accordingly.
Additionally, we identified an image issue for one option where the *Right-Side Sole View* image is missing/incorrect. Kindly share the proper image so that we can proceed with processing the batch.
Apart from the above-mentioned issues, all other eligible options have already been processed from our end.
We would like to inform you that your ticket has been successfully uploaded in our system.
Please find the attached summary files and post-upload file for your reference. We will share a further update once the listing IDs are generated.
Your request is important to us, and we will continue to keep you updated throughout the ticket journey.
Date :06/25/2026 &lt;Ticket has been successfully uploaded in our system. Option 43 Sku 215&gt; &lt;Ishani&gt;
[^Summary.zip] [^Post Upload Status_V.2 (1) (1).xlsx] ;[^UCW-33236.xlsx]
Hi [@ASIAN ACC|mailto:asianhome13@gmail.com],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216dd79-8aa2-49e2-8ddd-0d956341beeb"},"content":[{"type":"tableRow","content":[{"type":"tableCell","attrs":{"background":"#44b3e1"},"content":[{"type":"paragraph","content":[{"type":"text","text":"Ticket ID","marks":[{"type":"strong"}]}]}]},{"type":"tableCell","attrs":{"colspan":2,"background":"#44b3e1"},"content":[{"type":"paragraph","content":[{"type":"text","text":"UCW-33236","marks":[{"type":"strong"}]}]}]}]},{"type":"tableRow","content":[{"type":"tableCell","attrs":{"background":"#44b3e1"},"content":[{"type":"paragraph","content":[{"type":"text","text":"Brand Name","marks":[{"type":"strong"}]}]}]},{"type":"tableCell","attrs":{"colspan":2,"background":"#44b3e1"},"content":[{"type":"paragraph","content":[{"type":"text","text":"Asian Footwear","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230"}]}]},{"type":"tableCell","attrs":{"background":"white"},"content":[{"type":"paragraph","content":[{"type":"text","text":"49"}]}]}]},{"type":"tableRow","content":[{"type":"tableCell","attrs":{"background":"white"},"content":[{"type":"paragraph","content":[{"type":"text","text":"Uploaded"}]}]},{"type":"tableCell","attrs":{"background":"white"},"content":[{"type":"paragraph","content":[{"type":"text","text":"215"}]}]},{"type":"tableCell","attrs":{"background":"white"},"content":[{"type":"paragraph","content":[{"type":"text","text":"43"}]}]}]},{"type":"tableRow","content":[{"type":"tableCell","attrs":{"background":"white"},"content":[{"type":"paragraph","content":[{"type":"text","text":"Not Uploaded (Image Issues, LESS THAN 3 SKUS IN CLUSTER)"}]}]},{"type":"tableCell","attrs":{"background":"white"},"content":[{"type":"paragraph","content":[{"type":"text","text":"15"}]}]},{"type":"tableCell","attrs":{"background":"white"},"content":[{"type":"paragraph","content":[{"type":"text","text":"6"}]}]}]},{"type":"tableRow","content":[{"type":"tableCell","attrs":{"background":"white"},"content":[{"type":"paragraph","content":[{"type":"text","text":"LIDs Shared"}]}]},{"type":"tableCell","attrs":{"background":"white"},"content":[{"type":"paragraph","content":[{"type":"text","text":"215"}]}]},{"type":"tableCell","attrs":{"background":"white"},"content":[{"type":"paragraph","content":[{"type":"text","text":"43"}]}]}]},{"type":"tableRow","content":[{"type":"tableCell","attrs":{"background":"white"},"content":[{"type":"paragraph","content":[{"type":"text","text":"Stuck in the System"}]}]},{"type":"tableCell","attrs":{"background":"white"},"content":[{"type":"paragraph","content":[{"type":"text","text":"0"}]}]},{"type":"tableCell","attrs":{"background":"white"},"content":[{"type":"paragraph","content":[{"type":"text","text":"0"}]}]}]}]}
{adf}
The updated images shared for the pending SKUs still have the same issue with the *Right-Side Sole View* image. Hence, those SKUs could not be uploaded.
With this, we are closing this request from our end. The remaining SKUs can be processed once the corrected images are shared in a new request.
Thank you for your patience, support, and cooperation throughout the process. Your brand is important to us, and we look forward to assisting you again.
Regards,
Team Netscribes</t>
  </si>
  <si>
    <t>Date :06/22/2026 &lt;Ticket picked for pre processing Option: 17 SKU: 85&gt; &lt;Sanjana Ghosh&gt;;Date :06/23/2026 &lt; Production and QC done [https://tatacliqhelpdesk.freshservice.com/support/tickets/219466|https://tatacliqhelpdesk.freshservice.com/support/tickets/219466] Size Chart Creation_UCW-33234_Urban Scottish MP_23-06-2026&gt; &lt;Anwesha&gt;;Date :06/25/2026 &lt; Size chart invalid -[+https://tatacliqhelpdesk.freshservice.com/support/tickets/219466+|https://tatacliqhelpdesk.freshservice.com/support/tickets/219466] Size Chart Creation_UCW-33234_Urban Scottish MP_23-06-2026&gt; &lt;Anwesha;Date :06/26/2026 &lt;Ticket has been successfully uploaded in our system. Uploaded Option 11 Sku 55, Not Uploaded Option 6 Sku 30 - Invalid Size Chart&gt; &lt;Anwesha&gt;
[^Post Upload Status_UCW-33234.xlsx]
[^Summary.zip]
;[^UCW-33234.xlsx]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fba960db-ca0e-45e3-9b27-ab27f6242fe8"},"content":[{"type":"tableRow","content":[{"type":"tableCell","attrs":{"background":"#44b3e1"},"content":[{"type":"paragraph","content":[{"type":"text","text":"Ticket ID","marks":[{"type":"strong"}]}]}]},{"type":"tableCell","attrs":{"colspan":2,"background":"#44b3e1"},"content":[{"type":"paragraph","content":[{"type":"text","text":"UCW-33234","marks":[{"type":"strong"}]}]}]}]},{"type":"tableRow","content":[{"type":"tableCell","attrs":{"background":"#44b3e1"},"content":[{"type":"paragraph","content":[{"type":"text","text":"Brand Name","marks":[{"type":"strong"}]}]}]},{"type":"tableCell","attrs":{"colspan":2,"background":"#44b3e1"},"content":[{"type":"paragraph","content":[{"type":"text","text":"Urban Scottish","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85"}]}]},{"type":"tableCell","attrs":{},"content":[{"type":"paragraph","content":[{"type":"text","text":"17"}]}]}]},{"type":"tableRow","content":[{"type":"tableCell","attrs":{"background":"white"},"content":[{"type":"paragraph","content":[{"type":"text","text":"Uploaded"}]}]},{"type":"tableCell","attrs":{},"content":[{"type":"paragraph","content":[{"type":"text","text":"85"}]}]},{"type":"tableCell","attrs":{},"content":[{"type":"paragraph","content":[{"type":"text","text":"17"}]}]}]},{"type":"tableRow","content":[{"type":"tableCell","attrs":{"background":"white"},"content":[{"type":"paragraph","content":[{"type":"text","text":"SKUs not uploaded"}]}]},{"type":"tableCell","attrs":{},"content":[{"type":"paragraph","content":[{"type":"text","text":"0"}]}]},{"type":"tableCell","attrs":{},"content":[{"type":"paragraph","content":[{"type":"text","text":"0"}]}]}]},{"type":"tableRow","content":[{"type":"tableCell","attrs":{"background":"white"},"content":[{"type":"paragraph","content":[{"type":"text","text":"LIDs Shared"}]}]},{"type":"tableCell","attrs":{},"content":[{"type":"paragraph","content":[{"type":"text","text":"85"}]}]},{"type":"tableCell","attrs":{},"content":[{"type":"paragraph","content":[{"type":"text","text":"17"}]}]}]},{"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</si>
  <si>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UCW-33715</t>
  </si>
  <si>
    <t>UCW-33708</t>
  </si>
  <si>
    <t>UCW-33706</t>
  </si>
  <si>
    <t>UCW-33705</t>
  </si>
  <si>
    <t>UCW-33701</t>
  </si>
  <si>
    <t>UCW-33694</t>
  </si>
  <si>
    <t>UCW-33693</t>
  </si>
  <si>
    <t>UCW-33692</t>
  </si>
  <si>
    <t>UCW-33689</t>
  </si>
  <si>
    <t>UCW-33676</t>
  </si>
  <si>
    <t>UCW-33673</t>
  </si>
  <si>
    <t>UCW-33664</t>
  </si>
  <si>
    <t>UCW-33660</t>
  </si>
  <si>
    <t>UCW-33658</t>
  </si>
  <si>
    <t>UCW-33651</t>
  </si>
  <si>
    <t>UCW-33640</t>
  </si>
  <si>
    <t>UCW-33639</t>
  </si>
  <si>
    <t>UCW-33625</t>
  </si>
  <si>
    <t>UCW-33621</t>
  </si>
  <si>
    <t>UCW-33620</t>
  </si>
  <si>
    <t>UCW-33617</t>
  </si>
  <si>
    <t>UCW-33616</t>
  </si>
  <si>
    <t>UCW-33615</t>
  </si>
  <si>
    <t>UCW-33611</t>
  </si>
  <si>
    <t>UCW-33601</t>
  </si>
  <si>
    <t>UCW-33585</t>
  </si>
  <si>
    <t>UCW-33576</t>
  </si>
  <si>
    <t>UCW-33571</t>
  </si>
  <si>
    <t>UCW-33564</t>
  </si>
  <si>
    <t>Reactivation of old SKUs &amp; Image Revamp - Touch925</t>
  </si>
  <si>
    <t>Kindlife x TataCliq - Inde Wild Cataloguing Input</t>
  </si>
  <si>
    <t>The Souled Store Menswear Apparel 123858 26-06-2026</t>
  </si>
  <si>
    <t>The Souled Store Womenswear Apparel 123858 26-06-2026</t>
  </si>
  <si>
    <t>Tata Cliq Listing_03-06-2026 Lavie Luxe Perfume</t>
  </si>
  <si>
    <t>Ben Sherman Sneakers Listing</t>
  </si>
  <si>
    <t>Need to Catalogue Updation require</t>
  </si>
  <si>
    <t>Matiere Premiere one new sku Listing</t>
  </si>
  <si>
    <t>CLONE - Tata Cliq Luxury - New listing - Natura Bissé (New launch MDB)</t>
  </si>
  <si>
    <t>Tata Cliq Footwear Catalogue | 27-06-2026</t>
  </si>
  <si>
    <t>New Catalog Women_Biba_25-06-2026</t>
  </si>
  <si>
    <t>Dorsay two new skus Listing</t>
  </si>
  <si>
    <t>Tata Cliq Footwear Catalogue | 26-06-2026</t>
  </si>
  <si>
    <t>Tatacliq Catalog Rakhi Lot</t>
  </si>
  <si>
    <t>R&amp;B - Apparel - Seller Code 123986 - New Listing - 27-06-2026 (Lot 11)</t>
  </si>
  <si>
    <t>New GWP Listing (July) - Tata</t>
  </si>
  <si>
    <t>New Listing - Touch925 - 128759</t>
  </si>
  <si>
    <t>New Listings+Rayhaan+Perfumes+126349+TCF+26th June 2026</t>
  </si>
  <si>
    <t>Tata Lux Bugatti SS26 Lot 2 styles _Footwear_22 options _126492 25/06/2025</t>
  </si>
  <si>
    <t>TCL- New listing - Memo Paris Cap Camarat (MDP)</t>
  </si>
  <si>
    <t>Airwrap ID New Colorway- Prussian Blue (TCL Listing)</t>
  </si>
  <si>
    <t>Tata JLO Fragrance Cataloguing 25th June'26</t>
  </si>
  <si>
    <t>Tata LID Fragrance Cataloguing 25th June'26</t>
  </si>
  <si>
    <t>Libas Apparel 127532 19-06-2026 (NEW CATALOGUE)</t>
  </si>
  <si>
    <t>cataloguing Information - Baccarose SKUs</t>
  </si>
  <si>
    <t>New Catalogue - SCENTRA</t>
  </si>
  <si>
    <t>CLONE - Belle Organics | Cataloguing</t>
  </si>
  <si>
    <t>Lotto/Footwear UPTO Lot-36/Seller code- 129247/ 24-06-2026</t>
  </si>
  <si>
    <t>Woodland / Footwear / 247 SKU's / 34 Options / 24-06-26</t>
  </si>
  <si>
    <t>Error_124246 Luxury New Balance OR Slot 2 listing 10.03.2026</t>
  </si>
  <si>
    <t>Lavie Luxe</t>
  </si>
  <si>
    <t>Date :06/30/2026 &lt;Ticket picked for pre processing SKU 3&gt; &lt;Tania&gt;
Date :07/01/2026 &lt;Pre Processing query to Brand &lt;Notes are missing&gt;&gt; &lt;Tania&gt;
Waiting for Images Analysis</t>
  </si>
  <si>
    <t xml:space="preserve"> Ben Sherman</t>
  </si>
  <si>
    <t>Date :06/30/2026 &lt;Ticket picked for pre processing Option: 10 SKU: 60&gt; &lt;Sanjana Ghosh&gt;</t>
  </si>
  <si>
    <t>Fitspire</t>
  </si>
  <si>
    <t>Date :06/30/2026 &lt;Ticket picked for pre processing Option 28 Sku 28 &gt; &lt;Anjalita&gt;;Date :06/30/2026 &lt;Ticket has been successfully uploaded in our system. Option 28 Sku 28&gt; &lt;Anjalita&gt;;    
{adf:display=block}
{"type":"table","attrs":{"isNumberColumnEnabled":false,"layout":"center","localId":"ff7b0fe7-40a8-4a9a-9fde-dbaef93cde4b"},"content":[{"type":"tableRow","content":[{"type":"tableCell","attrs":{},"content":[{"type":"paragraph","content":[{"type":"text","text":"Ticket ID"}]}]},{"type":"tableCell","attrs":{"colspan":2},"content":[{"type":"paragraph","content":[{"type":"text","text":"UCW-33694"}]}]}]},{"type":"tableRow","content":[{"type":"tableCell","attrs":{},"content":[{"type":"paragraph","content":[{"type":"text","text":"Particulars"}]}]},{"type":"tableCell","attrs":{},"content":[{"type":"paragraph","content":[{"type":"text","text":"SKU Count"}]}]},{"type":"tableCell","attrs":{},"content":[{"type":"paragraph","content":[{"type":"text","text":"Option Count"}]}]}]},{"type":"tableRow","content":[{"type":"tableCell","attrs":{},"content":[{"type":"paragraph","content":[{"type":"text","text":"Received"}]}]},{"type":"tableCell","attrs":{},"content":[{"type":"paragraph","content":[{"type":"text","text":"32"}]}]},{"type":"tableCell","attrs":{},"content":[{"type":"paragraph","content":[{"type":"text","text":"32"}]}]}]},{"type":"tableRow","content":[{"type":"tableCell","attrs":{},"content":[{"type":"paragraph","content":[{"type":"text","text":"Successfully Retriggered"}]}]},{"type":"tableCell","attrs":{},"content":[{"type":"paragraph","content":[{"type":"text","text":"28"}]}]},{"type":"tableCell","attrs":{},"content":[{"type":"paragraph","content":[{"type":"text","text":"28"}]}]}]},{"type":"tableRow","content":[{"type":"tableCell","attrs":{},"content":[{"type":"paragraph","content":[{"type":"text","text":"LID and Data Not Available"}]}]},{"type":"tableCell","attrs":{},"content":[{"type":"paragraph","content":[{"type":"text","text":"4"}]}]},{"type":"tableCell","attrs":{},"content":[{"type":"paragraph","content":[{"type":"text","text":"4"}]}]}]}]}
{adf}</t>
  </si>
  <si>
    <t xml:space="preserve"> Matiere Premiere </t>
  </si>
  <si>
    <t>|Date :06/30/2026 &lt;Ticket picked for pre processing SKU 1&gt; &lt;Tania&gt;|
|Date :06/30/2026 &lt;Pre Processing query to Brand &lt;Image Link Missing&gt;&gt; &lt;Tania&gt;|;Date :07/01/2026 &lt; Pre Processing query to Brand 1st Follow Up&gt; &lt;Tania&gt;</t>
  </si>
  <si>
    <t>Natura Bisse</t>
  </si>
  <si>
    <t xml:space="preserve">Date :06/30/2026 &lt;Ticket picked for pre processing Option: 108 SKU: 898&gt; &lt;Sanjana Ghosh&gt;;Date :06/30/2026 &lt;Pre Processing query to Brand &lt;COO Missing&gt; &lt;Sanjana Ghosh&gt; </t>
  </si>
  <si>
    <t xml:space="preserve">Dorsay </t>
  </si>
  <si>
    <t>|Date :06/30/2026 &lt;Ticket picked for pre processing SKU 2 &gt; &lt;Tania&gt;|
|Date :06/30/2026 &lt;Pre Processing query to Brand &lt;Image Analysis&gt;&gt; &lt;Tania&gt;|;Date :07/01/2026 &lt; Pre Processing query to Brand 1st Follow Up&gt; &lt;Tania&gt;</t>
  </si>
  <si>
    <t xml:space="preserve">Date :06/30/2026 &lt;Ticket picked for pre processing Option: 87 SKU: 776&gt; &lt;Sanjana Ghosh&gt;;Date :06/30/2026 &lt;Pre Processing query to Brand &lt;Size Issue &amp; COO Missing&gt; &lt;Sanjana Ghosh&gt; </t>
  </si>
  <si>
    <t>Peora</t>
  </si>
  <si>
    <t>Date : 30th Jun, 2026 This ticket has been picked for Pre-Processing and Image Analysis -Mousumi.
Date : 30th Jun, 2026 Pre-Processing Done (Brand to Query for Rakhi Size)-Mousumi
Date : 30th Jun, 2026 Resolution has been received from the brand- Mousumi.
Date : 30th Jun, 2026 Production Done-Mousumi.
Date : 30th Jun, 2026 Images Done-Moumita
Date : 30th Jun, 2026 Description Done-Khushnuma
Date : 30th Jun, 2026 QC &amp; Uploade Done-Mousumi
PFA the Summary &amp; Post-Uploaded Sheet[^Summary.zip] [^UCW-33660 Post Upload Status_V.2 (1).xlsx] ;Image deliver - Date :06/30/2026 &lt;Images Delivered Processed Options 71 Rejected Options 0&gt; &lt;Moumita&gt;</t>
  </si>
  <si>
    <t>Date :06/30/2026 &lt;Ticket picked for pre processing Option: 196 SKU: 909&gt; &lt;Sanjana Ghosh&gt;;Date :06/30/2026 &lt;Pre Processing query to Brand &lt;Upper Material-Others&gt;&gt; &lt;Ankita&gt;</t>
  </si>
  <si>
    <t>Forest Essentials</t>
  </si>
  <si>
    <t>|Date :06/30/2029 &lt;Ticket picked for pre processing SKU 1&gt; &lt;Tania&gt;|
|Date :06/30/2029 &lt;Ticket picked for Production and QC review SKU 1&gt; &lt;Tania&gt;|;Date :06/30/2026 &lt;Ticket has been successfully uploaded in our system. Option 1 Sku 1&gt; &lt;Anjalita&gt;</t>
  </si>
  <si>
    <t>Date : 29th Jun , 2026 This ticket has been picked for Pre-Processing and Image Analysis -Mousumi. ;Analysis Shared - Date :06/29/2026 &lt;Analysis Shared Processed Options 13 Rejected Options 0 Rejected Reason XXX&gt; &lt;Saswati Dey&gt;;30th Jun 2026 Pre-Processing Done ( Brand to Quert for Warranty Type, Gross &amp; Metal weight, Style Code, Association Code, Purity , Price breakup on PDP &amp; Invoice, Gender Confirm ation)-Mousumi
30th Jun 2026 Propduction Done -Mousumi
30th Jun 2026 Description Done -Khushnuma
30th Jun 2026 images Done .saswati
30th Jun 2026 QC &amp; Uploaded Done -Mousumi
PFA the SUmmary &amp; Post-Uploaded sheet
[^Summary.zip] [^UCW-33640 Post Upload Status_V.2 (1).xlsx] ;*Image deliver - Date :06/30/2026 &lt;Images Delivered Processed Options 13 Rejected Options 0&gt; &lt;Saswati Dey*</t>
  </si>
  <si>
    <t>Date :06/30/2026 &lt;Ticket picked for pre processing SKU 9&gt; &lt;Tania&gt;;Date :06/30/2026 &lt;Ticket picked for Production and QC review SKU 9&gt; &lt;Tania&gt;;Analysis Shared - Date :06/30/2026 &lt;Analysis Shared Processed Options 9 Rejected Options 0 &gt; &lt;Moumita&gt;;Image deliver - Date :06/30/2026 &lt;Images Delivered Processed Options 9 Rejected Options 0&gt; &lt;Moumita&gt;;Date :06/30/2026 &lt;Ticket has been successfully uploaded in our system. Option 9 Sku 9&gt; &lt;Anjalita&gt;</t>
  </si>
  <si>
    <t>Bugatti</t>
  </si>
  <si>
    <t>Date :06/29/2026 &lt;Ticket picked for pre processing Option 22 Sku 154&gt; &lt;Aman&gt;;Date :06/29/2026 &lt;Pre Processing query to Brand &lt;Size Chart Query&gt;&gt; &lt;Ankita&gt;;Analysis Shared - Date :06/29/2026 &lt;Analysis Shared Processed Options 22 Rejected Options 0 Rejected Reason XXX&gt; &lt;Saswati Dey&gt;;Date :06/30/2026 &lt; Pre Processing query to Brand 1st Follow Up&gt; &lt;Ankita&gt;;Date :06/30/2026 &lt;Ticket picked for Production and QC review Option 22 Sku 154&gt; &lt;Ankita&gt;;*Image deliver - Date :06/30/2026 &lt;Images Delivered Processed Options 22 Rejected Options 0&gt; &lt;Saswati Dey&gt;*</t>
  </si>
  <si>
    <t>Memo Paris</t>
  </si>
  <si>
    <t>Date :06/30/2026 &lt;Ticket picked for pre processing SKU 2&gt; &lt;Tania&gt;;Analysis Shared - Date :06/30/2026 &lt;Analysis Shared Processed Options 2 Rejected Options 0 Rejected Reason less than 5 images&gt; &lt;Moumita&gt;;Date :06/30/2026 &lt;Ticket picked for Production and QC review SKU 2&gt; &lt;Tania&gt;
Date :06/30/2026 &lt;Pre Processing query to Brand &lt;Images Query&gt;&gt; &lt;Tania&gt;;Image deliver - Date :06/30/2026 &lt;Images Delivered Processed Options 2 Rejected Options 0&gt; &lt;Moumita&gt;;Date :06/30/2026 &lt;Ticket has been successfully uploaded in our system. Option 2 Sku 2 &gt; &lt;Anjalita&gt;</t>
  </si>
  <si>
    <t>Dyson</t>
  </si>
  <si>
    <t>Date :06/30/2026 &lt;Ticket picked for pre processing SKU 1&gt; &lt;Tania&gt;;Analysis Shared - Date :06/30/2026 &lt;Analysis Shared Processed Options 1 Rejected Options 0 Rejected Reason EAN Code Required&gt; &lt;Moumita&gt;;Date :06/30/2026 &lt;Pre Processing query to Brand &lt;Manufacturer, Importer, Packer Details, EAN Code, Set Size Details are missing&gt;&gt; &lt;Tania&gt;;Date :07/01/2026 &lt; Pre Processing query to Brand 1st Follow Up&gt; &lt;Tania&gt;</t>
  </si>
  <si>
    <t>Jennifer Lopez</t>
  </si>
  <si>
    <t>Date :06/29/2026 &lt; Seller Code and Platform is not available&lt;Brand ask to hold this event for now, Category is going to do the needful&gt;&gt; &lt;Tania&gt;;Analysis Shared - Date :06/30/2026 &lt;Analysis Shared Processed Options 25 Rejected Options 0 Rejected Reason Certificate Image &amp; Seller Code Not available&gt; &lt;Moumita&gt;</t>
  </si>
  <si>
    <t>Maison Margiela</t>
  </si>
  <si>
    <t>Analysis Shared - Date :06/29/2026 &lt;Analysis Shared Processed Options 14 Rejected Options 0 Rejected Reason Certificate issue&gt; &lt;Moumita&gt;;Date :06/29/2026 &lt;Ticket picked for pre processing SKU 14&gt; &lt;Tania&gt;;Date :06/30/2026 &lt;Ticket picked for Production and QC review SKU 14&gt; &lt;Tania&gt;;Image deliver - Date :06/30/2026 &lt;Images Delivered Processed Options 14 Rejected Options 0&gt; &lt;Moumita&gt;;Date :06/30/2026 &lt;Ticket has been successfully uploaded in our system. Option 14 Sku 14&gt; &lt;Anjalita&gt;</t>
  </si>
  <si>
    <t>Date :06/29/2026  &lt;Ticket picked for pre processing Option 130 Sku 511&gt; &lt;Anwesha&gt;;Analysis Shared - Date :06/29/2026 &lt;Analysis Shared Processed Options 127 Rejected Options 0 &gt; &lt;Moumita&gt;;Date :06/30/2026  &lt;Pre Processing query to Brand &lt;Incorrect Fit&gt;&gt; &lt;Anwsha&gt; ;Date :06/30/2026  &lt;Production &amp; QC Done , L1 Raised For Size Chart&lt;[https://tatacliqhelpdesk.freshservice.com/support/tickets/220389|https://tatacliqhelpdesk.freshservice.com/support/tickets/220389]-Size Chart Creation_Libas_UCW-33615_30-06-2026&gt;&gt; &lt;Anwesha&gt;;Image deliver - Date :06/30/2026 &lt;Images Delivered Processed Options 127 Rejected Options 0&gt; &lt;Moumita&gt;</t>
  </si>
  <si>
    <t>Issey Miyake NARCISO RODRIGUEZ ULRIC DE VARENS</t>
  </si>
  <si>
    <t>Date :06/29/2026 &lt;Ticket picked for pre processing SKU 8&gt; &lt;Tania&gt;;Analysis Shared - Date :06/30/2026 &lt;Analysis Shared Processed Options 8 Rejected Options 6 Rejected Reason less than 5 images&gt; &lt;Moumita&gt;;Date :06/30/2026 &lt;Pre Processing query to Brand &lt;Ingredients Missing, Image analysis&gt;&gt; &lt;Tania&gt;;Date :06/30/2026 &lt;Ticket picked for Production and QC review SKU 8&gt; &lt;Tania&gt;;Image deliver - Date :06/30/2026 &lt;Images Delivered Processed Options 8 Rejected Options 0&gt; &lt;Moumita&gt;;Date :06/30/2026 &lt;Ticket has been successfully uploaded in our system. Option 8 Sku 8 &gt; &lt;Anjalita&gt;</t>
  </si>
  <si>
    <t>Scentra</t>
  </si>
  <si>
    <t xml:space="preserve">Date :06/29/2026 &lt;Ticket picked for pre processing Option 24 Sku 144&gt; &lt;Amandeep&gt;;Date :06/29/2026 &lt;Pre Processing query to Brand &lt;Size Chart Queries&gt;&gt; &lt;Ishani&gt;;* Date :06/29/2026 &lt;Revised Pre Processing query to Brand &lt;Size Chart Queries &amp; Image issues&gt;&gt; &lt;Ishani&gt;;Date :06/29/2026 &lt;Ticket picked for Production and QC review Option 24 Sku 144&gt; &lt;Ishani&gt;;Image deliver - Date :06/30/2026 &lt;Images Delivered Processed Options 22 Rejected Options 2&gt; &lt;Saswati Dey&gt;;Date :06/30/2026 &lt; Pre Processing query to Brand 1st Follow Up&gt; &lt;Ankita&gt;;*Image deliver - Date :06/30/2026 &lt;Images Delivered LOT 2 Processed Options 2 Rejected Options 0&gt; &lt;Saswati Dey&gt;*;*Date :06/30/2026* &lt;Ticket has been successfully uploaded in our system. Option 24 Sku 144&gt; &lt;Ankita&gt;[^Post Upload Status_V.2 (1).xlsx] [^summary.zip] </t>
  </si>
  <si>
    <t>Date :06/29/2026&lt;Ticket has been successfully uploaded in our system. SKU 16&gt; &lt;Tania&gt;;*We have successfully uploaded this batch. Please find the attached summary sheet and summary report.*
[^UCW-32300_Post Upload Status.xlsx] [^SUMM.zip] ;[^UCW-33585.xlsx]
Hi [@Belle Organics Team|mailto:support@belleorganics.in],
Please find the attached file for your reference, along with the summary table below.
{adf:display=block}
{"type":"table","attrs":{"isNumberColumnEnabled":false,"layout":"center","localId":"5c017b66-bd34-4928-bbbf-3bb2a8741768"},"content":[{"type":"tableRow","content":[{"type":"tableCell","attrs":{"background":"#44b3e1"},"content":[{"type":"paragraph","content":[{"type":"text","text":"Ticket ID","marks":[{"type":"strong"}]}]}]},{"type":"tableCell","attrs":{"colspan":2,"background":"#44b3e1"},"content":[{"type":"paragraph","content":[{"type":"text","text":"UCW-33585","marks":[{"type":"strong"}]}]}]}]},{"type":"tableRow","content":[{"type":"tableCell","attrs":{"background":"#44b3e1"},"content":[{"type":"paragraph","content":[{"type":"text","text":"Brand Name","marks":[{"type":"strong"}]}]}]},{"type":"tableCell","attrs":{"colspan":2,"background":"#44b3e1"},"content":[{"type":"paragraph","content":[{"type":"text","text":"Belle Organic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16"}]}]},{"type":"tableCell","attrs":{"background":"white"},"content":[{"type":"paragraph","content":[{"type":"text","text":"16"}]}]}]},{"type":"tableRow","content":[{"type":"tableCell","attrs":{"background":"white"},"content":[{"type":"paragraph","content":[{"type":"text","text":"Uploaded"}]}]},{"type":"tableCell","attrs":{"background":"white"},"content":[{"type":"paragraph","content":[{"type":"text","text":"16"}]}]},{"type":"tableCell","attrs":{"background":"white"},"content":[{"type":"paragraph","content":[{"type":"text","text":"16"}]}]}]},{"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0"}]}]},{"type":"tableCell","attrs":{"background":"white"},"content":[{"type":"paragraph","content":[{"type":"text","text":"0"}]}]}]},{"type":"tableRow","content":[{"type":"tableCell","attrs":{"background":"white"},"content":[{"type":"paragraph","content":[{"type":"text","text":"Stuck in Pending for commission"}]}]},{"type":"tableCell","attrs":{"background":"white"},"content":[{"type":"paragraph","content":[{"type":"text","text":"16"}]}]},{"type":"tableCell","attrs":{"background":"white"},"content":[{"type":"paragraph","content":[{"type":"text","text":"16"}]}]}]}]}
{adf}
All the uploaded SKUs are currently stuck in the Pending for Commission stage. No further action is pending from our end. Once the commission process is completed, the Listing IDs will be generated accordingly.
With this, we are closing this request from our end.
Thank you for your patience, support, and cooperation throughout the process. Your brand is important to us, and we look forward to assisting you again.
Regards,
Team Netscribes</t>
  </si>
  <si>
    <t>Analysis Shared - Date :06/29/2026 &lt;Analysis Shared Processed Options 0 Rejected Options 9 Rejected Reason XXX&gt; &lt;Saswati Dey&gt;;Date :06/29/2026 &lt;Ticket picked for pre processing Option 9 Sku 56&gt; &lt;Amandeep&gt;;Date :06/29/2026 &lt;Pre Processing query to Brand &lt;Size Chart &amp; Image Issues&gt;&gt; &lt;Ishani&gt;;Date :06/29/2026 &lt;Ticket picked for Production and QC review Option 9 Sku 56&gt; &lt;Ishani&gt;;Image deliver - Date :06/29/2026 &lt;Images Delivered Processed Options 9 Rejected Options 0&gt; &lt;Saswati Dey&gt;;Date :06/29/2026 &lt;Ticket has been successfully uploaded in our system. Option 9 Sku 56&gt; &lt;Ishani&gt;
 [^Summary.zip] [^Post Upload Status_V.2 (1) (1) (0208aca5-93e2-46d0-8101-9ec118b47434).xlsx] ;[^UCW-33576.xlsx]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2bce52a5-1422-4e8d-8858-a5898a888d11"},"content":[{"type":"tableRow","content":[{"type":"tableCell","attrs":{"background":"#44b3e1"},"content":[{"type":"paragraph","content":[{"type":"text","text":"Ticket ID","marks":[{"type":"strong"}]}]}]},{"type":"tableCell","attrs":{"colspan":2,"background":"#44b3e1"},"content":[{"type":"paragraph","content":[{"type":"text","text":"UCW-33576","marks":[{"type":"strong"}]}]}]}]},{"type":"tableRow","content":[{"type":"tableCell","attrs":{"background":"#44b3e1"},"content":[{"type":"paragraph","content":[{"type":"text","text":"Brand Name","marks":[{"type":"strong"}]}]}]},{"type":"tableCell","attrs":{"colspan":2,"background":"#44b3e1"},"content":[{"type":"paragraph","content":[{"type":"text","text":"Lotto","marks":[{"type":"strong"}]}]}]}]},{"type":"tableRow","content":[{"type":"tableCell","attrs":{"background":"#ace5fe"},"content":[{"type":"paragraph","content":[{"type":"text","text":"Platform","marks":[{"type":"strong"}]}]}]},{"type":"tableCell","attrs":{"colspan":2,"background":"#ace5fe"},"content":[{"type":"paragraph","content":[{"type":"text","text":"Fashion","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56"}]}]},{"type":"tableCell","attrs":{},"content":[{"type":"paragraph","content":[{"type":"text","text":"9"}]}]}]},{"type":"tableRow","content":[{"type":"tableCell","attrs":{"background":"white"},"content":[{"type":"paragraph","content":[{"type":"text","text":"Uploaded"}]}]},{"type":"tableCell","attrs":{},"content":[{"type":"paragraph","content":[{"type":"text","text":"56"}]}]},{"type":"tableCell","attrs":{},"content":[{"type":"paragraph","content":[{"type":"text","text":"9"}]}]}]},{"type":"tableRow","content":[{"type":"tableCell","attrs":{"background":"white"},"content":[{"type":"paragraph","content":[{"type":"text","text":"LIDs Shared"}]}]},{"type":"tableCell","attrs":{},"content":[{"type":"paragraph","content":[{"type":"text","text":"56"}]}]},{"type":"tableCell","attrs":{},"content":[{"type":"paragraph","content":[{"type":"text","text":"9"}]}]}]},{"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</si>
  <si>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 xml:space="preserve">Date :06/29/2026 &lt;Ticket picked for pre processing Option 34 Sku 247&gt; &lt;Ankita&gt;;Date :06/29/2026 &lt;Pre Processing query to Brand &lt;Duplicate SKU and Size Query&gt;&gt; &lt;Ankita&gt;;Image deliver - Date :06/29/2026 &lt;Images Delivered Processed Options 34 Rejected Options 0&gt; &lt;Moumita&gt;;Date :06/30/2026 &lt;Ticket has been successfully uploaded in our system. Option 34 Sku 247&gt; &lt;Ankita&gt;[^Post Upload Status_V.2 (1) (1).xlsx] [^Summary.zip] </t>
  </si>
  <si>
    <t>We have successfully uploaded this batch. Please find the summary of this batch. and attach Summary zip and Post upload Sheet.
[^SUMMARY.zip] [^Post Upload Status_V.2 (1) (1).xlsx] ;[^UCW-28573.xlsx]
Please find attached the sheet, where 25 options of Footwear have been listed.
Kindly update the price and inventory, and share the summary once completed.

{color:#ffffff}__{color}
{adf:display=block}
{"type":"table","attrs":{"isNumberColumnEnabled":false,"layout":"center","localId":"7b267af6-f2bc-486e-8254-ae8e3b08670b"},"content":[{"type":"tableRow","content":[{"type":"tableCell","attrs":{"background":"#44b3e1"},"content":[{"type":"paragraph","content":[{"type":"text","text":"Ticket ID","marks":[{"type":"strong"}]}]}]},{"type":"tableCell","attrs":{"colspan":2,"background":"#44b3e1"},"content":[{"type":"paragraph","content":[{"type":"text","text":"UCW-28573","marks":[{"type":"strong"}]}]}]}]},{"type":"tableRow","content":[{"type":"tableCell","attrs":{"background":"#44b3e1"},"content":[{"type":"paragraph","content":[{"type":"text","text":"Brand Name","marks":[{"type":"strong"}]}]}]},{"type":"tableCell","attrs":{"colspan":2,"background":"#44b3e1"},"content":[{"type":"paragraph","content":[{"type":"text","text":"New Balance","marks":[{"type":"strong"}]}]}]}]},{"type":"tableRow","content":[{"type":"tableCell","attrs":{"background":"#ace5fe"},"content":[{"type":"paragraph","content":[{"type":"text","text":"Platform","marks":[{"type":"strong"}]}]}]},{"type":"tableCell","attrs":{"colspan":2,"background":"#ace5fe"},"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292"}]}]},{"type":"tableCell","attrs":{"background":"white"},"content":[{"type":"paragraph","content":[{"type":"text","text":"25"}]}]}]},{"type":"tableRow","content":[{"type":"tableCell","attrs":{"background":"white"},"content":[{"type":"paragraph","content":[{"type":"text","text":"Uploaded"}]}]},{"type":"tableCell","attrs":{"background":"white"},"content":[{"type":"paragraph","content":[{"type":"text","text":"292"}]}]},{"type":"tableCell","attrs":{"background":"white"},"content":[{"type":"paragraph","content":[{"type":"text","text":"25"}]}]}]},{"type":"tableRow","content":[{"type":"tableCell","attrs":{"background":"white"},"content":[{"type":"paragraph","content":[{"type":"text","text":"SKUs 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292"}]}]},{"type":"tableCell","attrs":{"background":"white"},"content":[{"type":"paragraph","content":[{"type":"text","text":"25"}]}]}]},{"type":"tableRow","content":[{"type":"tableCell","attrs":{"background":"white"},"content":[{"type":"paragraph","content":[{"type":"text","text":"LIDs Stuck in the System"}]}]},{"type":"tableCell","attrs":{"background":"white"},"content":[{"type":"paragraph","content":[{"type":"text","text":"0"}]}]},{"type":"tableCell","attrs":{"background":"white"},"content":[{"type":"paragraph","content":[{"type":"text","text":"0"}]}]}]}]}
{adf}</t>
  </si>
  <si>
    <t>UCW-33887</t>
  </si>
  <si>
    <t>UCW-33876</t>
  </si>
  <si>
    <t>UCW-33873</t>
  </si>
  <si>
    <t>UCW-33869</t>
  </si>
  <si>
    <t>UCW-33868</t>
  </si>
  <si>
    <t>UCW-33865</t>
  </si>
  <si>
    <t>UCW-33857</t>
  </si>
  <si>
    <t>UCW-33847</t>
  </si>
  <si>
    <t>UCW-33830</t>
  </si>
  <si>
    <t>UCW-33829</t>
  </si>
  <si>
    <t>UCW-33827</t>
  </si>
  <si>
    <t>UCW-33803</t>
  </si>
  <si>
    <t>UCW-33802</t>
  </si>
  <si>
    <t>UCW-33801</t>
  </si>
  <si>
    <t>UCW-33798</t>
  </si>
  <si>
    <t>UCW-33795</t>
  </si>
  <si>
    <t>UCW-33789</t>
  </si>
  <si>
    <t>UCW-33748</t>
  </si>
  <si>
    <t>UCW-33743</t>
  </si>
  <si>
    <t>UCW-33742</t>
  </si>
  <si>
    <t>UCW-33738</t>
  </si>
  <si>
    <t>UCW-33737</t>
  </si>
  <si>
    <t>UCW-33732</t>
  </si>
  <si>
    <t>UCW-33731</t>
  </si>
  <si>
    <t>UCW-33730</t>
  </si>
  <si>
    <t>UCW-33729</t>
  </si>
  <si>
    <t>UCW-33728</t>
  </si>
  <si>
    <t>UCW-33727</t>
  </si>
  <si>
    <t>UCW-33723</t>
  </si>
  <si>
    <t>Date :07/04/2026 &lt;Ticket picked for pre processing Option 6 Sku 6 &gt; &lt;Anjalita&gt;;*Image deliver - Date :08/04/2026 &lt;Images Delivered Processed Options 6 Rejected Options 0&gt; &lt;Saswati Dey&gt;*</t>
  </si>
  <si>
    <t>Tata Cliq Listings 8th June</t>
  </si>
  <si>
    <t>Strch</t>
  </si>
  <si>
    <t xml:space="preserve">Date :07/03/226  &lt;Ticket picked for pre processing Option 102 Sku 503&gt; &lt;Anwesha Mondal&gt;;Date :07/03/2026  &lt;Query to Category &lt;Seller code 129491 is mapped only to the Women's Apparel category, whereas the current listing has been shared under Men's Apparel. &gt;&gt; &lt;Anwesha Mondal&gt; 
!image.png|width=530,alt="image.png"!
!image 2 .png|width=515,alt="image 2 .png"!;Date :07/04/2026  &lt;Pre Processing query to Brand &lt;Size Chart Not Provided for Mens apparel &amp; Mandatory Image Missing&gt;&gt; &lt;Anwesha Mondal&gt; </t>
  </si>
  <si>
    <t>|Date :07/03/2026 &lt;Ticket picked for pre processing SKU 12&gt; &lt;Tania&gt;|
|Date :07/03/2026 &lt;Pre Processing query to Brand &lt;EAN Code Missing&gt;&gt; &lt;Tania&gt;|;Date :07/04/2026 &lt; Pre Processing query to Brand 1st Follow Up&gt; &lt;Tania&gt;</t>
  </si>
  <si>
    <t>OAP | GB Serum PDP Update |  TATACLIQ - Fashion | Seller Code 125928</t>
  </si>
  <si>
    <t>Date :07/04/2026 &lt;Ticket picked for pre processing Option 2 Sku 2 &gt; &lt;Anjalita&gt;;*Image deliver - Date :08/04/2026 &lt;Images Delivered Processed Options 2 Rejected Options 0&gt; &lt;Saswati Dey&gt;*;Date :07/04/2026 &lt;Ticket has been successfully uploaded in our system. Option 2 Sku 2&gt; &lt;Anjalita&gt;</t>
  </si>
  <si>
    <t>Tatacliq Footwear  Batch 23 (June) _USPA_30-06-2026</t>
  </si>
  <si>
    <t>Date :07/04/2026 &lt;Ticket picked for pre processing Option 8 Sku 40&gt; &lt;Ankita&gt;;ate :07/04/2026&lt;Ticket picked for Production and QC review Option 8 Sku 40&gt; &lt;Ankita&gt;;Date :07/04/2026 &lt;Pre Processing query to Brand &lt;Size chart query&gt;&gt; &lt;Ankita&gt;</t>
  </si>
  <si>
    <t>Tata Cliq-Multi Brand-Footwear -129236 - 127776 - 01-07-2026</t>
  </si>
  <si>
    <t>Reebok,Louis Philippe,Allen Solly,Van Heusen</t>
  </si>
  <si>
    <t>Date :07/04/2026 &lt;Ticket picked for pre processing Option 36 Sku 267&gt; &lt;Ankita&gt;;Date :07/04/2026 &lt;Pre Processing query to Brand &lt;Size chart &amp; Sizes not continuous &gt;&gt; &lt;Ishani&gt;;Date :07/04/2026 &lt;Ticket picked for Production and QC review Option 36 Sku 267&gt; &lt;Ishani&gt;</t>
  </si>
  <si>
    <t>PDP Tata X SKP</t>
  </si>
  <si>
    <t>R&amp;B - Apparel - Seller Code 123986 - New Listing - 01-07-2026 (Lot 11 Women))</t>
  </si>
  <si>
    <t xml:space="preserve">Date :07/03/2026 &lt;Ticket picked for pre processing Option: 64 SKU: 349&gt; &lt;Sanjana Ghosh&gt;;Date :07/04/2026  &lt;Pre Processing query to Brand &lt;Mandatory Fit &amp; Image Missing &gt;&gt; &lt;Anwesha Mondal&gt; </t>
  </si>
  <si>
    <t>New Chain Pendant listing-7 SKUS</t>
  </si>
  <si>
    <t>Date : 3rd Jul, 2026 This ticket has been picked for Pre-Processing and Image Analysis -Mousumi. 
Date : 3rd Jul, 2026 Pre-Processing Done-(Brand to Query for Product Type Confirmation)
Date : 3rd Jul, 2026 Resolution has been received from the brand- Mousumi.
Date : 3rd Jul, 2026 Production Done-Mousumi
Date : 3rd Jul, 2026 Description Done -Khusnuma
Date : 3rd Jul, 2026 Images Done-Moumita
PFA the Summary &amp; Post-Uploaded sheet[^Summary.zip] [^UCW-33830 Post Upload Status_V.2 (1).xlsx] 
;[^UCW-33830.xlsx]
Hi [@PCC Rihi|mailto:rihi@pcchandraindia.com],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9f474e8-a0b9-449a-bb36-9b99015c59eb"},"content":[{"type":"tableRow","content":[{"type":"tableCell","attrs":{"background":"#44b3e1"},"content":[{"type":"paragraph","content":[{"type":"text","text":"Ticket ID","marks":[{"type":"strong"}]}]}]},{"type":"tableCell","attrs":{"colspan":2,"background":"#44b3e1"},"content":[{"type":"paragraph","content":[{"type":"text","text":"UCW-33830","marks":[{"type":"strong"}]}]}]}]},{"type":"tableRow","content":[{"type":"tableCell","attrs":{"background":"#44b3e1"},"content":[{"type":"paragraph","content":[{"type":"text","text":"Brand Name","marks":[{"type":"strong"}]}]}]},{"type":"tableCell","attrs":{"colspan":2,"background":"#44b3e1"},"content":[{"type":"paragraph","content":[{"type":"text","text":"Rihi by P.C. Chandra Jewellers","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7"}]}]},{"type":"tableCell","attrs":{"background":"white"},"content":[{"type":"paragraph","content":[{"type":"text","text":"7"}]}]}]},{"type":"tableRow","content":[{"type":"tableCell","attrs":{"background":"white"},"content":[{"type":"paragraph","content":[{"type":"text","text":"Uploaded"}]}]},{"type":"tableCell","attrs":{"background":"white"},"content":[{"type":"paragraph","content":[{"type":"text","text":"7"}]}]},{"type":"tableCell","attrs":{"background":"white"},"content":[{"type":"paragraph","content":[{"type":"text","text":"7"}]}]}]},{"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7"}]}]},{"type":"tableCell","attrs":{"background":"white"},"content":[{"type":"paragraph","content":[{"type":"text","text":"7"}]}]}]},{"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</si>
  <si>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H K JEWELS | WOMEN RINGS &amp; RAKHI | 124197 | 02-07-2026</t>
  </si>
  <si>
    <t>Date : 3rd Jul, 2026 This ticket has been picked for Pre-Processing and Image Analysis -Mousumi.
Date : 3rd Jul, 2026 Pre-Processing Done( Weight, Warraty Type, COO details , Gender Cnfirmation,Certification , Size) ;Date : 4th Jul, 2026 1st Fllowup Done-Mousumi.</t>
  </si>
  <si>
    <t>Giva | Silver Jewellery | 125927 | 18-06-2026 (54SKUs)</t>
  </si>
  <si>
    <t>Date : 3rd Jul, 2026 This ticket has been picked for Pre-Processing and Image Analysis -Mousumi. 
Date : 3rd Jul, 2026 Pre-Processing Done( Brand to Query for Weight)-Mousumi.
Date : 3rd Jul, 2026 Resolution has been received from the brand- Mousumi.
Date : 3rd Jul, 2026 Production Done -Mousumi
Date : 3rd Jul, 2026 Description Done-Mousumi
Date : 3rd Jul, 2026 Images Done-Moumita
Date : 3rd Jul, 2026 QC &amp; Uploaded Done-Mousumi
PFA the Summary &amp; Post-Uploaded Sheet[^Summary.zip] [^UCW-33827 Post Upload Status_V.2 (1).xlsx] 
;[^UCW-33827.xlsx]
Hi [@Antarra Ghosh|mailto:antara@giva.co],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43f79b35-d604-4d06-a33e-641615b55713"},"content":[{"type":"tableRow","content":[{"type":"tableCell","attrs":{"background":"#44b3e1"},"content":[{"type":"paragraph","content":[{"type":"text","text":"Ticket ID","marks":[{"type":"strong"}]}]}]},{"type":"tableCell","attrs":{"colspan":2,"background":"#44b3e1"},"content":[{"type":"paragraph","content":[{"type":"text","text":"UCW-33827","marks":[{"type":"strong"}]}]}]}]},{"type":"tableRow","content":[{"type":"tableCell","attrs":{"background":"#44b3e1"},"content":[{"type":"paragraph","content":[{"type":"text","text":"Brand Name","marks":[{"type":"strong"}]}]}]},{"type":"tableCell","attrs":{"colspan":2,"background":"#44b3e1"},"content":[{"type":"paragraph","content":[{"type":"text","text":"Giva","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54"}]}]},{"type":"tableCell","attrs":{"background":"white"},"content":[{"type":"paragraph","content":[{"type":"text","text":"54"}]}]}]},{"type":"tableRow","content":[{"type":"tableCell","attrs":{"background":"white"},"content":[{"type":"paragraph","content":[{"type":"text","text":"Uploaded"}]}]},{"type":"tableCell","attrs":{"background":"white"},"content":[{"type":"paragraph","content":[{"type":"text","text":"54"}]}]},{"type":"tableCell","attrs":{"background":"white"},"content":[{"type":"paragraph","content":[{"type":"text","text":"54"}]}]}]},{"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54"}]}]},{"type":"tableCell","attrs":{"background":"white"},"content":[{"type":"paragraph","content":[{"type":"text","text":"54"}]}]}]},{"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</si>
  <si>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Sqintalk x Tatacliq : Mixsoon New SKUs</t>
  </si>
  <si>
    <t>Mixsoon</t>
  </si>
  <si>
    <t>|Date :07/02/2026 &lt;Ticket picked for pre processing SKU 4&gt; &lt;Tania&gt;|
|Date :07/02/2026 &lt;Pre Processing query to Brand &lt;Image Analysis&gt;&gt; &lt;Tania&gt;|;Date :07/03/2026 &lt; Pre Processing query to Brand 1st Follow Up&gt; &lt;Tania&gt;;*Image deliver - Date :08/03/2026 &lt;Images Delivered Processed Options 9 Rejected Options 0&gt; &lt;Saswati Dey&gt;*;Date :07/04/2026 &lt;Ticket has been successfully uploaded in our system. Option 9 Sku 9&gt; &lt;Anjalita&gt;</t>
  </si>
  <si>
    <t>IKONIC ME - NEW LITINGS 30h June '26  - TATA CLIQ</t>
  </si>
  <si>
    <t>Ikonic me</t>
  </si>
  <si>
    <t>|Date :07/02/2026 &lt;Ticket picked for pre processing SKU 4&gt; &lt;Agent Name&gt;|
|Date :07/02/2026 &lt;Pre Processing query to Brand &lt;Manufacturer’s Details is missing&gt;&gt; &lt;Tania&gt;|;Date :07/03/2026 &lt; Pre Processing query to Brand 1st Follow Up&gt; &lt;Tania&gt;;Date :07/04/2026 &lt;Ticket has been successfully uploaded in our system. Option 4 Sku 4 &gt; &lt;Anjalita&gt;</t>
  </si>
  <si>
    <t>Tata Cliq - New listing - Fragrance &amp; Fragrance Gift Set (30-06-2026)</t>
  </si>
  <si>
    <t>Abercrombie &amp; Fitch</t>
  </si>
  <si>
    <t>|Date :07/03/2026 &lt;Ticket picked for pre processing SKU 17&gt; &lt;Tania&gt;|
|Date :07/03/2026 &lt;Ticket picked for Production and QC review SKU 17&gt; &lt;Tania&gt;|
IMAGE WIP;Date :07/04/2026 &lt;Ticket has been successfully uploaded in our system. Option 14 Sku 14&gt; &lt;Anjalita&gt;</t>
  </si>
  <si>
    <t>TC LUX Asics Footwear 129537 | 30-06-2026</t>
  </si>
  <si>
    <t>Date :02-07-2026 &lt;Ticket picked for pre processing Option 105 Sku 12&gt; &lt;Amandeep&gt;;Date :07/02/2026 &lt;Ticket picked for Production and QC review Option 12 Sku 105&gt; &lt;Ishani&gt;;*Image deliver - Date :08/03/2026 &lt;Images Delivered Processed Options 12 Rejected Options 0&gt; &lt;Saswati Dey&gt;*;Date :07/03/2026 &lt;Ticket has been successfully uploaded in our system. Option 12 Sku 105 &gt; &lt;Ishani&gt;
[^Summary (4ae9a34e-5570-4cd4-bac4-b7fe89f0b1f5).zip] [^Post Upload Status_V.2 (1) (1) (351e49d9-ee77-4c4b-8fbd-c72803f7e073).xlsx] ;[^UCW-33798.xlsx]
Hi [@Shreya Agarwal|mailto:shreya.agarwal@asics.com],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6689f2ce-75c9-448a-a4a3-330e4b2c1376"},"content":[{"type":"tableRow","content":[{"type":"tableCell","attrs":{"background":"#44b3e1"},"content":[{"type":"paragraph","content":[{"type":"text","text":"Ticket ID","marks":[{"type":"strong"}]}]}]},{"type":"tableCell","attrs":{"colspan":2,"background":"#44b3e1"},"content":[{"type":"paragraph","content":[{"type":"text","text":"UCW-33798","marks":[{"type":"strong"}]}]}]}]},{"type":"tableRow","content":[{"type":"tableCell","attrs":{"background":"#44b3e1"},"content":[{"type":"paragraph","content":[{"type":"text","text":"Brand Name","marks":[{"type":"strong"}]}]}]},{"type":"tableCell","attrs":{"colspan":2,"background":"#44b3e1"},"content":[{"type":"paragraph","content":[{"type":"text","text":"Asics","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105"}]}]},{"type":"tableCell","attrs":{"background":"white"},"content":[{"type":"paragraph","content":[{"type":"text","text":"12"}]}]}]},{"type":"tableRow","content":[{"type":"tableCell","attrs":{"background":"white"},"content":[{"type":"paragraph","content":[{"type":"text","text":"Uploaded"}]}]},{"type":"tableCell","attrs":{"background":"white"},"content":[{"type":"paragraph","content":[{"type":"text","text":"105"}]}]},{"type":"tableCell","attrs":{"background":"white"},"content":[{"type":"paragraph","content":[{"type":"text","text":"12"}]}]}]},{"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105"}]}]},{"type":"tableCell","attrs":{"background":"white"},"content":[{"type":"paragraph","content":[{"type":"text","text":"12"}]}]}]},{"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</si>
  <si>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TataCliq x O3+ New Launch 30-06-2026</t>
  </si>
  <si>
    <t>|Date :07/02/2026 &lt;Ticket picked for pre processing SKU 1&gt; &lt;Tania&gt;|
|Date :07/02/2026 &lt;Ticket picked for Production and QC review SKU 1&gt; &lt;Tania&gt;|
IMAGE WIP;Date :07/03/2026 &lt;Ticket has been successfully uploaded in our system. Option 1 Sku 1&gt; &lt;Anjalita&gt;;[^UCW-33795.xlsx]
Hi [@Aryan Pal|mailto:aryan.pal@o3plus.com],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918ab03a-68fc-4810-8072-b85ea8275c77"},"content":[{"type":"tableRow","content":[{"type":"tableCell","attrs":{"background":"#44b3e1"},"content":[{"type":"paragraph","content":[{"type":"text","text":"Ticket ID","marks":[{"type":"strong"}]}]}]},{"type":"tableCell","attrs":{"colspan":2,"background":"#44b3e1"},"content":[{"type":"paragraph","content":[{"type":"text","text":"UCW-33795","marks":[{"type":"strong"}]}]}]}]},{"type":"tableRow","content":[{"type":"tableCell","attrs":{"background":"#44b3e1"},"content":[{"type":"paragraph","content":[{"type":"text","text":"Brand Name","marks":[{"type":"strong"}]}]}]},{"type":"tableCell","attrs":{"colspan":2,"background":"#44b3e1"},"content":[{"type":"paragraph","content":[{"type":"text","text":"O3+","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type":"tableCell","attrs":{"background":"white"},"content":[{"type":"paragraph","content":[{"type":"text","text":"1"}]}]}]},{"type":"tableRow","content":[{"type":"tableCell","attrs":{"background":"white"},"content":[{"type":"paragraph","content":[{"type":"text","text":"Uploaded"}]}]},{"type":"tableCell","attrs":{"background":"white"},"content":[{"type":"paragraph","content":[{"type":"text","text":"1"}]}]},{"type":"tableCell","attrs":{"background":"white"},"content":[{"type":"paragraph","content":[{"type":"text","text":"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1"}]}]},{"type":"tableCell","attrs":{"background":"white"},"content":[{"type":"paragraph","content":[{"type":"text","text":"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</si>
  <si>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Tata Cliq -  Fragrance Images &amp; Video update</t>
  </si>
  <si>
    <t>Tommy hilfiger</t>
  </si>
  <si>
    <t>Date :07/02/2026 &lt;Ticket picked for pre processing Option 111 Sku 111&gt; &lt;Anjalita&gt;</t>
  </si>
  <si>
    <t>Image Revamp</t>
  </si>
  <si>
    <t>Date :07/02/2026&lt;Ticket picked for pre processing Option 320 Sku 320&gt; &lt;Rupa&gt;;Date :07/03/2026&lt;Pre Processing query to CCMT 1st Follow Up&lt;L1 to L4 needed&gt;&gt; &lt;Rupa&gt;;Date :07/04/2026&lt;Pre Processing query to CCMT 2nd Follow Up&lt;L1 to L4 needed&gt;&gt; &lt;Rupa&gt;</t>
  </si>
  <si>
    <t>EAN Update TATA</t>
  </si>
  <si>
    <t>Date :07/02/2026 &lt;Ticket picked for pre processing Option 3 Sku 3&gt; &lt;Anjalita&gt;;Date :07/02/2026 &lt;Pre Processing query to Brand &lt;shared LID and OLD EAN is different&gt;&gt; &lt;Anjalita gupta&gt;;* Date :07/03/2026 &lt;Pre Processing query to Brand &lt;shared LID and OLD EAN is different&gt;&gt; &lt;Anjalita gupta&gt; 2nd follow Up
** 
* ;*Image deliver - Date :08/03/2026 &lt;Images Delivered Processed Options 2 Rejected Options 0&gt; &lt;Saswati Dey&gt;*</t>
  </si>
  <si>
    <t>EAN Update Tata RR Sealed ends</t>
  </si>
  <si>
    <t>*Image deliver - Date :08/03/2026 &lt;Images Delivered Processed Options 1 Rejected Options 0&gt; &lt;Saswati Dey&gt;*;[^Summary.zip]
[^Status of ucw-33742.xlsx]
We have updated the changes. Please find the status file and summary; we will share the LID soon.;Date :07/03/2026&lt;Ticket has been successfully uploaded in our system. Option 1Sku 1&gt; &lt;Rupa&gt;;[^Status of ucw-33742 (f255a88f-160b-443b-a621-be056a06e3cb).xlsx]
The LID for the ticket has been generated. We have attached the sheet for your reference. For now, we are closing this ticket. If any further assistance is required, please feel free to reach out to us anytime.</t>
  </si>
  <si>
    <t>TataCliq: New Lot-2 NIT Category New Articles</t>
  </si>
  <si>
    <t>Date :07/01/2026 &lt;Ticket picked for pre processing Option 8 Sku 56&gt; &lt;Ankita&gt;;Date :07/01/2026 &lt;Pre Processing query to Brand &lt;Size chart Query&gt; &lt;Ankita&gt;;Date :07/01/2026 &lt;Ticket picked for Production and QC review Option 8 Sku 56&gt; &lt;Ankita&gt;;*Analysis Shared - Date :08/02/2026 &lt;Analysis Shared Processed Options 8 Rejected Options 0 Rejected Reason XXX&gt; &lt;Saswati Dey&gt;*;*Image deliver - Date :08/02/2026 &lt;Images Delivered Processed Options 8 Rejected Options 0&gt; &lt;Saswati Dey&gt;*;*Date :07/02/2026* &lt;Ticket has been successfully uploaded in our system. Option 8 Sku 56&gt; &lt;Ankita&gt;[^Summary.zip] [^Post Upload Status_V.2 (1).xlsx] ;[^UCW-33738.xlsx]
Hi [@Piyush Yadav|mailto:Piyush.Yadav@louisstitch.com],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975b41e3-02ef-48da-b109-535b48559fd8"},"content":[{"type":"tableRow","content":[{"type":"tableCell","attrs":{"background":"#44b3e1"},"content":[{"type":"paragraph","content":[{"type":"text","text":"Ticket ID","marks":[{"type":"strong"}]}]}]},{"type":"tableCell","attrs":{"colspan":2,"background":"#44b3e1"},"content":[{"type":"paragraph","content":[{"type":"text","text":"UCW-33738","marks":[{"type":"strong"}]}]}]}]},{"type":"tableRow","content":[{"type":"tableCell","attrs":{"background":"#44b3e1"},"content":[{"type":"paragraph","content":[{"type":"text","text":"Brand Name","marks":[{"type":"strong"}]}]}]},{"type":"tableCell","attrs":{"colspan":2,"background":"#44b3e1"},"content":[{"type":"paragraph","content":[{"type":"text","text":"Louis Stitch","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56"}]}]},{"type":"tableCell","attrs":{"background":"white"},"content":[{"type":"paragraph","content":[{"type":"text","text":"8"}]}]}]},{"type":"tableRow","content":[{"type":"tableCell","attrs":{"background":"white"},"content":[{"type":"paragraph","content":[{"type":"text","text":"Uploaded"}]}]},{"type":"tableCell","attrs":{"background":"white"},"content":[{"type":"paragraph","content":[{"type":"text","text":"56"}]}]},{"type":"tableCell","attrs":{"background":"white"},"content":[{"type":"paragraph","content":[{"type":"text","text":"8"}]}]}]},{"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56"}]}]},{"type":"tableCell","attrs":{"background":"white"},"content":[{"type":"paragraph","content":[{"type":"text","text":"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</si>
  <si>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Isharya-Tata Cliq-High Travel- Line sheet</t>
  </si>
  <si>
    <t>Date : 1st Jul, 2026 This ticket has been picked for Pre-Processing and Image Analysis -Mousumi. 
Date : 1st Jul, 2026 Pre-Processing Done ( brand to QUery for Weight, Chain Lenth,Warranty Type);Date : 2nd Jul, 2026 1st followup done-Mousumi
Date : 2nd Jul, 2026 Resolution has been received from the brand- Mousumi.
Date : 2nd Jul, 2026 Production Done
Date : 2nd Jul, 2026 Description Done -Khushnuma
Date : 2nd Jul, 2026  Images Done-Moumita
Date : 2nd Jul, 2026 Qc &amp; Uploade Done-Mousumi
PFA the Summary &amp; Post-Uploaded Sheet[^UCW-33737 Post Upload Status_V.2 (1).xlsx] [^Summary.zip] ;[^UCW-33737.xlsx]
Hi [@Imran Pawar|mailto:imran@isharya.com],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9773e28f-4791-40a7-99c6-1cb6d72507ef"},"content":[{"type":"tableRow","content":[{"type":"tableCell","attrs":{"background":"#44b3e1"},"content":[{"type":"paragraph","content":[{"type":"text","text":"Ticket ID","marks":[{"type":"strong"}]}]}]},{"type":"tableCell","attrs":{"colspan":2,"background":"#44b3e1"},"content":[{"type":"paragraph","content":[{"type":"text","text":"UCW-33737","marks":[{"type":"strong"}]}]}]}]},{"type":"tableRow","content":[{"type":"tableCell","attrs":{"background":"#44b3e1"},"content":[{"type":"paragraph","content":[{"type":"text","text":"Brand Name","marks":[{"type":"strong"}]}]}]},{"type":"tableCell","attrs":{"colspan":2,"background":"#44b3e1"},"content":[{"type":"paragraph","content":[{"type":"text","text":"Isharya","marks":[{"type":"strong"}]}]}]}]},{"type":"tableRow","content":[{"type":"tableCell","attrs":{"background":"#44b3e1"},"content":[{"type":"paragraph","content":[{"type":"text","text":"Platform","marks":[{"type":"strong"}]}]}]},{"type":"tableCell","attrs":{"colspan":2,"background":"#44b3e1"},"content":[{"type":"paragraph","content":[{"type":"text","text":"Luxury","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61"}]}]},{"type":"tableCell","attrs":{"background":"white"},"content":[{"type":"paragraph","content":[{"type":"text","text":"61"}]}]}]},{"type":"tableRow","content":[{"type":"tableCell","attrs":{"background":"white"},"content":[{"type":"paragraph","content":[{"type":"text","text":"Uploaded"}]}]},{"type":"tableCell","attrs":{"background":"white"},"content":[{"type":"paragraph","content":[{"type":"text","text":"61"}]}]},{"type":"tableCell","attrs":{"background":"white"},"content":[{"type":"paragraph","content":[{"type":"text","text":"61"}]}]}]},{"type":"tableRow","content":[{"type":"tableCell","attrs":{"background":"white"},"content":[{"type":"paragraph","content":[{"type":"text","text":"Not Uploaded"}]}]},{"type":"tableCell","attrs":{"background":"white"},"content":[{"type":"paragraph","content":[{"type":"text","text":"0"}]}]},{"type":"tableCell","attrs":{"background":"white"},"content":[{"type":"paragraph","content":[{"type":"text","text":"0"}]}]}]},{"type":"tableRow","content":[{"type":"tableCell","attrs":{"background":"white"},"content":[{"type":"paragraph","content":[{"type":"text","text":"LIDs Shared"}]}]},{"type":"tableCell","attrs":{"background":"white"},"content":[{"type":"paragraph","content":[{"type":"text","text":"61"}]}]},{"type":"tableCell","attrs":{"background":"white"},"content":[{"type":"paragraph","content":[{"type":"text","text":"61"}]}]}]},{"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</si>
  <si>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New 13 Combos List</t>
  </si>
  <si>
    <t>|Date :07/01/2026 &lt;Ticket picked for pre processing SKU 13&gt; &lt;Tania&gt;|
|Date :07/01/2026 &lt;Pre Processing query to Brand &lt;Image Link Is Restricted&gt;&gt; &lt;Tania&gt;|;Date :07/02/2026 &lt; Pre Processing query to Brand 1st Follow Up&gt; &lt;Tania&gt;;
|Date :07/02/2026 &lt;Pre Processing query to Brand &lt;Image Analysis, MRP, Combo Ingredients List missing&gt;&gt; &lt;Tania&gt;|;Date :07/03/2026 &lt; Pre Processing query to Brand 2nd Follow Up&gt; &lt;Tania&gt;;Date :07/04/2026 &lt;Ticket has been successfully uploaded in our system. Option 14 Sku 14&gt; &lt;Anjalita&gt;</t>
  </si>
  <si>
    <t>Date :07/01/2026 &lt;Ticket picked for Production and QC review SKU 19&gt; &lt;Tania&gt;;Date :07/01/2026 &lt;Ticket has been successfully uploaded in our system. Option 18 Sku 18&gt; &lt;Anjalita&gt;;[^UCW-33731.xlsx]
Hi [@Chetana Khanvilkar|mailto:chetana.khanvilkar@plixlife.com],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dc65399-02f3-4e3b-9d80-241ad875b036"},"content":[{"type":"tableRow","content":[{"type":"tableCell","attrs":{"background":"#44b3e1"},"content":[{"type":"paragraph","content":[{"type":"text","text":"Ticket ID","marks":[{"type":"strong"}]}]}]},{"type":"tableCell","attrs":{"colspan":2,"background":"#44b3e1"},"content":[{"type":"paragraph","content":[{"type":"text","text":"UCW-33731","marks":[{"type":"strong"}]}]}]}]},{"type":"tableRow","content":[{"type":"tableCell","attrs":{"background":"#44b3e1"},"content":[{"type":"paragraph","content":[{"type":"text","text":"Brand Name","marks":[{"type":"strong"}]}]}]},{"type":"tableCell","attrs":{"colspan":2,"background":"#44b3e1"},"content":[{"type":"paragraph","content":[{"type":"text","text":"Plix","marks":[{"type":"strong"}]}]}]}]},{"type":"tableRow","content":[{"type":"tableCell","attrs":{"background":"#44b3e1"},"content":[{"type":"paragraph","content":[{"type":"text","text":"Platform","marks":[{"type":"strong"}]}]}]},{"type":"tableCell","attrs":{"colspan":2,"background":"#44b3e1"},"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background":"white"},"content":[{"type":"paragraph","content":[{"type":"text","text":"19"}]}]},{"type":"tableCell","attrs":{"background":"white"},"content":[{"type":"paragraph","content":[{"type":"text","text":"19"}]}]}]},{"type":"tableRow","content":[{"type":"tableCell","attrs":{"background":"white"},"content":[{"type":"paragraph","content":[{"type":"text","text":"Uploaded"}]}]},{"type":"tableCell","attrs":{"background":"white"},"content":[{"type":"paragraph","content":[{"type":"text","text":"18"}]}]},{"type":"tableCell","attrs":{"background":"white"},"content":[{"type":"paragraph","content":[{"type":"text","text":"18"}]}]}]},{"type":"tableRow","content":[{"type":"tableCell","attrs":{"background":"white"},"content":[{"type":"paragraph","content":[{"type":"text","text":"Not Uploaded (Same details)"}]}]},{"type":"tableCell","attrs":{"background":"white"},"content":[{"type":"paragraph","content":[{"type":"text","text":"1"}]}]},{"type":"tableCell","attrs":{"background":"white"},"content":[{"type":"paragraph","content":[{"type":"text","text":"1"}]}]}]},{"type":"tableRow","content":[{"type":"tableCell","attrs":{"background":"white"},"content":[{"type":"paragraph","content":[{"type":"text","text":"LIDs Shared"}]}]},{"type":"tableCell","attrs":{"background":"white"},"content":[{"type":"paragraph","content":[{"type":"text","text":"18"}]}]},{"type":"tableCell","attrs":{"background":"white"},"content":[{"type":"paragraph","content":[{"type":"text","text":"18"}]}]}]},{"type":"tableRow","content":[{"type":"tableCell","attrs":{"background":"white"},"content":[{"type":"paragraph","content":[{"type":"text","text":"Stuck in the System"}]}]},{"type":"tableCell","attrs":{"background":"white"},"content":[{"type":"paragraph","content":[{"type":"text","text":"0"}]}]},{"type":"tableCell","attrs":{"background":"white"},"content":[{"type":"paragraph","content":[{"type":"text","text":"0"}]}]}]}]}
{adf}
With this, we are closing this request from our end.
Thank you for your patience, support, and cooperation throughout the process. Your brand is important to us, and we look forward to assisting you again.
Regards,
Team Netscribes</t>
  </si>
  <si>
    <t>New Products Listings - 30.6.26 | CDC - ON Footwear</t>
  </si>
  <si>
    <t>Date :01-07-2026 &lt;Ticket picked for pre processing Option 251 Sku 62&gt; &lt;Amandeep&gt;;Image deliver - Date :07/01/2026 &lt;Images Delivered Processed Options 39 Rejected Options 23&gt; &lt;Moumita&gt;;Date :07/01/2026 &lt;Ticket has been successfully uploaded in our system. Option 50 Sku 243&gt; &lt;Ankita&gt;[^UCW-33730_Post Upload Status_V.2 (1) (1).xlsx] [^Summary.zip] ;[^UCW-33730.xlsx]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f871eae-bd8b-4117-bb2b-ba6ec35623d0"},"content":[{"type":"tableRow","content":[{"type":"tableCell","attrs":{"background":"#44b3e1"},"content":[{"type":"paragraph","content":[{"type":"text","text":"Ticket ID","marks":[{"type":"strong"}]}]}]},{"type":"tableCell","attrs":{"colspan":2,"background":"#44b3e1"},"content":[{"type":"paragraph","content":[{"type":"text","text":"UCW-33730","marks":[{"type":"strong"}]}]}]}]},{"type":"tableRow","content":[{"type":"tableCell","attrs":{"background":"#44b3e1"},"content":[{"type":"paragraph","content":[{"type":"text","text":"Brand Name","marks":[{"type":"strong"}]}]}]},{"type":"tableCell","attrs":{"colspan":2,"background":"#44b3e1"},"content":[{"type":"paragraph","content":[{"type":"text","text":"ON","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251"}]}]},{"type":"tableCell","attrs":{},"content":[{"type":"paragraph","content":[{"type":"text","text":"52"}]}]}]},{"type":"tableRow","content":[{"type":"tableCell","attrs":{"background":"white"},"content":[{"type":"paragraph","content":[{"type":"text","text":"Uploaded"}]}]},{"type":"tableCell","attrs":{},"content":[{"type":"paragraph","content":[{"type":"text","text":"243"}]}]},{"type":"tableCell","attrs":{},"content":[{"type":"paragraph","content":[{"type":"text","text":"50"}]}]}]},{"type":"tableRow","content":[{"type":"tableCell","attrs":{"background":"white"},"content":[{"type":"paragraph","content":[{"type":"text","text":"SKUs not uploaded-Two different product image available"}]}]},{"type":"tableCell","attrs":{},"content":[{"type":"paragraph","content":[{"type":"text","text":"2"}]}]},{"type":"tableCell","attrs":{},"content":[{"type":"paragraph","content":[{"type":"text","text":"1"}]}]}]},{"type":"tableRow","content":[{"type":"tableCell","attrs":{"background":"white"},"content":[{"type":"paragraph","content":[{"type":"text","text":"Already Listed"}]}]},{"type":"tableCell","attrs":{},"content":[{"type":"paragraph","content":[{"type":"text","text":"6"}]}]},{"type":"tableCell","attrs":{},"content":[{"type":"paragraph","content":[{"type":"text","text":"1"}]}]}]},{"type":"tableRow","content":[{"type":"tableCell","attrs":{"background":"white"},"content":[{"type":"paragraph","content":[{"type":"text","text":"LIDs Shared"}]}]},{"type":"tableCell","attrs":{},"content":[{"type":"paragraph","content":[{"type":"text","text":"243"}]}]},{"type":"tableCell","attrs":{},"content":[{"type":"paragraph","content":[{"type":"text","text":"50"}]}]}]},{"type":"tableRow","content":[{"type":"tableCell","attrs":{"background":"white"},"content":[{"type":"paragraph","content":[{"type":"text","text":"LIDs Stuck in the System"}]}]},{"type":"tableCell","attrs":{},"content":[{"type":"paragraph","content":[{"type":"text","text":"0"}]}]},{"type":"tableCell","attrs":{},"content":[{"type":"paragraph","content":[{"type":"text","text":"0"}]}]}]}]}
{adf}
# We validated the listed SKUs and found that the Listing IDs have been successfully created. The following details have been verified:
* The *Terms &amp; Conditions* image is reflecting correctly.
* The *Manufacturer* and *Importer* details are displayed as *"Not Applicable"*, as per the guidance provided.
# Please note that one style (CL67851) is currently pending because the image cluster contains two product images.
With this, we are closing this request from our end.
Thank you for your patience, support, and cooperation throughout the process. Your brand is important to us, and we look forward to assisting you again.</t>
  </si>
  <si>
    <t>Image Revamp (212 SKUs) - Touch925</t>
  </si>
  <si>
    <t>Date :07/01/2026 &lt;Ticket picked for pre processing Option 212 Sku 212 &gt; &lt;Anjalita&gt;;L1 to L4 details asked from SPOC;*Image deliver - Date :08/02/2026 &lt;Images Delivered Processed Options 212 Rejected Options 196&gt; &lt;Saswati Dey&gt;*;Date :07/04/2026 &lt;Pre Processing query to Brand &lt;32 duplicate SKU and different folders of imagse and asked for proper lead varient for every style code&gt;&gt; &lt;Anjalita&gt;</t>
  </si>
  <si>
    <t>Palmonas | Fashion Jwellery | 128366 | 30-06-2026 (136 SKUs)</t>
  </si>
  <si>
    <t>Date : 1st Jul, 2026 This ticket has been picked for Pre-Processing and Image Analysis -Mousumi. 
Date : 1st Jul, 2026  Pre-Processing Done (Brand To Query for Chain Length).
Date : 1st Jul, 2026 Production Done-Mousumi
Date : 1st Jul, 2026 Description Done-Khushnuma
Date : 2nd Jul, 2026 Images Done-Moumita;Image deliver - Date :07/02/2026 &lt;Images Delivered Processed Options 136 Rejected Options 0&gt; &lt;Moumita&gt;;Date : 1st Jul, 2026 Resolution has been received from the brand- Mousumi.
Date : 2nd Jul, 2026 Qc &amp; Uploade Done-Mousumi
PFA the SUmmary &amp; Post-Uploaded Sheet[^Summary.zip] [^UCW-33728 Post Upload Status_V.2 (1).xlsx] ;[^UCW-33728.xlsx]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6dda83c-7d0e-444e-abdc-0edbe76afa4b"},"content":[{"type":"tableRow","content":[{"type":"tableCell","attrs":{"background":"#44b3e1"},"content":[{"type":"paragraph","content":[{"type":"text","text":"Ticket ID","marks":[{"type":"strong"}]}]}]},{"type":"tableCell","attrs":{"colspan":2,"background":"#44b3e1"},"content":[{"type":"paragraph","content":[{"type":"text","text":"UCW-33728","marks":[{"type":"strong"}]}]}]}]},{"type":"tableRow","content":[{"type":"tableCell","attrs":{"background":"#44b3e1"},"content":[{"type":"paragraph","content":[{"type":"text","text":"Brand Name","marks":[{"type":"strong"}]}]}]},{"type":"tableCell","attrs":{"colspan":2,"background":"#44b3e1"},"content":[{"type":"paragraph","content":[{"type":"text","text":"Palmonas","marks":[{"type":"strong"}]}]}]}]},{"type":"tableRow","content":[{"type":"tableCell","attrs":{"background":"#ace5fe"},"content":[{"type":"paragraph","content":[{"type":"text","text":"Platform","marks":[{"type":"strong"}]}]}]},{"type":"tableCell","attrs":{"colspan":2,"background":"#ace5fe"},"content":[{"type":"paragraph","content":[{"type":"text","text":"Mall","marks":[{"type":"strong"}]}]}]}]},{"type":"tableRow","content":[{"type":"tableCell","attrs":{"background":"#ace5fe"},"content":[{"type":"paragraph","content":[{"type":"text","text":"Particulars","marks":[{"type":"strong"}]}]}]},{"type":"tableCell","attrs":{"background":"#ace5fe"},"content":[{"type":"paragraph","content":[{"type":"text","text":"SKU Count","marks":[{"type":"strong"}]}]}]},{"type":"tableCell","attrs":{"background":"#ace5fe"},"content":[{"type":"paragraph","content":[{"type":"text","text":"Option Count","marks":[{"type":"strong"}]}]}]}]},{"type":"tableRow","content":[{"type":"tableCell","attrs":{"background":"white"},"content":[{"type":"paragraph","content":[{"type":"text","text":"Received"}]}]},{"type":"tableCell","attrs":{},"content":[{"type":"paragraph","content":[{"type":"text","text":"136"}]}]},{"type":"tableCell","attrs":{},"content":[{"type":"paragraph","content":[{"type":"text","text":"136"}]}]}]},{"type":"tableRow","content":[{"type":"tableCell","attrs":{"background":"white"},"content":[{"type":"paragraph","content":[{"type":"text","text":"Uploaded"}]}]},{"type":"tableCell","attrs":{},"content":[{"type":"paragraph","content":[{"type":"text","text":"132"}]}]},{"type":"tableCell","attrs":{},"content":[{"type":"paragraph","content":[{"type":"text","text":"132"}]}]}]},{"type":"tableRow","content":[{"type":"tableCell","attrs":{"background":"white"},"content":[{"type":"paragraph","content":[{"type":"text","text":"Already Listed"}]}]},{"type":"tableCell","attrs":{},"content":[{"type":"paragraph","content":[{"type":"text","text":"4"}]}]},{"type":"tableCell","attrs":{},"content":[{"type":"paragraph","content":[{"type":"text","text":"4"}]}]}]},{"type":"tableRow","content":[{"type":"tableCell","attrs":{"background":"white"},"content":[{"type":"paragraph","content":[{"type":"text","text":"LIDs Shared"}]}]},{"type":"tableCell","attrs":{},"content":[{"type":"paragraph","content":[{"type":"text","text":"132"}]}]},{"type":"tableCell","attrs":{},"content":[{"type":"paragraph","content":[{"type":"text","text":"132"}]}]}]},{"type":"tableRow","content":[{"type":"tableCell","attrs":{"background":"white"},"content":[{"type":"paragraph","content":[{"type":"text","text":"LIDs Stuck in the System"}]}]},{"type":"tableCell","attrs":{},"content":[{"type":"paragraph","content":[{"type":"text","text":"0"}]}]},{"type":"tableCell","attrs":{},"content":[{"type":"paragraph","content":[{"type":"text","text":"0"}]}]}]}]}
{adf}
With this, we are closing this request from our end.
Thank you for your patience, support, and cooperation throughout the process. Your brand is important to us, and we look forward to assisting you again.</t>
  </si>
  <si>
    <t>Fabindia – Apparel – Seller Code-126453 – SKU Count-291 – Style Count-50 – 29-06-2026</t>
  </si>
  <si>
    <t xml:space="preserve">Fabindia </t>
  </si>
  <si>
    <t>Date :07/01/2026 &lt;Ticket picked for pre processing Option: 50 SKU: 291&gt; &lt;Sanjana Ghosh&gt;;Date :07/02/2026  &lt;Pre Processing query to Brand &lt;Global Identifier Missing, Mandatory Image Missing&gt;&gt; &lt;Anwesha Mondal&gt; ;Date :07/02/2026  &lt;Production QC done, L1 raise for size chart deletion  &lt;[https://tatacliqhelpdesk.freshservice.com/support/tickets/221050|https://tatacliqhelpdesk.freshservice.com/support/tickets/221050]-Deletion Size code_FabIndia_MP_03-07-2026&gt;&gt; &lt;Anwesha Mondal&gt;</t>
  </si>
  <si>
    <t>New Brand Listing Atelier Materi</t>
  </si>
  <si>
    <t xml:space="preserve">Atelier Materi </t>
  </si>
  <si>
    <t>|Date :07/01/2026 &lt;Ticket picked for pre processing SKU 13&gt; &lt;Tania&gt;|
|Date :07/01/2026 &lt;Pre Processing query to Brand &lt;Image Link Is Restricted&gt;&gt; &lt;Tania&gt;|;Date :07/02/2026 &lt;Pre Processing query to Brand &lt;Image Analysis&gt;&gt; &lt;Tania&gt;;*Analysis Shared - Date :08/03/2026 &lt;Analysis Shared Processed Options 0 Rejected Options 13 Rejected Reason XXX&gt; &lt;Saswati Dey&gt;*;*Image deliver - Date :08/03/2026 &lt;Images Delivered Processed Options 13 Rejected Options 0&gt; &lt;Saswati Dey&gt;*;Date :07/04/2026 &lt;Ticket picked for Production and QC review SKU 13&gt; &lt;Tania&gt;
Upload Stuck Brand Name is not added in LOV.</t>
  </si>
  <si>
    <t>Assigned on</t>
  </si>
  <si>
    <t>Processed On</t>
  </si>
  <si>
    <t>Error by</t>
  </si>
  <si>
    <t>Actions Taken</t>
  </si>
  <si>
    <t>Closed On</t>
  </si>
  <si>
    <t>Subject Line</t>
  </si>
  <si>
    <t>Affected Options</t>
  </si>
  <si>
    <t>Error Type</t>
  </si>
  <si>
    <t>Critical</t>
  </si>
  <si>
    <t>Non - critical</t>
  </si>
  <si>
    <t>Error_Need to update Correct Brand Name - DIESEL</t>
  </si>
  <si>
    <t>NS</t>
  </si>
  <si>
    <t>Retriggering Done post deletion</t>
  </si>
  <si>
    <t>Image Retriggering Done post impact validation</t>
  </si>
  <si>
    <t>Content Retriggering Done post impact validation</t>
  </si>
  <si>
    <t>Size chart errors were rectified and retriggered accordingly</t>
  </si>
  <si>
    <t>content and image update</t>
  </si>
  <si>
    <t>Size chart updated and Brand Name Migration by CCMT</t>
  </si>
  <si>
    <t>The special character issue in the description has been corrected by retriggering the SKU.</t>
  </si>
  <si>
    <t>Just Size chart code creation by us</t>
  </si>
  <si>
    <t>The special character issue in the description has been corrected by retriggering the SKU and Title</t>
  </si>
  <si>
    <t>The size UK 3 was uploaded by mistake instead of UK 10. We have corrected the issue and retriggered the batch through PCM.</t>
  </si>
  <si>
    <t>Incorrect Image Sequencing, we update correctly</t>
  </si>
  <si>
    <t>Bust size measurement used as across shoulder, size chart retriggered</t>
  </si>
  <si>
    <t>CCMT</t>
  </si>
  <si>
    <t>UCW-34144</t>
  </si>
  <si>
    <t>Error_Lotto Cataloguing: Background Removed on 1st Photo</t>
  </si>
  <si>
    <t>First image was cropped. Image was properly reviewed, edited and retriggered.</t>
  </si>
  <si>
    <t>Incorrect spelling in brand name reflecting in Brand Description. Changes were retriggered.</t>
  </si>
  <si>
    <t>No error - The listed products were aligned with the shared input sheet. CCMT team worked on the L4 migration as per brand's requirement.</t>
  </si>
  <si>
    <t>Background was removed as per standard procedure, but the Brand wants them as is. We are currently working on the images</t>
  </si>
  <si>
    <t>No error</t>
  </si>
  <si>
    <t>UCW-34219</t>
  </si>
  <si>
    <t>CLONE - Anta Footwear S225 127055 &amp; 126934 New listing</t>
  </si>
  <si>
    <t>Date :07/11/2026  &lt;Production WIP 32 options&gt; &lt;Rupa Modak&gt;;[^Status Of UCW-32782.xlsx]
[^UCW-32782_Image Anlysis.xlsx]
[^Summary.zip]
We have retrigger 30 options and we have attached the summary for your reference,
For the below mention options, we have not retrigger as we could not find image link associated with this.
|Option|Style Code|
|2000000429237| 922515517-3|
|2000000430767| 922425506-2|
|2000000429155| 922425506-4|
|2000000429229| 922425506-5|
|2000000429245| 922515517-4|
|2000000430727| 122517719-1|
|2000000429177| 122517719-4|
|2000000429169| 122517719-2|
Additionally, we have attached one image analysis file where we have found two option, we have less than 3 images and as per guide line for lux we cannot proceed less than 3 images for one cluster,  please send us more images for the shared option so that we can proceed with the retriggering task.</t>
  </si>
  <si>
    <t>UCW-34217</t>
  </si>
  <si>
    <t>CLONE - Italian Shoe Co | New Brand Launch - Catalogue listing</t>
  </si>
  <si>
    <t xml:space="preserve">Date :07/11/2026 &lt;Pre Processing query to Brand &lt;Image View Missing&gt; &lt;Sanjana Ghosh&gt; </t>
  </si>
  <si>
    <t>UCW-34208</t>
  </si>
  <si>
    <t>Libas Apparel 127532 08-07-2026 (SIZE ADDITION)</t>
  </si>
  <si>
    <t>Date:07/11//2026&lt;As per the requirement, we have completed the Cut Size addition for the applicable SKUs. However, we were unable to proceed with some SKUs due to various issues. Kindly refer to the Remarks column in the attached sheet for the detailed reasons.
The pending SKUs fall under the following categories:
# PIT image not available: During data extraction, we found that the PIT image is not visible. Kindly share the required images so that we can proceed with the Cut Size addition.
# Cluster mapping issue: Some SKUs are already listed but are stuck because the cluster contains two Lead products and different style code. Once you confirm these SKUs, we will highlight the issue to the Tech Team for resolution.
Kindly review the remarks and provide the required images and confirmations so that we can complete the remaining SKUs at the earliest.&gt;&lt;Debabrata&gt;</t>
  </si>
  <si>
    <t>UCW-34194</t>
  </si>
  <si>
    <t>Piqit Platforms Pvt. Ltd (GAP) Women and Kids Apparels &amp; Accessories, Seller Code: 129312, Size Addition , 60 Styles, 165 Options, 07/07/2026</t>
  </si>
  <si>
    <t>GAP</t>
  </si>
  <si>
    <t>Dated:07/11/2026&lt;As per the requirement, we have completed the Cut Size addition. However, several SKUs have moved to the *MPN + Brand* stage. Kindly refer to the *Remarks* column in the attached sheet for the details.
We have already highlighted this issue to the Tech Team. Once the issue is resolved, we will take the necessary action on the affected SKUs and provide you with an update at the earliest.&gt;&lt;Debabrata&gt;
Tech Ticket: [https://tatacliqhelpdesk.freshservice.com/support/tickets/222300|https://tatacliqhelpdesk.freshservice.com/support/tickets/222300]</t>
  </si>
  <si>
    <t>UCW-34186</t>
  </si>
  <si>
    <t>L'Oreal Paris | Matte Lumi Update  |  TATACLIQ - Fashion | Seller Code 125928</t>
  </si>
  <si>
    <t>Date :07/11/2026 &lt;Ticket picked for pre processing Option 2 Sku 2&gt; &lt;Anjalita&gt;;Date :07/11/2026 &lt;Ticket has been successfully uploaded in our system. Option 2 Sku 2&gt; &lt;Anjalita&gt;</t>
  </si>
  <si>
    <t>UCW-34166</t>
  </si>
  <si>
    <t>Philip - L4 correction upload</t>
  </si>
  <si>
    <t>Philip</t>
  </si>
  <si>
    <t xml:space="preserve">Date :07/10/2026 &lt;Ticket has been successfully uploaded in our system. SKU 1&gt; &lt;Tania&gt;;We have successfully uploaded this batch. Please find the attached summary sheet and summary report.[^ProductBulkUpload_125928_Beauty__Grooming(MPH22)_Tools_and_Accessories(MPH2217)_Beauty_Tools_and_Devices(MPH2217100)_Shavers_and_Trimmers(MPH2217100103)_33887_1783678527867_20260710_034528_03.csv] [^UCW-34166_Post Upload Status.xlsx] </t>
  </si>
  <si>
    <t>UCW-34161</t>
  </si>
  <si>
    <t>D&amp;G Catalogue 9th July</t>
  </si>
  <si>
    <t>Dolce&amp;Gabbana</t>
  </si>
  <si>
    <t>Date :07/10/2026  &lt;Ticket picked for pre processing Option 55 Sku 55&gt; &lt;Amandeep&gt;;Date :07/10/2026 &lt;Pre Processing query to Brand &lt;Longevity, Occasion and Image Analysis&gt;&gt; &lt;Amandeep&gt;</t>
  </si>
  <si>
    <t>UCW-34139</t>
  </si>
  <si>
    <t>Cloned-Tata Cliq Footwear Catalogue | 26-06-2026</t>
  </si>
  <si>
    <t>Date :07/09/2026&lt;Ticket has been successfully uploaded in our system. Option 2 Sku 8&gt; &lt;Ankita&gt;;[^UCW-34139.xlsx]
8 SKUs were pending earlier because the sizes were not in a continuous sequence. After receiving your confirmation, we uploaded the SKUs, and the Listing IDs have been generated successfully.
{adf:display=block}
{"type":"table","attrs":{"isNumberColumnEnabled":false,"layout":"center","localId":"cfc98a66-c982-49af-bb83-5ab7b7121aa8"},"content":[{"type":"tableRow","attrs":{"localId":"f04772e406a2"},"content":[{"type":"tableCell","attrs":{"localId":"84e4083765f0","background":"#44b3e1"},"content":[{"type":"paragraph","content":[{"type":"text","text":"Ticket ID","marks":[{"type":"strong"}]}],"attrs":{"localId":"b74a9ea9995f"}}]},{"type":"tableCell","attrs":{"localId":"a0b7f0f8a18d","colspan":2,"background":"#44b3e1"},"content":[{"type":"paragraph","content":[{"type":"text","text":"UCW-33664","marks":[{"type":"strong"}]},{"type":"hardBreak"},{"type":"text","text":" Cloned- UCW-34139","marks":[{"type":"strong"}]}],"attrs":{"localId":"cc98b60b1dd6"}}]}]},{"type":"tableRow","attrs":{"localId":"436fc1e92132"},"content":[{"type":"tableCell","attrs":{"localId":"d46e75cfca2a","background":"#44b3e1"},"content":[{"type":"paragraph","content":[{"type":"text","text":"Brand Name","marks":[{"type":"strong"}]}],"attrs":{"localId":"9d78feefec3d"}}]},{"type":"tableCell","attrs":{"localId":"386c59a202cc","colspan":2,"background":"#44b3e1"},"content":[{"type":"paragraph","content":[{"type":"text","text":"Asics","marks":[{"type":"strong"}]}],"attrs":{"localId":"6ad378502697"}}]}]},{"type":"tableRow","attrs":{"localId":"60002e4e48a6"},"content":[{"type":"tableCell","attrs":{"localId":"48faa9b3954c","background":"#ace5fe"},"content":[{"type":"paragraph","content":[{"type":"text","text":"Platform","marks":[{"type":"strong"}]}],"attrs":{"localId":"8605f9e6de9f"}}]},{"type":"tableCell","attrs":{"localId":"0b9e33005927","colspan":2,"background":"#ace5fe"},"content":[{"type":"paragraph","content":[{"type":"text","text":"Mall","marks":[{"type":"strong"}]}],"attrs":{"localId":"d6f44f8fd811"}}]}]},{"type":"tableRow","attrs":{"localId":"f02da6d882b6"},"content":[{"type":"tableCell","attrs":{"localId":"bca14ad449e2","background":"#ace5fe"},"content":[{"type":"paragraph","content":[{"type":"text","text":"Particulars","marks":[{"type":"strong"}]}],"attrs":{"localId":"1f5dd04361fe"}}]},{"type":"tableCell","attrs":{"localId":"e5a9e90e3807","background":"#ace5fe"},"content":[{"type":"paragraph","content":[{"type":"text","text":"SKU Count","marks":[{"type":"strong"}]}],"attrs":{"localId":"1e7d4d860d8f"}}]},{"type":"tableCell","attrs":{"localId":"9c9b3cb68b40","background":"#ace5fe"},"content":[{"type":"paragraph","content":[{"type":"text","text":"Option Count","marks":[{"type":"strong"}]}],"attrs":{"localId":"1968d321756c"}}]}]},{"type":"tableRow","attrs":{"localId":"a3edfe61ebf8"},"content":[{"type":"tableCell","attrs":{"localId":"8834872595c3","background":"white"},"content":[{"type":"paragraph","content":[{"type":"text","text":"Received"}],"attrs":{"localId":"bea436c742c5"}}]},{"type":"tableCell","attrs":{"localId":"d4761171df0f"},"content":[{"type":"paragraph","content":[{"type":"text","text":"8"}],"attrs":{"localId":"f9a4f0756ef7"}}]},{"type":"tableCell","attrs":{"localId":"17016b081281"},"content":[{"type":"paragraph","content":[{"type":"text","text":"2"}],"attrs":{"localId":"38af442068ef"}}]}]},{"type":"tableRow","attrs":{"localId":"7fb87bfd3b71"},"content":[{"type":"tableCell","attrs":{"localId":"91cad66e1719","background":"white"},"content":[{"type":"paragraph","content":[{"type":"text","text":"Uploaded"}],"attrs":{"localId":"fbe0b985356d"}}]},{"type":"tableCell","attrs":{"localId":"377d9ad86089"},"content":[{"type":"paragraph","content":[{"type":"text","text":"8"}],"attrs":{"localId":"de99ab4f7b2e"}}]},{"type":"tableCell","attrs":{"localId":"45b7cbf8ba64"},"content":[{"type":"paragraph","content":[{"type":"text","text":"2"}],"attrs":{"localId":"30f9898ed5ce"}}]}]},{"type":"tableRow","attrs":{"localId":"dd6726bd2431"},"content":[{"type":"tableCell","attrs":{"localId":"08b80ca00225","background":"white"},"content":[{"type":"paragraph","content":[{"type":"text","text":"LIDs Shared"}],"attrs":{"localId":"c987bc54825b"}}]},{"type":"tableCell","attrs":{"localId":"81e60a3de536"},"content":[{"type":"paragraph","content":[{"type":"text","text":"8"}],"attrs":{"localId":"58355df2960b"}}]},{"type":"tableCell","attrs":{"localId":"82931c1caadf"},"content":[{"type":"paragraph","content":[{"type":"text","text":"2"}],"attrs":{"localId":"a74253702d43"}}]}]},{"type":"tableRow","attrs":{"localId":"45c1170601b2"},"content":[{"type":"tableCell","attrs":{"localId":"a7df6ccb0132","background":"white"},"content":[{"type":"paragraph","content":[{"type":"text","text":"LIDs Stuck in the System"}],"attrs":{"localId":"07559a64a067"}}]},{"type":"tableCell","attrs":{"localId":"180925bcb7ae"},"content":[{"type":"paragraph","content":[{"type":"text","text":"0"}],"attrs":{"localId":"85b92bd0d09f"}}]},{"type":"tableCell","attrs":{"localId":"9b798148077e"},"content":[{"type":"paragraph","content":[{"type":"text","text":"0"}],"attrs":{"localId":"5487d0497099"}}]}]}]}
{adf}
With this, we are closing this request from our end.
Thank you for your patience, support, and cooperation throughout the process. Your brand is important to us, and we look forward to assisting you again.</t>
  </si>
  <si>
    <t>UCW-34137</t>
  </si>
  <si>
    <t>Product Listing Request – COOLA Clear Skin Mineral Sunscreen SPF30</t>
  </si>
  <si>
    <t>Coola</t>
  </si>
  <si>
    <t>|Date :07/10/2026 &lt;Ticket picked for pre processing SKU 1&gt; &lt;Tania&gt;|
|Date :07/10/2026 &lt;Ticket picked for Production and QC review SKU 1&gt; &lt;Tania&gt;|
IMAGE WIP;The SKU has not been uploaded due to an HSN-related issue. Please find the post-upload status attached for your reference.
Kindly review the issue and share the resolution or the necessary corrective action required to proceed with the upload.
Looking forward to your support and update.</t>
  </si>
  <si>
    <t>UCW-34136</t>
  </si>
  <si>
    <t>CLONE - Mamaearth Updated A+ and E-Commerce Creatives- Tata Cliq</t>
  </si>
  <si>
    <t>Date :07/09/2026 &lt;Ticket picked for pre processing Option 8 Sku 8&gt; &lt;Anjalita&gt;;Date: 07/10/2026 &lt;Pre Processing query to Brand &lt;Provide 1st primary image &amp; existing images is different.kindly provide revised all images.&gt;&gt; &lt;Anjalita&gt;;* Date: 07/10/2026 &lt;Pre Processing query to Brand &lt;Provide 1st primary image &amp; existing images is different.kindly provide revised all images 2nd follow Up&gt;&gt; &lt;Anjalita&gt;</t>
  </si>
  <si>
    <t>UCW-34134</t>
  </si>
  <si>
    <t>Tangerine Jewelry</t>
  </si>
  <si>
    <t>Tangerine</t>
  </si>
  <si>
    <t>Date : 9th July  , 2026 A query has been raised with the CCMT team regarding the input sheet. Once we receive the input sheet, we will proceed further with the process.;Date : 10th Jul, 2026 This ticket has been picked for Pre-Processing and Image Analysis -Mousumi. 
Date : 10th Jul, 2026 Pre-Processing Dona( Brand to Query for Warranty Type &amp; Time,seller code, images)-Mousumi
;Date : 11th Jul, 2026 1st Followup Done-Mousumi</t>
  </si>
  <si>
    <t>UCW-34133</t>
  </si>
  <si>
    <t>MAC NPL Listing July'26</t>
  </si>
  <si>
    <t>MAC</t>
  </si>
  <si>
    <t>|Date :07/10/2026 &lt;Ticket picked for pre processing SKU 25&gt; &lt;Tania&gt;|
|Date :07/10/2026 &lt;Ticket picked for Production and QC WIP SKU 25&gt; &lt;Tania&gt;|;Date :07/11/2026 &lt;Pre Processing query to Brand &lt;Size Query, Image Analysis&gt;&gt; &lt;Tania&gt;</t>
  </si>
  <si>
    <t>UCW-34128</t>
  </si>
  <si>
    <t>Platform Addition Request - Kbeauty on Luxury</t>
  </si>
  <si>
    <t>UCW-34126</t>
  </si>
  <si>
    <t>TataCliq: AVI-Variants Sole Image Updation</t>
  </si>
  <si>
    <t xml:space="preserve">We have updated the images. Please find the attached summary sheet for your reference. Once the images are successfully reflected on the platform, we will inform you.
{adf:display=block}
{"type":"table","attrs":{"isNumberColumnEnabled":false,"layout":"center","localId":"5e2c51b0-6c72-46c0-b509-37ca035c516f"},"content":[{"type":"tableRow","attrs":{"localId":"55df60a6e344"},"content":[{"type":"tableCell","attrs":{"localId":"ed2e8f2c152f"},"content":[{"type":"paragraph","content":[{"type":"text","text":"Ticket ID"}],"attrs":{"localId":"233493d1e96f"}}]},{"type":"tableCell","attrs":{"localId":"b1e0e38380c7","colspan":2},"content":[{"type":"paragraph","content":[{"type":"text","text":"UCW-34126"}],"attrs":{"localId":"5836e5dc04b5"}}]}]},{"type":"tableRow","attrs":{"localId":"5c7d2dd92099"},"content":[{"type":"tableCell","attrs":{"localId":"3bcf81442dec"},"content":[{"type":"paragraph","content":[{"type":"text","text":"Brand Name"}],"attrs":{"localId":"b0fcc98e26fb"}}]},{"type":"tableCell","attrs":{"localId":"b05dd6ba63c6","colspan":2},"content":[{"type":"paragraph","content":[{"type":"text","text":"Louis Stitch"}],"attrs":{"localId":"b46cc797d1af"}}]}]},{"type":"tableRow","attrs":{"localId":"18e501cedc51"},"content":[{"type":"tableCell","attrs":{"localId":"49e4663c702b"},"content":[{"type":"paragraph","content":[{"type":"text","text":"Platform"}],"attrs":{"localId":"9524ead74285"}}]},{"type":"tableCell","attrs":{"localId":"798025f892fc","colspan":2},"content":[{"type":"paragraph","content":[{"type":"text","text":"Marketplace"}],"attrs":{"localId":"63e6d954e16a"}}]}]},{"type":"tableRow","attrs":{"localId":"c5d57c650654"},"content":[{"type":"tableCell","attrs":{"localId":"b8b64fa85ee7"},"content":[{"type":"paragraph","content":[{"type":"text","text":"Particulars"}],"attrs":{"localId":"715ec62ad72a"}}]},{"type":"tableCell","attrs":{"localId":"4ee80d337111"},"content":[{"type":"paragraph","content":[{"type":"text","text":"SKU Count"}],"attrs":{"localId":"3f4f3741fd8c"}}]},{"type":"tableCell","attrs":{"localId":"adbe166f2ad6"},"content":[{"type":"paragraph","content":[{"type":"text","text":"Option Count"}],"attrs":{"localId":"e081482599b7"}}]}]},{"type":"tableRow","attrs":{"localId":"03dcef281dd9"},"content":[{"type":"tableCell","attrs":{"localId":"55f9ee5138d4"},"content":[{"type":"paragraph","content":[{"type":"text","text":"Received"}],"attrs":{"localId":"a5369e333c8b"}}]},{"type":"tableCell","attrs":{"localId":"0e6a34f7d9c2"},"content":[{"type":"paragraph","content":[{"type":"text","text":"30"}],"attrs":{"localId":"591ba1e7e9b0"}}]},{"type":"tableCell","attrs":{"localId":"1ab7b05b4b03"},"content":[{"type":"paragraph","content":[{"type":"text","text":"5"}],"attrs":{"localId":"8e609663ca9b"}}]}]},{"type":"tableRow","attrs":{"localId":"8a7a2c075885"},"content":[{"type":"tableCell","attrs":{"localId":"663156745fbc"},"content":[{"type":"paragraph","content":[{"type":"text","text":"Uploaded"}],"attrs":{"localId":"d5bd976d5a32"}}]},{"type":"tableCell","attrs":{"localId":"c9a716a5b9a5"},"content":[{"type":"paragraph","content":[{"type":"text","text":"30"}],"attrs":{"localId":"90bb8b66b03e"}}]},{"type":"tableCell","attrs":{"localId":"4f1aa7e3f6c8"},"content":[{"type":"paragraph","content":[{"type":"text","text":"5"}],"attrs":{"localId":"3bde2a295f80"}}]}]}]}
{adf}
[^128553_SKUEDITRETRIGGER__Sneaker(MPH1311101104)_20260709_030443_033_summary.csv]
[^Status of UCW-34126.xlsx]
</t>
  </si>
  <si>
    <t>UCW-34121</t>
  </si>
  <si>
    <t xml:space="preserve">Clear Men Shampoo Listing </t>
  </si>
  <si>
    <t>Clear Men</t>
  </si>
  <si>
    <t>|Date :07/09/2026 &lt;Ticket picked for pre processing SKU 7&gt; &lt;Tania&gt;|
|Date :07/09/2026 &lt;Pre Processing query to Brand &lt;Certificate Details&gt;&gt; &lt;Tania&gt;|
|Date :07/09/2026 &lt;Ticket picked for Production and QC review SKU 7&gt; &lt;Tania&gt;|;Date :07/10/2026 &lt; Pre Processing query to Brand 1st Follow Up&gt; &lt;Tania&gt;;Date :07/11/2026 &lt;Ticket has been successfully uploaded in our system. Option 7 Sku 7&gt; &lt;Anjalita&gt;</t>
  </si>
  <si>
    <t>UCW-34094</t>
  </si>
  <si>
    <t>ShimmerTots | Jewellery | 129400 | 07-07-2026 (35)</t>
  </si>
  <si>
    <t>ShimmerTots</t>
  </si>
  <si>
    <t>Date : 8th Jul, 2026 This ticket has been picked for Pre-Processing and Image Analysis -Mousumi.
Date : 8th Jul, 2026 Pre-Processing Done ( Brand To query for Gender , Certification , Metal Weight, COO details)-Mousumi;Date : 9th Jul, 2026 1st Followup Done-Mousumi.
Date : 9th Jul, 2026 Production Done-Mousumi.
Date : 9th Jul, 2026 Images Done-Moumita 
Date : 9th Jul, 2026 Description Done-Khushnuma
Date : 9th Jul, 2026 QC &amp; Uploade Done-Mousumi.
Date : 9th Jul, 2026 PFA the Summary &amp; Post-Uploaded SHeet[^Summary.zip] [^UCW-34094 Post Upload Status_V.2 (1).xlsx] 
;[^UCW-34094.xlsx]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4037f70-e2f3-4a92-bde9-5ca2e0a95376"},"content":[{"type":"tableRow","attrs":{"localId":"dd153309c962"},"content":[{"type":"tableCell","attrs":{"localId":"26a5db7ab4b2","background":"#44b3e1"},"content":[{"type":"paragraph","content":[{"type":"text","text":"Ticket ID","marks":[{"type":"strong"}]}],"attrs":{"localId":"646b7914fbb6"}}]},{"type":"tableCell","attrs":{"localId":"dc067c5d23d4","colspan":2,"background":"#44b3e1"},"content":[{"type":"paragraph","content":[{"type":"text","text":"UCW-34094","marks":[{"type":"strong"}]}],"attrs":{"localId":"c73b37cc4cb6"}}]}]},{"type":"tableRow","attrs":{"localId":"7ef1ac875d48"},"content":[{"type":"tableCell","attrs":{"localId":"c3b39ff75a30","background":"#44b3e1"},"content":[{"type":"paragraph","content":[{"type":"text","text":"Brand Name","marks":[{"type":"strong"}]}],"attrs":{"localId":"1e03efcc1ed4"}}]},{"type":"tableCell","attrs":{"localId":"096aa672be40","colspan":2,"background":"#44b3e1"},"content":[{"type":"paragraph","content":[{"type":"text","text":"ShimmerTots","marks":[{"type":"strong"}]}],"attrs":{"localId":"664d98152330"}}]}]},{"type":"tableRow","attrs":{"localId":"41120fb39ac6"},"content":[{"type":"tableCell","attrs":{"localId":"3c81afa0fa73","background":"#ace5fe"},"content":[{"type":"paragraph","content":[{"type":"text","text":"Platform","marks":[{"type":"strong"}]}],"attrs":{"localId":"eb790cf1d397"}}]},{"type":"tableCell","attrs":{"localId":"6a3cc3f1a1dc","colspan":2,"background":"#ace5fe"},"content":[{"type":"paragraph","content":[{"type":"text","text":"Mall","marks":[{"type":"strong"}]}],"attrs":{"localId":"38132931494b"}}]}]},{"type":"tableRow","attrs":{"localId":"752698d6e6b2"},"content":[{"type":"tableCell","attrs":{"localId":"9ef1d0ea3cb4","background":"#ace5fe"},"content":[{"type":"paragraph","content":[{"type":"text","text":"Particulars","marks":[{"type":"strong"}]}],"attrs":{"localId":"af1d880b7de3"}}]},{"type":"tableCell","attrs":{"localId":"05a53e38c539","background":"#ace5fe"},"content":[{"type":"paragraph","content":[{"type":"text","text":"SKU Count","marks":[{"type":"strong"}]}],"attrs":{"localId":"8f3165081f65"}}]},{"type":"tableCell","attrs":{"localId":"ff7a2f1674a8","background":"#ace5fe"},"content":[{"type":"paragraph","content":[{"type":"text","text":"Option Count","marks":[{"type":"strong"}]}],"attrs":{"localId":"bc24e668ab72"}}]}]},{"type":"tableRow","attrs":{"localId":"820bb75b720e"},"content":[{"type":"tableCell","attrs":{"localId":"4086688386d2","background":"white"},"content":[{"type":"paragraph","content":[{"type":"text","text":"Received"}],"attrs":{"localId":"27f87afd9478"}}]},{"type":"tableCell","attrs":{"localId":"54bbe0a55d0f"},"content":[{"type":"paragraph","content":[{"type":"text","text":"36"}],"attrs":{"localId":"72866dc66068"}}]},{"type":"tableCell","attrs":{"localId":"f97c5c3774c7"},"content":[{"type":"paragraph","content":[{"type":"text","text":"36"}],"attrs":{"localId":"3111dc6e6c68"}}]}]},{"type":"tableRow","attrs":{"localId":"7fb872437a5f"},"content":[{"type":"tableCell","attrs":{"localId":"eeacf3683f7d","background":"white"},"content":[{"type":"paragraph","content":[{"type":"text","text":"Uploaded"}],"attrs":{"localId":"7301da572330"}}]},{"type":"tableCell","attrs":{"localId":"2ad95e0da82d"},"content":[{"type":"paragraph","content":[{"type":"text","text":"13"}],"attrs":{"localId":"e2deff60b6c3"}}]},{"type":"tableCell","attrs":{"localId":"57e2977ff886"},"content":[{"type":"paragraph","content":[{"type":"text","text":"13"}],"attrs":{"localId":"ffb3d72f54e1"}}]}]},{"type":"tableRow","attrs":{"localId":"5df540025df7"},"content":[{"type":"tableCell","attrs":{"localId":"a4141a84cc6d","background":"white"},"content":[{"type":"paragraph","content":[{"type":"text","text":"Already Listed"}],"attrs":{"localId":"fdddd58cc715"}}]},{"type":"tableCell","attrs":{"localId":"03966bff5b0e"},"content":[{"type":"paragraph","content":[{"type":"text","text":"23"}],"attrs":{"localId":"79178dbda56a"}}]},{"type":"tableCell","attrs":{"localId":"12cd48e31560"},"content":[{"type":"paragraph","content":[{"type":"text","text":"23"}],"attrs":{"localId":"f900915db403"}}]}]},{"type":"tableRow","attrs":{"localId":"d08dec3c8d10"},"content":[{"type":"tableCell","attrs":{"localId":"29e6aaf14b5b","background":"white"},"content":[{"type":"paragraph","content":[{"type":"text","text":"LIDs Shared"}],"attrs":{"localId":"86993d6a9ba2"}}]},{"type":"tableCell","attrs":{"localId":"8ea5243615b2"},"content":[{"type":"paragraph","content":[{"type":"text","text":"13"}],"attrs":{"localId":"9ed588723225"}}]},{"type":"tableCell","attrs":{"localId":"5b2485933f28"},"content":[{"type":"paragraph","content":[{"type":"text","text":"13"}],"attrs":{"localId":"54b83781d784"}}]}]},{"type":"tableRow","attrs":{"localId":"a254c4ac03f6"},"content":[{"type":"tableCell","attrs":{"localId":"f6f822a34d2e","background":"white"},"content":[{"type":"paragraph","content":[{"type":"text","text":"LIDs Stuck in the System"}],"attrs":{"localId":"d80c051ae216"}}]},{"type":"tableCell","attrs":{"localId":"439f38bf9352"},"content":[{"type":"paragraph","content":[{"type":"text","text":"0"}],"attrs":{"localId":"edfe2c3e2476"}}]},{"type":"tableCell","attrs":{"localId":"66354080eba0"},"content":[{"type":"paragraph","content":[{"type":"text","text":"0"}],"attrs":{"localId":"7fdba95d1c65"}}]}]}]}
{adf}
With this, we are closing this request from our end.
Thank you for your patience, support, and cooperation throughout the process. Your brand is important to us, and we look forward to assisting you again.</t>
  </si>
  <si>
    <t>UCW-34093</t>
  </si>
  <si>
    <t>Giva | Silver Jewellery | 125927 | 07-07-2026 (16SKUs) | Rakhi collection</t>
  </si>
  <si>
    <t>Date : 8th Jul, 2026 This ticket has been picked for Pre-Processing and Image Analysis -Mousumi.
Date : 8th Jul, 2026 Pre-Processing Sheet ( Brand to Query for Warranty , Association COde,COO Details, Gender,Price Breaup on PDP &amp; Invoice,Metal, Certification,Metal &amp; Gross weight,Purity)-Mousumi;Date : 9th 1st Follow up done -Mousumi
Date : 10th 2nd  Follow up done Mousumi
;Date : 111th, Jul 2026 3rd follow up Done</t>
  </si>
  <si>
    <t>UCW-34091</t>
  </si>
  <si>
    <t>Voylla | Adhoc | Fashion Jewelry | 124186 | 07.07.2026 (38skus)</t>
  </si>
  <si>
    <t>Voylla</t>
  </si>
  <si>
    <t>Date : 8th Jul, 2026 This ticket has been picked for Pre-Processing and Image Analysis -Mousumi. 
Date : 8th Jul, 2026 Pre-Processing Done(Brand to Query For Warranty Type &amp; Time , Size Chart Measurment )-Mousumi;Date : 9th Jul, 2026 Resolution has been received from the brand- Mousumi.
Date : 9th Jul, 2026 Prodution Done-Mousumi
Date : 9th Jul, 2026 Images Done-Moumita
Date : 9th Jul, 2026 Description -Done-Khushnuma
Date : 9th Jul, 2026 QC &amp; Uploaded Done Mousumi
PFA the SUmmaty &amp; Post-Uploaded Sheet[^UCW-34901 Post Upload Status_V.2 (1).xlsx] [^Summary.zip] ;[^UCW-34091.xlsx]
We are pleased to inform you that the SKUs are in the Commission stage.
Please find the attached file for your reference, along with the summary table below. As the commission is not approved yet.
{color:#ffffff}__{color}
{adf:display=block}
{"type":"table","attrs":{"isNumberColumnEnabled":false,"layout":"center","localId":"50544b18-a75a-47ce-bb5f-7332fc19623a"},"content":[{"type":"tableRow","attrs":{"localId":"0cc6ae056dd3"},"content":[{"type":"tableCell","attrs":{"localId":"b9e3216a2232","background":"#44b3e1"},"content":[{"type":"paragraph","content":[{"type":"text","text":"Ticket ID","marks":[{"type":"strong"}]}],"attrs":{"localId":"8d42147e585e"}}]},{"type":"tableCell","attrs":{"localId":"10792703c96c","colspan":2,"background":"#44b3e1"},"content":[{"type":"paragraph","content":[{"type":"text","text":"UCW-34091","marks":[{"type":"strong"}]}],"attrs":{"localId":"da32ab999902"}}]}]},{"type":"tableRow","attrs":{"localId":"53921aeb799d"},"content":[{"type":"tableCell","attrs":{"localId":"4c90a3a4e846","background":"#44b3e1"},"content":[{"type":"paragraph","content":[{"type":"text","text":"Brand Name","marks":[{"type":"strong"}]}],"attrs":{"localId":"5b25bfc1f344"}}]},{"type":"tableCell","attrs":{"localId":"ece0813561cf","colspan":2,"background":"#44b3e1"},"content":[{"type":"paragraph","content":[{"type":"text","text":"Voylla","marks":[{"type":"strong"}]}],"attrs":{"localId":"ddeab294ea17"}}]}]},{"type":"tableRow","attrs":{"localId":"7fbe0d4c3d50"},"content":[{"type":"tableCell","attrs":{"localId":"095b25043415","background":"#ace5fe"},"content":[{"type":"paragraph","content":[{"type":"text","text":"Platform","marks":[{"type":"strong"}]}],"attrs":{"localId":"3b68d2cdfbfa"}}]},{"type":"tableCell","attrs":{"localId":"ec930bc6a1e4","colspan":2,"background":"#ace5fe"},"content":[{"type":"paragraph","content":[{"type":"text","text":"Mall","marks":[{"type":"strong"}]}],"attrs":{"localId":"b60053969c1d"}}]}]},{"type":"tableRow","attrs":{"localId":"da81eb1655d2"},"content":[{"type":"tableCell","attrs":{"localId":"f63aa41c8b73","background":"#ace5fe"},"content":[{"type":"paragraph","content":[{"type":"text","text":"Particulars","marks":[{"type":"strong"}]}],"attrs":{"localId":"02a63534eb60"}}]},{"type":"tableCell","attrs":{"localId":"1ac9305d4711","background":"#ace5fe"},"content":[{"type":"paragraph","content":[{"type":"text","text":"SKU Count","marks":[{"type":"strong"}]}],"attrs":{"localId":"eea053829961"}}]},{"type":"tableCell","attrs":{"localId":"8c2b3960c7ca","background":"#ace5fe"},"content":[{"type":"paragraph","content":[{"type":"text","text":"Option Count","marks":[{"type":"strong"}]}],"attrs":{"localId":"a52c032b7ac4"}}]}]},{"type":"tableRow","attrs":{"localId":"1e9447f6df94"},"content":[{"type":"tableCell","attrs":{"localId":"c2b8d9d2f1e4","background":"white"},"content":[{"type":"paragraph","content":[{"type":"text","text":"Received"}],"attrs":{"localId":"4ad0e28853ae"}}]},{"type":"tableCell","attrs":{"localId":"d0d803ecf1b2"},"content":[{"type":"paragraph","content":[{"type":"text","text":"38"}],"attrs":{"localId":"ea22d06a6325"}}]},{"type":"tableCell","attrs":{"localId":"2238d7e577bd"},"content":[{"type":"paragraph","content":[{"type":"text","text":"30"}],"attrs":{"localId":"f7f048adab1f"}}]}]},{"type":"tableRow","attrs":{"localId":"98d901d05460"},"content":[{"type":"tableCell","attrs":{"localId":"8a6953464b99","background":"white"},"content":[{"type":"paragraph","content":[{"type":"text","text":"Uploaded"}],"attrs":{"localId":"4d275eb7cc2e"}}]},{"type":"tableCell","attrs":{"localId":"2580f9b0c4e3"},"content":[{"type":"paragraph","content":[{"type":"text","text":"38"}],"attrs":{"localId":"ce1d7ca4f938"}}]},{"type":"tableCell","attrs":{"localId":"145ca1560d0b"},"content":[{"type":"paragraph","content":[{"type":"text","text":"30"}],"attrs":{"localId":"caabaa96dc38"}}]}]},{"type":"tableRow","attrs":{"localId":"a63019e7c21e"},"content":[{"type":"tableCell","attrs":{"localId":"80eb4df232a2","background":"white"},"content":[{"type":"paragraph","content":[{"type":"text","text":"Stuck in Pending for Commission"}],"attrs":{"localId":"abac1215ab72"}}]},{"type":"tableCell","attrs":{"localId":"9a9d47794a58"},"content":[{"type":"paragraph","content":[{"type":"text","text":"38"}],"attrs":{"localId":"17f38bbc305c"}}]},{"type":"tableCell","attrs":{"localId":"f56231393c03"},"content":[{"type":"paragraph","content":[{"type":"text","text":"30"}],"attrs":{"localId":"50b94ba4db74"}}]}]}]}
{adf}
With this, we are closing this request from our end.
Thank you for your patience, support, and cooperation throughout the process. Your brand is important to us, and we look forward to assisting you again.</t>
  </si>
  <si>
    <t>UCW-34086</t>
  </si>
  <si>
    <t xml:space="preserve">Clone-Catwalk catalogue </t>
  </si>
  <si>
    <t>[https://tatacliqhelpdesk.freshservice.com/support/tickets/221666|https://tatacliqhelpdesk.freshservice.com/support/tickets/221666]
[https://tatacliqhelpdesk.freshservice.com/support/tickets/221530|https://tatacliqhelpdesk.freshservice.com/support/tickets/221530]
[https://tatacliqhelpdesk.freshservice.com/support/tickets/221344|https://tatacliqhelpdesk.freshservice.com/support/tickets/221344]
07/08/2026&lt;L1 Raised&gt;&lt;Debabrata&gt;;07/09/2026&lt;The sole view image is missing. Therefore, we have requested the brand to provide the required image.&gt;&lt;Debabrata&gt;
As we previously informed, we were unable to perform the cut size addition for some SKUs because two lead products were mapped to a single cluster. The Tech team has now resolved the issue by updating the lead product.
For Style Code 4443mt, we found that one SKU is mapped differently from the rest of the cluster. Therefore, we require your approval to delete the mapping for that particular SKU.
However, we now require the images to proceed with the cut size addition. Kindly check the attached file and provide the images for the mentioned SKUs at the earliest.;07/10/2026&lt;1st Follow up : The sole view image is missing. Therefore, we have requested the brand to provide the required image.&gt;&lt;Debabrata&gt;;07/11/2026&lt;2nd Follow up : The sole view image is missing. Therefore, we have requested the brand to provide the required image.&gt;&lt;Debabrata&gt;</t>
  </si>
  <si>
    <t>UCW-34075</t>
  </si>
  <si>
    <t>MONKSTORY - Footwear - 06/07/2026 - 84 SKUs</t>
  </si>
  <si>
    <t>Date :07/08/2026 &lt;Ticket picked for pre processing Option 14 Sku 84&gt; &lt;Ankita&gt;;Date :07/08/2026 &lt;Pre Processing query to Brand &lt;Size chart Query&gt;&gt; &lt;Ankita&gt;;Date :07/08/2026 &lt;Ticket picked for Production and QC review Option 14 Sku 84&gt; &lt;Ankita&gt;;Date :07/09/2026 &lt;Ticket has been successfully uploaded in our system.  Option 14 Sku 84&gt; &lt;Ankita&gt;[^Post Upload Status_V.2 (1).xlsx] [^Summary.zip] ;[^UCW-34075.xlsx]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16e4d9c-5f77-417a-9fa2-7b812b324d3d"},"content":[{"type":"tableRow","attrs":{"localId":"0d2b301d71c4"},"content":[{"type":"tableCell","attrs":{"localId":"8a96436f869b","background":"#44b3e1"},"content":[{"type":"paragraph","content":[{"type":"text","text":"Ticket ID","marks":[{"type":"strong"}]}],"attrs":{"localId":"e0f07dc7c003"}}]},{"type":"tableCell","attrs":{"localId":"5d84134d8e61","colspan":2,"background":"#44b3e1"},"content":[{"type":"paragraph","content":[{"type":"text","text":"UCW-34075","marks":[{"type":"strong"}]}],"attrs":{"localId":"28fe24f89c74"}}]}]},{"type":"tableRow","attrs":{"localId":"b5040413965c"},"content":[{"type":"tableCell","attrs":{"localId":"d3892d303efa","background":"#44b3e1"},"content":[{"type":"paragraph","content":[{"type":"text","text":"Brand Name","marks":[{"type":"strong"}]}],"attrs":{"localId":"d6522575e5b4"}}]},{"type":"tableCell","attrs":{"localId":"ff71eedbee26","colspan":2,"background":"#44b3e1"},"content":[{"type":"paragraph","content":[{"type":"text","text":"Monkstory","marks":[{"type":"strong"}]}],"attrs":{"localId":"6cb06b68f1c1"}}]}]},{"type":"tableRow","attrs":{"localId":"5a1b66d90e36"},"content":[{"type":"tableCell","attrs":{"localId":"28221c7e0a1d","background":"#ace5fe"},"content":[{"type":"paragraph","content":[{"type":"text","text":"Platform","marks":[{"type":"strong"}]}],"attrs":{"localId":"9fb29d128302"}}]},{"type":"tableCell","attrs":{"localId":"3bdb2db262ac","colspan":2,"background":"#ace5fe"},"content":[{"type":"paragraph","content":[{"type":"text","text":"Luxury","marks":[{"type":"strong"}]}],"attrs":{"localId":"2273f979c00f"}}]}]},{"type":"tableRow","attrs":{"localId":"a8d41b7e97f3"},"content":[{"type":"tableCell","attrs":{"localId":"a2d3763130ab","background":"#ace5fe"},"content":[{"type":"paragraph","content":[{"type":"text","text":"Particulars","marks":[{"type":"strong"}]}],"attrs":{"localId":"f152e73346ac"}}]},{"type":"tableCell","attrs":{"localId":"b9bbdcba8603","background":"#ace5fe"},"content":[{"type":"paragraph","content":[{"type":"text","text":"SKU Count","marks":[{"type":"strong"}]}],"attrs":{"localId":"dfb54ce7fc73"}}]},{"type":"tableCell","attrs":{"localId":"a202df1c122e","background":"#ace5fe"},"content":[{"type":"paragraph","content":[{"type":"text","text":"Option Count","marks":[{"type":"strong"}]}],"attrs":{"localId":"530717a31c8e"}}]}]},{"type":"tableRow","attrs":{"localId":"a1ee983d75cf"},"content":[{"type":"tableCell","attrs":{"localId":"543e734b92e7","background":"white"},"content":[{"type":"paragraph","content":[{"type":"text","text":"Received"}],"attrs":{"localId":"dce711bf8a23"}}]},{"type":"tableCell","attrs":{"localId":"606afb7489cc"},"content":[{"type":"paragraph","content":[{"type":"text","text":"84"}],"attrs":{"localId":"4740cbf07653"}}]},{"type":"tableCell","attrs":{"localId":"86ad9f79bb22"},"content":[{"type":"paragraph","content":[{"type":"text","text":"14"}],"attrs":{"localId":"ed4ce4ee36ad"}}]}]},{"type":"tableRow","attrs":{"localId":"382c891b8218"},"content":[{"type":"tableCell","attrs":{"localId":"ef279dec5b3c","background":"white"},"content":[{"type":"paragraph","content":[{"type":"text","text":"Uploaded"}],"attrs":{"localId":"f5e1b133054b"}}]},{"type":"tableCell","attrs":{"localId":"913a20b572de"},"content":[{"type":"paragraph","content":[{"type":"text","text":"84"}],"attrs":{"localId":"c918798441c5"}}]},{"type":"tableCell","attrs":{"localId":"065db8def24e"},"content":[{"type":"paragraph","content":[{"type":"text","text":"14"}],"attrs":{"localId":"72909a953d2f"}}]}]},{"type":"tableRow","attrs":{"localId":"2959d233c8df"},"content":[{"type":"tableCell","attrs":{"localId":"65b85016de2e","background":"white"},"content":[{"type":"paragraph","content":[{"type":"text","text":"LIDs Shared"}],"attrs":{"localId":"58f95fa5cd4f"}}]},{"type":"tableCell","attrs":{"localId":"a4b7d57b7883"},"content":[{"type":"paragraph","content":[{"type":"text","text":"84"}],"attrs":{"localId":"f6c10d24962a"}}]},{"type":"tableCell","attrs":{"localId":"74f867b92b0c"},"content":[{"type":"paragraph","content":[{"type":"text","text":"14"}],"attrs":{"localId":"5222faca227c"}}]}]},{"type":"tableRow","attrs":{"localId":"cdd5d9e0e935"},"content":[{"type":"tableCell","attrs":{"localId":"48db977972a1","background":"white"},"content":[{"type":"paragraph","content":[{"type":"text","text":"LIDs Stuck in the System"}],"attrs":{"localId":"8788b2b2bbed"}}]},{"type":"tableCell","attrs":{"localId":"b3f0eeb5b8b3"},"content":[{"type":"paragraph","content":[{"type":"text","text":"0"}],"attrs":{"localId":"cd11ff437bf3"}}]},{"type":"tableCell","attrs":{"localId":"ae3363e3377a"},"content":[{"type":"paragraph","content":[{"type":"text","text":"0"}],"attrs":{"localId":"c0dae5ef38c7"}}]}]}]}
{adf}
With this, we are closing this request from our end.
Thank you for your patience, support, and cooperation throughout the process. Your brand is important to us, and we look forward to assisting you again.</t>
  </si>
  <si>
    <t>UCW-34069</t>
  </si>
  <si>
    <t>PDP Images not Reflecting</t>
  </si>
  <si>
    <t>07-09-2026&lt; Image Retriggered through PCM functionality&gt;&lt;Debabrata&gt;;07/09/2026&lt;The images are now reflecting on the PDP.&gt;&lt;Debabrata&gt;</t>
  </si>
  <si>
    <t>UCW-34059</t>
  </si>
  <si>
    <t>MNY | Lifter Gel Update  |  TATACLIQ - Fashion | Seller Code 125928</t>
  </si>
  <si>
    <t xml:space="preserve">Date :07/08/2026  &lt;Ticket picked for pre processing Option 8 Sku 8&gt; &lt;Anjalita&gt;;Date :07/08/2026 &lt;Pre Processing query to Brand &lt;We have observed that only one image has been shared for each LID.
Kindly confirm from which sequence number we need to change the image.&gt;&gt; &lt;Anjalita&gt;;*Image deliver - Date :07/08/2026 &lt;Images Delivered Processed Options 8 Rejected Options 0&gt; &lt;Saswati Dey&gt;*;Date :07/09/2026 &lt;Ticket has been successfully uploaded in our system. Option 8 Sku 8&gt; &lt;Anjalita&gt;;The changes have been successfully updated and are now reflecting on the PDP. </t>
  </si>
  <si>
    <t>UCW-34056</t>
  </si>
  <si>
    <t>Sqintalk x Tatacliq : Thank you Farmer New SKUs</t>
  </si>
  <si>
    <t>Thank You Farmer</t>
  </si>
  <si>
    <t>|Date :07/08/2026 &lt;Ticket picked for pre processing SKU 6&gt; &lt;Tania&gt;|
|Date :07/08/2026 &lt;Pre Processing query to Brand &lt;Manufacturer and Packer’s details Pincode Missing&gt;&gt; &lt;Tania&gt;|;Date :07/09/2026 &lt;Ticket picked for Production and QC review SKU 6&gt; &lt;Tania&gt;;Date :07/09/2026 &lt;Ticket has been successfully uploaded in our system. Option 6 Sku 6&gt; &lt;Anjalita&gt;;[^UCW-34056.xlsx]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513b5123-30b4-4820-bd3c-491bb7da4b5f"},"content":[{"type":"tableRow","attrs":{"localId":"f0df1a906796"},"content":[{"type":"tableCell","attrs":{"localId":"c12d61e2109e","background":"#44b3e1"},"content":[{"type":"paragraph","content":[{"type":"text","text":"Ticket ID","marks":[{"type":"strong"}]}],"attrs":{"localId":"50938b43f43e"}}]},{"type":"tableCell","attrs":{"localId":"cf78ba792258","colspan":2,"background":"#44b3e1"},"content":[{"type":"paragraph","content":[{"type":"text","text":"UCW-34056","marks":[{"type":"strong"}]}],"attrs":{"localId":"ed3f6d62b07b"}}]}]},{"type":"tableRow","attrs":{"localId":"f92c78cd6a43"},"content":[{"type":"tableCell","attrs":{"localId":"5816aecb66fb","background":"#44b3e1"},"content":[{"type":"paragraph","content":[{"type":"text","text":"Brand Name","marks":[{"type":"strong"}]}],"attrs":{"localId":"14fc8d3be925"}}]},{"type":"tableCell","attrs":{"localId":"add9b5edbfb8","colspan":2,"background":"#44b3e1"},"content":[{"type":"paragraph","content":[{"type":"text","text":"Thank You Farmer","marks":[{"type":"strong"}]}],"attrs":{"localId":"6f8d1f391b36"}}]}]},{"type":"tableRow","attrs":{"localId":"25aa752d11fc"},"content":[{"type":"tableCell","attrs":{"localId":"7b9cd7367413","background":"#ace5fe"},"content":[{"type":"paragraph","content":[{"type":"text","text":"Platform","marks":[{"type":"strong"}]}],"attrs":{"localId":"b5ffb3d578bb"}}]},{"type":"tableCell","attrs":{"localId":"a3231a21e43d","colspan":2,"background":"#ace5fe"},"content":[{"type":"paragraph","content":[{"type":"text","text":"Mall","marks":[{"type":"strong"}]}],"attrs":{"localId":"753ff6269cc3"}}]}]},{"type":"tableRow","attrs":{"localId":"ccc0e841966f"},"content":[{"type":"tableCell","attrs":{"localId":"b409fd2a622f","background":"#ace5fe"},"content":[{"type":"paragraph","content":[{"type":"text","text":"Particulars","marks":[{"type":"strong"}]}],"attrs":{"localId":"5e963ca02b80"}}]},{"type":"tableCell","attrs":{"localId":"e0037bab9a4b","background":"#ace5fe"},"content":[{"type":"paragraph","content":[{"type":"text","text":"SKU Count","marks":[{"type":"strong"}]}],"attrs":{"localId":"efca091fbd2a"}}]},{"type":"tableCell","attrs":{"localId":"e926ad7c0be1","background":"#ace5fe"},"content":[{"type":"paragraph","content":[{"type":"text","text":"Option Count","marks":[{"type":"strong"}]}],"attrs":{"localId":"27b1eea339d2"}}]}]},{"type":"tableRow","attrs":{"localId":"a823bc52489a"},"content":[{"type":"tableCell","attrs":{"localId":"80d4306e969c","background":"white"},"content":[{"type":"paragraph","content":[{"type":"text","text":"Received"}],"attrs":{"localId":"d492ae3f5e29"}}]},{"type":"tableCell","attrs":{"localId":"ff445a973724"},"content":[{"type":"paragraph","content":[{"type":"text","text":"6"}],"attrs":{"localId":"f01ccd5ebad2"}}]},{"type":"tableCell","attrs":{"localId":"0ce7c3d0cb04"},"content":[{"type":"paragraph","content":[{"type":"text","text":"6"}],"attrs":{"localId":"9009c7986e87"}}]}]},{"type":"tableRow","attrs":{"localId":"ec79dbb454a7"},"content":[{"type":"tableCell","attrs":{"localId":"325549fccfc0","background":"white"},"content":[{"type":"paragraph","content":[{"type":"text","text":"Uploaded"}],"attrs":{"localId":"696791659dc2"}}]},{"type":"tableCell","attrs":{"localId":"bcae834f83f1"},"content":[{"type":"paragraph","content":[{"type":"text","text":"6"}],"attrs":{"localId":"3e422d7ab1ad"}}]},{"type":"tableCell","attrs":{"localId":"33029f0a5416"},"content":[{"type":"paragraph","content":[{"type":"text","text":"6"}],"attrs":{"localId":"cf012bb0e8c3"}}]}]},{"type":"tableRow","attrs":{"localId":"50f429afbb63"},"content":[{"type":"tableCell","attrs":{"localId":"79dcaaeb52d9","background":"white"},"content":[{"type":"paragraph","content":[{"type":"text","text":"LIDs Shared"}],"attrs":{"localId":"760c30fb7612"}}]},{"type":"tableCell","attrs":{"localId":"704889e48587"},"content":[{"type":"paragraph","content":[{"type":"text","text":"6"}],"attrs":{"localId":"bfd52a983805"}}]},{"type":"tableCell","attrs":{"localId":"f8cbdac1f32c"},"content":[{"type":"paragraph","content":[{"type":"text","text":"6"}],"attrs":{"localId":"a31dd5617f5a"}}]}]},{"type":"tableRow","attrs":{"localId":"6b838e835e82"},"content":[{"type":"tableCell","attrs":{"localId":"568cd9d57c14","background":"white"},"content":[{"type":"paragraph","content":[{"type":"text","text":"LIDs Stuck in the System"}],"attrs":{"localId":"86c1cb45b05e"}}]},{"type":"tableCell","attrs":{"localId":"4880e43109e2"},"content":[{"type":"paragraph","content":[{"type":"text","text":"0"}],"attrs":{"localId":"847df7b0a54d"}}]},{"type":"tableCell","attrs":{"localId":"2c1a9a6ac19c"},"content":[{"type":"paragraph","content":[{"type":"text","text":"0"}],"attrs":{"localId":"0b72dbd80396"}}]}]}]}
{adf}
With this, we are closing this request from our end.
Thank you for your patience, support, and cooperation throughout the process. Your brand is important to us, and we look forward to assisting you again.</t>
  </si>
  <si>
    <t>UCW-34037</t>
  </si>
  <si>
    <t>CLONE - Tata Cliq  - New Listing - Iceberg / BMW / Trussardi (New Brands)</t>
  </si>
  <si>
    <t>BMW, Iceberg, Trussardi</t>
  </si>
  <si>
    <t xml:space="preserve">
|Date :07/06/2026 &lt;Ticket picked for pre processing SKU 46&gt; &lt;Tania&gt;|
|Date :07/06/2026 &lt;Pre Processing query to Brand &lt;Image Analysis&gt;&gt; &lt;Tania&gt;|;Date :07/07/2026 &lt; Pre Processing query to Brand 1st Follow Up&gt; &lt;Tania&gt;;Image deliver - Date :07/07/2026 &lt;Images Delivered Processed Options 46 Rejected Options 0&gt; &lt;Moumita&gt;;Date :07/07/2026 &lt;Ticket picked for Production and QC review SKU 46&gt; &lt;Tania&gt;;Date :07/08/2026 &lt;Ticket has been successfully uploaded in our system. Option 46 Sku 46&gt; &lt;Anjalita&gt;;[^UCW-34037.xlsx]
Hi [@Pratik Singh|mailto:pratik_singh@bcplgroup.com],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1206362-132e-4ff1-8510-893b41c0989e"},"content":[{"type":"tableRow","attrs":{"localId":"6848b02fe4af"},"content":[{"type":"tableCell","attrs":{"localId":"5ff39483d9ea","background":"#44b3e1"},"content":[{"type":"paragraph","content":[{"type":"text","text":"Ticket ID","marks":[{"type":"strong"}]}],"attrs":{"localId":"0aceb6b72ed7"}}]},{"type":"tableCell","attrs":{"localId":"18379f27e7b7","colspan":2,"background":"#44b3e1"},"content":[{"type":"paragraph","content":[{"type":"text","text":"UCW-34037","marks":[{"type":"strong"}]}],"attrs":{"localId":"c3ce76505ce4"}}]}]},{"type":"tableRow","attrs":{"localId":"5815026abf97"},"content":[{"type":"tableCell","attrs":{"localId":"42af103cd10e","background":"#44b3e1"},"content":[{"type":"paragraph","content":[{"type":"text","text":"Brand Name","marks":[{"type":"strong"}]}],"attrs":{"localId":"d64e3a00f623"}}]},{"type":"tableCell","attrs":{"localId":"dfa5ef116caa","colspan":2,"background":"#44b3e1"},"content":[{"type":"paragraph","content":[{"type":"text","text":"BMW, Iceberg, Trussardi","marks":[{"type":"strong"}]}],"attrs":{"localId":"aaaabfac7ea7"}}]}]},{"type":"tableRow","attrs":{"localId":"67b9ba8f8ba1"},"content":[{"type":"tableCell","attrs":{"localId":"3f5bd7dd94e8","background":"#44b3e1"},"content":[{"type":"paragraph","content":[{"type":"text","text":"Platform","marks":[{"type":"strong"}]}],"attrs":{"localId":"6897dbfc00b4"}}]},{"type":"tableCell","attrs":{"localId":"edc8c35bf1e3","colspan":2,"background":"#44b3e1"},"content":[{"type":"paragraph","content":[{"type":"text","text":"Luxury, Mall","marks":[{"type":"strong"}]}],"attrs":{"localId":"61afb16b0edd"}}]}]},{"type":"tableRow","attrs":{"localId":"a7b1a4ec8c49"},"content":[{"type":"tableCell","attrs":{"localId":"94bdf8c3a70e","background":"#ace5fe"},"content":[{"type":"paragraph","content":[{"type":"text","text":"Particulars","marks":[{"type":"strong"}]}],"attrs":{"localId":"363a9dd1f6ac"}}]},{"type":"tableCell","attrs":{"localId":"3f72ea27a956","background":"#ace5fe"},"content":[{"type":"paragraph","content":[{"type":"text","text":"SKU Count","marks":[{"type":"strong"}]}],"attrs":{"localId":"4fda8930c86f"}}]},{"type":"tableCell","attrs":{"localId":"ae4e97fa1e51","background":"#ace5fe"},"content":[{"type":"paragraph","content":[{"type":"text","text":"Option Count","marks":[{"type":"strong"}]}],"attrs":{"localId":"21c14860c362"}}]}]},{"type":"tableRow","attrs":{"localId":"ddccff9d0221"},"content":[{"type":"tableCell","attrs":{"localId":"8db973c59b99","background":"white"},"content":[{"type":"paragraph","content":[{"type":"text","text":"Received"}],"attrs":{"localId":"f2d1b07fd001"}}]},{"type":"tableCell","attrs":{"localId":"e4c56ada7799","background":"white"},"content":[{"type":"paragraph","content":[{"type":"text","text":"46"}],"attrs":{"localId":"5d64644726df"}}]},{"type":"tableCell","attrs":{"localId":"69c93fdd238e","background":"white"},"content":[{"type":"paragraph","content":[{"type":"text","text":"46"}],"attrs":{"localId":"0122dcd264a0"}}]}]},{"type":"tableRow","attrs":{"localId":"dd32ecd79cac"},"content":[{"type":"tableCell","attrs":{"localId":"766acbbce050","background":"white"},"content":[{"type":"paragraph","content":[{"type":"text","text":"Uploaded"}],"attrs":{"localId":"97c789ec50cd"}}]},{"type":"tableCell","attrs":{"localId":"6818152b7e3e","background":"white"},"content":[{"type":"paragraph","content":[{"type":"text","text":"46"}],"attrs":{"localId":"929bcbe41b7f"}}]},{"type":"tableCell","attrs":{"localId":"603d3710d90d","background":"white"},"content":[{"type":"paragraph","content":[{"type":"text","text":"46"}],"attrs":{"localId":"eaef47fc82e4"}}]}]},{"type":"tableRow","attrs":{"localId":"35c83f667010"},"content":[{"type":"tableCell","attrs":{"localId":"09d64cca96e0","background":"white"},"content":[{"type":"paragraph","content":[{"type":"text","text":"Not Uploaded"}],"attrs":{"localId":"ab277ac2030f"}}]},{"type":"tableCell","attrs":{"localId":"9ec0b190f10b","background":"white"},"content":[{"type":"paragraph","content":[{"type":"text","text":"0"}],"attrs":{"localId":"c6cdfcf4907d"}}]},{"type":"tableCell","attrs":{"localId":"0ae3772c27c7","background":"white"},"content":[{"type":"paragraph","content":[{"type":"text","text":"0"}],"attrs":{"localId":"6fbd2b5422a9"}}]}]},{"type":"tableRow","attrs":{"localId":"161761278da3"},"content":[{"type":"tableCell","attrs":{"localId":"89c7996e0ac4","background":"white"},"content":[{"type":"paragraph","content":[{"type":"text","text":"LIDs Shared"}],"attrs":{"localId":"ec0c24d7012b"}}]},{"type":"tableCell","attrs":{"localId":"9460b693297f","background":"white"},"content":[{"type":"paragraph","content":[{"type":"text","text":"46"}],"attrs":{"localId":"8db85f8592ba"}}]},{"type":"tableCell","attrs":{"localId":"c6108f506709","background":"white"},"content":[{"type":"paragraph","content":[{"type":"text","text":"46"}],"attrs":{"localId":"3441f4f1153c"}}]}]},{"type":"tableRow","attrs":{"localId":"697d5c86b30e"},"content":[{"type":"tableCell","attrs":{"localId":"5639018bf2ff","background":"white"},"content":[{"type":"paragraph","content":[{"type":"text","text":"Stuck in the System"}],"attrs":{"localId":"e53ed3c866b4"}}]},{"type":"tableCell","attrs":{"localId":"0d53f84281b3","background":"white"},"content":[{"type":"paragraph","content":[{"type":"text","text":"0"}],"attrs":{"localId":"cc6f558da216"}}]},{"type":"tableCell","attrs":{"localId":"c69bfa4c8ead","background":"white"},"content":[{"type":"paragraph","content":[{"type":"text","text":"0"}],"attrs":{"localId":"e86781b8a603"}}]}]}]}
{adf}
With this, we are closing this request from our end.
Thank you for your patience, support, and cooperation throughout the process. Your brand is important to us, and we look forward to assisting you again.
Regards,
Team Netscribes</t>
  </si>
  <si>
    <t>UCW-34020</t>
  </si>
  <si>
    <t>Sweet Dreams - Kids Apparel - 01-07-2026</t>
  </si>
  <si>
    <t xml:space="preserve">Date :07/07/2026  &lt;Ticket picked for pre processing Option 32 Sku 192&gt; &lt;Anwesha Mondal&gt;;*Image deliver - Date :07/08/2026 &lt;Images Delivered Processed Options 21 Rejected Options 11&gt; &lt;Saswati Dey&gt;*;Date :07/08/2026  &lt;Pre Processing query to Brand &lt;EAN &amp; Mandatory image missing&gt;&gt; &lt;Anwesha Mondal&gt; ;Date :07/09/2026  &lt;Resolution received, production WIP&gt; &lt;Anwesha Mondal&gt; ;Date :07/10/2026  &lt;[https://tatacliqhelpdesk.freshservice.com/support/tickets/222164|https://tatacliqhelpdesk.freshservice.com/support/tickets/222164]-Size Chart Creation_Sweet Dreams_UCW-34020_10-07-2026&gt; &lt;Anwesha Mondal&gt; ;Date :07/10/2026 &lt;Ticket has been successfully uploaded in our system. Option 21 Sku 126&gt; &lt;Anwesha Mondal&gt;
[^Post Upload Status_UCW-34020.xlsx]
[^Summary.zip]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f0b217f-0739-4027-abc6-0a83653369f6"},"content":[{"type":"tableRow","attrs":{"localId":"4d40b2dc16a5"},"content":[{"type":"tableCell","attrs":{"localId":"7ac7c3fd7e49","background":"#44b3e1"},"content":[{"type":"paragraph","content":[{"type":"text","text":"Ticket ID","marks":[{"type":"strong"}]}],"attrs":{"localId":"213782533757"}}]},{"type":"tableCell","attrs":{"localId":"614561339d41","colspan":2,"background":"#44b3e1"},"content":[{"type":"paragraph","content":[{"type":"text","text":"UCW-34020","marks":[{"type":"strong"}]}],"attrs":{"localId":"4febf612dc94"}}]}]},{"type":"tableRow","attrs":{"localId":"16831e7c2d16"},"content":[{"type":"tableCell","attrs":{"localId":"ae84a3a76c71","background":"#44b3e1"},"content":[{"type":"paragraph","content":[{"type":"text","text":"Brand Name","marks":[{"type":"strong"}]}],"attrs":{"localId":"36c873d0b0fc"}}]},{"type":"tableCell","attrs":{"localId":"32aaea1befad","colspan":2,"background":"#44b3e1"},"content":[{"type":"paragraph","content":[{"type":"text","text":"Sweet Dreams","marks":[{"type":"strong"}]}],"attrs":{"localId":"7673c8f25bba"}}]}]},{"type":"tableRow","attrs":{"localId":"457297657e6c"},"content":[{"type":"tableCell","attrs":{"localId":"077582a21f03","background":"#ace5fe"},"content":[{"type":"paragraph","content":[{"type":"text","text":"Platform","marks":[{"type":"strong"}]}],"attrs":{"localId":"1285acaf6088"}}]},{"type":"tableCell","attrs":{"localId":"8945edd02d10","colspan":2,"background":"#ace5fe"},"content":[{"type":"paragraph","content":[{"type":"text","text":"Mall","marks":[{"type":"strong"}]}],"attrs":{"localId":"59923a1e5fdb"}}]}]},{"type":"tableRow","attrs":{"localId":"28f7f2e29729"},"content":[{"type":"tableCell","attrs":{"localId":"9544f9dd8ad7","background":"#ace5fe"},"content":[{"type":"paragraph","content":[{"type":"text","text":"Particulars","marks":[{"type":"strong"}]}],"attrs":{"localId":"1e65115ade00"}}]},{"type":"tableCell","attrs":{"localId":"4dc7f1dd71a3","background":"#ace5fe"},"content":[{"type":"paragraph","content":[{"type":"text","text":"SKU Count","marks":[{"type":"strong"}]}],"attrs":{"localId":"076686a6ca94"}}]},{"type":"tableCell","attrs":{"localId":"067debeb092e","background":"#ace5fe"},"content":[{"type":"paragraph","content":[{"type":"text","text":"Option Count","marks":[{"type":"strong"}]}],"attrs":{"localId":"15b9e3f411b6"}}]}]},{"type":"tableRow","attrs":{"localId":"aee254f2f7a3"},"content":[{"type":"tableCell","attrs":{"localId":"116686b7ef7e","background":"white"},"content":[{"type":"paragraph","content":[{"type":"text","text":"Received"}],"attrs":{"localId":"0208b05c6b80"}}]},{"type":"tableCell","attrs":{"localId":"b934a1efd7da"},"content":[{"type":"paragraph","content":[{"type":"text","text":"192"}],"attrs":{"localId":"34e216967f50"}}]},{"type":"tableCell","attrs":{"localId":"49cd25225ad5"},"content":[{"type":"paragraph","content":[{"type":"text","text":"32"}],"attrs":{"localId":"966a4494011f"}}]}]},{"type":"tableRow","attrs":{"localId":"c29b408e9ed5"},"content":[{"type":"tableCell","attrs":{"localId":"bc53bcbb708b","background":"white"},"content":[{"type":"paragraph","content":[{"type":"text","text":"Uploaded"}],"attrs":{"localId":"0e18f2e39a12"}}]},{"type":"tableCell","attrs":{"localId":"98a4be043254"},"content":[{"type":"paragraph","content":[{"type":"text","text":"126"}],"attrs":{"localId":"77797729f7a3"}}]},{"type":"tableCell","attrs":{"localId":"1223fc5b0ab7"},"content":[{"type":"paragraph","content":[{"type":"text","text":"21"}],"attrs":{"localId":"d70e3bc1cd7f"}}]}]},{"type":"tableRow","attrs":{"localId":"b0fcf16f93ef"},"content":[{"type":"tableCell","attrs":{"localId":"3065144774a0","background":"white"},"content":[{"type":"paragraph","content":[{"type":"text","text":"Not Upload- Image Issue"}],"attrs":{"localId":"343e798fc77a"}}]},{"type":"tableCell","attrs":{"localId":"4059167386b8"},"content":[{"type":"paragraph","content":[{"type":"text","text":"66"}],"attrs":{"localId":"e1e14b5338ea"}}]},{"type":"tableCell","attrs":{"localId":"88226bf38ff0"},"content":[{"type":"paragraph","content":[{"type":"text","text":"11"}],"attrs":{"localId":"854b6c2044b2"}}]}]},{"type":"tableRow","attrs":{"localId":"f91629ce5b25"},"content":[{"type":"tableCell","attrs":{"localId":"179fc66fea7e","background":"white"},"content":[{"type":"paragraph","content":[{"type":"text","text":"LIDs Shared"}],"attrs":{"localId":"65e6f311a725"}}]},{"type":"tableCell","attrs":{"localId":"4f7178408605"},"content":[{"type":"paragraph","content":[{"type":"text","text":"126"}],"attrs":{"localId":"b2fdfc0e7d4f"}}]},{"type":"tableCell","attrs":{"localId":"0860e7d9e069"},"content":[{"type":"paragraph","content":[{"type":"text","text":"21"}],"attrs":{"localId":"d5dbb3a2750a"}}]}]},{"type":"tableRow","attrs":{"localId":"8493b7362ad4"},"content":[{"type":"tableCell","attrs":{"localId":"e9c7c065ad2a","background":"white"},"content":[{"type":"paragraph","content":[{"type":"text","text":"LIDs Stuck in the System"}],"attrs":{"localId":"bce5d937c881"}}]},{"type":"tableCell","attrs":{"localId":"608f787712a8"},"content":[{"type":"paragraph","content":[{"type":"text","text":"0"}],"attrs":{"localId":"3dfe6d743e51"}}]},{"type":"tableCell","attrs":{"localId":"13ec7c7bc59f"},"content":[{"type":"paragraph","content":[{"type":"text","text":"0"}],"attrs":{"localId":"bf0558d6c11b"}}]}]}]}
{adf}
*66 SKUs could not be uploaded due to image-related issues. Kindly refer to the Comment column in the attached sheet for the detailed observations.*
*Please share the revised images for the affected SKUs. Once we receive the updated images, we will create the clone codes and upload the SKUs accordingly.*
With this, we are closing this request from our end.
Thank you for your patience, support, and cooperation throughout the process. Your brand is important to us, and we look forward to assisting you again.[^Post Upload Status_UCW-34020 (7b4c6278-9f43-4817-b7f2-b7a2aa9a4dfc).xlsx] </t>
  </si>
  <si>
    <t>UCW-34017</t>
  </si>
  <si>
    <t>MNY | Shine Stopper Update  |  TATACLIQ - Fashion | Seller Code 125928</t>
  </si>
  <si>
    <t>Date:07/07/2026&lt;Query to CCMT&gt;&lt;Kindly share the image that needs to be replaced&gt;&lt;Biplab Sarkar&gt;;Date:07/08/2026&lt;Images received Production WIP&gt;&lt;Biplab Sarkar&gt;;*Image deliver - Date :07/08/2026 &lt;Images Delivered Processed Options 2 Rejected Options 0&gt; &lt;Saswati Dey&gt;*;The images have been successfully updated. Please find the attached summary sheet for your reference.
Once the images are successfully reflected on the platform, we will inform you accordingly.[^Status of UCW-34017.xlsx] [^125928_SKUEDITRETRIGGER__Face_Primer(MPH2214101110)_20260708_070320_066_summary.csv] 
{adf:display=block}
{"type":"table","attrs":{"isNumberColumnEnabled":false,"layout":"center","localId":"3d160c84-772f-43f1-9f3b-9e2d29cee72a"},"content":[{"type":"tableRow","attrs":{"localId":"4ed0f5f29624"},"content":[{"type":"tableCell","attrs":{"localId":"c3de9839e995"},"content":[{"type":"paragraph","content":[{"type":"text","text":"Ticket ID"}],"attrs":{"localId":"365f64473c85"}}]},{"type":"tableCell","attrs":{"localId":"71f9a7f32346","colspan":2},"content":[{"type":"paragraph","content":[{"type":"text","text":"UCW-34017"}],"attrs":{"localId":"ca4f57a66842"}}]}]},{"type":"tableRow","attrs":{"localId":"1ab129369d65"},"content":[{"type":"tableCell","attrs":{"localId":"27518350606e"},"content":[{"type":"paragraph","content":[{"type":"text","text":"Brand Name"}],"attrs":{"localId":"c0afdb10d191"}}]},{"type":"tableCell","attrs":{"localId":"be5ccee9b996","colspan":2},"content":[{"type":"paragraph","content":[{"type":"text","text":"Maybelline New York"}],"attrs":{"localId":"75ec62d857d8"}}]}]},{"type":"tableRow","attrs":{"localId":"37d0cbc700fc"},"content":[{"type":"tableCell","attrs":{"localId":"950ec7ae3d26"},"content":[{"type":"paragraph","content":[{"type":"text","text":"Platform"}],"attrs":{"localId":"a05c9ab6957c"}}]},{"type":"tableCell","attrs":{"localId":"8bd67adf2cee","colspan":2},"content":[{"type":"paragraph","content":[{"type":"text","text":"Marketplace"}],"attrs":{"localId":"e32ddb05031a"}}]}]},{"type":"tableRow","attrs":{"localId":"0aacf3a538dd"},"content":[{"type":"tableCell","attrs":{"localId":"b2088f6680a9"},"content":[{"type":"paragraph","content":[{"type":"text","text":"Particulars"}],"attrs":{"localId":"bc91ee81ac05"}}]},{"type":"tableCell","attrs":{"localId":"9fd3d665788c"},"content":[{"type":"paragraph","content":[{"type":"text","text":"SKU Count"}],"attrs":{"localId":"88ee90354124"}}]},{"type":"tableCell","attrs":{"localId":"447584864ea0"},"content":[{"type":"paragraph","content":[{"type":"text","text":"Option Count"}],"attrs":{"localId":"9471a0b30b32"}}]}]},{"type":"tableRow","attrs":{"localId":"64e1465bb9b9"},"content":[{"type":"tableCell","attrs":{"localId":"ed4636be75be"},"content":[{"type":"paragraph","content":[{"type":"text","text":"Received"}],"attrs":{"localId":"3476f36d6434"}}]},{"type":"tableCell","attrs":{"localId":"3a1ab1ffbf5c"},"content":[{"type":"paragraph","content":[{"type":"text","text":"2"}],"attrs":{"localId":"58a89dfa5823"}}]},{"type":"tableCell","attrs":{"localId":"34f8e3a52a77"},"content":[{"type":"paragraph","content":[{"type":"text","text":"2"}],"attrs":{"localId":"ddf3f0347567"}}]}]},{"type":"tableRow","attrs":{"localId":"71108d604f3e"},"content":[{"type":"tableCell","attrs":{"localId":"776afc30fe42"},"content":[{"type":"paragraph","content":[{"type":"text","text":"Uploaded"}],"attrs":{"localId":"c808c4fe24ab"}}]},{"type":"tableCell","attrs":{"localId":"49bdc46b3632"},"content":[{"type":"paragraph","content":[{"type":"text","text":"2"}],"attrs":{"localId":"c975398451b7"}}]},{"type":"tableCell","attrs":{"localId":"a9b7a90bfba1"},"content":[{"type":"paragraph","content":[{"type":"text","text":"2"}],"attrs":{"localId":"e81852b1a8fb"}}]}]}]}
{adf}</t>
  </si>
  <si>
    <t>UCW-34012</t>
  </si>
  <si>
    <t>Andamen-TCR Summer &amp; Prints 9th July New collection</t>
  </si>
  <si>
    <t xml:space="preserve">Andamen </t>
  </si>
  <si>
    <t>Date :07/07/2026  &lt;Ticket picked for pre processing Option 21 Sku 105&gt; &lt;Anwesha Mondal&gt;;*Image deliver - Date :07/07/2026 &lt;Images Delivered Processed Options 21 Rejected Options 0&gt; &lt;Saswati Dey&gt;*;Date :07/07/2026  &lt;Pre Processing query to Brand &lt;Manufacturer Details Missing&gt;&gt; &lt;Anwesha Mondal&gt; ;Date :07/08/2026  &lt;Resolution received production WIP&gt; &lt;Anwesha Mondal&gt; ;Date :07/08/2026  &lt;Pre Processing query to Brand &lt;Missing Size chart &gt;&gt; &lt;Anwesha Mondal&gt; ;* Date :07/08/2026  &lt;Production &amp; Qc done, L1 raised for size chart&lt;[https://tatacliqhelpdesk.freshservice.com/support/tickets/221986|https://tatacliqhelpdesk.freshservice.com/support/tickets/221986]-Size Chart Creation_Andamen_UCW-34012_08-07-2026 &gt;&gt; &lt;Anwesha Mondal&gt;;Date :07/09/2026&lt;Ticket has been successfully uploaded in our system. Option 21  Sku 105&gt; &lt;Anwesha Mondal&gt;
[^Post Upload Status_UCW-34012.xlsx]
[^Summary.zip]
;[^UCW-34012.xlsx]
Please find attached the sheet, where 20 options of Men's Apparel have been listed.
Kindly update the price and inventory, and share the summary once completed.
{adf:display=block}
{"type":"table","attrs":{"isNumberColumnEnabled":false,"layout":"center","localId":"7bfd8c66-9458-40da-815b-278cb56402f6"},"content":[{"type":"tableRow","attrs":{"localId":"5f5070959655"},"content":[{"type":"tableCell","attrs":{"localId":"c08ea5937fed","background":"#44b3e1"},"content":[{"type":"paragraph","content":[{"type":"text","text":"Ticket ID","marks":[{"type":"strong"}]}],"attrs":{"localId":"dd4a9c8d4656"}}]},{"type":"tableCell","attrs":{"localId":"980d5910ad27","colspan":2,"background":"#44b3e1"},"content":[{"type":"paragraph","content":[{"type":"text","text":"UCW-34012","marks":[{"type":"strong"}]}],"attrs":{"localId":"6afcd8c933f3"}}]}]},{"type":"tableRow","attrs":{"localId":"9bce932e1f8a"},"content":[{"type":"tableCell","attrs":{"localId":"5bfded3f52df","background":"#44b3e1"},"content":[{"type":"paragraph","content":[{"type":"text","text":"Brand Name","marks":[{"type":"strong"}]}],"attrs":{"localId":"6b2b67066387"}}]},{"type":"tableCell","attrs":{"localId":"eeaff6207992","colspan":2,"background":"#44b3e1"},"content":[{"type":"paragraph","content":[{"type":"text","text":"Andamen ","marks":[{"type":"strong"}]}],"attrs":{"localId":"a91311853b42"}}]}]},{"type":"tableRow","attrs":{"localId":"d79908803eb8"},"content":[{"type":"tableCell","attrs":{"localId":"9742f2a9d4c3","background":"#ace5fe"},"content":[{"type":"paragraph","content":[{"type":"text","text":"Platform","marks":[{"type":"strong"}]}],"attrs":{"localId":"067a796ec674"}}]},{"type":"tableCell","attrs":{"localId":"3daa24565bab","colspan":2,"background":"#ace5fe"},"content":[{"type":"paragraph","content":[{"type":"text","text":"Mall","marks":[{"type":"strong"}]}],"attrs":{"localId":"be3075542bd0"}}]}]},{"type":"tableRow","attrs":{"localId":"92dfd0128dfc"},"content":[{"type":"tableCell","attrs":{"localId":"9c92b1389422","background":"#ace5fe"},"content":[{"type":"paragraph","content":[{"type":"text","text":"Particulars","marks":[{"type":"strong"}]}],"attrs":{"localId":"02c113c31b5b"}}]},{"type":"tableCell","attrs":{"localId":"f521f3255160","background":"#ace5fe"},"content":[{"type":"paragraph","content":[{"type":"text","text":"SKU Count","marks":[{"type":"strong"}]}],"attrs":{"localId":"71fc32409d54"}}]},{"type":"tableCell","attrs":{"localId":"bc1c99bd46ed","background":"#ace5fe"},"content":[{"type":"paragraph","content":[{"type":"text","text":"Option Count","marks":[{"type":"strong"}]}],"attrs":{"localId":"00e61ff61f86"}}]}]},{"type":"tableRow","attrs":{"localId":"823e75375487"},"content":[{"type":"tableCell","attrs":{"localId":"110f992dbe7c","background":"white"},"content":[{"type":"paragraph","content":[{"type":"text","text":"Received"}],"attrs":{"localId":"87b7ab42fb7b"}}]},{"type":"tableCell","attrs":{"localId":"b12c305a5ce9"},"content":[{"type":"paragraph","content":[{"type":"text","text":"105"}],"attrs":{"localId":"81dbcfd779cc"}}]},{"type":"tableCell","attrs":{"localId":"61e6d7fd997e"},"content":[{"type":"paragraph","content":[{"type":"text","text":"21"}],"attrs":{"localId":"97a3a068fafb"}}]}]},{"type":"tableRow","attrs":{"localId":"bde11b20d61c"},"content":[{"type":"tableCell","attrs":{"localId":"b8a478e33c41","background":"white"},"content":[{"type":"paragraph","content":[{"type":"text","text":"Uploaded"}],"attrs":{"localId":"a9a5f9a87488"}}]},{"type":"tableCell","attrs":{"localId":"c539c854bbd9"},"content":[{"type":"paragraph","content":[{"type":"text","text":"105"}],"attrs":{"localId":"a02240c07b71"}}]},{"type":"tableCell","attrs":{"localId":"3eca87414b04"},"content":[{"type":"paragraph","content":[{"type":"text","text":"21"}],"attrs":{"localId":"5f07bc545f89"}}]}]},{"type":"tableRow","attrs":{"localId":"f8f05984a807"},"content":[{"type":"tableCell","attrs":{"localId":"8c179218a55c","background":"white"},"content":[{"type":"paragraph","content":[{"type":"text","text":"LIDs Shared"}],"attrs":{"localId":"76f5624c1a1e"}}]},{"type":"tableCell","attrs":{"localId":"cb8d8e3754fd"},"content":[{"type":"paragraph","content":[{"type":"text","text":"100"}],"attrs":{"localId":"732861d96296"}}]},{"type":"tableCell","attrs":{"localId":"d4866e3892ca"},"content":[{"type":"paragraph","content":[{"type":"text","text":"20"}],"attrs":{"localId":"3d4649d9d721"}}]}]},{"type":"tableRow","attrs":{"localId":"c520d7bdcf0b"},"content":[{"type":"tableCell","attrs":{"localId":"ce859defa965","background":"white"},"content":[{"type":"paragraph","content":[{"type":"text","text":"LIDs Stuck in the System"}],"attrs":{"localId":"090bdcdc6ac9"}}]},{"type":"tableCell","attrs":{"localId":"43670e7767a0"},"content":[{"type":"paragraph","content":[{"type":"text","text":"5"}],"attrs":{"localId":"905b46c58639"}}]},{"type":"tableCell","attrs":{"localId":"d96039424802"},"content":[{"type":"paragraph","content":[{"type":"text","text":"1"}],"attrs":{"localId":"5f6203f764f8"}}]}]}]}
{adf}
One option is currently stuck in the Rejected status due to the error: "Unexpected Exception Occurred during Primary Product Creation."
We have already highlighted this issue to the Tech Team. Once we receive a resolution, we will take the necessary action and keep you informed of the progress accordingly.
Tech Ticket: [https://tatacliqhelpdesk.freshservice.com/support/tickets/222223|https://tatacliqhelpdesk.freshservice.com/support/tickets/222223]</t>
  </si>
  <si>
    <t>UCW-34011</t>
  </si>
  <si>
    <t>Skinn|Fastrack X perfume X 125928 X TCF X 11.05.2026 (Pending 3)</t>
  </si>
  <si>
    <t>Skinn</t>
  </si>
  <si>
    <t>Date :07/07/2026 &lt;Ticket has been successfully uploaded in our system. Option 3 Sku 3&gt; &lt;Anjalita&gt;;[^UCW-34011.xlsx]
Hi [@Srikanth N|mailto:Srikanth_N@titan.co.in],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66ab784-a36f-4cf0-855d-192672c74dbb"},"content":[{"type":"tableRow","attrs":{"localId":"236c0335da9a"},"content":[{"type":"tableCell","attrs":{"localId":"5c15f2327254","background":"#44b3e1"},"content":[{"type":"paragraph","content":[{"type":"text","text":"Ticket ID","marks":[{"type":"strong"}]}],"attrs":{"localId":"d4eeb9c73694"}}]},{"type":"tableCell","attrs":{"localId":"d326bd919b40","colspan":2,"background":"#44b3e1"},"content":[{"type":"paragraph","content":[{"type":"text","text":"UCW-34011","marks":[{"type":"strong"}]}],"attrs":{"localId":"fc17e4be40b2"}}]}]},{"type":"tableRow","attrs":{"localId":"6228789fd49d"},"content":[{"type":"tableCell","attrs":{"localId":"d89c68da5400","background":"#44b3e1"},"content":[{"type":"paragraph","content":[{"type":"text","text":"Brand Name","marks":[{"type":"strong"}]}],"attrs":{"localId":"e892aca6af62"}}]},{"type":"tableCell","attrs":{"localId":"e1a606d8e528","colspan":2,"background":"#44b3e1"},"content":[{"type":"paragraph","content":[{"type":"text","text":"SKINN","marks":[{"type":"strong"}]}],"attrs":{"localId":"0f1bf669896e"}}]}]},{"type":"tableRow","attrs":{"localId":"250a8cd0bca3"},"content":[{"type":"tableCell","attrs":{"localId":"d6d4778c4d5d","background":"#44b3e1"},"content":[{"type":"paragraph","content":[{"type":"text","text":"Platform","marks":[{"type":"strong"}]}],"attrs":{"localId":"1edfd5a1081d"}}]},{"type":"tableCell","attrs":{"localId":"33a1509600fc","colspan":2,"background":"#44b3e1"},"content":[{"type":"paragraph","content":[{"type":"text","text":"Mall","marks":[{"type":"strong"}]}],"attrs":{"localId":"1adbbbc4c38c"}}]}]},{"type":"tableRow","attrs":{"localId":"4dfc06d69c47"},"content":[{"type":"tableCell","attrs":{"localId":"14efc78a4268","background":"#ace5fe"},"content":[{"type":"paragraph","content":[{"type":"text","text":"Particulars","marks":[{"type":"strong"}]}],"attrs":{"localId":"e2f8afefd95a"}}]},{"type":"tableCell","attrs":{"localId":"a01829edb245","background":"#ace5fe"},"content":[{"type":"paragraph","content":[{"type":"text","text":"SKU Count","marks":[{"type":"strong"}]}],"attrs":{"localId":"56fd7074e11e"}}]},{"type":"tableCell","attrs":{"localId":"5b44a70e2cc3","background":"#ace5fe"},"content":[{"type":"paragraph","content":[{"type":"text","text":"Option Count","marks":[{"type":"strong"}]}],"attrs":{"localId":"93110d7762e9"}}]}]},{"type":"tableRow","attrs":{"localId":"6f6285aa7972"},"content":[{"type":"tableCell","attrs":{"localId":"3c3550faec04","background":"white"},"content":[{"type":"paragraph","content":[{"type":"text","text":"Received"}],"attrs":{"localId":"bf982615c9a5"}}]},{"type":"tableCell","attrs":{"localId":"d14b321bf368","background":"white"},"content":[{"type":"paragraph","content":[{"type":"text","text":"3"}],"attrs":{"localId":"14e96dbc67c9"}}]},{"type":"tableCell","attrs":{"localId":"8e857c0bd8c1","background":"white"},"content":[{"type":"paragraph","content":[{"type":"text","text":"3"}],"attrs":{"localId":"92bc2f7ef897"}}]}]},{"type":"tableRow","attrs":{"localId":"91d591b29f1f"},"content":[{"type":"tableCell","attrs":{"localId":"0402fd606fca","background":"white"},"content":[{"type":"paragraph","content":[{"type":"text","text":"Uploaded"}],"attrs":{"localId":"5173793214ad"}}]},{"type":"tableCell","attrs":{"localId":"9c891c7edb6b","background":"white"},"content":[{"type":"paragraph","content":[{"type":"text","text":"3"}],"attrs":{"localId":"bba9e664780b"}}]},{"type":"tableCell","attrs":{"localId":"b4232103fd80","background":"white"},"content":[{"type":"paragraph","content":[{"type":"text","text":"3"}],"attrs":{"localId":"10356bfed9d5"}}]}]},{"type":"tableRow","attrs":{"localId":"778017190348"},"content":[{"type":"tableCell","attrs":{"localId":"63373113b79b","background":"white"},"content":[{"type":"paragraph","content":[{"type":"text","text":"Not Uploaded"}],"attrs":{"localId":"f40ff1f3e0c4"}}]},{"type":"tableCell","attrs":{"localId":"4069d3df1972","background":"white"},"content":[{"type":"paragraph","content":[{"type":"text","text":"0"}],"attrs":{"localId":"aac83e2bb660"}}]},{"type":"tableCell","attrs":{"localId":"e1710dc1b60a","background":"white"},"content":[{"type":"paragraph","content":[{"type":"text","text":"0"}],"attrs":{"localId":"bfb10d2ec998"}}]}]},{"type":"tableRow","attrs":{"localId":"e0bf071f6850"},"content":[{"type":"tableCell","attrs":{"localId":"2a4c71b20773","background":"white"},"content":[{"type":"paragraph","content":[{"type":"text","text":"LIDs Shared"}],"attrs":{"localId":"74862665bfcc"}}]},{"type":"tableCell","attrs":{"localId":"39ea2c7f2001","background":"white"},"content":[{"type":"paragraph","content":[{"type":"text","text":"3"}],"attrs":{"localId":"5ea174a2889b"}}]},{"type":"tableCell","attrs":{"localId":"9d0e8c90ebe9","background":"white"},"content":[{"type":"paragraph","content":[{"type":"text","text":"3"}],"attrs":{"localId":"d1d4d0a000a1"}}]}]},{"type":"tableRow","attrs":{"localId":"30052bb63adb"},"content":[{"type":"tableCell","attrs":{"localId":"e4da40c6506a","background":"white"},"content":[{"type":"paragraph","content":[{"type":"text","text":"Stuck in the System"}],"attrs":{"localId":"b6db26d80907"}}]},{"type":"tableCell","attrs":{"localId":"48c97101cb97","background":"white"},"content":[{"type":"paragraph","content":[{"type":"text","text":"0"}],"attrs":{"localId":"db14b0387428"}}]},{"type":"tableCell","attrs":{"localId":"8a0c2bb30eca","background":"white"},"content":[{"type":"paragraph","content":[{"type":"text","text":"0"}],"attrs":{"localId":"f61dfbc4d741"}}]}]}]}
{adf}
With this, we are closing this request from our end.
Thank you for your patience, support, and cooperation throughout the process. Your brand is important to us, and we look forward to assisting you again.
Regards,
Team Netscribes</t>
  </si>
  <si>
    <t>UCW-34010</t>
  </si>
  <si>
    <t>Honasa Updated A+ and E-Commerce Creatives- Tata Cliq (July-1)</t>
  </si>
  <si>
    <t xml:space="preserve">We have updated the images through Product Bulk Retrigger. Once the images are successfully reflected on the platform, we will inform you accordingly.[^125955_product_retrigger_BULK_UPLOAD_summary.csv] </t>
  </si>
  <si>
    <t>UCW-34006</t>
  </si>
  <si>
    <t>Cloned- BERRYLICIOUS + Apparel + Annapurna Impex (128094) + 03/05/2026</t>
  </si>
  <si>
    <t>Date :07/07/2026  &lt;Pre Processing query to Brand &lt;Size Chart&gt;&gt; &lt;Anwesha Mondal&gt; ;Date :07/09/2026  &lt;Size Chart Creation &lt;[https://tatacliqhelpdesk.freshservice.com/support/tickets/222020|https://tatacliqhelpdesk.freshservice.com/support/tickets/222020]-Size Chart Creation_BERRYLICIOUS_UCW-32938_09-07-2026&gt;&gt; &lt;Anwesha Mondal&gt;;Date :07/09/2026 &lt;Ticket has been successfully uploaded in our system. Option 81 Sku 351&gt; &lt;Anwesha Mondal&gt;
[^Post Upload Status_UCW-34006.xlsx]
[^Summary.zip]
;[^UCW-34006.xlsx]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21907a8-6470-4597-b0b4-2ba976634d52"},"content":[{"type":"tableRow","attrs":{"localId":"2a916c7c1283"},"content":[{"type":"tableCell","attrs":{"localId":"8dc9af8801fe","background":"#44b3e1"},"content":[{"type":"paragraph","content":[{"type":"text","text":"Ticket ID","marks":[{"type":"strong"}]}],"attrs":{"localId":"a3c78ccd1512"}}]},{"type":"tableCell","attrs":{"localId":"c88b5305f0e6","colspan":2,"background":"#44b3e1"},"content":[{"type":"paragraph","content":[{"type":"text","text":"UCW-34006","marks":[{"type":"strong"}]}],"attrs":{"localId":"e10a9c424572"}}]}]},{"type":"tableRow","attrs":{"localId":"60d15c13f6c0"},"content":[{"type":"tableCell","attrs":{"localId":"a94ea104f789","background":"#44b3e1"},"content":[{"type":"paragraph","content":[{"type":"text","text":"Brand Name","marks":[{"type":"strong"}]}],"attrs":{"localId":"56dfd3eb0b3a"}}]},{"type":"tableCell","attrs":{"localId":"468ec57c874f","colspan":2,"background":"#44b3e1"},"content":[{"type":"paragraph","content":[{"type":"text","text":"Berrylicious ","marks":[{"type":"strong"}]}],"attrs":{"localId":"8d6f93eb7121"}}]}]},{"type":"tableRow","attrs":{"localId":"e3ff2141512d"},"content":[{"type":"tableCell","attrs":{"localId":"04bc14464fe9","background":"#ace5fe"},"content":[{"type":"paragraph","content":[{"type":"text","text":"Platform","marks":[{"type":"strong"}]}],"attrs":{"localId":"616eadeaeaff"}}]},{"type":"tableCell","attrs":{"localId":"113a92f66f68","colspan":2,"background":"#ace5fe"},"content":[{"type":"paragraph","content":[{"type":"text","text":"Mall","marks":[{"type":"strong"}]}],"attrs":{"localId":"64a8d66334e4"}}]}]},{"type":"tableRow","attrs":{"localId":"f06a312e7338"},"content":[{"type":"tableCell","attrs":{"localId":"d3028932b21e","background":"#ace5fe"},"content":[{"type":"paragraph","content":[{"type":"text","text":"Particulars","marks":[{"type":"strong"}]}],"attrs":{"localId":"f8e33ccedb76"}}]},{"type":"tableCell","attrs":{"localId":"d497e09b2293","background":"#ace5fe"},"content":[{"type":"paragraph","content":[{"type":"text","text":"SKU Count","marks":[{"type":"strong"}]}],"attrs":{"localId":"ea7af052691b"}}]},{"type":"tableCell","attrs":{"localId":"4aee0f1205a4","background":"#ace5fe"},"content":[{"type":"paragraph","content":[{"type":"text","text":"Option Count","marks":[{"type":"strong"}]}],"attrs":{"localId":"1dcc1dd2e191"}}]}]},{"type":"tableRow","attrs":{"localId":"ecd8727cbc81"},"content":[{"type":"tableCell","attrs":{"localId":"382b8473cff9","background":"white"},"content":[{"type":"paragraph","content":[{"type":"text","text":"Received"}],"attrs":{"localId":"aaf4361e1bec"}}]},{"type":"tableCell","attrs":{"localId":"c557ae4b666f"},"content":[{"type":"paragraph","content":[{"type":"text","text":"457"}],"attrs":{"localId":"089b634be9e6"}}]},{"type":"tableCell","attrs":{"localId":"dc48968c36dc"},"content":[{"type":"paragraph","content":[{"type":"text","text":"102"}],"attrs":{"localId":"5f71ae5cb741"}}]}]},{"type":"tableRow","attrs":{"localId":"61920627a28b"},"content":[{"type":"tableCell","attrs":{"localId":"cdd9080f598f","background":"white"},"content":[{"type":"paragraph","content":[{"type":"text","text":"Uploaded"}],"attrs":{"localId":"33007ec3ab0c"}}]},{"type":"tableCell","attrs":{"localId":"9b887ad5743a"},"content":[{"type":"paragraph","content":[{"type":"text","text":"354"}],"attrs":{"localId":"663af55d9e72"}}]},{"type":"tableCell","attrs":{"localId":"d27cd9244070"},"content":[{"type":"paragraph","content":[{"type":"text","text":"82"}],"attrs":{"localId":"7b6cc34931af"}}]}]},{"type":"tableRow","attrs":{"localId":"e6e6c7991880"},"content":[{"type":"tableCell","attrs":{"localId":"683cab2e780d","background":"white"},"content":[{"type":"paragraph","content":[{"type":"text","text":"Already Listed"}],"attrs":{"localId":"056f0a639daf"}}]},{"type":"tableCell","attrs":{"localId":"fecc96b0eccb"},"content":[{"type":"paragraph","content":[{"type":"text","text":"103"}],"attrs":{"localId":"878df52f7f54"}}]},{"type":"tableCell","attrs":{"localId":"a018e67e2d73"},"content":[{"type":"paragraph","content":[{"type":"text","text":"20"}],"attrs":{"localId":"f7c2f36092ed"}}]}]},{"type":"tableRow","attrs":{"localId":"8527bdb521a1"},"content":[{"type":"tableCell","attrs":{"localId":"627eec8bd784","background":"white"},"content":[{"type":"paragraph","content":[{"type":"text","text":"LIDs Shared"}],"attrs":{"localId":"19333ab7f5c1"}}]},{"type":"tableCell","attrs":{"localId":"05948a10559e"},"content":[{"type":"paragraph","content":[{"type":"text","text":"354"}],"attrs":{"localId":"e682ec683b11"}}]},{"type":"tableCell","attrs":{"localId":"f9e32ae01318"},"content":[{"type":"paragraph","content":[{"type":"text","text":"82"}],"attrs":{"localId":"664bfff5a971"}}]}]},{"type":"tableRow","attrs":{"localId":"0a7da3047b14"},"content":[{"type":"tableCell","attrs":{"localId":"54bbd873545e","background":"white"},"content":[{"type":"paragraph","content":[{"type":"text","text":"LIDs Stuck in the System"}],"attrs":{"localId":"93d53ffaa456"}}]},{"type":"tableCell","attrs":{"localId":"0dba451f79cb"},"content":[{"type":"paragraph","content":[{"type":"text","text":"0"}],"attrs":{"localId":"ca5dfc4e06de"}}]},{"type":"tableCell","attrs":{"localId":"b82093ada8b6"},"content":[{"type":"paragraph","content":[{"type":"text","text":"0"}],"attrs":{"localId":"cdfbbee9c2f4"}}]}]}]}
{adf}
With this, we are closing this request from our end.
Thank you for your patience, support, and cooperation throughout the process. Your brand is important to us, and we look forward to assisting you again."</t>
  </si>
  <si>
    <t>UCW-34005</t>
  </si>
  <si>
    <t>Tata Cerruti Cataloguing 3rd July'26</t>
  </si>
  <si>
    <t xml:space="preserve">Cerruti </t>
  </si>
  <si>
    <t>|Date :07/07/2026 &lt;Ticket picked for pre processing SKU 14&gt; &lt;Tania&gt;|
|Date :07/07/2026 &lt;Ticket picked for Production and QC WIP SKU 14&gt; &lt;Tania&gt;|;Date :07/08/2026 &lt;Pre Processing query to Brand &lt;Image Analysis&gt;&gt; &lt;Tania&gt;
Date :07/08/2026 &lt;Ticket picked for Production and QC review SKU 14&gt; &lt;Tania&gt;;Date :07/09/2026 &lt; Pre Processing query to Brand 1st Follow Up&gt; &lt;Tania&gt;;Date :07/10/2026 &lt; Pre Processing query to Brand 2nd Follow Up&gt; &lt;Tania&gt;;Date :07/11/2026 &lt; Pre Processing query to Brand 3rd Follow Up&gt; &lt;Tania&gt;</t>
  </si>
  <si>
    <t>UCW-34003</t>
  </si>
  <si>
    <t>PUREARTH TATA Final Catalogue Update</t>
  </si>
  <si>
    <t>Date :07/07/2026 &lt; Closing ticket for these SKUs have already been listed previously.&gt; &lt;Tania&gt;</t>
  </si>
  <si>
    <t>UCW-34001</t>
  </si>
  <si>
    <t>Ktein - Content Sheet</t>
  </si>
  <si>
    <t>Ktein</t>
  </si>
  <si>
    <t>Date :07/07/2026 &lt;Ticket picked for pre processing Option 25 Sku 25&gt; &lt;Amandeep&gt;;Date :07/08/2026 &lt;Pre Processing query to Brand &lt;EAN Duplicates, Image Analysis&gt;&gt; &lt;Amandeep&gt;;Date :07/09/2026 &lt;Follow up 2&gt; &lt;Amandeep&gt;;Date :07/10/2026 &lt;Follow up 2&gt; &lt;Amandeep&gt;</t>
  </si>
  <si>
    <t>UCW-33986</t>
  </si>
  <si>
    <t>Colors Queen || Makeup || 129094 || 04-07-2026</t>
  </si>
  <si>
    <t>Analysis Shared - Date :07/07/2026 &lt;Analysis Shared Processed Options 4 Rejected Options 1 Rejected Reason title issue&gt; &lt;Moumita&gt;;|Date :07/07/2026 &lt;Ticket picked for pre processing SKU 4&gt; &lt;Tania&gt;|
|Date :07/07/2026 &lt;Pre Processing query to Brand &lt;Ingredients Details is missing and Image Analysis&gt;&gt; &lt;Tania&gt;|;Date :07/08/2026&lt; Pre Processing query to Brand 1st Follow Up&gt; &lt;Tania&gt;;Date :07/08/2026 &lt;Ticket has been successfully uploaded in our system. Option 3 Sku 3&gt; &lt;Anjalita&gt;;[^UCW-33986.xlsx]
Hi [@Saurabh Vashisht|mailto:saurabh.vashishth@colorsqueen.com],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62333ce7-e4c4-49ef-94c1-a7291ec26cc6"},"content":[{"type":"tableRow","attrs":{"localId":"a5e905f7cb16"},"content":[{"type":"tableCell","attrs":{"localId":"7da633ae2150","background":"#44b3e1"},"content":[{"type":"paragraph","content":[{"type":"text","text":"Ticket ID","marks":[{"type":"strong"}]}],"attrs":{"localId":"48a9ebab0cf7"}}]},{"type":"tableCell","attrs":{"localId":"9888ef6ed956","colspan":2,"background":"#44b3e1"},"content":[{"type":"paragraph","content":[{"type":"text","text":"UCW-33986","marks":[{"type":"strong"}]}],"attrs":{"localId":"31afbc32f8e0"}}]}]},{"type":"tableRow","attrs":{"localId":"8fc55f807ec5"},"content":[{"type":"tableCell","attrs":{"localId":"e62a95125a2f","background":"#44b3e1"},"content":[{"type":"paragraph","content":[{"type":"text","text":"Brand Name","marks":[{"type":"strong"}]}],"attrs":{"localId":"59fa4620c908"}}]},{"type":"tableCell","attrs":{"localId":"060f3cd3ac4a","colspan":2,"background":"#44b3e1"},"content":[{"type":"paragraph","content":[{"type":"text","text":"Colors Queen","marks":[{"type":"strong"}]}],"attrs":{"localId":"657b86747094"}}]}]},{"type":"tableRow","attrs":{"localId":"8e6c3f83cc81"},"content":[{"type":"tableCell","attrs":{"localId":"daa939730c14","background":"#44b3e1"},"content":[{"type":"paragraph","content":[{"type":"text","text":"Platform","marks":[{"type":"strong"}]}],"attrs":{"localId":"6f9286994c71"}}]},{"type":"tableCell","attrs":{"localId":"cc1551098538","colspan":2,"background":"#44b3e1"},"content":[{"type":"paragraph","content":[{"type":"text","text":"Mall","marks":[{"type":"strong"}]}],"attrs":{"localId":"3e6910c534a4"}}]}]},{"type":"tableRow","attrs":{"localId":"25cd8ae13589"},"content":[{"type":"tableCell","attrs":{"localId":"645b730d210d","background":"#ace5fe"},"content":[{"type":"paragraph","content":[{"type":"text","text":"Particulars","marks":[{"type":"strong"}]}],"attrs":{"localId":"73f163b19f9e"}}]},{"type":"tableCell","attrs":{"localId":"00e8ed39aea4","background":"#ace5fe"},"content":[{"type":"paragraph","content":[{"type":"text","text":"SKU Count","marks":[{"type":"strong"}]}],"attrs":{"localId":"bdf66d649538"}}]},{"type":"tableCell","attrs":{"localId":"0ce5ab0639e4","background":"#ace5fe"},"content":[{"type":"paragraph","content":[{"type":"text","text":"Option Count","marks":[{"type":"strong"}]}],"attrs":{"localId":"0d1a938a21f1"}}]}]},{"type":"tableRow","attrs":{"localId":"5a923c888cc4"},"content":[{"type":"tableCell","attrs":{"localId":"fe091b0da000","background":"white"},"content":[{"type":"paragraph","content":[{"type":"text","text":"Received"}],"attrs":{"localId":"820717b34dea"}}]},{"type":"tableCell","attrs":{"localId":"2a9bcdd17b01","background":"white"},"content":[{"type":"paragraph","content":[{"type":"text","text":"4"}],"attrs":{"localId":"5e044ccea179"}}]},{"type":"tableCell","attrs":{"localId":"775f2b2a2379","background":"white"},"content":[{"type":"paragraph","content":[{"type":"text","text":"4"}],"attrs":{"localId":"152fa3dbf9ec"}}]}]},{"type":"tableRow","attrs":{"localId":"80310de35a48"},"content":[{"type":"tableCell","attrs":{"localId":"1f0590a8555a","background":"white"},"content":[{"type":"paragraph","content":[{"type":"text","text":"Uploaded"}],"attrs":{"localId":"2a7d4bc11c84"}}]},{"type":"tableCell","attrs":{"localId":"195a83102140","background":"white"},"content":[{"type":"paragraph","content":[{"type":"text","text":"3"}],"attrs":{"localId":"f7401dd4a0c7"}}]},{"type":"tableCell","attrs":{"localId":"b1d87bb1c7c2","background":"white"},"content":[{"type":"paragraph","content":[{"type":"text","text":"3"}],"attrs":{"localId":"17cf49b62d74"}}]}]},{"type":"tableRow","attrs":{"localId":"e227f2c83778"},"content":[{"type":"tableCell","attrs":{"localId":"85afa468167c","background":"white"},"content":[{"type":"paragraph","content":[{"type":"text","text":"Not Uploaded (Ask to Hold)"}],"attrs":{"localId":"61bf773dee07"}}]},{"type":"tableCell","attrs":{"localId":"ebce76300702","background":"white"},"content":[{"type":"paragraph","content":[{"type":"text","text":"1"}],"attrs":{"localId":"0473fb84ce9f"}}]},{"type":"tableCell","attrs":{"localId":"ffbbe0d60259","background":"white"},"content":[{"type":"paragraph","content":[{"type":"text","text":"1"}],"attrs":{"localId":"04dd7e4df0ee"}}]}]},{"type":"tableRow","attrs":{"localId":"e713f36fa43e"},"content":[{"type":"tableCell","attrs":{"localId":"e0cd8ea27a96","background":"white"},"content":[{"type":"paragraph","content":[{"type":"text","text":"LIDs Shared"}],"attrs":{"localId":"8c0ffef10138"}}]},{"type":"tableCell","attrs":{"localId":"88f062b2fd5c","background":"white"},"content":[{"type":"paragraph","content":[{"type":"text","text":"3"}],"attrs":{"localId":"d63f9809f350"}}]},{"type":"tableCell","attrs":{"localId":"30de8bff1a31","background":"white"},"content":[{"type":"paragraph","content":[{"type":"text","text":"3"}],"attrs":{"localId":"1a962aa7e982"}}]}]},{"type":"tableRow","attrs":{"localId":"42ef69b50c4b"},"content":[{"type":"tableCell","attrs":{"localId":"8351711b0397","background":"white"},"content":[{"type":"paragraph","content":[{"type":"text","text":"Stuck in the System"}],"attrs":{"localId":"bb67b7794e7b"}}]},{"type":"tableCell","attrs":{"localId":"670a04be4f89","background":"white"},"content":[{"type":"paragraph","content":[{"type":"text","text":"0"}],"attrs":{"localId":"cfbcc93dcda8"}}]},{"type":"tableCell","attrs":{"localId":"096217c01b24","background":"white"},"content":[{"type":"paragraph","content":[{"type":"text","text":"0"}],"attrs":{"localId":"90507bf0ee7e"}}]}]}]}
{adf}
With this, we are closing this request from our end.
Thank you for your patience, support, and cooperation throughout the process. Your brand is important to us, and we look forward to assisting you again.
Regards,
Team Netscribes</t>
  </si>
  <si>
    <t>UCW-33960</t>
  </si>
  <si>
    <t>New listings - Care N Class</t>
  </si>
  <si>
    <t>&amp;honey</t>
  </si>
  <si>
    <t>|Date :07/07/2026 &lt;Ticket picked for pre processing SKU 44&gt; &lt;Tania&gt;|
|Date :07/07/2026 &lt;Pre Processing query to Brand &lt;Images Missing&gt;&gt; &lt;Tania&gt;|;Date :07/07/2026 &lt;Pre Processing query to Brand &lt;Images SKU &amp; Images Folders are not matches&gt;&gt; &lt;Tania&gt;;Date :07/07/2026 &lt;Post Processing query to Brand &lt;Images Analysis&amp; Images Folders are Missing&gt;&gt; &lt;Tania&gt;;Date :07/08/2026 &lt; Pre Processing query to Brand 1st Follow Up&gt; &lt;Tania&gt;;Date :07/09/2026 &lt;Post Processing query to Brand &lt;Images Analysis &amp; Hair Type, Manufacturer Details, Product Weight, Set Size Details &amp; Certificate&gt;&gt; &lt;Tania&gt;;Date :07/10/2026 &lt; Pre Processing query to Brand 3rd Follow Up&gt; &lt;Tania&gt;;Date :07/10/2026 &lt;Resolution Received, Ticket picked for Production and QC WIP SKU 44&gt; &lt;Tania&gt;;Date :07/11/2026 &lt;Ticket picked for Production and QC Review SKU 44&gt; &lt;Tania&gt;;Date :MM/DD/YYYY &lt;Ticket has been successfully uploaded in our system. Option 44 SKU 21 XXX&gt; &lt;Anjalita&gt;
[^Post Upload Status-UCW-33960.xlsx] 
Post-upload file for Reference - *&amp;honey brand.*
This brand name is not listed in LOV - *Dr. Althea*</t>
  </si>
  <si>
    <t>UCW-33957</t>
  </si>
  <si>
    <t>Amouage Launch | TCL - Cataloguing Details | July 2026</t>
  </si>
  <si>
    <t>AMOUAGE</t>
  </si>
  <si>
    <t>Analysis Shared - Date :07/07/2026 &lt;Analysis Shared Processed Options 40 Rejected Options 30 Rejected Reason multiple issue&gt; &lt;Moumita&gt;;Date :07/07/2026 &lt;Pre Processing query to Brand &lt;Image Query&gt;&gt; &lt;Amandeep&gt;;Date :07/08/2026 &lt;Resolution received from brand production WIP&gt;&gt; &lt;Amandeep&gt;;Date :07/09/2026 &lt;This specific brand has asked for production file for QC, shared with brand&gt;&gt; &lt;Amandeep&gt;;Date :07/10/2026 &lt;This specific brand has asked for production file for QC, shared with brand Follow Up&gt;&gt; &lt;Amandeep&gt;;Date :07/10/2026 &lt;Ticket has been successfully uploaded in our system. Option 36 Sku 36&gt; &lt;Anjalita&gt;;[^UCW-33957.xlsx]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9189af1e-ff7c-4f44-ad93-4ccd1e2b6468"},"content":[{"type":"tableRow","attrs":{"localId":"6cc33a517703"},"content":[{"type":"tableCell","attrs":{"localId":"81a9e2a6cd0c","background":"#44b3e1"},"content":[{"type":"paragraph","content":[{"type":"text","text":"Ticket ID","marks":[{"type":"strong"}]}],"attrs":{"localId":"9152bb60d455"}}]},{"type":"tableCell","attrs":{"localId":"6c21baf914f2","colspan":2,"background":"#44b3e1"},"content":[{"type":"paragraph","content":[{"type":"text","text":"UCW-33957","marks":[{"type":"strong"}]}],"attrs":{"localId":"d5cf4d4ec0ba"}}]}]},{"type":"tableRow","attrs":{"localId":"37f6d236e31d"},"content":[{"type":"tableCell","attrs":{"localId":"07e0433b0e34","background":"#44b3e1"},"content":[{"type":"paragraph","content":[{"type":"text","text":"Brand Name","marks":[{"type":"strong"}]}],"attrs":{"localId":"abd64b86170f"}}]},{"type":"tableCell","attrs":{"localId":"1de8efe898cb","colspan":2,"background":"#44b3e1"},"content":[{"type":"paragraph","content":[{"type":"text","text":"AMOUAGE","marks":[{"type":"strong"}]}],"attrs":{"localId":"43cd1b6af81f"}}]}]},{"type":"tableRow","attrs":{"localId":"9f65b3206aba"},"content":[{"type":"tableCell","attrs":{"localId":"d03958e55b8b","background":"#ace5fe"},"content":[{"type":"paragraph","content":[{"type":"text","text":"Platform","marks":[{"type":"strong"}]}],"attrs":{"localId":"01c7d195407b"}}]},{"type":"tableCell","attrs":{"localId":"4a88d1bef003","colspan":2,"background":"#ace5fe"},"content":[{"type":"paragraph","content":[{"type":"text","text":"LUXURY","marks":[{"type":"strong"}]}],"attrs":{"localId":"5f7fc10a037d"}}]}]},{"type":"tableRow","attrs":{"localId":"8a130810157a"},"content":[{"type":"tableCell","attrs":{"localId":"f049c7c90969","background":"#ace5fe"},"content":[{"type":"paragraph","content":[{"type":"text","text":"Particulars","marks":[{"type":"strong"}]}],"attrs":{"localId":"1d4990430ed8"}}]},{"type":"tableCell","attrs":{"localId":"96652147d993","background":"#ace5fe"},"content":[{"type":"paragraph","content":[{"type":"text","text":"SKU Count","marks":[{"type":"strong"}]}],"attrs":{"localId":"b00d2462883c"}}]},{"type":"tableCell","attrs":{"localId":"3a7f829359be","background":"#ace5fe"},"content":[{"type":"paragraph","content":[{"type":"text","text":"Option Count","marks":[{"type":"strong"}]}],"attrs":{"localId":"7403377d4c7b"}}]}]},{"type":"tableRow","attrs":{"localId":"d714c4c89bf8"},"content":[{"type":"tableCell","attrs":{"localId":"30883f2b7f4e","background":"white"},"content":[{"type":"paragraph","content":[{"type":"text","text":"Received"}],"attrs":{"localId":"12c76702ac37"}}]},{"type":"tableCell","attrs":{"localId":"e4a535ea3d96"},"content":[{"type":"paragraph","content":[{"type":"text","text":"40"}],"attrs":{"localId":"b231ac3d514c"}}]},{"type":"tableCell","attrs":{"localId":"449d6c9b78bb"},"content":[{"type":"paragraph","content":[{"type":"text","text":"40"}],"attrs":{"localId":"58d2994be871"}}]}]},{"type":"tableRow","attrs":{"localId":"b0128bd68aaa"},"content":[{"type":"tableCell","attrs":{"localId":"2e47291ab33f","background":"white"},"content":[{"type":"paragraph","content":[{"type":"text","text":"Uploaded"}],"attrs":{"localId":"fc9aacd11586"}}]},{"type":"tableCell","attrs":{"localId":"9150354e0a57"},"content":[{"type":"paragraph","content":[{"type":"text","text":"36"}],"attrs":{"localId":"e26816054879"}}]},{"type":"tableCell","attrs":{"localId":"c3c00e51c484"},"content":[{"type":"paragraph","content":[{"type":"text","text":"36"}],"attrs":{"localId":"269a7948e024"}}]}]},{"type":"tableRow","attrs":{"localId":"e6cf736daa73"},"content":[{"type":"tableCell","attrs":{"localId":"a2fbf8108846","background":"white"},"content":[{"type":"paragraph","content":[{"type":"text","text":"SKUs not uploaded-Image not Available"}],"attrs":{"localId":"0c290a6630e4"}}]},{"type":"tableCell","attrs":{"localId":"4f5100c9ab72"},"content":[{"type":"paragraph","content":[{"type":"text","text":"4"}],"attrs":{"localId":"43d7cc536048"}}]},{"type":"tableCell","attrs":{"localId":"03e456a45948"},"content":[{"type":"paragraph","content":[{"type":"text","text":"4"}],"attrs":{"localId":"e9fcc78cc343"}}]}]},{"type":"tableRow","attrs":{"localId":"794957200542"},"content":[{"type":"tableCell","attrs":{"localId":"6f24f76c0877","background":"white"},"content":[{"type":"paragraph","content":[{"type":"text","text":"LIDs Shared"}],"attrs":{"localId":"7f44873a5994"}}]},{"type":"tableCell","attrs":{"localId":"3082b057f5ed"},"content":[{"type":"paragraph","content":[{"type":"text","text":"36"}],"attrs":{"localId":"847867222fe6"}}]},{"type":"tableCell","attrs":{"localId":"f50156aaae2f"},"content":[{"type":"paragraph","content":[{"type":"text","text":"36"}],"attrs":{"localId":"f644bd4fdd76"}}]}]},{"type":"tableRow","attrs":{"localId":"fba83b952873"},"content":[{"type":"tableCell","attrs":{"localId":"7e7905edad1e","background":"white"},"content":[{"type":"paragraph","content":[{"type":"text","text":"LIDs Stuck in the System"}],"attrs":{"localId":"246aa9fd832b"}}]},{"type":"tableCell","attrs":{"localId":"163f281401a5"},"content":[{"type":"paragraph","content":[{"type":"text","text":"0"}],"attrs":{"localId":"3f35c05cc6df"}}]},{"type":"tableCell","attrs":{"localId":"42a781b2f9f8"},"content":[{"type":"paragraph","content":[{"type":"text","text":"0"}],"attrs":{"localId":"086e7144ff5f"}}]}]}]}
{adf}
With this, we are closing this request from our end.
Thank you for your patience, support, and cooperation throughout the process. Your brand is important to us, and we look forward to assisting you again.</t>
  </si>
  <si>
    <t>UCW-33952</t>
  </si>
  <si>
    <t>OAP | Collagen Lifter Listing  |  TATACLIQ - Fashion | Seller Code 125928</t>
  </si>
  <si>
    <t>L'Oréal Paris</t>
  </si>
  <si>
    <t>|Date :07/06/2026 &lt;Ticket picked for pre processing SKU 10&gt; &lt;Tania&gt;|
|Date :07/06/2026 &lt;Pre Processing query to Brand &lt;Hair Type &amp; MRP Missing &gt;&gt; &lt;Tania&gt;|;Date :07/07/2026 &lt;Ticket has been successfully uploaded in our system. Option 10 Sku 10&gt; &lt;Anjalita&gt;;[^UCW-33952.xlsx]
Hi [@MANIKANTA Sai Abhinay - ACCENTURE|mailto:saiabhinay.manikanta@loreal.com],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743319d-d357-4151-9bfc-9f7ef4afe518"},"content":[{"type":"tableRow","attrs":{"localId":"88c1ea12f8de"},"content":[{"type":"tableCell","attrs":{"localId":"48bdd659c704","background":"#44b3e1"},"content":[{"type":"paragraph","content":[{"type":"text","text":"Ticket ID","marks":[{"type":"strong"}]}],"attrs":{"localId":"ad9c25e397a2"}}]},{"type":"tableCell","attrs":{"localId":"f0764e927652","colspan":2,"background":"#44b3e1"},"content":[{"type":"paragraph","content":[{"type":"text","text":"UCW-33952","marks":[{"type":"strong"}]}],"attrs":{"localId":"96684279052d"}}]}]},{"type":"tableRow","attrs":{"localId":"16b22ec65fc5"},"content":[{"type":"tableCell","attrs":{"localId":"e6992ff89b10","background":"#44b3e1"},"content":[{"type":"paragraph","content":[{"type":"text","text":"Brand Name","marks":[{"type":"strong"}]}],"attrs":{"localId":"98f930e4e065"}}]},{"type":"tableCell","attrs":{"localId":"c64350b71f03","colspan":2,"background":"#44b3e1"},"content":[{"type":"paragraph","content":[{"type":"text","text":"L'Oreal Paris","marks":[{"type":"strong"}]}],"attrs":{"localId":"62243e25a334"}}]}]},{"type":"tableRow","attrs":{"localId":"3942d1685c03"},"content":[{"type":"tableCell","attrs":{"localId":"21126936a4d3","background":"#44b3e1"},"content":[{"type":"paragraph","content":[{"type":"text","text":"Platform","marks":[{"type":"strong"}]}],"attrs":{"localId":"14283fc87764"}}]},{"type":"tableCell","attrs":{"localId":"0a92d7b2eeee","colspan":2,"background":"#44b3e1"},"content":[{"type":"paragraph","content":[{"type":"text","text":"Mall","marks":[{"type":"strong"}]}],"attrs":{"localId":"1a1c10e668f5"}}]}]},{"type":"tableRow","attrs":{"localId":"d037322fb30b"},"content":[{"type":"tableCell","attrs":{"localId":"f76c20f4f4ed","background":"#ace5fe"},"content":[{"type":"paragraph","content":[{"type":"text","text":"Particulars","marks":[{"type":"strong"}]}],"attrs":{"localId":"48bceaacfe2e"}}]},{"type":"tableCell","attrs":{"localId":"8f124d467649","background":"#ace5fe"},"content":[{"type":"paragraph","content":[{"type":"text","text":"SKU Count","marks":[{"type":"strong"}]}],"attrs":{"localId":"1c0c20cf1593"}}]},{"type":"tableCell","attrs":{"localId":"5fc5554b55c4","background":"#ace5fe"},"content":[{"type":"paragraph","content":[{"type":"text","text":"Option Count","marks":[{"type":"strong"}]}],"attrs":{"localId":"4b8c5be48362"}}]}]},{"type":"tableRow","attrs":{"localId":"92287c157a96"},"content":[{"type":"tableCell","attrs":{"localId":"757c6dcaff30","background":"white"},"content":[{"type":"paragraph","content":[{"type":"text","text":"Received"}],"attrs":{"localId":"2d3eb58be311"}}]},{"type":"tableCell","attrs":{"localId":"4960fa048650","background":"white"},"content":[{"type":"paragraph","content":[{"type":"text","text":"10"}],"attrs":{"localId":"9a02e8afc325"}}]},{"type":"tableCell","attrs":{"localId":"7bdd3ae05553","background":"white"},"content":[{"type":"paragraph","content":[{"type":"text","text":"10"}],"attrs":{"localId":"cad3bc26ad40"}}]}]},{"type":"tableRow","attrs":{"localId":"516b6c52687f"},"content":[{"type":"tableCell","attrs":{"localId":"f6a44dbf9cb2","background":"white"},"content":[{"type":"paragraph","content":[{"type":"text","text":"Uploaded"}],"attrs":{"localId":"eeaa3c8e0dd3"}}]},{"type":"tableCell","attrs":{"localId":"89a528a53850","background":"white"},"content":[{"type":"paragraph","content":[{"type":"text","text":"10"}],"attrs":{"localId":"84de264d2aa3"}}]},{"type":"tableCell","attrs":{"localId":"4775e372c308","background":"white"},"content":[{"type":"paragraph","content":[{"type":"text","text":"10"}],"attrs":{"localId":"f75576b641da"}}]}]},{"type":"tableRow","attrs":{"localId":"277c0a1afb2e"},"content":[{"type":"tableCell","attrs":{"localId":"cd36dcb47eb8","background":"white"},"content":[{"type":"paragraph","content":[{"type":"text","text":"Not Uploaded"}],"attrs":{"localId":"fa7fbb9f01d5"}}]},{"type":"tableCell","attrs":{"localId":"08bb5e61c70c","background":"white"},"content":[{"type":"paragraph","content":[{"type":"text","text":"0"}],"attrs":{"localId":"d531438163ab"}}]},{"type":"tableCell","attrs":{"localId":"f6f946934be3","background":"white"},"content":[{"type":"paragraph","content":[{"type":"text","text":"0"}],"attrs":{"localId":"d2d352a0a14e"}}]}]},{"type":"tableRow","attrs":{"localId":"7f4f62dde504"},"content":[{"type":"tableCell","attrs":{"localId":"63bfef48c863","background":"white"},"content":[{"type":"paragraph","content":[{"type":"text","text":"LIDs Shared"}],"attrs":{"localId":"991bc3d82257"}}]},{"type":"tableCell","attrs":{"localId":"6f8bd942a1f4","background":"white"},"content":[{"type":"paragraph","content":[{"type":"text","text":"10"}],"attrs":{"localId":"8f6b8a5f40c7"}}]},{"type":"tableCell","attrs":{"localId":"77c0b67bced7","background":"white"},"content":[{"type":"paragraph","content":[{"type":"text","text":"10"}],"attrs":{"localId":"e13e60ce7354"}}]}]},{"type":"tableRow","attrs":{"localId":"b26e617fec86"},"content":[{"type":"tableCell","attrs":{"localId":"94015f72721b","background":"white"},"content":[{"type":"paragraph","content":[{"type":"text","text":"Stuck in the System"}],"attrs":{"localId":"94a3cab12a2a"}}]},{"type":"tableCell","attrs":{"localId":"268d0035276e","background":"white"},"content":[{"type":"paragraph","content":[{"type":"text","text":"0"}],"attrs":{"localId":"f721db9b0c87"}}]},{"type":"tableCell","attrs":{"localId":"096db0cc85c4","background":"white"},"content":[{"type":"paragraph","content":[{"type":"text","text":"0"}],"attrs":{"localId":"cf64b12f99f2"}}]}]}]}
{adf}
With this, we are closing this request from our end.
Thank you for your patience, support, and cooperation throughout the process. Your brand is important to us, and we look forward to assisting you again.
Regards,
Team Netscribes</t>
  </si>
  <si>
    <t>UCW-33950</t>
  </si>
  <si>
    <t>OAP | Plump Ambition Shade Extension Listing  |  TATACLIQ - Fashion | Seller Code 125928</t>
  </si>
  <si>
    <t>L'Oreal Paris</t>
  </si>
  <si>
    <t>|Date :07/06/2026 &lt;Ticket picked for pre processing SKU 4&gt; &lt;Tania&gt;|
|Date :07/06/2026 &lt;Ticket picked for Production and QC review SKU 4&gt; &lt;Tania&gt;|;Date :07/06/2026 &lt;Ticket has been successfully uploaded in our system. Option 4 Sku 4&gt; &lt;Anjalita&gt;;[^UCW-33950.xlsx]
Hi [@MANIKANTA Sai Abhinay - ACCENTURE|mailto:saiabhinay.manikanta@loreal.com],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f7ea0ac-2fb0-407e-8a51-592411b68113"},"content":[{"type":"tableRow","attrs":{"localId":"b59a95e35b40"},"content":[{"type":"tableCell","attrs":{"localId":"6de6ec0aea47","background":"#44b3e1"},"content":[{"type":"paragraph","content":[{"type":"text","text":"Ticket ID","marks":[{"type":"strong"}]}],"attrs":{"localId":"0385b7fc0fce"}}]},{"type":"tableCell","attrs":{"localId":"698a62437ad1","colspan":2,"background":"#44b3e1"},"content":[{"type":"paragraph","content":[{"type":"text","text":"UCW-33950","marks":[{"type":"strong"}]}],"attrs":{"localId":"c78cb4b1a20f"}}]}]},{"type":"tableRow","attrs":{"localId":"e1aad0ac6cc6"},"content":[{"type":"tableCell","attrs":{"localId":"122603b0414e","background":"#44b3e1"},"content":[{"type":"paragraph","content":[{"type":"text","text":"Brand Name","marks":[{"type":"strong"}]}],"attrs":{"localId":"14bf6f78c228"}}]},{"type":"tableCell","attrs":{"localId":"6309b8b86fd4","colspan":2,"background":"#44b3e1"},"content":[{"type":"paragraph","content":[{"type":"text","text":"L'Oreal Paris","marks":[{"type":"strong"}]}],"attrs":{"localId":"9cb1463d4f12"}}]}]},{"type":"tableRow","attrs":{"localId":"e0d21996b9ce"},"content":[{"type":"tableCell","attrs":{"localId":"b96d76b20d64","background":"#44b3e1"},"content":[{"type":"paragraph","content":[{"type":"text","text":"Platform","marks":[{"type":"strong"}]}],"attrs":{"localId":"dea74ed681e9"}}]},{"type":"tableCell","attrs":{"localId":"79880accb7f6","colspan":2,"background":"#44b3e1"},"content":[{"type":"paragraph","content":[{"type":"text","text":"Mall","marks":[{"type":"strong"}]}],"attrs":{"localId":"adcf65bda987"}}]}]},{"type":"tableRow","attrs":{"localId":"50c54e90985f"},"content":[{"type":"tableCell","attrs":{"localId":"2a9dfa39cae9","background":"#ace5fe"},"content":[{"type":"paragraph","content":[{"type":"text","text":"Particulars","marks":[{"type":"strong"}]}],"attrs":{"localId":"e6d3369da31b"}}]},{"type":"tableCell","attrs":{"localId":"f6dc61d0ee40","background":"#ace5fe"},"content":[{"type":"paragraph","content":[{"type":"text","text":"SKU Count","marks":[{"type":"strong"}]}],"attrs":{"localId":"51e2080b0af3"}}]},{"type":"tableCell","attrs":{"localId":"dd87327cae63","background":"#ace5fe"},"content":[{"type":"paragraph","content":[{"type":"text","text":"Option Count","marks":[{"type":"strong"}]}],"attrs":{"localId":"67bf6986b781"}}]}]},{"type":"tableRow","attrs":{"localId":"2782dbec4c41"},"content":[{"type":"tableCell","attrs":{"localId":"48e3b9ca3643","background":"white"},"content":[{"type":"paragraph","content":[{"type":"text","text":"Received"}],"attrs":{"localId":"46e15833b50b"}}]},{"type":"tableCell","attrs":{"localId":"41c3ce80dd4b","background":"white"},"content":[{"type":"paragraph","content":[{"type":"text","text":"4"}],"attrs":{"localId":"dc7952633870"}}]},{"type":"tableCell","attrs":{"localId":"e0882f0c84a8","background":"white"},"content":[{"type":"paragraph","content":[{"type":"text","text":"4"}],"attrs":{"localId":"23d768c86d54"}}]}]},{"type":"tableRow","attrs":{"localId":"eecca3a3a085"},"content":[{"type":"tableCell","attrs":{"localId":"4690ca4b2946","background":"white"},"content":[{"type":"paragraph","content":[{"type":"text","text":"Uploaded"}],"attrs":{"localId":"4042853fb9d6"}}]},{"type":"tableCell","attrs":{"localId":"964949dd5b5a","background":"white"},"content":[{"type":"paragraph","content":[{"type":"text","text":"4"}],"attrs":{"localId":"91a8e184c70d"}}]},{"type":"tableCell","attrs":{"localId":"d60fe6b76ef9","background":"white"},"content":[{"type":"paragraph","content":[{"type":"text","text":"4"}],"attrs":{"localId":"20669e7d18eb"}}]}]},{"type":"tableRow","attrs":{"localId":"bbb46ee5247d"},"content":[{"type":"tableCell","attrs":{"localId":"daea59b8318a","background":"white"},"content":[{"type":"paragraph","content":[{"type":"text","text":"Not Uploaded"}],"attrs":{"localId":"44f222ff452b"}}]},{"type":"tableCell","attrs":{"localId":"7401d08c8c79","background":"white"},"content":[{"type":"paragraph","content":[{"type":"text","text":"0"}],"attrs":{"localId":"8e4d35e5278d"}}]},{"type":"tableCell","attrs":{"localId":"46b7c2d21e44","background":"white"},"content":[{"type":"paragraph","content":[{"type":"text","text":"0"}],"attrs":{"localId":"9ec5937f93d1"}}]}]},{"type":"tableRow","attrs":{"localId":"43490a870c53"},"content":[{"type":"tableCell","attrs":{"localId":"2c5c093ee0f0","background":"white"},"content":[{"type":"paragraph","content":[{"type":"text","text":"LIDs Shared"}],"attrs":{"localId":"2ffadcc99733"}}]},{"type":"tableCell","attrs":{"localId":"cc083419ffc5","background":"white"},"content":[{"type":"paragraph","content":[{"type":"text","text":"4"}],"attrs":{"localId":"a35ed5440331"}}]},{"type":"tableCell","attrs":{"localId":"9ad4bffdbcfd","background":"white"},"content":[{"type":"paragraph","content":[{"type":"text","text":"4"}],"attrs":{"localId":"3da86da5f5e6"}}]}]},{"type":"tableRow","attrs":{"localId":"2c1052206c39"},"content":[{"type":"tableCell","attrs":{"localId":"522a83372e82","background":"white"},"content":[{"type":"paragraph","content":[{"type":"text","text":"Stuck in the System"}],"attrs":{"localId":"f44820902fc2"}}]},{"type":"tableCell","attrs":{"localId":"cba95beb5512","background":"white"},"content":[{"type":"paragraph","content":[{"type":"text","text":"0"}],"attrs":{"localId":"1754a89607dc"}}]},{"type":"tableCell","attrs":{"localId":"a837806b8b9a","background":"white"},"content":[{"type":"paragraph","content":[{"type":"text","text":"0"}],"attrs":{"localId":"6088e92435d8"}}]}]}]}
{adf}
With this, we are closing this request from our end.
Thank you for your patience, support, and cooperation throughout the process. Your brand is important to us, and we look forward to assisting you again.
Regards,
Team Netscribes</t>
  </si>
  <si>
    <t>FAILED</t>
  </si>
  <si>
    <t>UCW-33948</t>
  </si>
  <si>
    <t>MNY | Sky Tubes Update  |  TATACLIQ - Fashion | Seller Code 125928</t>
  </si>
  <si>
    <t>Date :07/07/2026 &lt;Ticket picked for pre processing Option 1 Sku 1&gt; &lt;Anjalita&gt;;*Image deliver - Date :07/08/2026 &lt;Images Delivered Processed Options 1 Rejected Options 0&gt; &lt;Saswati Dey&gt;*;Date :07/08/2026 &lt;Ticket has been successfully uploaded in our system. Option 1 Sku 1 &gt; &lt;Anjalita&gt;;As informed earlier, since 6th July, the changes made to LIDs have not been reflected on the PDP despite successful updates.
As discussed with Shweta, we have raised an L1 ticket by collating all the related image update tickets for further investigation. Please find the L1 ticket details attached/referenced below for your review: [https://tatacliqhelpdesk.freshservice.com/support/tickets/222265|https://tatacliqhelpdesk.freshservice.com/support/tickets/222265]</t>
  </si>
  <si>
    <t>UCW-33946</t>
  </si>
  <si>
    <t>TCL - Memo Paris Images update</t>
  </si>
  <si>
    <t>Date :07/06/2026 &lt;Ticket picked for pre processing Option 52 Sku 52&gt; &lt;Anjalita&gt;;*Image deliver - Date :07/08/2026 &lt;Images Delivered Processed Options 52 Rejected Options 0&gt; &lt;Saswati Dey&gt;*;Date :07/08/2026 &lt;Ticket has been successfully uploaded in our system. Option 34 Sku 34&gt; &lt;Anjalita&gt;;{adf:display=block}
{"type":"table","attrs":{"isNumberColumnEnabled":false,"layout":"center","localId":"c8707715-37ff-41eb-a316-65277467435e"},"content":[{"type":"tableRow","attrs":{"localId":"d29f6c8849b2"},"content":[{"type":"tableCell","attrs":{"localId":"3f05f63c38c0"},"content":[{"type":"paragraph","content":[{"type":"text","text":"Ticket ID"}],"attrs":{"localId":"340ff39819d1"}}]},{"type":"tableCell","attrs":{"localId":"6cebd03a0bd0","colspan":2},"content":[{"type":"paragraph","content":[{"type":"text","text":"UCW-33946"}],"attrs":{"localId":"f3215116d6dc"}}]}]},{"type":"tableRow","attrs":{"localId":"4207fc2809f2"},"content":[{"type":"tableCell","attrs":{"localId":"5204cb4a17e6"},"content":[{"type":"paragraph","content":[{"type":"text","text":"Particulars"}],"attrs":{"localId":"6f4a55d8e739"}}]},{"type":"tableCell","attrs":{"localId":"f44ae968887f"},"content":[{"type":"paragraph","content":[{"type":"text","text":"SKU Count"}],"attrs":{"localId":"227a618d2966"}}]},{"type":"tableCell","attrs":{"localId":"9bd108441f6f"},"content":[{"type":"paragraph","content":[{"type":"text","text":"Option Count"}],"attrs":{"localId":"a8d356f32806"}}]}]},{"type":"tableRow","attrs":{"localId":"bd6844f57498"},"content":[{"type":"tableCell","attrs":{"localId":"f3ae12ae4143"},"content":[{"type":"paragraph","content":[{"type":"text","text":"Received"}],"attrs":{"localId":"8702f1057fdc"}}]},{"type":"tableCell","attrs":{"localId":"f7b9ac3f1779"},"content":[{"type":"paragraph","content":[{"type":"text","text":"52"}],"attrs":{"localId":"82c8f03d8cfb"}}]},{"type":"tableCell","attrs":{"localId":"27ee48a5f727"},"content":[{"type":"paragraph","content":[{"type":"text","text":"52"}],"attrs":{"localId":"bb1baeb2ff93"}}]}]},{"type":"tableRow","attrs":{"localId":"876e395782f1"},"content":[{"type":"tableCell","attrs":{"localId":"5d5b257f8a4e"},"content":[{"type":"paragraph","content":[{"type":"text","text":"Successfully Retriggered"}],"attrs":{"localId":"99230455d90b"}}]},{"type":"tableCell","attrs":{"localId":"4bd1d7a3ad4c"},"content":[{"type":"paragraph","content":[{"type":"text","text":"34"}],"attrs":{"localId":"2c7156bc02e4"}}]},{"type":"tableCell","attrs":{"localId":"813da95d994e"},"content":[{"type":"paragraph","content":[{"type":"text","text":"34"}],"attrs":{"localId":"90da6b03f287"}}]}]},{"type":"tableRow","attrs":{"localId":"730a81ea3474"},"content":[{"type":"tableCell","attrs":{"localId":"9b786b485753"},"content":[{"type":"paragraph","content":[{"type":"text","text":"L1 to L4 not Selecting"}],"attrs":{"localId":"6f68275806cd"}}]},{"type":"tableCell","attrs":{"localId":"8da6caec5aff"},"content":[{"type":"paragraph","content":[{"type":"text","text":"16"}],"attrs":{"localId":"9b163bf41cff"}}]},{"type":"tableCell","attrs":{"localId":"d37d4787c138"},"content":[{"type":"paragraph","content":[{"type":"text","text":"16"}],"attrs":{"localId":"369b5d78cee8"}}]}]},{"type":"tableRow","attrs":{"localId":"39c2f1895260"},"content":[{"type":"tableCell","attrs":{"localId":"987785561c87"},"content":[{"type":"paragraph","content":[{"type":"text","text":"Beauty Category not Selecting"}],"attrs":{"localId":"c46c00069cfe"}}]},{"type":"tableCell","attrs":{"localId":"c223f0890fea"},"content":[{"type":"paragraph","content":[{"type":"text","text":"2"}],"attrs":{"localId":"5096999f5c91"}}]},{"type":"tableCell","attrs":{"localId":"8f48973a0baa"},"content":[{"type":"paragraph","content":[{"type":"text","text":"2"}],"attrs":{"localId":"2721044908c9"}}]}]}]}
{adf};As discussed with Shweta, we have raised an L1 ticket by collating all the related image update tickets for further investigation. Please find the L1 ticket details attached/referenced below for your review: [https://tatacliqhelpdesk.freshservice.com/support/tickets/222265|https://tatacliqhelpdesk.freshservice.com/support/tickets/222265]</t>
  </si>
  <si>
    <t>UCW-33933</t>
  </si>
  <si>
    <t>TCL X CDC Cataloging Connect</t>
  </si>
  <si>
    <t>UCW-33927</t>
  </si>
  <si>
    <t>USPA_FM_Arrow_MP_90_Batch-4 AW26 &amp; 78 SS26__124848_2-07-2026</t>
  </si>
  <si>
    <t>Arrow, U.S. Polo Assn., Flying Machine, Arrow Sport, Arrow Newyork</t>
  </si>
  <si>
    <t>Date :07/06/2026  &lt;Ticket picked for pre processing Option 84 Sku 737&gt; &lt;Anwesha Mondal&gt;;Date :07/08/2026  &lt;Production &amp; QC Done , Working on Size Chart&gt; &lt;Anwesha Mondal&gt;;Date :07/08/2026  &lt;Pre Processing query to Brand &lt;Size chart Missing&gt;&gt; &lt;Anwesha Mondal&gt; ;Date :07/10/2026  &lt;Follow up 1&gt; &lt;Anwesha Mondal&gt;;Date :07/11/2026  &lt;Size Chart Code Creation&gt; &lt;Anwesha Mondal&gt;
[^UCW-33927 Size Chart .csv]
*Please Note*: The size chart codes for all L4s have been created. The reference sheet is attached for your review.
However, the brand has not shared the measurements for the *Casual Jacket*. A query has been raised with the brand requesting the size chart grid. We will proceed with the size chart creation once the required measurements are received.</t>
  </si>
  <si>
    <t>UCW-33909</t>
  </si>
  <si>
    <t>Roberto Cavalli - TCL - Platform addition</t>
  </si>
  <si>
    <t xml:space="preserve">Roberto Cavalli </t>
  </si>
  <si>
    <t xml:space="preserve">*Image deliver - Date :08/08/2026 &lt;Images Delivered Processed Options 19 Rejected Options 0&gt; &lt;Saswati Dey&gt;*;We have completed the platform addition. Once the images are successfully reflected, we will keep you informed.[^Status of UCW-33909.xlsx] [^Summery.zip] </t>
  </si>
  <si>
    <t>UCW-33908</t>
  </si>
  <si>
    <t>NISTRA NEW LISTING FINE JEWELLERY SILVER 129363</t>
  </si>
  <si>
    <t>Nistra</t>
  </si>
  <si>
    <t>Date : 6th Jul, 2026 Brand to Query for Images-Mousumi;Date : 7th Jul, 2026 1st followup done-Mousumi
Date : 7th Jul, 2026 Pre-Processing Sheet (Brabd To Query  Weight, Metal &amp; Gross weight, Style Code, SKUs COde)-Mousumi;Date : 8th Jul, 2026 1st followup done-Mousumi
Date : 8th Jul, 2026 Production Done _Mousumi.
Date : 8th Jul, 2026 Description Done -Khushnuma
Date : 8th Jul, 2026 Images Done-Moumita;Date : 9th July , 2026 QC &amp; Uploade Done-Mousumi
PFA the Summary &amp; Post-Uploaded Sheet[^Summary.zip] [^UCW-33908 Post Upload Status_V.2 (1).xlsx] 
;[^UCW-33908.xlsx]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d0c21a4-37b8-45ee-bafc-abe58a8c3d31"},"content":[{"type":"tableRow","attrs":{"localId":"59381dbe777f"},"content":[{"type":"tableCell","attrs":{"localId":"5137c8eda9b7","background":"#44b3e1"},"content":[{"type":"paragraph","content":[{"type":"text","text":"Ticket ID","marks":[{"type":"strong"}]}],"attrs":{"localId":"203a960fb9d2"}}]},{"type":"tableCell","attrs":{"localId":"a2c7e8b5ab44","colspan":2,"background":"#44b3e1"},"content":[{"type":"paragraph","content":[{"type":"text","text":"UCW-33908","marks":[{"type":"strong"}]}],"attrs":{"localId":"21ef2a6aaefa"}}]}]},{"type":"tableRow","attrs":{"localId":"ea047ea1e3c9"},"content":[{"type":"tableCell","attrs":{"localId":"5ac776e25906","background":"#44b3e1"},"content":[{"type":"paragraph","content":[{"type":"text","text":"Brand Name","marks":[{"type":"strong"}]}],"attrs":{"localId":"f3ea4adafdf4"}}]},{"type":"tableCell","attrs":{"localId":"721788f3dc2a","colspan":2,"background":"#44b3e1"},"content":[{"type":"paragraph","content":[{"type":"text","text":"Nistra","marks":[{"type":"strong"}]}],"attrs":{"localId":"ea2e0288d5a3"}}]}]},{"type":"tableRow","attrs":{"localId":"93203cc5f465"},"content":[{"type":"tableCell","attrs":{"localId":"ffdf3ff0452b","background":"#ace5fe"},"content":[{"type":"paragraph","content":[{"type":"text","text":"Platform","marks":[{"type":"strong"}]}],"attrs":{"localId":"d479b71d43a5"}}]},{"type":"tableCell","attrs":{"localId":"4e34dab8fc59","colspan":2,"background":"#ace5fe"},"content":[{"type":"paragraph","content":[{"type":"text","text":"Mall","marks":[{"type":"strong"}]}],"attrs":{"localId":"cd11acb4ffe0"}}]}]},{"type":"tableRow","attrs":{"localId":"a56a356c6eb0"},"content":[{"type":"tableCell","attrs":{"localId":"806151318cda","background":"#ace5fe"},"content":[{"type":"paragraph","content":[{"type":"text","text":"Particulars","marks":[{"type":"strong"}]}],"attrs":{"localId":"5bd3f28be766"}}]},{"type":"tableCell","attrs":{"localId":"49be241a9ebd","background":"#ace5fe"},"content":[{"type":"paragraph","content":[{"type":"text","text":"SKU Count","marks":[{"type":"strong"}]}],"attrs":{"localId":"62200e2d2064"}}]},{"type":"tableCell","attrs":{"localId":"45fb97fe1a29","background":"#ace5fe"},"content":[{"type":"paragraph","content":[{"type":"text","text":"Option Count","marks":[{"type":"strong"}]}],"attrs":{"localId":"31cf0749cd91"}}]}]},{"type":"tableRow","attrs":{"localId":"24dd5558d14e"},"content":[{"type":"tableCell","attrs":{"localId":"8637a87d2cf2","background":"white"},"content":[{"type":"paragraph","content":[{"type":"text","text":"Received"}],"attrs":{"localId":"90eb6206a989"}}]},{"type":"tableCell","attrs":{"localId":"91b1ce4fe943"},"content":[{"type":"paragraph","content":[{"type":"text","text":"257"}],"attrs":{"localId":"fde849f4ee02"}}]},{"type":"tableCell","attrs":{"localId":"0f25da864888"},"content":[{"type":"paragraph","content":[{"type":"text","text":"257"}],"attrs":{"localId":"1d50437dca94"}}]}]},{"type":"tableRow","attrs":{"localId":"c55c998fcce1"},"content":[{"type":"tableCell","attrs":{"localId":"bcc5f7e01ad5","background":"white"},"content":[{"type":"paragraph","content":[{"type":"text","text":"Uploaded"}],"attrs":{"localId":"d5029a85af49"}}]},{"type":"tableCell","attrs":{"localId":"a1b6ffd69893"},"content":[{"type":"paragraph","content":[{"type":"text","text":"256"}],"attrs":{"localId":"c1cc8909e300"}}]},{"type":"tableCell","attrs":{"localId":"5506d25727bd"},"content":[{"type":"paragraph","content":[{"type":"text","text":"256"}],"attrs":{"localId":"91948e03f36a"}}]}]},{"type":"tableRow","attrs":{"localId":"998e69718979"},"content":[{"type":"tableCell","attrs":{"localId":"e2ed129fc776","background":"white"},"content":[{"type":"paragraph","content":[{"type":"text","text":"Duplicate SKUs"}],"attrs":{"localId":"0daa7162c6ca"}}]},{"type":"tableCell","attrs":{"localId":"55d307e6ea55"},"content":[{"type":"paragraph","content":[{"type":"text","text":"1"}],"attrs":{"localId":"de91cd23f7b4"}}]},{"type":"tableCell","attrs":{"localId":"12a4979cb642"},"content":[{"type":"paragraph","content":[{"type":"text","text":"1"}],"attrs":{"localId":"0165a10c601b"}}]}]},{"type":"tableRow","attrs":{"localId":"46ca11cfbf6d"},"content":[{"type":"tableCell","attrs":{"localId":"295096438b35","background":"white"},"content":[{"type":"paragraph","content":[{"type":"text","text":"LIDs Shared"}],"attrs":{"localId":"b6c100f9d68d"}}]},{"type":"tableCell","attrs":{"localId":"35030f7abb5c"},"content":[{"type":"paragraph","content":[{"type":"text","text":"256"}],"attrs":{"localId":"10c3aae1a795"}}]},{"type":"tableCell","attrs":{"localId":"c77163daf46e"},"content":[{"type":"paragraph","content":[{"type":"text","text":"256"}],"attrs":{"localId":"c3eda343192b"}}]}]},{"type":"tableRow","attrs":{"localId":"12a4b394d896"},"content":[{"type":"tableCell","attrs":{"localId":"65ef12285428","background":"white"},"content":[{"type":"paragraph","content":[{"type":"text","text":"LIDs Stuck in the System"}],"attrs":{"localId":"d43c6ff758ae"}}]},{"type":"tableCell","attrs":{"localId":"42a4fcff3781"},"content":[{"type":"paragraph","content":[{"type":"text","text":"0"}],"attrs":{"localId":"0af564ddc13e"}}]},{"type":"tableCell","attrs":{"localId":"23b60cf9a126"},"content":[{"type":"paragraph","content":[{"type":"text","text":"0"}],"attrs":{"localId":"aa82c5652d56"}}]}]}]}
{adf}
With this, we are closing this request from our end.
Thank you for your patience, support, and cooperation throughout the process. Your brand is important to us, and we look forward to assisting you again.</t>
  </si>
  <si>
    <t>UCW-34547</t>
  </si>
  <si>
    <t xml:space="preserve"> TCL- New listing - Hermès Barénia Pleine Fleur</t>
  </si>
  <si>
    <t>UCW-34544</t>
  </si>
  <si>
    <t>Woodland / Footwear / 1298 SKU's / 166 Options / 11-06-26</t>
  </si>
  <si>
    <t>UCW-34536</t>
  </si>
  <si>
    <t>( CHARCHIT/CAVIO ) 30 -New Styles Product data sheet to go live on Tata Cliq</t>
  </si>
  <si>
    <t>UCW-34535</t>
  </si>
  <si>
    <t>CLONE - New Listing Tata Cliq Brand - La French &amp; Mancode 2nd July'26.</t>
  </si>
  <si>
    <t>UCW-34533</t>
  </si>
  <si>
    <t>Updated A+ and E-Commerce Creatives- Honasa</t>
  </si>
  <si>
    <t>UCW-34527</t>
  </si>
  <si>
    <t>New Chain Pendant and Earring Set listing- 6 SKUS</t>
  </si>
  <si>
    <t>UCW-34526</t>
  </si>
  <si>
    <t>Listing File for New Shades – Draw Me In Lip Marker</t>
  </si>
  <si>
    <t>UCW-34524</t>
  </si>
  <si>
    <t xml:space="preserve">Aug Cycle GWPs - Cataloguing </t>
  </si>
  <si>
    <t>UCW-34522</t>
  </si>
  <si>
    <t>Pantaloons /Men's/Kid's/Women's Western/Women's Ethnic apparel/ New Listing/SKU 813/Options 158| 14th Julyl'2026</t>
  </si>
  <si>
    <t>UCW-34521</t>
  </si>
  <si>
    <t>Tata Image update_14-07-2026 - Perfume</t>
  </si>
  <si>
    <t>UCW-34507</t>
  </si>
  <si>
    <t>NPI Listing - Tata Cliq&lt;&gt;Mamaearth</t>
  </si>
  <si>
    <t>UCW-34503</t>
  </si>
  <si>
    <t>Garnier | Oil Clear PDP Update | TATACLIQ - Fashion | Seller Code 125928</t>
  </si>
  <si>
    <t>UCW-34461</t>
  </si>
  <si>
    <t>Accessorize London X Tata Cliq _Jewellery Catalogue_13-07-2026</t>
  </si>
  <si>
    <t>UCW-34451</t>
  </si>
  <si>
    <t>UCW-34445</t>
  </si>
  <si>
    <t>PNG Jewellers | New (214) PNG_Mangalsutra | Code - 124260 | 90 SKUs</t>
  </si>
  <si>
    <t>UCW-34441</t>
  </si>
  <si>
    <t>Libas Apparel 127532 13-07-2026 (NEW CATALOGUE)</t>
  </si>
  <si>
    <t>UCW-34433</t>
  </si>
  <si>
    <t>Libas Apparel 127532 06-07-2026 (NEW CATALOGUE)</t>
  </si>
  <si>
    <t>UCW-34430</t>
  </si>
  <si>
    <t>Request for Catalogue Listing Format File</t>
  </si>
  <si>
    <t>UCW-34423</t>
  </si>
  <si>
    <t>New Listings_25 Styles_13.07.2026</t>
  </si>
  <si>
    <t>UCW-34414</t>
  </si>
  <si>
    <t>Rakhi and Core additions collection catalog for Tata Cliq.</t>
  </si>
  <si>
    <t>UCW-34413</t>
  </si>
  <si>
    <t>Tata Cliq-adidas DTC|Footwear| Attributes_15-07-26</t>
  </si>
  <si>
    <t>UCW-34412</t>
  </si>
  <si>
    <t>Aapno Rajasthan | Fashion Jewellery | 126205 | 08-07-26 (128skus)</t>
  </si>
  <si>
    <t>UCW-34409</t>
  </si>
  <si>
    <t>Voylla | Fashion Jewelry | 124186 | 15.07.2026 (32 skus)</t>
  </si>
  <si>
    <t>UCW-34400</t>
  </si>
  <si>
    <t>New Listing Details – Re'equil Gentle Cleanser Range</t>
  </si>
  <si>
    <t>UCW-34399</t>
  </si>
  <si>
    <t>CLONE - New listings - Care N Class</t>
  </si>
  <si>
    <t>UCW-34394</t>
  </si>
  <si>
    <t>Giva | Silver Jewellery | 125927 | 25-06-2026 &amp; 2-07-2026(132SKUs)</t>
  </si>
  <si>
    <t>UCW-34393</t>
  </si>
  <si>
    <t>Clinique Listing July'26</t>
  </si>
  <si>
    <t>UCW-34392</t>
  </si>
  <si>
    <t>Clinique GWP Listing - Dropship bag</t>
  </si>
  <si>
    <t>UCW-34390</t>
  </si>
  <si>
    <t>New Sampler Box Listing - Tata</t>
  </si>
  <si>
    <t>UCW-34389</t>
  </si>
  <si>
    <t>The Magic Wand Festive Collection Linesheet_33 Styles_10.07.2026</t>
  </si>
  <si>
    <t>UCW-34380</t>
  </si>
  <si>
    <t>Request to Update Toner Information and Product Image LE82 &amp; LE92</t>
  </si>
  <si>
    <t>UCW-34378</t>
  </si>
  <si>
    <t>UCW-34370</t>
  </si>
  <si>
    <t>TCL- New listing - Memo Paris Palais Bourbon (MDP)</t>
  </si>
  <si>
    <t>UCW-34367</t>
  </si>
  <si>
    <t>CLONE: footwear catalogue for listing tatacliq</t>
  </si>
  <si>
    <t>UCW-34357</t>
  </si>
  <si>
    <t>Tata Cliq Luxury Footwear Catalogue- Asics | 10th July</t>
  </si>
  <si>
    <t>UCW-34354</t>
  </si>
  <si>
    <t>EL DW GWP Listing - July'26</t>
  </si>
  <si>
    <t>UCW-34343</t>
  </si>
  <si>
    <t>Onewe India - 09-07-2026 - 128951 - Hathfool Collection</t>
  </si>
  <si>
    <t>UCW-34339</t>
  </si>
  <si>
    <t>TATA CLIQ - Listing Template Submission</t>
  </si>
  <si>
    <t>UCW-34336</t>
  </si>
  <si>
    <t>NPI- Mamaearth x Tata Cliq | July'26</t>
  </si>
  <si>
    <t>UCW-34329</t>
  </si>
  <si>
    <t>VANTIER SHOES - Footwear - 10/07/2026 - 200 SKUs</t>
  </si>
  <si>
    <t>UCW-34325</t>
  </si>
  <si>
    <t>New articles for Lush brand catalogue</t>
  </si>
  <si>
    <t>UCW-34321</t>
  </si>
  <si>
    <t>CLONE - TF: Cataloging Information: March</t>
  </si>
  <si>
    <t>UCW-34314</t>
  </si>
  <si>
    <t>Cloned- Mia Silver coin</t>
  </si>
  <si>
    <t>UCW-34305</t>
  </si>
  <si>
    <t>Redchief_Sport Shoes_123781_110726</t>
  </si>
  <si>
    <t>UCW-34299</t>
  </si>
  <si>
    <t>Kiddopanti Size Addition of Missing SKUs and 21 Skus Options 17 of the Products On 9th July 2026</t>
  </si>
  <si>
    <t>UCW-34297</t>
  </si>
  <si>
    <t>Fabindia – Apparel &amp; Jewellery– Seller Code-126453 – SKU Count-486 – Style Count-93 – 09-07-2026</t>
  </si>
  <si>
    <t>UCW-34293</t>
  </si>
  <si>
    <t>CLONE - Tatacliq Lifestyle Catalog Template-Lot -121_11.08.2025</t>
  </si>
  <si>
    <t>UCW-34292</t>
  </si>
  <si>
    <t>Error_Tatacliq Lifestyle Catalog Template-Lot -121_11.08.2025</t>
  </si>
  <si>
    <t>UCW-34285</t>
  </si>
  <si>
    <t>CLONE - Airwrap ID New Colorway- Prussian Blue (TCL Listing)</t>
  </si>
  <si>
    <t>UCW-34280</t>
  </si>
  <si>
    <t>Lotto/Footwear UPTO Lot-37/Seller code- 129247/ 10-07-2026</t>
  </si>
  <si>
    <t>UCW-34271</t>
  </si>
  <si>
    <t>Jockey Apparel (New Styles)- 100121 - 08-07-2026</t>
  </si>
  <si>
    <t>UCW-34270</t>
  </si>
  <si>
    <t>Davidoff 2 - New listing - 6 STD - TATA - 6/7/26</t>
  </si>
  <si>
    <t>UCW-34254</t>
  </si>
  <si>
    <t>House Of CDC Fashion Private Ltd. (Catalogue Ticket)</t>
  </si>
  <si>
    <t>UCW-34250</t>
  </si>
  <si>
    <t>New Catalogue for Rakhi : 08.07.2026</t>
  </si>
  <si>
    <t>UCW-34241</t>
  </si>
  <si>
    <t>Tata Cliq Partnership for OnnMe</t>
  </si>
  <si>
    <t>UCW-34233</t>
  </si>
  <si>
    <t>Mia Rhapsody of colors</t>
  </si>
  <si>
    <t>UCW-34232</t>
  </si>
  <si>
    <t>Tata Cliq - Adidas Euphoria Listing - 10th July 2026</t>
  </si>
  <si>
    <t>UCW-34228</t>
  </si>
  <si>
    <t>Need Update Warranty - 181 SKUs</t>
  </si>
  <si>
    <t>UCW-34227</t>
  </si>
  <si>
    <t>2447482_New &amp; tester listing_TCL</t>
  </si>
  <si>
    <t>UCW-34225</t>
  </si>
  <si>
    <t>Forever New Apparels -124687- 11 July</t>
  </si>
  <si>
    <t>Date :07/18/2026  &lt;Ticket picked for pre processing Option 4 Sku 4&gt; &lt;Amandeep&gt;;Date :07/18/2026 &lt;Ticket picked for Production and QC review Option 4 Sku 4&gt; &lt;Amandeep&gt;;Date :07/18/2026 &lt;Ticket has been successfully uploaded in our system. Option 4 Sku 4 &gt; &lt;Ankita&gt;[^Post Upload Status_V.2 (1).xlsx] [^Summary.zip] ;[^UCW-34547.xlsx]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246edb48-1c20-423f-a425-af7babf75849"},"content":[{"type":"tableRow","attrs":{"localId":"876edefe0273"},"content":[{"type":"tableCell","attrs":{"localId":"879902e6cfd7","background":"#44b3e1"},"content":[{"type":"paragraph","content":[{"type":"text","text":"Ticket ID","marks":[{"type":"strong"}]}],"attrs":{"localId":"ba9ec596c192"}}]},{"type":"tableCell","attrs":{"localId":"7db5628edf00","colspan":2,"background":"#44b3e1"},"content":[{"type":"paragraph","content":[{"type":"text","text":"UCW-34547","marks":[{"type":"strong"}]}],"attrs":{"localId":"f58f07d2ca72"}}]}]},{"type":"tableRow","attrs":{"localId":"49d268d05b7c"},"content":[{"type":"tableCell","attrs":{"localId":"6988dab8cfa4","background":"#44b3e1"},"content":[{"type":"paragraph","content":[{"type":"text","text":"Brand Name","marks":[{"type":"strong"}]}],"attrs":{"localId":"e27b96feb51c"}}]},{"type":"tableCell","attrs":{"localId":"98c1fa4f6304","colspan":2,"background":"#44b3e1"},"content":[{"type":"paragraph","content":[{"type":"text","text":"Hermes","marks":[{"type":"strong"}]}],"attrs":{"localId":"53feb2f8b1ed"}}]}]},{"type":"tableRow","attrs":{"localId":"da792b41dc19"},"content":[{"type":"tableCell","attrs":{"localId":"49bfdb788b2d","background":"#ace5fe"},"content":[{"type":"paragraph","content":[{"type":"text","text":"Platform","marks":[{"type":"strong"}]}],"attrs":{"localId":"8826bd1abd96"}}]},{"type":"tableCell","attrs":{"localId":"8822403152cf","colspan":2,"background":"#ace5fe"},"content":[{"type":"paragraph","content":[{"type":"text","text":"Luxury","marks":[{"type":"strong"}]}],"attrs":{"localId":"dc2d2a949f53"}}]}]},{"type":"tableRow","attrs":{"localId":"7401d683db26"},"content":[{"type":"tableCell","attrs":{"localId":"13aacf367607","background":"#ace5fe"},"content":[{"type":"paragraph","content":[{"type":"text","text":"Particulars","marks":[{"type":"strong"}]}],"attrs":{"localId":"02639b5eeef8"}}]},{"type":"tableCell","attrs":{"localId":"75b5c233ea02","background":"#ace5fe"},"content":[{"type":"paragraph","content":[{"type":"text","text":"SKU Count","marks":[{"type":"strong"}]}],"attrs":{"localId":"d5fe82816a5a"}}]},{"type":"tableCell","attrs":{"localId":"84fcf3e67bf4","background":"#ace5fe"},"content":[{"type":"paragraph","content":[{"type":"text","text":"Option Count","marks":[{"type":"strong"}]}],"attrs":{"localId":"ee2f85373e29"}}]}]},{"type":"tableRow","attrs":{"localId":"b0d8bc393545"},"content":[{"type":"tableCell","attrs":{"localId":"0f533ea21b5f","background":"white"},"content":[{"type":"paragraph","content":[{"type":"text","text":"Received"}],"attrs":{"localId":"bde772e8a761"}}]},{"type":"tableCell","attrs":{"localId":"962608c60fcb"},"content":[{"type":"paragraph","content":[{"type":"text","text":"4"}],"attrs":{"localId":"49e3fdb905e7"}}]},{"type":"tableCell","attrs":{"localId":"c5119934243d"},"content":[{"type":"paragraph","content":[{"type":"text","text":"4"}],"attrs":{"localId":"c7eb190da3bf"}}]}]},{"type":"tableRow","attrs":{"localId":"b409c6c21c80"},"content":[{"type":"tableCell","attrs":{"localId":"59e05789ed36","background":"white"},"content":[{"type":"paragraph","content":[{"type":"text","text":"Uploaded"}],"attrs":{"localId":"bb4ede187fac"}}]},{"type":"tableCell","attrs":{"localId":"a840cf04b211"},"content":[{"type":"paragraph","content":[{"type":"text","text":"4"}],"attrs":{"localId":"9b56e5fe8fb3"}}]},{"type":"tableCell","attrs":{"localId":"b1c38a67da03"},"content":[{"type":"paragraph","content":[{"type":"text","text":"4"}],"attrs":{"localId":"6d85aea9e62d"}}]}]},{"type":"tableRow","attrs":{"localId":"d9d30ee9aa02"},"content":[{"type":"tableCell","attrs":{"localId":"e2ab1844c3c3","background":"white"},"content":[{"type":"paragraph","content":[{"type":"text","text":"LIDs Shared"}],"attrs":{"localId":"159c6ab79023"}}]},{"type":"tableCell","attrs":{"localId":"fb4d7cc7e52f"},"content":[{"type":"paragraph","content":[{"type":"text","text":"4"}],"attrs":{"localId":"c47d62286bb5"}}]},{"type":"tableCell","attrs":{"localId":"9a0677354e17"},"content":[{"type":"paragraph","content":[{"type":"text","text":"4"}],"attrs":{"localId":"067c1895ddf0"}}]}]},{"type":"tableRow","attrs":{"localId":"95bbf07eb16b"},"content":[{"type":"tableCell","attrs":{"localId":"9686385511ae","background":"white"},"content":[{"type":"paragraph","content":[{"type":"text","text":"LIDs Stuck in the System"}],"attrs":{"localId":"754bd30a6788"}}]},{"type":"tableCell","attrs":{"localId":"087eb6808a7b"},"content":[{"type":"paragraph","content":[{"type":"text","text":"0"}],"attrs":{"localId":"0d8f38996f5e"}}]},{"type":"tableCell","attrs":{"localId":"86688a7fc6a6"},"content":[{"type":"paragraph","content":[{"type":"text","text":"0"}],"attrs":{"localId":"e66fecd399f6"}}]}]}]}
{adf}
With this, we are closing this request from our end.
Thank you for your patience, support, and cooperation throughout the process. Your brand is important to us, and we look forward to assisting you again.</t>
  </si>
  <si>
    <t>Date :07/18/2026 &lt;Ticket picked for pre processing Option 166 Sku 1164&gt; &lt;Ankita&gt;;Date :07/18/2026 &lt;Ticket picked for Production and QC review Option 165 Sku 1164&gt; &lt;Ankita &amp; Ishani&gt;</t>
  </si>
  <si>
    <t>CHARCHIT, Cavio</t>
  </si>
  <si>
    <t>Date :07/18/2026 &lt;Ticket picked for pre processing Option: 30 SKU: 235&gt; &lt;Sanjana Ghosh&gt;</t>
  </si>
  <si>
    <t>Mancode</t>
  </si>
  <si>
    <t>|Date :07/18/2026 &lt;Ticket picked for pre processing SKU 42&gt; &lt;Tania&gt;|
|Date :07/18/2026 &lt;Pre Processing query to Brand &lt;Images Analysis, Fragrance Family, SKU code, Duplicate SKU, Notes&gt;&gt; &lt;Tania&gt;|</t>
  </si>
  <si>
    <t>Date :07/18/2026&lt;Ticket picked for pre processing Option 18Sku 18&gt; &lt;Rupa&gt;;Date :07/18/2026&lt;Pre Processing query to Brand &lt;ussid not present with the current seller code&gt;&gt; &lt;Rupa&gt;</t>
  </si>
  <si>
    <t xml:space="preserve">Rihi by P.C. Chandra Jewellers </t>
  </si>
  <si>
    <t>Date : 18th Jul, 2026 This ticket has been picked for Pre-Processing and Image Analysis -Mousumi. 
Date : 18th Jul, 2026 Pre-Processing Done ( Brand to QUery for Warrnaty Type);*Image deliver - Date :07/18/2026 &lt;Images Delivered Processed Options 6 Rejected Options 0&gt; &lt;Saswati Dey&gt;*</t>
  </si>
  <si>
    <t xml:space="preserve">Date :07/18/2026  &lt;Ticket picked for pre processing Option 3 Sku 3&gt; &lt;Amandeep&gt;;Date :07/18/2026 &lt;Ticket picked for Production and QC review Option 3 Sku 3&gt; &lt;Amandeep&gt;;Date :07/18/2026 &lt;Ticket is already listed in our system. Option 3 Sku 3&gt; &lt;Ankita&gt;[^UCW-34526_LIDs.xlsx] [^ProductBulkUpload_128440_Beauty__Grooming(MPH22)_Makeup(MPH2214)_Lips(MPH2214102)_Lip_Liner(MPH2214102103)_43328_1784369030994_20260718_033351_128_summary.csv] </t>
  </si>
  <si>
    <t>Jo Malone London Tom Ford</t>
  </si>
  <si>
    <t>|Date :07/18/2026 &lt;Ticket picked for pre processing SKU 7&gt; &lt;Amandeep&gt;|
|Date :07/18/2026 &lt;Pre Processing query to Brand &lt;HSN Missing&gt;&gt; &lt;Amandeep&gt;|</t>
  </si>
  <si>
    <t>Date :07/17/2026 &lt;Ticket picked for pre processing Option: 218 SKU: 813&gt; &lt;Sanjana Ghosh&gt;</t>
  </si>
  <si>
    <t>|Date :07/17/2026 &lt;Ticket picked for pre processing SKU 1&gt; &lt;Tania&gt;|
|Date :07/17/2026 &lt;Ticket picked for Production and QC review SKU 1&gt; &lt;Tania&gt;|
|Date :07/17/2026 &lt;Ticket has been successfully uploaded in our system. SKU 1&gt; &lt;Tania&gt;|;We have successfully uploaded this batch. Please find the attached summary sheet and summary report. [^ProductBulkUpload_125955_Beauty__Grooming(MPH22)_Skin_Care(MPH2216)_Moisturizers_and_Serums(MPH2216103)_Serum_and_Essence(MPH2216103108)_34107_1784299986484_20260717_082306_633_summary.csv] [^UCW-34507_Post Upload Status.xlsx] ;[^UCW-34507.xlsx]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62365719-e159-4a9d-920f-dcdaf1449a4c"},"content":[{"type":"tableRow","attrs":{"localId":"65523462efaa"},"content":[{"type":"tableCell","attrs":{"localId":"8c1c69d7e643","background":"#44b3e1"},"content":[{"type":"paragraph","content":[{"type":"text","text":"Ticket ID","marks":[{"type":"strong"}]}],"attrs":{"localId":"beded5165906"}}]},{"type":"tableCell","attrs":{"localId":"b4aace58e6d0","colspan":2,"background":"#44b3e1"},"content":[{"type":"paragraph","content":[{"type":"text","text":"UCW-34507","marks":[{"type":"strong"}]}],"attrs":{"localId":"b294e5454b10"}}]}]},{"type":"tableRow","attrs":{"localId":"bad32ce84fed"},"content":[{"type":"tableCell","attrs":{"localId":"c06bc500fed2","background":"#44b3e1"},"content":[{"type":"paragraph","content":[{"type":"text","text":"Brand Name","marks":[{"type":"strong"}]}],"attrs":{"localId":"c01516e10611"}}]},{"type":"tableCell","attrs":{"localId":"58ef1fdb7c7b","colspan":2,"background":"#44b3e1"},"content":[{"type":"paragraph","content":[{"type":"text","text":"Mamaearth","marks":[{"type":"strong"}]}],"attrs":{"localId":"54db5c5cef36"}}]}]},{"type":"tableRow","attrs":{"localId":"438d54098baa"},"content":[{"type":"tableCell","attrs":{"localId":"8414c9f3303c","background":"#ace5fe"},"content":[{"type":"paragraph","content":[{"type":"text","text":"Platform","marks":[{"type":"strong"}]}],"attrs":{"localId":"0cc10f81c188"}}]},{"type":"tableCell","attrs":{"localId":"be4d37f99d2e","colspan":2,"background":"#ace5fe"},"content":[{"type":"paragraph","content":[{"type":"text","text":"Mall","marks":[{"type":"strong"}]}],"attrs":{"localId":"f7ab062ed3ae"}}]}]},{"type":"tableRow","attrs":{"localId":"c1c3789d2fa0"},"content":[{"type":"tableCell","attrs":{"localId":"6ddfc2648955","background":"#ace5fe"},"content":[{"type":"paragraph","content":[{"type":"text","text":"Particulars","marks":[{"type":"strong"}]}],"attrs":{"localId":"6299bb04770a"}}]},{"type":"tableCell","attrs":{"localId":"3c07cb247d45","background":"#ace5fe"},"content":[{"type":"paragraph","content":[{"type":"text","text":"SKU Count","marks":[{"type":"strong"}]}],"attrs":{"localId":"06329162d921"}}]},{"type":"tableCell","attrs":{"localId":"b66c9be0cf3c","background":"#ace5fe"},"content":[{"type":"paragraph","content":[{"type":"text","text":"Option Count","marks":[{"type":"strong"}]}],"attrs":{"localId":"e16ffb3ea9c8"}}]}]},{"type":"tableRow","attrs":{"localId":"848f16bd34e2"},"content":[{"type":"tableCell","attrs":{"localId":"3bbf0a837488","background":"white"},"content":[{"type":"paragraph","content":[{"type":"text","text":"Received"}],"attrs":{"localId":"666e48956f86"}}]},{"type":"tableCell","attrs":{"localId":"561126f2e6dc"},"content":[{"type":"paragraph","content":[{"type":"text","text":"2"}],"attrs":{"localId":"10f9a28de459"}}]},{"type":"tableCell","attrs":{"localId":"51530c02e070"},"content":[{"type":"paragraph","content":[{"type":"text","text":"2"}],"attrs":{"localId":"c54a996404e0"}}]}]},{"type":"tableRow","attrs":{"localId":"cd8ef2963339"},"content":[{"type":"tableCell","attrs":{"localId":"6334678267ff","background":"white"},"content":[{"type":"paragraph","content":[{"type":"text","text":"Uploaded"}],"attrs":{"localId":"2399302f3ffe"}}]},{"type":"tableCell","attrs":{"localId":"c282bc00db82"},"content":[{"type":"paragraph","content":[{"type":"text","text":"1"}],"attrs":{"localId":"2aa17505bc9c"}}]},{"type":"tableCell","attrs":{"localId":"b6c5285a9052"},"content":[{"type":"paragraph","content":[{"type":"text","text":"1"}],"attrs":{"localId":"dd22e45cd0a6"}}]}]},{"type":"tableRow","attrs":{"localId":"5e5ded7b65d7"},"content":[{"type":"tableCell","attrs":{"localId":"1196d3ee8b30","background":"white"},"content":[{"type":"paragraph","content":[{"type":"text","text":"Already Listed"}],"attrs":{"localId":"2423a8f46679"}}]},{"type":"tableCell","attrs":{"localId":"ac0841683d47"},"content":[{"type":"paragraph","content":[{"type":"text","text":"1"}],"attrs":{"localId":"ca4ded9b2bd6"}}]},{"type":"tableCell","attrs":{"localId":"e4fabf62d4a8"},"content":[{"type":"paragraph","content":[{"type":"text","text":"1"}],"attrs":{"localId":"50e616a36bec"}}]}]},{"type":"tableRow","attrs":{"localId":"32169433fa9b"},"content":[{"type":"tableCell","attrs":{"localId":"02d82b0e8ad6","background":"white"},"content":[{"type":"paragraph","content":[{"type":"text","text":"LIDs Shared"}],"attrs":{"localId":"74456deaddbd"}}]},{"type":"tableCell","attrs":{"localId":"b9a010d735bd"},"content":[{"type":"paragraph","content":[{"type":"text","text":"1"}],"attrs":{"localId":"2e6c467c0069"}}]},{"type":"tableCell","attrs":{"localId":"cb3e07ee5dc8"},"content":[{"type":"paragraph","content":[{"type":"text","text":"1"}],"attrs":{"localId":"6ee17d48f943"}}]}]},{"type":"tableRow","attrs":{"localId":"9922369ba43b"},"content":[{"type":"tableCell","attrs":{"localId":"4cfd943be6f4","background":"white"},"content":[{"type":"paragraph","content":[{"type":"text","text":"LIDs Stuck in the System"}],"attrs":{"localId":"4ef706238a7e"}}]},{"type":"tableCell","attrs":{"localId":"3c9875d81065"},"content":[{"type":"paragraph","content":[{"type":"text","text":"0"}],"attrs":{"localId":"216e6d3ce546"}}]},{"type":"tableCell","attrs":{"localId":"e65981395a0c"},"content":[{"type":"paragraph","content":[{"type":"text","text":"0"}],"attrs":{"localId":"f07755cba54d"}}]}]}]}
{adf}
With this, we are closing this request from our end.
Thank you for your patience, support, and cooperation throughout the process. Your brand is important to us, and we look forward to assisting you again.</t>
  </si>
  <si>
    <t>Date : 17th Jul, 2026 This ticket has been picked for Pre-Processing and Image Analysis -Mousumi.
Date : 17th Jul, 2026 Pre-Processing Done(Band to QUery for Bracelet Size &amp; Size Chart Measurment)-Mousumi
;Date : 18th Jul, 2026 1st Followup Done-Mousumi;*Image deliver - Date :07/18/2026 &lt;Images Delivered Processed Options 86 Rejected Options 0&gt; &lt;Saswati Dey&gt;*</t>
  </si>
  <si>
    <t>Date :07/17/2026 &lt;Ticket has been successfully uploaded in our system. Option 22 Sku 22&gt; &lt;Amandeep&gt;[^UCW-34451 Post Upload.xlsx] [^ProductBulkUpload_125928_Beauty__Grooming(MPH22)_Fragrances_and_Perfumes(MPH2211)_Fragrances(MPH2211100)_Perfumes(MPH2211100104)_33887_1784269749968_20260717_120518_637_summary.csv] ;[^UCW-34451 Post Upload (d28606cb-14fc-44bd-8347-9aa1f758b868).xlsx]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06a6e276-c7b4-4323-9607-f96baa87e839"},"content":[{"type":"tableRow","attrs":{"localId":"d962e3174227"},"content":[{"type":"tableCell","attrs":{"localId":"b5f5b27c44d8","background":"#44b3e1"},"content":[{"type":"paragraph","content":[{"type":"text","text":"Ticket ID","marks":[{"type":"strong"}]}],"attrs":{"localId":"a3a73ee98f89"}}]},{"type":"tableCell","attrs":{"localId":"16bc5133adf0","colspan":2,"background":"#44b3e1"},"content":[{"type":"paragraph","content":[{"type":"text","text":"UCW-34451","marks":[{"type":"strong"}]}],"attrs":{"localId":"c45a46571fb3"}}]}]},{"type":"tableRow","attrs":{"localId":"15915fe7ee41"},"content":[{"type":"tableCell","attrs":{"localId":"ba8eae0590f9","background":"#44b3e1"},"content":[{"type":"paragraph","content":[{"type":"text","text":"Brand Name","marks":[{"type":"strong"}]}],"attrs":{"localId":"3a311775a594"}}]},{"type":"tableCell","attrs":{"localId":"000fa0f9f622","colspan":2,"background":"#44b3e1"},"content":[{"type":"paragraph","content":[{"type":"text","text":"Dolce&amp;Gabbana","marks":[{"type":"strong"}]}],"attrs":{"localId":"e8a35571cc49"}}]}]},{"type":"tableRow","attrs":{"localId":"5da4d89d4990"},"content":[{"type":"tableCell","attrs":{"localId":"0c6945f0696e","background":"#ace5fe"},"content":[{"type":"paragraph","content":[{"type":"text","text":"Platform","marks":[{"type":"strong"}]}],"attrs":{"localId":"3940fe2804ba"}}]},{"type":"tableCell","attrs":{"localId":"16db9347ce43","colspan":2,"background":"#ace5fe"},"content":[{"type":"paragraph","content":[{"type":"text","text":"Luxury","marks":[{"type":"strong"}]}],"attrs":{"localId":"ff7427b597c1"}}]}]},{"type":"tableRow","attrs":{"localId":"5a088aa41c98"},"content":[{"type":"tableCell","attrs":{"localId":"67c405fbad01","background":"#ace5fe"},"content":[{"type":"paragraph","content":[{"type":"text","text":"Particulars","marks":[{"type":"strong"}]}],"attrs":{"localId":"1571606230f6"}}]},{"type":"tableCell","attrs":{"localId":"799069d872c9","background":"#ace5fe"},"content":[{"type":"paragraph","content":[{"type":"text","text":"SKU Count","marks":[{"type":"strong"}]}],"attrs":{"localId":"4bf3f33544aa"}}]},{"type":"tableCell","attrs":{"localId":"742d8359cfb5","background":"#ace5fe"},"content":[{"type":"paragraph","content":[{"type":"text","text":"Option Count","marks":[{"type":"strong"}]}],"attrs":{"localId":"fef173ca2112"}}]}]},{"type":"tableRow","attrs":{"localId":"0680b87b6241"},"content":[{"type":"tableCell","attrs":{"localId":"60b407be2e81","background":"white"},"content":[{"type":"paragraph","content":[{"type":"text","text":"Received"}],"attrs":{"localId":"9e6f6bb1913f"}}]},{"type":"tableCell","attrs":{"localId":"4ac9f0a8748c"},"content":[{"type":"paragraph","content":[{"type":"text","text":"55"}],"attrs":{"localId":"8c1618d891c5"}}]},{"type":"tableCell","attrs":{"localId":"2567e05957f4"},"content":[{"type":"paragraph","content":[{"type":"text","text":"55"}],"attrs":{"localId":"cff599b92de0"}}]}]},{"type":"tableRow","attrs":{"localId":"ca611179a887"},"content":[{"type":"tableCell","attrs":{"localId":"379700d2f355","background":"white"},"content":[{"type":"paragraph","content":[{"type":"text","text":"Uploaded"}],"attrs":{"localId":"0ceac18f0ab5"}}]},{"type":"tableCell","attrs":{"localId":"f4a3a6ad8e9e"},"content":[{"type":"paragraph","content":[{"type":"text","text":"22"}],"attrs":{"localId":"d498637a1f79"}}]},{"type":"tableCell","attrs":{"localId":"7f4c1fdeaac6"},"content":[{"type":"paragraph","content":[{"type":"text","text":"22"}],"attrs":{"localId":"59d4abcc602d"}}]}]},{"type":"tableRow","attrs":{"localId":"f367453618ca"},"content":[{"type":"tableCell","attrs":{"localId":"da73bb4c29fa","background":"white"},"content":[{"type":"paragraph","content":[{"type":"text","text":"Already Listed"}],"attrs":{"localId":"5d62161c22b0"}}]},{"type":"tableCell","attrs":{"localId":"86c55480f46b"},"content":[{"type":"paragraph","content":[{"type":"text","text":"32"}],"attrs":{"localId":"09cf0e6b1321"}}]},{"type":"tableCell","attrs":{"localId":"33231095c945"},"content":[{"type":"paragraph","content":[{"type":"text","text":"32"}],"attrs":{"localId":"a594d9334df1"}}]}]},{"type":"tableRow","attrs":{"localId":"69456ef15ad4"},"content":[{"type":"tableCell","attrs":{"localId":"3a33f586afb5","background":"white"},"content":[{"type":"paragraph","content":[{"type":"text","text":"SKUs not Uploaded-Image Issue"}],"attrs":{"localId":"fa6bb89d901f"}}]},{"type":"tableCell","attrs":{"localId":"a0f220f5da9d"},"content":[{"type":"paragraph","content":[{"type":"text","text":"1"}],"attrs":{"localId":"7cb3422449f0"}}]},{"type":"tableCell","attrs":{"localId":"6563a27d0b85"},"content":[{"type":"paragraph","content":[{"type":"text","text":"1"}],"attrs":{"localId":"1c54f7b6848c"}}]}]},{"type":"tableRow","attrs":{"localId":"b2946bb7d3e5"},"content":[{"type":"tableCell","attrs":{"localId":"5caeb6744292","background":"white"},"content":[{"type":"paragraph","content":[{"type":"text","text":"LIDs Shared"}],"attrs":{"localId":"97435dd1bc2b"}}]},{"type":"tableCell","attrs":{"localId":"47b60d12dfe0"},"content":[{"type":"paragraph","content":[{"type":"text","text":"22"}],"attrs":{"localId":"f9d9dbb21043"}}]},{"type":"tableCell","attrs":{"localId":"b9ea53cf1757"},"content":[{"type":"paragraph","content":[{"type":"text","text":"22"}],"attrs":{"localId":"66b742707f46"}}]}]},{"type":"tableRow","attrs":{"localId":"ebda4ed27f8d"},"content":[{"type":"tableCell","attrs":{"localId":"a48345b48a40","background":"white"},"content":[{"type":"paragraph","content":[{"type":"text","text":"LIDs Stuck in the System"}],"attrs":{"localId":"4a3b7d7a5e4f"}}]},{"type":"tableCell","attrs":{"localId":"0b172c66ab04"},"content":[{"type":"paragraph","content":[{"type":"text","text":"0"}],"attrs":{"localId":"9199c619ec86"}}]},{"type":"tableCell","attrs":{"localId":"f648be77d4cb"},"content":[{"type":"paragraph","content":[{"type":"text","text":"0"}],"attrs":{"localId":"598cc74b0afd"}}]}]}]}
{adf}
With this, we are closing this request from our end.
Thank you for your patience, support, and cooperation throughout the process. Your brand is important to us, and we look forward to assisting you again.</t>
  </si>
  <si>
    <t>PNG Jewellers</t>
  </si>
  <si>
    <t>Date : 17th Jul, 2026 This ticket has been picked for Pre-Processing and Image Analysis -Mousumi. 
Date : 17th Jul, 2026 Pre_processing Done (Brand To Query for warranty Time)-Mousumi
Date : 17th Jul, 2026 Resolution has been received from the brand- Mousumi.
Date : 17th Jul, 2026 Production DOne -Mousumi
Date : 17th Jul, 2026 Description DOne -Khushnuma
Date : 17th Jul, 2026 Images Pending Saswati
Date : 17th Jul, 2026 QC &amp; Uploaded WIP-Mousumi;*Image deliver - Date :07/18/2026 &lt;Images Delivered Processed Options 90 Rejected Options 0&gt; &lt;Saswati Dey&gt;*</t>
  </si>
  <si>
    <t xml:space="preserve">Date :07/16/2026 &lt;Ticket picked for pre processing Option: 154 SKU: 261&gt; &lt;Sanjana Ghosh&gt;;*Image deliver - Date :07/17/2026 &lt;Images Delivered Processed Options 154 Rejected Options 0&gt; &lt;Saswati Dey&gt;*;Date :07/18/2026 &lt;Size Chart Code Creation&gt; &lt;Anwesha Mondal&gt;
[^UCW-34441 Libas.csv]
</t>
  </si>
  <si>
    <t xml:space="preserve">Date :07/16/2026 &lt;Ticket picked for pre processing Option: 125 SKU: 241&gt; &lt;Sanjana Ghosh&gt;;Date :07/17/2026 &lt;Size Chart Code Creation&gt; &lt;Anwesha Mondal&gt;
[^UCW-34433 Libas.csv]
</t>
  </si>
  <si>
    <t>Span</t>
  </si>
  <si>
    <t xml:space="preserve">Date :07/16/2026 &lt;Ticket picked for pre processing Option: 31 SKU: 166&gt; &lt;Sanjana Ghosh&gt;;Date :07/16/2026 &lt;Size Chart Code Creation&gt; &lt;Anwesha Mondal&gt;
[^UCW-34430 SPAN.csv]
;Done 
!image-20260717-124654.png|width=535,alt="image-20260717-124654.png"!;Date :07/D17/2026  &lt;Pre Processing query to Brand &lt;Mandatory image missing&gt;&gt; &lt;Anwesha Mondal&gt; </t>
  </si>
  <si>
    <t>Pelle Albero</t>
  </si>
  <si>
    <t>Date :07/16/2026 &lt;Query to Brand &lt;Platform Confirmation&gt;&gt; &lt;Ankita&gt;;Date :07/16/2026 &lt;Ticket picked for pre processing Option 25 Sku 142&gt; &lt;Ankita&gt;;Date :07/17/2026&lt;Ticket picked for Production and QC review Option 25 Sku 142&gt; &lt;Ishani&gt;;We have an existing size chart code for Men's Footwear. However, we observed that the grid values do not match the current sheet provided by the brand. *Therefore, the existing code needs to be deleted before we recreate it using the same code with the updated grid values*
 *Deletion = PELLEALBERO_MEN_FOOTWEAR_NS.*
For Women's Footwear, an existing size chart code is also available. However, the grid values do not match the brand-provided sheet, and the code was created by another agency. *Therefore, we have created a new size chart code for Women's Footwear using the current data provided by the brand.*
Please find the attached CSV file for your reference 
*Creation = PELLEALBERO_MEN_FOOTWEAR_NS*
*Creation = PELLEALBERO_WOMEN_FOOTWEAR_NS*
[^PELLE ALBERO Size Chart.csv]
;Date :07/17/2026 &lt;Pre Processing query to Brand &lt;Upper Material&gt;&gt; &lt;Ishani&gt;</t>
  </si>
  <si>
    <t>Date : 16th Jul, 2026 This ticket has been picked for Pre-Processing and Image Analysis -Mousumi. ;Date : 16th Jul, 2026 Pre-Processing Done( Brand to Query for Weight, Ring Size, Bracelet Size,Chain Length)-Mousumi;Date : 17th Jul, 2026 1st follow up Done -Mousumi.
Date : 17th Jul, 2026 Resolution has been received from the brand- Mousumi.
Date : 17th Jul, 2026  Production Done -Mousumi
Date : 17th Jul, 2026 description DOne -Khusnuma
Date : 17th Jul, 2026 Images Pendong -Saswati
Date : 17th Jul, 2026 QC &amp; Uploaded WIP -Mousumi;Date : 18th Jul, 2026 Images Done -Saswati
Date : 18th Jul, 2026  QC &amp; Uploaded Done-Mousumi.
PFA the Summary &amp; Post-Uploaded Uploaded Sheet[^UCW-34414 Post Upload Status_V.2 (1).xlsx] [^Summary.zip] ;[^UCW-34414.xlsx]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2acdfc7-ce7e-477c-957c-c0f0f2bde9fc"},"content":[{"type":"tableRow","attrs":{"localId":"59c595cbae75"},"content":[{"type":"tableCell","attrs":{"localId":"e7ab5807786d","background":"#44b3e1"},"content":[{"type":"paragraph","content":[{"type":"text","text":"Ticket ID","marks":[{"type":"strong"}]}],"attrs":{"localId":"ea781ce1a4ff"}}]},{"type":"tableCell","attrs":{"localId":"325a1cb6a623","colspan":2,"background":"#44b3e1"},"content":[{"type":"paragraph","content":[{"type":"text","text":"UCW-34414","marks":[{"type":"strong"}]}],"attrs":{"localId":"ce33afaaa9e6"}}]}]},{"type":"tableRow","attrs":{"localId":"8dab349fb465"},"content":[{"type":"tableCell","attrs":{"localId":"d2e976457f78","background":"#44b3e1"},"content":[{"type":"paragraph","content":[{"type":"text","text":"Brand Name","marks":[{"type":"strong"}]}],"attrs":{"localId":"9006f4968def"}}]},{"type":"tableCell","attrs":{"localId":"6e430eb67f73","colspan":2,"background":"#44b3e1"},"content":[{"type":"paragraph","content":[{"type":"text","text":"Shaya","marks":[{"type":"strong"}]}],"attrs":{"localId":"3e7cd0e4488f"}}]}]},{"type":"tableRow","attrs":{"localId":"239065dd00e2"},"content":[{"type":"tableCell","attrs":{"localId":"113c965384fa","background":"#ace5fe"},"content":[{"type":"paragraph","content":[{"type":"text","text":"Platform","marks":[{"type":"strong"}]}],"attrs":{"localId":"805fa66bb8fa"}}]},{"type":"tableCell","attrs":{"localId":"f01110f812cd","colspan":2,"background":"#ace5fe"},"content":[{"type":"paragraph","content":[{"type":"text","text":"Mall","marks":[{"type":"strong"}]}],"attrs":{"localId":"b0a9ba929cc3"}}]}]},{"type":"tableRow","attrs":{"localId":"120ccfa14851"},"content":[{"type":"tableCell","attrs":{"localId":"47ae80e1efab","background":"#ace5fe"},"content":[{"type":"paragraph","content":[{"type":"text","text":"Particulars","marks":[{"type":"strong"}]}],"attrs":{"localId":"c6908294e7ea"}}]},{"type":"tableCell","attrs":{"localId":"0c5e437c078e","background":"#ace5fe"},"content":[{"type":"paragraph","content":[{"type":"text","text":"SKU Count","marks":[{"type":"strong"}]}],"attrs":{"localId":"2ce1cc106f0c"}}]},{"type":"tableCell","attrs":{"localId":"a1c5a83c0a8a","background":"#ace5fe"},"content":[{"type":"paragraph","content":[{"type":"text","text":"Option Count","marks":[{"type":"strong"}]}],"attrs":{"localId":"30ecfa3a9284"}}]}]},{"type":"tableRow","attrs":{"localId":"f80d21e9bac8"},"content":[{"type":"tableCell","attrs":{"localId":"fba8749b01e8","background":"white"},"content":[{"type":"paragraph","content":[{"type":"text","text":"Received"}],"attrs":{"localId":"293d155135d5"}}]},{"type":"tableCell","attrs":{"localId":"3e32b65c0109"},"content":[{"type":"paragraph","content":[{"type":"text","text":"172"}],"attrs":{"localId":"5200c9085806"}}]},{"type":"tableCell","attrs":{"localId":"fe4473e4b444"},"content":[{"type":"paragraph","content":[{"type":"text","text":"172"}],"attrs":{"localId":"bf8a5b13e3a2"}}]}]},{"type":"tableRow","attrs":{"localId":"bb916a0ffc54"},"content":[{"type":"tableCell","attrs":{"localId":"a2800f1c3ac9","background":"white"},"content":[{"type":"paragraph","content":[{"type":"text","text":"Uploaded"}],"attrs":{"localId":"f2308d9cded1"}}]},{"type":"tableCell","attrs":{"localId":"40aa6303b900"},"content":[{"type":"paragraph","content":[{"type":"text","text":"162"}],"attrs":{"localId":"6e7db203c250"}}]},{"type":"tableCell","attrs":{"localId":"f9fec5b8a850"},"content":[{"type":"paragraph","content":[{"type":"text","text":"162"}],"attrs":{"localId":"c17c3fa9e64b"}}]}]},{"type":"tableRow","attrs":{"localId":"a99f1fb18ac5"},"content":[{"type":"tableCell","attrs":{"localId":"6c0df2e9254f","background":"white"},"content":[{"type":"paragraph","content":[{"type":"text","text":"Not Uploaded- Image Unavailable/ Chain Length not provided"}],"attrs":{"localId":"23a99b27bdda"}}]},{"type":"tableCell","attrs":{"localId":"b5ec31c7aec6"},"content":[{"type":"paragraph","content":[{"type":"text","text":"10"}],"attrs":{"localId":"50a4f8147c27"}}]},{"type":"tableCell","attrs":{"localId":"2290dd6f7dfa"},"content":[{"type":"paragraph","content":[{"type":"text","text":"10"}],"attrs":{"localId":"484d11b1695a"}}]}]},{"type":"tableRow","attrs":{"localId":"b89dac5e3504"},"content":[{"type":"tableCell","attrs":{"localId":"2d3f539ecb5c","background":"white"},"content":[{"type":"paragraph","content":[{"type":"text","text":"LIDs Shared"}],"attrs":{"localId":"c3d620c0c4f8"}}]},{"type":"tableCell","attrs":{"localId":"57495e56448b"},"content":[{"type":"paragraph","content":[{"type":"text","text":"162"}],"attrs":{"localId":"64b2eb53fcd4"}}]},{"type":"tableCell","attrs":{"localId":"ba84fc938151"},"content":[{"type":"paragraph","content":[{"type":"text","text":"162"}],"attrs":{"localId":"6f68d6335f12"}}]}]},{"type":"tableRow","attrs":{"localId":"f938c9aa18fd"},"content":[{"type":"tableCell","attrs":{"localId":"3f78bb4ec0ce","background":"white"},"content":[{"type":"paragraph","content":[{"type":"text","text":"LIDs Stuck in the System"}],"attrs":{"localId":"0aba88b9af55"}}]},{"type":"tableCell","attrs":{"localId":"f18976fdb6ad"},"content":[{"type":"paragraph","content":[{"type":"text","text":"0"}],"attrs":{"localId":"a36139a20c39"}}]},{"type":"tableCell","attrs":{"localId":"c7f04ece8353"},"content":[{"type":"paragraph","content":[{"type":"text","text":"0"}],"attrs":{"localId":"aacadfc66bcf"}}]}]}]}
{adf}
*Note: 10 SKUs could not be uploaded because the required product images were not received. Additionally, Chain Length is a mandatory attribute for the upload process, but the brand has not provided the Chain Length details for these SKUs*
With this, we are closing this request from our end.
Thank you for your patience, support, and cooperation throughout the process. Your brand is important to us, and we look forward to assisting you again.</t>
  </si>
  <si>
    <t xml:space="preserve">Date :07/16/2026 &lt;Ticket picked for pre processing Option 343 Sku 2749&gt; &lt;Amandeep&gt;;PFA,
Size code updated needed.[^Adidas Kids.xlsx] ;Hi [~accountid:633219bcfedc6169aed70039] 
Size Chart Uploaded, kindly proceed with upload.
!image-20260716-150826.png|width=680,alt="image-20260716-150826.png"!;Date :07/16/2026 &lt;Ticket picked for Production and QC review Option 343 Sku 2749&gt; &lt;Ankita &amp; Ishani&gt;;Date :07/17/2026 &lt;Ticket has been successfully uploaded in our system. Option 2749 Sku 343
Please note that the cut size addition for some styles is currently pending because the data extraction is returning the *brand code* instead of the *brand name*. We have raised an *L1 ticket* for this issue. Once it is resolved, we will proceed with uploading the pending cut size additions.
*L1 Ticket* *-* [https://tatacliqhelpdesk.freshservice.com/support/tickets/223165|https://tatacliqhelpdesk.freshservice.com/support/tickets/223165]&gt; &lt;Ankita &amp; Ishani&gt;[^Summary.zip] [^Post Upload Status_V.2 (1).xlsx] ;{adf:display=block}
{"type":"table","attrs":{"isNumberColumnEnabled":false,"layout":"center","localId":"8a3be810-29a7-41b4-9247-54af9203749f"},"content":[{"type":"tableRow","attrs":{"localId":"d8fc6246137e"},"content":[{"type":"tableCell","attrs":{"localId":"9affac7249c2","background":"#44b3e1"},"content":[{"type":"paragraph","content":[{"type":"text","text":"Ticket ID","marks":[{"type":"strong"}]}],"attrs":{"localId":"896695688010"}}]},{"type":"tableCell","attrs":{"localId":"020bbca70232","colspan":4,"background":"#44b3e1"},"content":[{"type":"paragraph","content":[{"type":"text","text":"UCW-34413","marks":[{"type":"strong"}]}],"attrs":{"localId":"cfa6d377857a"}}]}]},{"type":"tableRow","attrs":{"localId":"7af5221fb6a8"},"content":[{"type":"tableCell","attrs":{"localId":"2e1ba48153a7","background":"#44b3e1"},"content":[{"type":"paragraph","content":[{"type":"text","text":"Brand Name","marks":[{"type":"strong"}]}],"attrs":{"localId":"c6a84cc4fcf2"}}]},{"type":"tableCell","attrs":{"localId":"b4ec0caa8bc5","colspan":4,"background":"#44b3e1"},"content":[{"type":"paragraph","content":[{"type":"text","text":"Adidas","marks":[{"type":"strong"}]}],"attrs":{"localId":"56e058ae285a"}}]}]},{"type":"tableRow","attrs":{"localId":"fb1daf838058"},"content":[{"type":"tableCell","attrs":{"localId":"159b8de01b85","background":"#44b3e1"},"content":[{"type":"paragraph","content":[{"type":"text","text":"Platform","marks":[{"type":"strong"}]}],"attrs":{"localId":"c58a979ac5a7"}}]},{"type":"tableCell","attrs":{"localId":"044d2d969f25","colspan":2,"background":"#44b3e1"},"content":[{"type":"paragraph","content":[{"type":"text","text":"Luxury","marks":[{"type":"strong"}]}],"attrs":{"localId":"2ece70848515"}}]},{"type":"tableCell","attrs":{"localId":"aaf26a1ae9a5","colspan":2,"background":"#44b3e1"},"content":[{"type":"paragraph","content":[{"type":"text","text":"Mall","marks":[{"type":"strong"}]}],"attrs":{"localId":"5c7dd5066ded"}}]}]},{"type":"tableRow","attrs":{"localId":"442c24b00460"},"content":[{"type":"tableCell","attrs":{"localId":"0535130e98c0","background":"#ace5fe"},"content":[{"type":"paragraph","content":[{"type":"text","text":"Particulars","marks":[{"type":"strong"}]}],"attrs":{"localId":"2338eb6c8ae4"}}]},{"type":"tableCell","attrs":{"localId":"6ca039ab2a49","background":"#ace5fe"},"content":[{"type":"paragraph","content":[{"type":"text","text":"SKU Count","marks":[{"type":"strong"}]}],"attrs":{"localId":"736229219ba3"}}]},{"type":"tableCell","attrs":{"localId":"ef7086cd28ff","background":"#ace5fe"},"content":[{"type":"paragraph","content":[{"type":"text","text":"Option Count","marks":[{"type":"strong"}]}],"attrs":{"localId":"eb63eac567ff"}}]},{"type":"tableCell","attrs":{"localId":"dd4049e35e3a","background":"#ace5fe"},"content":[{"type":"paragraph","content":[{"type":"text","text":"SKU Count","marks":[{"type":"strong"}]}],"attrs":{"localId":"da6d24cdc7eb"}}]},{"type":"tableCell","attrs":{"localId":"5857bb6f363a","background":"#ace5fe"},"content":[{"type":"paragraph","content":[{"type":"text","text":"Option Count","marks":[{"type":"strong"}]}],"attrs":{"localId":"63e5eb1fb4c3"}}]}]},{"type":"tableRow","attrs":{"localId":"99e5fff36ad9"},"content":[{"type":"tableCell","attrs":{"localId":"9efd2a108374","background":"white"},"content":[{"type":"paragraph","content":[{"type":"text","text":"Received"}],"attrs":{"localId":"22b2d507ce28"}}]},{"type":"tableCell","attrs":{"localId":"c658bfaee215","background":"white"},"content":[{"type":"paragraph","content":[{"type":"text","text":"1930"}],"attrs":{"localId":"cdf443f4ce33"}}]},{"type":"tableCell","attrs":{"localId":"b32cfa70f87e","background":"white"},"content":[{"type":"paragraph","content":[{"type":"text","text":"235"}],"attrs":{"localId":"d0b5715e146e"}}]},{"type":"tableCell","attrs":{"localId":"59148d4c48ae","background":"white"},"content":[{"type":"paragraph","content":[{"type":"text","text":"2749"}],"attrs":{"localId":"7bd5bb3a8d93"}}]},{"type":"tableCell","attrs":{"localId":"dd909a58236b","background":"white"},"content":[{"type":"paragraph","content":[{"type":"text","text":"343"}],"attrs":{"localId":"dea77325fa76"}}]}]},{"type":"tableRow","attrs":{"localId":"79372a75b998"},"content":[{"type":"tableCell","attrs":{"localId":"0b5025bfcdeb","background":"white"},"content":[{"type":"paragraph","content":[{"type":"text","text":"Uploaded"}],"attrs":{"localId":"1d8f6862ddfa"}}]},{"type":"tableCell","attrs":{"localId":"fc1ab6cf4835","background":"white"},"content":[{"type":"paragraph","content":[{"type":"text","text":"1923"}],"attrs":{"localId":"38f48932d8d4"}}]},{"type":"tableCell","attrs":{"localId":"d3a9cca4c0e7","background":"white"},"content":[{"type":"paragraph","content":[{"type":"text","text":"234"}],"attrs":{"localId":"5909e1b1d14c"}}]},{"type":"tableCell","attrs":{"localId":"e55a60155a04","background":"white"},"content":[{"type":"paragraph","content":[{"type":"text","text":"2685"}],"attrs":{"localId":"762aeae2693f"}}]},{"type":"tableCell","attrs":{"localId":"7b093529d119","background":"white"},"content":[{"type":"paragraph","content":[{"type":"text","text":"337"}],"attrs":{"localId":"4cc97ddd8a83"}}]}]},{"type":"tableRow","attrs":{"localId":"376c7a848b6b"},"content":[{"type":"tableCell","attrs":{"localId":"9e84f8cc6ffb","background":"white"},"content":[{"type":"paragraph","content":[{"type":"text","text":"Already Listed"}],"attrs":{"localId":"8a00609a03ab"}}]},{"type":"tableCell","attrs":{"localId":"b16da7683e27","background":"white"},"content":[{"type":"paragraph","content":[{"type":"text","text":"7"}],"attrs":{"localId":"0fbed44dbd71"}}]},{"type":"tableCell","attrs":{"localId":"9a975015481d","background":"white"},"content":[{"type":"paragraph","content":[{"type":"text","text":"1"}],"attrs":{"localId":"b3145c42cb1f"}}]},{"type":"tableCell","attrs":{"localId":"1a6fc42ad92e","background":"white"},"content":[{"type":"paragraph","content":[{"type":"text","text":"62"}],"attrs":{"localId":"cc12a5792abb"}}]},{"type":"tableCell","attrs":{"localId":"a0afe17aaa8e","background":"white"},"content":[{"type":"paragraph","content":[{"type":"text","text":"6"}],"attrs":{"localId":"d798fc8e416a"}}]}]},{"type":"tableRow","attrs":{"localId":"598e0c2ba13e"},"content":[{"type":"tableCell","attrs":{"localId":"5416f2eae021","background":"white"},"content":[{"type":"paragraph","content":[{"type":"text","text":"LIDs Shared"}],"attrs":{"localId":"5ef9026d1656"}}]},{"type":"tableCell","attrs":{"localId":"e6d245c8f82f","background":"white"},"content":[{"type":"paragraph","content":[{"type":"text","text":"1923"}],"attrs":{"localId":"28b755555d66"}}]},{"type":"tableCell","attrs":{"localId":"55690436112e","background":"white"},"content":[{"type":"paragraph","content":[{"type":"text","text":"234"}],"attrs":{"localId":"82f080f2d336"}}]},{"type":"tableCell","attrs":{"localId":"ab56a37bd2ab","background":"white"},"content":[{"type":"paragraph","content":[{"type":"text","text":"2685"}],"attrs":{"localId":"6d782316eaba"}}]},{"type":"tableCell","attrs":{"localId":"757b238a61b4","background":"white"},"content":[{"type":"paragraph","content":[{"type":"text","text":"337"}],"attrs":{"localId":"22e4d5c3a80a"}}]}]},{"type":"tableRow","attrs":{"localId":"e38b7c0105e4"},"content":[{"type":"tableCell","attrs":{"localId":"7858262f1adc","background":"white"},"content":[{"type":"paragraph","content":[{"type":"text","text":"LIDs Stuck in the System"}],"attrs":{"localId":"d4783c3da701"}}]},{"type":"tableCell","attrs":{"localId":"549b6c83a6a2"},"content":[{"type":"paragraph","content":[{"type":"text","text":"0"}],"attrs":{"localId":"e9e558f23f59"}}]},{"type":"tableCell","attrs":{"localId":"ccbdecc3f6b0","background":"white"},"content":[{"type":"paragraph","content":[{"type":"text","text":"0"}],"attrs":{"localId":"75e2dd8693fb"}}]},{"type":"tableCell","attrs":{"localId":"e0ebcbafffb6"},"content":[{"type":"paragraph","content":[{"type":"text","text":"0"}],"attrs":{"localId":"67ece8a71195"}}]},{"type":"tableCell","attrs":{"localId":"79a32d434848","background":"white"},"content":[{"type":"paragraph","content":[{"type":"text","text":"0"}],"attrs":{"localId":"8a1c8e1d5350"}}]}]},{"type":"tableRow","attrs":{"localId":"357713670d52"},"content":[{"type":"tableCell","attrs":{"localId":"25b0cb86b34f","background":"white"},"content":[{"type":"paragraph","content":[{"type":"text","text":"Cut Size Addition Pending"}],"attrs":{"localId":"c4767a016548"}}]},{"type":"tableCell","attrs":{"localId":"b65b47c2d221"},"content":[{"type":"paragraph","content":[{"type":"text","text":"0"}],"attrs":{"localId":"1e2e2bb69989"}}]},{"type":"tableCell","attrs":{"localId":"b34ec08f91ef","background":"white"},"content":[{"type":"paragraph","content":[{"type":"text","text":"0"}],"attrs":{"localId":"90215a50a0dc"}}]},{"type":"tableCell","attrs":{"localId":"516c7337cc23"},"content":[{"type":"paragraph","content":[{"type":"text","text":"2"}],"attrs":{"localId":"6193e9188673"}}]},{"type":"tableCell","attrs":{"localId":"1353c97de9f3","background":"white"},"content":[{"type":"paragraph","content":[{"type":"text","text":"0"}],"attrs":{"localId":"655130b33844"}}]}]}]}
{adf}
[^UCW-34413 Post Upload.xlsx]
</t>
  </si>
  <si>
    <t>Aapno Rajasthan</t>
  </si>
  <si>
    <t>Date : 16th Jul, 2026 This ticket has been picked for Pre-Processing and Image Analysis -Mousumi.
Date : 16th Jul, 2026 Pre-Processing Done ( Brand to Query for Gender)
Date : 16th Jul, 2026 Resolution has been received from the brand- Mousumi.
Date : 16th Jul, 2026 Production Done-Mousumi
Date : 16th Jul, 2026 Decription Done-Khusnuma
Date : 16th Jul, 2026 Images Pending -Moumita
Date : 17th Jul, 2026 QC &amp; Uploaded WIP-Mousumi;Date : 17th Jul, 2026 Images Done -Moumita
Date : 17th Jul, 2026 QC &amp; Uploaded Done-Mousumi
PFA the SUmmary  &amp; Post-Uploaded Sheet[^UCW-34412 Post Upload Status_V.2 (1).xlsx] [^Summary.zip] ;[^UCW-34412.xlsx]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27b15683-3800-430a-8354-f3f8d4a904a0"},"content":[{"type":"tableRow","attrs":{"localId":"afa27bef5934"},"content":[{"type":"tableCell","attrs":{"localId":"b963180cfd93","background":"#44b3e1"},"content":[{"type":"paragraph","content":[{"type":"text","text":"Ticket ID","marks":[{"type":"strong"}]}],"attrs":{"localId":"839bae34a31b"}}]},{"type":"tableCell","attrs":{"localId":"e77a92778a7a","colspan":2,"background":"#44b3e1"},"content":[{"type":"paragraph","content":[{"type":"text","text":"UCW-34412","marks":[{"type":"strong"}]}],"attrs":{"localId":"59228437b758"}}]}]},{"type":"tableRow","attrs":{"localId":"64d61010b987"},"content":[{"type":"tableCell","attrs":{"localId":"67bc9519c4f1","background":"#44b3e1"},"content":[{"type":"paragraph","content":[{"type":"text","text":"Brand Name","marks":[{"type":"strong"}]}],"attrs":{"localId":"7c1a7809cb32"}}]},{"type":"tableCell","attrs":{"localId":"b06eff282d19","colspan":2,"background":"#44b3e1"},"content":[{"type":"paragraph","content":[{"type":"text","text":"AAPNO RAJASTHAN","marks":[{"type":"strong"}]}],"attrs":{"localId":"689345113208"}}]}]},{"type":"tableRow","attrs":{"localId":"da124f82206b"},"content":[{"type":"tableCell","attrs":{"localId":"2e1e9d69249e","background":"#ace5fe"},"content":[{"type":"paragraph","content":[{"type":"text","text":"Platform","marks":[{"type":"strong"}]}],"attrs":{"localId":"a6e5935e7fbb"}}]},{"type":"tableCell","attrs":{"localId":"287a62d9f85c","colspan":2,"background":"#ace5fe"},"content":[{"type":"paragraph","content":[{"type":"text","text":"Mall","marks":[{"type":"strong"}]}],"attrs":{"localId":"bff4ea36eb0b"}}]}]},{"type":"tableRow","attrs":{"localId":"b5d140fbbaf7"},"content":[{"type":"tableCell","attrs":{"localId":"069f0c503881","background":"#ace5fe"},"content":[{"type":"paragraph","content":[{"type":"text","text":"Particulars","marks":[{"type":"strong"}]}],"attrs":{"localId":"888c88674291"}}]},{"type":"tableCell","attrs":{"localId":"e5a7e4ba17a8","background":"#ace5fe"},"content":[{"type":"paragraph","content":[{"type":"text","text":"SKU Count","marks":[{"type":"strong"}]}],"attrs":{"localId":"861f8e81869c"}}]},{"type":"tableCell","attrs":{"localId":"0594cec1320a","background":"#ace5fe"},"content":[{"type":"paragraph","content":[{"type":"text","text":"Option Count","marks":[{"type":"strong"}]}],"attrs":{"localId":"c0c0435c3028"}}]}]},{"type":"tableRow","attrs":{"localId":"5b647daafa41"},"content":[{"type":"tableCell","attrs":{"localId":"414418238ee8","background":"white"},"content":[{"type":"paragraph","content":[{"type":"text","text":"Received"}],"attrs":{"localId":"1aa5f598626f"}}]},{"type":"tableCell","attrs":{"localId":"2a091821c90f"},"content":[{"type":"paragraph","content":[{"type":"text","text":"128"}],"attrs":{"localId":"d4761b97d4de"}}]},{"type":"tableCell","attrs":{"localId":"c841a95fe34e"},"content":[{"type":"paragraph","content":[{"type":"text","text":"128"}],"attrs":{"localId":"6ee57fe8afe6"}}]}]},{"type":"tableRow","attrs":{"localId":"c4be0d42867c"},"content":[{"type":"tableCell","attrs":{"localId":"5d6dd0aa3743","background":"white"},"content":[{"type":"paragraph","content":[{"type":"text","text":"Uploaded"}],"attrs":{"localId":"9b32eb309cad"}}]},{"type":"tableCell","attrs":{"localId":"193542427a14"},"content":[{"type":"paragraph","content":[{"type":"text","text":"128"}],"attrs":{"localId":"cdcea7a2e8e3"}}]},{"type":"tableCell","attrs":{"localId":"4c741ff68b2a"},"content":[{"type":"paragraph","content":[{"type":"text","text":"128"}],"attrs":{"localId":"61290c637832"}}]}]},{"type":"tableRow","attrs":{"localId":"0f0b6c21396e"},"content":[{"type":"tableCell","attrs":{"localId":"be395b66fa72","background":"white"},"content":[{"type":"paragraph","content":[{"type":"text","text":"LIDs Shared"}],"attrs":{"localId":"fd0cf0d0c82b"}}]},{"type":"tableCell","attrs":{"localId":"c0fe9daf25ac"},"content":[{"type":"paragraph","content":[{"type":"text","text":"128"}],"attrs":{"localId":"dc11e02771c6"}}]},{"type":"tableCell","attrs":{"localId":"8e2f6b2c9fe6"},"content":[{"type":"paragraph","content":[{"type":"text","text":"128"}],"attrs":{"localId":"361803ac7d4b"}}]}]},{"type":"tableRow","attrs":{"localId":"5e5306e81bf2"},"content":[{"type":"tableCell","attrs":{"localId":"ef3f0bd4f1f8","background":"white"},"content":[{"type":"paragraph","content":[{"type":"text","text":"LIDs Stuck in the System"}],"attrs":{"localId":"ec4025f96603"}}]},{"type":"tableCell","attrs":{"localId":"48edb0423375"},"content":[{"type":"paragraph","content":[{"type":"text","text":"0"}],"attrs":{"localId":"4bdbc8cabb18"}}]},{"type":"tableCell","attrs":{"localId":"dd9a5f1da622"},"content":[{"type":"paragraph","content":[{"type":"text","text":"0"}],"attrs":{"localId":"83dc283d606b"}}]}]}]}
{adf}
With this, we are closing this request from our end.
Thank you for your patience, support, and cooperation throughout the process. Your brand is important to us, and we look forward to assisting you again.</t>
  </si>
  <si>
    <t xml:space="preserve">Voylla </t>
  </si>
  <si>
    <t>Date : 16th Jul, 2026 This ticket has been picked for Pre-Processing and Image Analysis -Mousumi.
Date : 16th Jul, 2026  Pre-Processing Done( Brand to Query for Warranty Type &amp; Time)-Mousumi
Date : 16th Jul, 2026 Resolution has been received from the brand- Mousumi.
Date : 16th Jul, 2026 Production Done-Mousumi
Date : 16th Jul, 2026 Decription Done-Khusnuma
Date : 16th Jul, 2026 Images Pending -Moumita
Date : 17th Jul, 2026 QC &amp; Uploaded WIP-Mousumi;Date : 17th Jul, 2026 Images Done -Moumita
Date : 17th Jul, 2026 QC &amp; Uploaded  Done-Mousumi
PFA the SUmmary &amp; Post-Uploaded Sheet[^UCW-34409 Post Upload Status_V.2 (1).xlsx] [^SUmmary.zip] ;[^UCW-34409.xlsx]
We are pleased to inform you that the SKUs are in the Commission stage.
Please find the attached file for your reference, along with the summary table below. As the commission is not approved yet.
{adf:display=block}
{"type":"table","attrs":{"isNumberColumnEnabled":false,"layout":"center","localId":"c5949a51-b977-40a2-b4e1-e8dd20a1fc4e"},"content":[{"type":"tableRow","attrs":{"localId":"bd48af0f9d13"},"content":[{"type":"tableCell","attrs":{"localId":"6bee45c8c06c","background":"#44b3e1"},"content":[{"type":"paragraph","content":[{"type":"text","text":"Ticket ID","marks":[{"type":"strong"}]}],"attrs":{"localId":"d4376754f809"}}]},{"type":"tableCell","attrs":{"localId":"cf18dfbce0a1","colspan":2,"background":"#44b3e1"},"content":[{"type":"paragraph","content":[{"type":"text","text":"UCW-34409","marks":[{"type":"strong"}]}],"attrs":{"localId":"ca3772b9d6b6"}}]}]},{"type":"tableRow","attrs":{"localId":"64dfa8cc3344"},"content":[{"type":"tableCell","attrs":{"localId":"e872c2fd982f","background":"#44b3e1"},"content":[{"type":"paragraph","content":[{"type":"text","text":"Brand Name","marks":[{"type":"strong"}]}],"attrs":{"localId":"99973f79919a"}}]},{"type":"tableCell","attrs":{"localId":"3755cf7c9dda","colspan":2,"background":"#44b3e1"},"content":[{"type":"paragraph","content":[{"type":"text","text":"Voylla ","marks":[{"type":"strong"}]}],"attrs":{"localId":"7f71b388736c"}}]}]},{"type":"tableRow","attrs":{"localId":"897e29ad0f5c"},"content":[{"type":"tableCell","attrs":{"localId":"16753d1041b3","background":"#ace5fe"},"content":[{"type":"paragraph","content":[{"type":"text","text":"Platform","marks":[{"type":"strong"}]}],"attrs":{"localId":"bbad83cd4ccf"}}]},{"type":"tableCell","attrs":{"localId":"f391ca54631a","colspan":2,"background":"#ace5fe"},"content":[{"type":"paragraph","content":[{"type":"text","text":"Mall","marks":[{"type":"strong"}]}],"attrs":{"localId":"28b01d01cc12"}}]}]},{"type":"tableRow","attrs":{"localId":"65991b1ee23d"},"content":[{"type":"tableCell","attrs":{"localId":"a044f6965e85","background":"#ace5fe"},"content":[{"type":"paragraph","content":[{"type":"text","text":"Particulars","marks":[{"type":"strong"}]}],"attrs":{"localId":"aa0521443526"}}]},{"type":"tableCell","attrs":{"localId":"120adfc94f43","background":"#ace5fe"},"content":[{"type":"paragraph","content":[{"type":"text","text":"SKU Count","marks":[{"type":"strong"}]}],"attrs":{"localId":"2dfad689c2e1"}}]},{"type":"tableCell","attrs":{"localId":"e253da20d747","background":"#ace5fe"},"content":[{"type":"paragraph","content":[{"type":"text","text":"Option Count","marks":[{"type":"strong"}]}],"attrs":{"localId":"0a4cee1c1462"}}]}]},{"type":"tableRow","attrs":{"localId":"283b8e3ffb13"},"content":[{"type":"tableCell","attrs":{"localId":"23cdc80f8f19","background":"white"},"content":[{"type":"paragraph","content":[{"type":"text","text":"Received"}],"attrs":{"localId":"b409d9a1a609"}}]},{"type":"tableCell","attrs":{"localId":"8afb179b157e"},"content":[{"type":"paragraph","content":[{"type":"text","text":"32"}],"attrs":{"localId":"448153f0aba9"}}]},{"type":"tableCell","attrs":{"localId":"221752f1ec54"},"content":[{"type":"paragraph","content":[{"type":"text","text":"32"}],"attrs":{"localId":"d2ea7384b275"}}]}]},{"type":"tableRow","attrs":{"localId":"610ac4d03cc7"},"content":[{"type":"tableCell","attrs":{"localId":"33968cc952f6","background":"white"},"content":[{"type":"paragraph","content":[{"type":"text","text":"Uploaded"}],"attrs":{"localId":"d593f9b0a753"}}]},{"type":"tableCell","attrs":{"localId":"d6a7dd436e73"},"content":[{"type":"paragraph","content":[{"type":"text","text":"32"}],"attrs":{"localId":"812147aed35c"}}]},{"type":"tableCell","attrs":{"localId":"1249e1321ad3"},"content":[{"type":"paragraph","content":[{"type":"text","text":"32"}],"attrs":{"localId":"d67b2da60d36"}}]}]},{"type":"tableRow","attrs":{"localId":"31df74acfea5"},"content":[{"type":"tableCell","attrs":{"localId":"4ec3e6ae1b6d","background":"white"},"content":[{"type":"paragraph","content":[{"type":"text","text":"Pending for Commission"}],"attrs":{"localId":"efb9b47ec73b"}}]},{"type":"tableCell","attrs":{"localId":"526867e0bfe7"},"content":[{"type":"paragraph","content":[{"type":"text","text":"32"}],"attrs":{"localId":"98ba4357c434"}}]},{"type":"tableCell","attrs":{"localId":"6030f5421f5c"},"content":[{"type":"paragraph","content":[{"type":"text","text":"32"}],"attrs":{"localId":"d2e1a9361793"}}]}]},{"type":"tableRow","attrs":{"localId":"eed3af519044"},"content":[{"type":"tableCell","attrs":{"localId":"5db205536d91","background":"white"},"content":[{"type":"paragraph","content":[{"type":"text","text":"LIDs Shared"}],"attrs":{"localId":"ecb87b419bf2"}}]},{"type":"tableCell","attrs":{"localId":"3adfd77efce2"},"content":[{"type":"paragraph","content":[{"type":"text","text":"0"}],"attrs":{"localId":"a22fc9fa6901"}}]},{"type":"tableCell","attrs":{"localId":"664a5e9441d3"},"content":[{"type":"paragraph","content":[{"type":"text","text":"0"}],"attrs":{"localId":"1913eca4e3c2"}}]}]}]}
{adf}
With this, we are closing this request from our end.
Thank you for your patience, support, and cooperation throughout the process. Your brand is important to us, and we look forward to assisting you again.</t>
  </si>
  <si>
    <t>Requill</t>
  </si>
  <si>
    <t>|Date :07/15/2026 &lt;Ticket picked for pre processing SKU 4&gt; &lt;Tania&gt;|
|Date :07/15/2026 &lt;Ticket picked for Production and QC review SKU 4&gt; &lt;Tania&gt;|
IMAGE WIP;|Date :07/16/2026 &lt;Ticket picked for Production and QC review SKU 4&gt; &lt;Tania&gt;|
|Date :07/16/2026 &lt;Ticket has been successfully uploaded in our system. SKU 4&gt; &lt;Tania&gt;|;We have successfully uploaded this batch. Please find the attached summary sheet and summary report.;[^UCW-34400.xlsx]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4af21b2-a64c-4128-a4bd-2f20944a6f5b"},"content":[{"type":"tableRow","attrs":{"localId":"b1ce4835f40d"},"content":[{"type":"tableCell","attrs":{"localId":"89ba83c3b7cf","background":"#44b3e1"},"content":[{"type":"paragraph","content":[{"type":"text","text":"Ticket ID","marks":[{"type":"strong"}]}],"attrs":{"localId":"a1321d123c59"}}]},{"type":"tableCell","attrs":{"localId":"797c03e9299e","colspan":2,"background":"#44b3e1"},"content":[{"type":"paragraph","content":[{"type":"text","text":"UCW-34400","marks":[{"type":"strong"}]}],"attrs":{"localId":"c78c01105d16"}}]}]},{"type":"tableRow","attrs":{"localId":"4c4675e379a5"},"content":[{"type":"tableCell","attrs":{"localId":"0b86cc2374ab","background":"#44b3e1"},"content":[{"type":"paragraph","content":[{"type":"text","text":"Brand Name","marks":[{"type":"strong"}]}],"attrs":{"localId":"9377b09b70c6"}}]},{"type":"tableCell","attrs":{"localId":"7dff7935787e","colspan":2,"background":"#44b3e1"},"content":[{"type":"paragraph","content":[{"type":"text","text":"Re quill","marks":[{"type":"strong"}]}],"attrs":{"localId":"6af23f5fe220"}}]}]},{"type":"tableRow","attrs":{"localId":"cf3d6c913c89"},"content":[{"type":"tableCell","attrs":{"localId":"b7da4a6ba987","background":"#ace5fe"},"content":[{"type":"paragraph","content":[{"type":"text","text":"Platform","marks":[{"type":"strong"}]}],"attrs":{"localId":"f6de5738afd0"}}]},{"type":"tableCell","attrs":{"localId":"f3e28d10fe0a","colspan":2,"background":"#ace5fe"},"content":[{"type":"paragraph","content":[{"type":"text","text":"Mall","marks":[{"type":"strong"}]}],"attrs":{"localId":"b768341c87f6"}}]}]},{"type":"tableRow","attrs":{"localId":"d080feb39716"},"content":[{"type":"tableCell","attrs":{"localId":"8fb7c767f875","background":"#ace5fe"},"content":[{"type":"paragraph","content":[{"type":"text","text":"Particulars","marks":[{"type":"strong"}]}],"attrs":{"localId":"5cd4980bf2ce"}}]},{"type":"tableCell","attrs":{"localId":"5623b245115f","background":"#ace5fe"},"content":[{"type":"paragraph","content":[{"type":"text","text":"SKU Count","marks":[{"type":"strong"}]}],"attrs":{"localId":"8af3cb09bab4"}}]},{"type":"tableCell","attrs":{"localId":"f98ba8a565b5","background":"#ace5fe"},"content":[{"type":"paragraph","content":[{"type":"text","text":"Option Count","marks":[{"type":"strong"}]}],"attrs":{"localId":"9a9bbe5ed666"}}]}]},{"type":"tableRow","attrs":{"localId":"484f49ce23a8"},"content":[{"type":"tableCell","attrs":{"localId":"f18c6571f68e","background":"white"},"content":[{"type":"paragraph","content":[{"type":"text","text":"Received"}],"attrs":{"localId":"b9aa5df31c45"}}]},{"type":"tableCell","attrs":{"localId":"cbf806a04513"},"content":[{"type":"paragraph","content":[{"type":"text","text":"4"}],"attrs":{"localId":"3eec318f8e2d"}}]},{"type":"tableCell","attrs":{"localId":"f329ce6d7d57"},"content":[{"type":"paragraph","content":[{"type":"text","text":"4"}],"attrs":{"localId":"e4c22769fe0c"}}]}]},{"type":"tableRow","attrs":{"localId":"70bac76f1599"},"content":[{"type":"tableCell","attrs":{"localId":"f0854f79ad64","background":"white"},"content":[{"type":"paragraph","content":[{"type":"text","text":"Uploaded"}],"attrs":{"localId":"e7340a48b63e"}}]},{"type":"tableCell","attrs":{"localId":"0e7b02b2d753"},"content":[{"type":"paragraph","content":[{"type":"text","text":"4"}],"attrs":{"localId":"cbecea2b25fc"}}]},{"type":"tableCell","attrs":{"localId":"f795fbfc805f"},"content":[{"type":"paragraph","content":[{"type":"text","text":"4"}],"attrs":{"localId":"240ec430d846"}}]}]},{"type":"tableRow","attrs":{"localId":"1d6b745b1f17"},"content":[{"type":"tableCell","attrs":{"localId":"607e0bd2f280","background":"white"},"content":[{"type":"paragraph","content":[{"type":"text","text":"SKUs not uploaded"}],"attrs":{"localId":"8047a513b495"}}]},{"type":"tableCell","attrs":{"localId":"91afdfb3c9be"},"content":[{"type":"paragraph","content":[{"type":"text","text":"0"}],"attrs":{"localId":"5eb30f1080f4"}}]},{"type":"tableCell","attrs":{"localId":"df7254cca641"},"content":[{"type":"paragraph","content":[{"type":"text","text":"0"}],"attrs":{"localId":"3020ba95ccb5"}}]}]},{"type":"tableRow","attrs":{"localId":"76ee5959d9e5"},"content":[{"type":"tableCell","attrs":{"localId":"95bf4f669d25","background":"white"},"content":[{"type":"paragraph","content":[{"type":"text","text":"LIDs Shared"}],"attrs":{"localId":"ccbd0a44db6d"}}]},{"type":"tableCell","attrs":{"localId":"703068fa4625"},"content":[{"type":"paragraph","content":[{"type":"text","text":"4"}],"attrs":{"localId":"ef5b657f0ed8"}}]},{"type":"tableCell","attrs":{"localId":"75bb812c9672"},"content":[{"type":"paragraph","content":[{"type":"text","text":"4"}],"attrs":{"localId":"8a580bb6f52a"}}]}]},{"type":"tableRow","attrs":{"localId":"38f0a8b99bde"},"content":[{"type":"tableCell","attrs":{"localId":"20888c4b5d7f","background":"white"},"content":[{"type":"paragraph","content":[{"type":"text","text":"LIDs Stuck in the System"}],"attrs":{"localId":"843ae7c0cb7c"}}]},{"type":"tableCell","attrs":{"localId":"4b30e6f57fe0"},"content":[{"type":"paragraph","content":[{"type":"text","text":"0"}],"attrs":{"localId":"8be85f01cda7"}}]},{"type":"tableCell","attrs":{"localId":"30f5bb49ea94"},"content":[{"type":"paragraph","content":[{"type":"text","text":"0"}],"attrs":{"localId":"f3ebb8bc6b9e"}}]}]}]}
{adf}
With this, we are closing this request from our end.
Thank you for your patience, support, and cooperation throughout the process. Your brand is important to us, and we look forward to assisting you again.</t>
  </si>
  <si>
    <t>Dr. Althea</t>
  </si>
  <si>
    <t>Date :07/15/2026 &lt;Ticket has been successfully uploaded in our system. Option 25 Sku 25&gt; &lt;Tania&gt;
[^UCW-34399 Summary.zip] [^UCW-34399.xlsx] ;[^UCW-34399 (66648356-1604-4de4-8d8a-2dbfd9d42b62).xlsx]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98b18d67-f106-45d8-8ae2-bfc2d0f7c3bc"},"content":[{"type":"tableRow","attrs":{"localId":"6dac8e105cb3"},"content":[{"type":"tableCell","attrs":{"localId":"b9f6b3bc4dd0","background":"#44b3e1"},"content":[{"type":"paragraph","content":[{"type":"text","text":"Ticket ID","marks":[{"type":"strong"}]}],"attrs":{"localId":"3d340cb88502"}}]},{"type":"tableCell","attrs":{"localId":"34e5f2f607f4","colspan":2,"background":"#44b3e1"},"content":[{"type":"paragraph","content":[{"type":"text","text":"UCW-34399","marks":[{"type":"strong"}]}],"attrs":{"localId":"dc432ff64544"}}]}]},{"type":"tableRow","attrs":{"localId":"df1262a78f7f"},"content":[{"type":"tableCell","attrs":{"localId":"4d28920b5a30","background":"#44b3e1"},"content":[{"type":"paragraph","content":[{"type":"text","text":"Brand Name","marks":[{"type":"strong"}]}],"attrs":{"localId":"4bd60c71be46"}}]},{"type":"tableCell","attrs":{"localId":"a86d268ccfe3","colspan":2,"background":"#44b3e1"},"content":[{"type":"paragraph","content":[{"type":"text","text":"Dr. Althea","marks":[{"type":"strong"}]}],"attrs":{"localId":"b67364c56681"}}]}]},{"type":"tableRow","attrs":{"localId":"383df1cb5511"},"content":[{"type":"tableCell","attrs":{"localId":"8834bca1b885","background":"#ace5fe"},"content":[{"type":"paragraph","content":[{"type":"text","text":"Platform","marks":[{"type":"strong"}]}],"attrs":{"localId":"113ac2e426a5"}}]},{"type":"tableCell","attrs":{"localId":"f9b4cc394c1b","colspan":2,"background":"#ace5fe"},"content":[{"type":"paragraph","content":[{"type":"text","text":"Mall","marks":[{"type":"strong"}]}],"attrs":{"localId":"b800344d8f12"}}]}]},{"type":"tableRow","attrs":{"localId":"4a67cabee3a7"},"content":[{"type":"tableCell","attrs":{"localId":"9913b2d49131","background":"#ace5fe"},"content":[{"type":"paragraph","content":[{"type":"text","text":"Particulars","marks":[{"type":"strong"}]}],"attrs":{"localId":"e5d0273294ac"}}]},{"type":"tableCell","attrs":{"localId":"9b3d0ba6ce7c","background":"#ace5fe"},"content":[{"type":"paragraph","content":[{"type":"text","text":"SKU Count","marks":[{"type":"strong"}]}],"attrs":{"localId":"e9b64060c4f3"}}]},{"type":"tableCell","attrs":{"localId":"c21d39c50769","background":"#ace5fe"},"content":[{"type":"paragraph","content":[{"type":"text","text":"Option Count","marks":[{"type":"strong"}]}],"attrs":{"localId":"1ccf91e8f625"}}]}]},{"type":"tableRow","attrs":{"localId":"661a1d2ae6f5"},"content":[{"type":"tableCell","attrs":{"localId":"461de7cdecc9","background":"white"},"content":[{"type":"paragraph","content":[{"type":"text","text":"Received"}],"attrs":{"localId":"ace70604ec52"}}]},{"type":"tableCell","attrs":{"localId":"6fd51918e5e5"},"content":[{"type":"paragraph","content":[{"type":"text","text":"25"}],"attrs":{"localId":"4fa836a1055f"}}]},{"type":"tableCell","attrs":{"localId":"f72aff997e39"},"content":[{"type":"paragraph","content":[{"type":"text","text":"25"}],"attrs":{"localId":"371ebb879609"}}]}]},{"type":"tableRow","attrs":{"localId":"11df9136e8e9"},"content":[{"type":"tableCell","attrs":{"localId":"bc725afab30f","background":"white"},"content":[{"type":"paragraph","content":[{"type":"text","text":"Uploaded"}],"attrs":{"localId":"1010275fb6e4"}}]},{"type":"tableCell","attrs":{"localId":"945546a2fc83"},"content":[{"type":"paragraph","content":[{"type":"text","text":"25"}],"attrs":{"localId":"c066bf04d09b"}}]},{"type":"tableCell","attrs":{"localId":"da2e788ef534"},"content":[{"type":"paragraph","content":[{"type":"text","text":"25"}],"attrs":{"localId":"27bc6ac400ee"}}]}]},{"type":"tableRow","attrs":{"localId":"ef73a6b4b1bf"},"content":[{"type":"tableCell","attrs":{"localId":"bfe22339928a","background":"white"},"content":[{"type":"paragraph","content":[{"type":"text","text":"SKUs not uploaded"}],"attrs":{"localId":"5e4eec585543"}}]},{"type":"tableCell","attrs":{"localId":"0fa5309b7577"},"content":[{"type":"paragraph","content":[{"type":"text","text":"0"}],"attrs":{"localId":"9d8b0d7e7f68"}}]},{"type":"tableCell","attrs":{"localId":"e059bbac6dea"},"content":[{"type":"paragraph","content":[{"type":"text","text":"0"}],"attrs":{"localId":"986828402cd8"}}]}]},{"type":"tableRow","attrs":{"localId":"af45371a8352"},"content":[{"type":"tableCell","attrs":{"localId":"f97347f87bbf","background":"white"},"content":[{"type":"paragraph","content":[{"type":"text","text":"LIDs Shared"}],"attrs":{"localId":"f733ed573beb"}}]},{"type":"tableCell","attrs":{"localId":"29bf5f04d409"},"content":[{"type":"paragraph","content":[{"type":"text","text":"25"}],"attrs":{"localId":"177a64b61e71"}}]},{"type":"tableCell","attrs":{"localId":"9c49349f7146"},"content":[{"type":"paragraph","content":[{"type":"text","text":"25"}],"attrs":{"localId":"e639144d2e76"}}]}]},{"type":"tableRow","attrs":{"localId":"e5fe23437df4"},"content":[{"type":"tableCell","attrs":{"localId":"c7c8e202c983","background":"white"},"content":[{"type":"paragraph","content":[{"type":"text","text":"LIDs Stuck in the System"}],"attrs":{"localId":"ace1fd9beb33"}}]},{"type":"tableCell","attrs":{"localId":"2bd92602af7a"},"content":[{"type":"paragraph","content":[{"type":"text","text":"0"}],"attrs":{"localId":"cf2167150c9c"}}]},{"type":"tableCell","attrs":{"localId":"63f340ff4434"},"content":[{"type":"paragraph","content":[{"type":"text","text":"0"}],"attrs":{"localId":"977d4dcf1924"}}]}]}]}
{adf}
With this, we are closing this request from our end.
Thank you for your patience, support, and cooperation throughout the process. Your brand is important to us, and we look forward to assisting you again.</t>
  </si>
  <si>
    <t>Date : 15th Jul 2026, This ticket has been picked for Pre-Processing and Image Analysis. Mousumi.
;Date : 16th Jul 2026 Pre-Processing Done( Brand to Query for Bangle Size, CHain Length, Product Type confirmation)-Mousumi.
Date : 16th Jul 2026  Production DOne _mousumi
Date : 16th Jul 2026  Description DOne-Khusnuma
Date : 16th Jul 2026  Images DOne-Saswati
Date : 16th Jul 2026  Qc &amp; Uploaded Done -Mousumi
PFA the Summary &amp; Post-Uploaded Sheet[^Summary.zip] [^UCW-34394 Post Upload Status_V.2 (1).xlsx] ;*Image deliver - Date :07/16/2026 &lt;Images Delivered Processed Options 132 Rejected Options 0&gt; &lt;Saswati Dey&gt;*;[^UCW-34394.xlsx]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c58254b-55ae-4a3b-bbe1-6411261074d0"},"content":[{"type":"tableRow","attrs":{"localId":"0ecd27c2b85b"},"content":[{"type":"tableCell","attrs":{"localId":"70ecd3087939","background":"#44b3e1"},"content":[{"type":"paragraph","content":[{"type":"text","text":"Ticket ID","marks":[{"type":"strong"}]}],"attrs":{"localId":"b524857d74bc"}}]},{"type":"tableCell","attrs":{"localId":"85d1d78d932d","colspan":2,"background":"#44b3e1"},"content":[{"type":"paragraph","content":[{"type":"text","text":"UCW-34394","marks":[{"type":"strong"}]}],"attrs":{"localId":"218912609ca6"}}]}]},{"type":"tableRow","attrs":{"localId":"fe17cb8dd9eb"},"content":[{"type":"tableCell","attrs":{"localId":"707389137b89","background":"#44b3e1"},"content":[{"type":"paragraph","content":[{"type":"text","text":"Brand Name","marks":[{"type":"strong"}]}],"attrs":{"localId":"2be8a506ad2e"}}]},{"type":"tableCell","attrs":{"localId":"7e4ca01e4f13","colspan":2,"background":"#44b3e1"},"content":[{"type":"paragraph","content":[{"type":"text","text":"GIVA","marks":[{"type":"strong"}]}],"attrs":{"localId":"2f4dfb93612e"}}]}]},{"type":"tableRow","attrs":{"localId":"1990a0232025"},"content":[{"type":"tableCell","attrs":{"localId":"5741a8ddf7ba","background":"#ace5fe"},"content":[{"type":"paragraph","content":[{"type":"text","text":"Platform","marks":[{"type":"strong"}]}],"attrs":{"localId":"25ea424234ab"}}]},{"type":"tableCell","attrs":{"localId":"4cabac47f39d","colspan":2,"background":"#ace5fe"},"content":[{"type":"paragraph","content":[{"type":"text","text":"Mall","marks":[{"type":"strong"}]}],"attrs":{"localId":"42e7a996726f"}}]}]},{"type":"tableRow","attrs":{"localId":"449af8a0a25d"},"content":[{"type":"tableCell","attrs":{"localId":"0b400871a9cb","background":"#ace5fe"},"content":[{"type":"paragraph","content":[{"type":"text","text":"Particulars","marks":[{"type":"strong"}]}],"attrs":{"localId":"134ba5cb818f"}}]},{"type":"tableCell","attrs":{"localId":"1d8034934d37","background":"#ace5fe"},"content":[{"type":"paragraph","content":[{"type":"text","text":"SKU Count","marks":[{"type":"strong"}]}],"attrs":{"localId":"801ce68ca4db"}}]},{"type":"tableCell","attrs":{"localId":"26fe9d17a56c","background":"#ace5fe"},"content":[{"type":"paragraph","content":[{"type":"text","text":"Option Count","marks":[{"type":"strong"}]}],"attrs":{"localId":"e0c009e86f91"}}]}]},{"type":"tableRow","attrs":{"localId":"128f6b40e655"},"content":[{"type":"tableCell","attrs":{"localId":"e39aa31d134d","background":"white"},"content":[{"type":"paragraph","content":[{"type":"text","text":"Received"}],"attrs":{"localId":"650e3b78242a"}}]},{"type":"tableCell","attrs":{"localId":"8190595c64eb"},"content":[{"type":"paragraph","content":[{"type":"text","text":"132"}],"attrs":{"localId":"fc0bcba6f2be"}}]},{"type":"tableCell","attrs":{"localId":"11af66af7f4b"},"content":[{"type":"paragraph","content":[{"type":"text","text":"132"}],"attrs":{"localId":"715c51d2b443"}}]}]},{"type":"tableRow","attrs":{"localId":"a8535708cb83"},"content":[{"type":"tableCell","attrs":{"localId":"d3ead36531fc","background":"white"},"content":[{"type":"paragraph","content":[{"type":"text","text":"Uploaded"}],"attrs":{"localId":"0a9ffa1995f6"}}]},{"type":"tableCell","attrs":{"localId":"dba245968802"},"content":[{"type":"paragraph","content":[{"type":"text","text":"132"}],"attrs":{"localId":"6664f1b777a9"}}]},{"type":"tableCell","attrs":{"localId":"081a4cb03398"},"content":[{"type":"paragraph","content":[{"type":"text","text":"132"}],"attrs":{"localId":"9484d00b5137"}}]}]},{"type":"tableRow","attrs":{"localId":"bb66d9696e25"},"content":[{"type":"tableCell","attrs":{"localId":"7fd42a80791f","background":"white"},"content":[{"type":"paragraph","content":[{"type":"text","text":"SKUs not uploaded"}],"attrs":{"localId":"a32cb2db8a40"}}]},{"type":"tableCell","attrs":{"localId":"4aa2a5c9300c"},"content":[{"type":"paragraph","content":[{"type":"text","text":"0"}],"attrs":{"localId":"284735fdb9f7"}}]},{"type":"tableCell","attrs":{"localId":"45becc3fd297"},"content":[{"type":"paragraph","content":[{"type":"text","text":"0"}],"attrs":{"localId":"1b7909870e78"}}]}]},{"type":"tableRow","attrs":{"localId":"0db03e39bc6c"},"content":[{"type":"tableCell","attrs":{"localId":"140a3bd7c54b","background":"white"},"content":[{"type":"paragraph","content":[{"type":"text","text":"LIDs Shared"}],"attrs":{"localId":"d2a9beb4c5a7"}}]},{"type":"tableCell","attrs":{"localId":"21326923ad04"},"content":[{"type":"paragraph","content":[{"type":"text","text":"132"}],"attrs":{"localId":"004f79f098d8"}}]},{"type":"tableCell","attrs":{"localId":"b711b7a2d1ae"},"content":[{"type":"paragraph","content":[{"type":"text","text":"132"}],"attrs":{"localId":"c842e4c1b291"}}]}]},{"type":"tableRow","attrs":{"localId":"aa01f43fa453"},"content":[{"type":"tableCell","attrs":{"localId":"b7ae05f27f15","background":"white"},"content":[{"type":"paragraph","content":[{"type":"text","text":"LIDs Stuck in the System"}],"attrs":{"localId":"b2b4cb62855b"}}]},{"type":"tableCell","attrs":{"localId":"a881a1300ed9"},"content":[{"type":"paragraph","content":[{"type":"text","text":"0"}],"attrs":{"localId":"a1aa0b348ccc"}}]},{"type":"tableCell","attrs":{"localId":"cae4b81ca36a"},"content":[{"type":"paragraph","content":[{"type":"text","text":"0"}],"attrs":{"localId":"302bbf3dc1ba"}}]}]}]}
{adf}
With this, we are closing this request from our end.
Thank you for your patience, support, and cooperation throughout the process. Your brand is important to us, and we look forward to assisting you again.</t>
  </si>
  <si>
    <t>Clinique</t>
  </si>
  <si>
    <t>|Date :07/15/2026 &lt;Ticket picked for pre processing SKU 1&gt; &lt;Tania&gt;|
|Date :07/15/2026 &lt;Ticket picked for Production and QC review SKU 1&gt; &lt;Tania&gt;|;Date :07/15/2026 &lt;Upload stuck “In Progress” for 125928 seller&gt; &lt;Tania&gt;;Date :07/16/2026 &lt;Ticket has been successfully uploaded in our system. Option 1 Sku 1&gt; &lt;Ankita&gt;[^Summary.zip] [^Post Upload Status_V.2 (1).xlsx] ;[^UCW-34393.xlsx]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af739b9-9593-4192-aff1-96d9427345af"},"content":[{"type":"tableRow","attrs":{"localId":"e86d28376d5e"},"content":[{"type":"tableCell","attrs":{"localId":"a45cc2866706","background":"#44b3e1"},"content":[{"type":"paragraph","content":[{"type":"text","text":"Ticket ID","marks":[{"type":"strong"}]}],"attrs":{"localId":"75420a5daeb3"}}]},{"type":"tableCell","attrs":{"localId":"9045859e099c","colspan":2,"background":"#44b3e1"},"content":[{"type":"paragraph","content":[{"type":"text","text":"UCW-34393","marks":[{"type":"strong"}]}],"attrs":{"localId":"e338bf872eba"}}]}]},{"type":"tableRow","attrs":{"localId":"0b5fa82ae53d"},"content":[{"type":"tableCell","attrs":{"localId":"44d7f02ffa54","background":"#44b3e1"},"content":[{"type":"paragraph","content":[{"type":"text","text":"Brand Name","marks":[{"type":"strong"}]}],"attrs":{"localId":"d93886b95234"}}]},{"type":"tableCell","attrs":{"localId":"e1a01348687c","colspan":2,"background":"#44b3e1"},"content":[{"type":"paragraph","content":[{"type":"text","text":"Clinique","marks":[{"type":"strong"}]}],"attrs":{"localId":"fe8f87f3f7f5"}}]}]},{"type":"tableRow","attrs":{"localId":"714fb89b7762"},"content":[{"type":"tableCell","attrs":{"localId":"f49927fe38d9","background":"#ace5fe"},"content":[{"type":"paragraph","content":[{"type":"text","text":"Platform","marks":[{"type":"strong"}]}],"attrs":{"localId":"39a1ca8febb1"}}]},{"type":"tableCell","attrs":{"localId":"d9606d9cf1ba","colspan":2,"background":"#ace5fe"},"content":[{"type":"paragraph","content":[{"type":"text","text":"Mall + Luxury","marks":[{"type":"strong"}]}],"attrs":{"localId":"0a4010962fe8"}}]}]},{"type":"tableRow","attrs":{"localId":"17b7649d23aa"},"content":[{"type":"tableCell","attrs":{"localId":"cc352bf21ba9","background":"#ace5fe"},"content":[{"type":"paragraph","content":[{"type":"text","text":"Particulars","marks":[{"type":"strong"}]}],"attrs":{"localId":"fee3402c0f7e"}}]},{"type":"tableCell","attrs":{"localId":"ad343d1d4b54","background":"#ace5fe"},"content":[{"type":"paragraph","content":[{"type":"text","text":"SKU Count","marks":[{"type":"strong"}]}],"attrs":{"localId":"20ff1565d33e"}}]},{"type":"tableCell","attrs":{"localId":"22af34be503c","background":"#ace5fe"},"content":[{"type":"paragraph","content":[{"type":"text","text":"Option Count","marks":[{"type":"strong"}]}],"attrs":{"localId":"eb55e1e0842c"}}]}]},{"type":"tableRow","attrs":{"localId":"0ef0593973dc"},"content":[{"type":"tableCell","attrs":{"localId":"9dde74743d72","background":"white"},"content":[{"type":"paragraph","content":[{"type":"text","text":"Received"}],"attrs":{"localId":"a93c659667e2"}}]},{"type":"tableCell","attrs":{"localId":"c24ac7a3b8e8"},"content":[{"type":"paragraph","content":[{"type":"text","text":"1"}],"attrs":{"localId":"73b7791375fc"}}]},{"type":"tableCell","attrs":{"localId":"35f4d5a1a3e5"},"content":[{"type":"paragraph","content":[{"type":"text","text":"1"}],"attrs":{"localId":"011e3334c922"}}]}]},{"type":"tableRow","attrs":{"localId":"564dca711160"},"content":[{"type":"tableCell","attrs":{"localId":"2edf1f2654d3","background":"white"},"content":[{"type":"paragraph","content":[{"type":"text","text":"Uploaded"}],"attrs":{"localId":"a0c5eaf923f7"}}]},{"type":"tableCell","attrs":{"localId":"46aecfa2a69b"},"content":[{"type":"paragraph","content":[{"type":"text","text":"1"}],"attrs":{"localId":"6b2d89c63e0e"}}]},{"type":"tableCell","attrs":{"localId":"ba8059bb2763"},"content":[{"type":"paragraph","content":[{"type":"text","text":"1"}],"attrs":{"localId":"0a32a38ac6a4"}}]}]},{"type":"tableRow","attrs":{"localId":"c128ea4274e4"},"content":[{"type":"tableCell","attrs":{"localId":"4cd34531d2b3","background":"white"},"content":[{"type":"paragraph","content":[{"type":"text","text":"LIDs Shared"}],"attrs":{"localId":"169d30a9340f"}}]},{"type":"tableCell","attrs":{"localId":"239922ed686f"},"content":[{"type":"paragraph","content":[{"type":"text","text":"1"}],"attrs":{"localId":"2df390b4aac7"}}]},{"type":"tableCell","attrs":{"localId":"2519ae011be7"},"content":[{"type":"paragraph","content":[{"type":"text","text":"1"}],"attrs":{"localId":"844e70c7e21f"}}]}]},{"type":"tableRow","attrs":{"localId":"1b68aea20ac0"},"content":[{"type":"tableCell","attrs":{"localId":"67755c0e5b74","background":"white"},"content":[{"type":"paragraph","content":[{"type":"text","text":"LIDs Stuck in the System"}],"attrs":{"localId":"98a8e0453876"}}]},{"type":"tableCell","attrs":{"localId":"6613ff16becd"},"content":[{"type":"paragraph","content":[{"type":"text","text":"0"}],"attrs":{"localId":"f1bc3467ec94"}}]},{"type":"tableCell","attrs":{"localId":"5cc80864ddac"},"content":[{"type":"paragraph","content":[{"type":"text","text":"0"}],"attrs":{"localId":"fcabcc544e66"}}]}]}]}
{adf}
With this, we are closing this request from our end.
Thank you for your patience, support, and cooperation throughout the process. Your brand is important to us, and we look forward to assisting you again."</t>
  </si>
  <si>
    <t>Date :07/15/2026  &lt;Ticket picked for pre processing Option 1  Sku 1&gt; &lt;Amandeep&gt;;Date :07/15/2026 &lt;Ticket picked for Production and QC review Option 1 Sku 1&gt; &lt;Amandeep&gt;;Date :07/15/2026 &lt;Upload stuck “In Progress” for 125928 seller&gt; &lt;Tania&gt;;Date :07/15/2026 &lt;Ticket has been successfully uploaded in our system. Option 1 Sku 1&gt; &lt;Ankita&gt;;[^UCW-34392.xlsx]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64c9bbd9-1093-4c06-9ab8-b7cd3df5055d"},"content":[{"type":"tableRow","attrs":{"localId":"9a70a0a73b20"},"content":[{"type":"tableCell","attrs":{"localId":"b4f3f1645bca","background":"#44b3e1"},"content":[{"type":"paragraph","content":[{"type":"text","text":"Ticket ID","marks":[{"type":"strong"}]}],"attrs":{"localId":"11763b76fbe1"}}]},{"type":"tableCell","attrs":{"localId":"cb024a0d8199","colspan":2,"background":"#44b3e1"},"content":[{"type":"paragraph","content":[{"type":"text","text":"UCW-34392","marks":[{"type":"strong"}]}],"attrs":{"localId":"2ac281fbf385"}}]}]},{"type":"tableRow","attrs":{"localId":"2d2ad7c6db4a"},"content":[{"type":"tableCell","attrs":{"localId":"2a912e5e4198","background":"#44b3e1"},"content":[{"type":"paragraph","content":[{"type":"text","text":"Brand Name","marks":[{"type":"strong"}]}],"attrs":{"localId":"02df556ece86"}}]},{"type":"tableCell","attrs":{"localId":"521d3897fa4d","colspan":2,"background":"#44b3e1"},"content":[{"type":"paragraph","content":[{"type":"text","text":"Clinique","marks":[{"type":"strong"}]}],"attrs":{"localId":"6b6b7e076636"}}]}]},{"type":"tableRow","attrs":{"localId":"db94fc579178"},"content":[{"type":"tableCell","attrs":{"localId":"3c23f9ba226f","background":"#ace5fe"},"content":[{"type":"paragraph","content":[{"type":"text","text":"Platform","marks":[{"type":"strong"}]}],"attrs":{"localId":"26f27535dc29"}}]},{"type":"tableCell","attrs":{"localId":"f66d5af0639b","colspan":2,"background":"#ace5fe"},"content":[{"type":"paragraph","content":[{"type":"text","text":"Mall + Luxury","marks":[{"type":"strong"}]}],"attrs":{"localId":"f4eb1d28b05d"}}]}]},{"type":"tableRow","attrs":{"localId":"05a4600c119c"},"content":[{"type":"tableCell","attrs":{"localId":"3fb0f0e0e185","background":"#ace5fe"},"content":[{"type":"paragraph","content":[{"type":"text","text":"Particulars","marks":[{"type":"strong"}]}],"attrs":{"localId":"7b1083318562"}}]},{"type":"tableCell","attrs":{"localId":"97b35d66d897","background":"#ace5fe"},"content":[{"type":"paragraph","content":[{"type":"text","text":"SKU Count","marks":[{"type":"strong"}]}],"attrs":{"localId":"e3df37b0513c"}}]},{"type":"tableCell","attrs":{"localId":"1c9a045bdf57","background":"#ace5fe"},"content":[{"type":"paragraph","content":[{"type":"text","text":"Option Count","marks":[{"type":"strong"}]}],"attrs":{"localId":"757e63b55ff7"}}]}]},{"type":"tableRow","attrs":{"localId":"9d4cc303df96"},"content":[{"type":"tableCell","attrs":{"localId":"5cb06944fd5e","background":"white"},"content":[{"type":"paragraph","content":[{"type":"text","text":"Received"}],"attrs":{"localId":"509401c42762"}}]},{"type":"tableCell","attrs":{"localId":"3631b1e055ef"},"content":[{"type":"paragraph","content":[{"type":"text","text":"1"}],"attrs":{"localId":"a649cdaedbef"}}]},{"type":"tableCell","attrs":{"localId":"f511fbce79fe"},"content":[{"type":"paragraph","content":[{"type":"text","text":"1"}],"attrs":{"localId":"01d7ff0913f3"}}]}]},{"type":"tableRow","attrs":{"localId":"deff8d690a11"},"content":[{"type":"tableCell","attrs":{"localId":"0872fd993ad9","background":"white"},"content":[{"type":"paragraph","content":[{"type":"text","text":"Uploaded"}],"attrs":{"localId":"8323c8bc3f9e"}}]},{"type":"tableCell","attrs":{"localId":"bab098bf6883"},"content":[{"type":"paragraph","content":[{"type":"text","text":"1"}],"attrs":{"localId":"5d230a9e1dbc"}}]},{"type":"tableCell","attrs":{"localId":"ef153dcfb29b"},"content":[{"type":"paragraph","content":[{"type":"text","text":"1"}],"attrs":{"localId":"b3881ac045a8"}}]}]},{"type":"tableRow","attrs":{"localId":"69a78ea586b5"},"content":[{"type":"tableCell","attrs":{"localId":"8e3d2016d120","background":"white"},"content":[{"type":"paragraph","content":[{"type":"text","text":"LIDs Shared"}],"attrs":{"localId":"12a5b34d87d5"}}]},{"type":"tableCell","attrs":{"localId":"caab7150d38e"},"content":[{"type":"paragraph","content":[{"type":"text","text":"1"}],"attrs":{"localId":"37e48feb0f90"}}]},{"type":"tableCell","attrs":{"localId":"b8bf20210c9c"},"content":[{"type":"paragraph","content":[{"type":"text","text":"1"}],"attrs":{"localId":"81769c7b9cae"}}]}]},{"type":"tableRow","attrs":{"localId":"5b2ee6c71fad"},"content":[{"type":"tableCell","attrs":{"localId":"4c36637e879d","background":"white"},"content":[{"type":"paragraph","content":[{"type":"text","text":"LIDs Stuck in the System"}],"attrs":{"localId":"53365b3083ec"}}]},{"type":"tableCell","attrs":{"localId":"bd52d9aabf78"},"content":[{"type":"paragraph","content":[{"type":"text","text":"0"}],"attrs":{"localId":"71730154c133"}}]},{"type":"tableCell","attrs":{"localId":"98338b30b0e8"},"content":[{"type":"paragraph","content":[{"type":"text","text":"0"}],"attrs":{"localId":"c92146014457"}}]}]}]}
{adf}
With this, we are closing this request from our end.</t>
  </si>
  <si>
    <t>|Date :07/15/2026 &lt;Ticket picked for pre processing SKU 1&gt; &lt;Tania&gt;|
|Date :07/15/2026 &lt;Ticket picked for Production and QC review SKU 1&gt; &lt;Tania&gt;|;Date :07/16/2026 &lt;Ticket has been successfully uploaded in our system. Option 1 Sku 1 &gt; &lt;Ankita&gt;;[^UCW-34390.xlsx]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4860a07d-a777-4e50-b5b6-9ea19566f152"},"content":[{"type":"tableRow","attrs":{"localId":"9425873957d4"},"content":[{"type":"tableCell","attrs":{"localId":"cf950a8e2175","background":"#44b3e1"},"content":[{"type":"paragraph","content":[{"type":"text","text":"Ticket ID","marks":[{"type":"strong"}]}],"attrs":{"localId":"4ed9f5849eb6"}}]},{"type":"tableCell","attrs":{"localId":"3d3a8558bb96","colspan":2,"background":"#44b3e1"},"content":[{"type":"paragraph","content":[{"type":"text","text":"UCW-34390","marks":[{"type":"strong"}]}],"attrs":{"localId":"c8f5b44e2423"}}]}]},{"type":"tableRow","attrs":{"localId":"3afd679a545c"},"content":[{"type":"tableCell","attrs":{"localId":"7383da8345ac","background":"#44b3e1"},"content":[{"type":"paragraph","content":[{"type":"text","text":"Brand Name","marks":[{"type":"strong"}]}],"attrs":{"localId":"ed26d5aad972"}}]},{"type":"tableCell","attrs":{"localId":"bc9055eaed06","colspan":2,"background":"#44b3e1"},"content":[{"type":"paragraph","content":[{"type":"text","text":"Forest Essentials","marks":[{"type":"strong"}]}],"attrs":{"localId":"8cd34972d338"}}]}]},{"type":"tableRow","attrs":{"localId":"43cd008589ed"},"content":[{"type":"tableCell","attrs":{"localId":"614775097ca6","background":"#ace5fe"},"content":[{"type":"paragraph","content":[{"type":"text","text":"Platform","marks":[{"type":"strong"}]}],"attrs":{"localId":"451c8c50078e"}}]},{"type":"tableCell","attrs":{"localId":"612f3462a7ec","colspan":2,"background":"#ace5fe"},"content":[{"type":"paragraph","content":[{"type":"text","text":"Mall + Luxury","marks":[{"type":"strong"}]}],"attrs":{"localId":"c0c94bc72249"}}]}]},{"type":"tableRow","attrs":{"localId":"fcf82842c4ae"},"content":[{"type":"tableCell","attrs":{"localId":"b6f8c3cd63eb","background":"#ace5fe"},"content":[{"type":"paragraph","content":[{"type":"text","text":"Particulars","marks":[{"type":"strong"}]}],"attrs":{"localId":"8a4dd66a45e3"}}]},{"type":"tableCell","attrs":{"localId":"dc650ef8f2c9","background":"#ace5fe"},"content":[{"type":"paragraph","content":[{"type":"text","text":"SKU Count","marks":[{"type":"strong"}]}],"attrs":{"localId":"66cda9ea43bd"}}]},{"type":"tableCell","attrs":{"localId":"f2e0d0bc8938","background":"#ace5fe"},"content":[{"type":"paragraph","content":[{"type":"text","text":"Option Count","marks":[{"type":"strong"}]}],"attrs":{"localId":"46ea84133bbb"}}]}]},{"type":"tableRow","attrs":{"localId":"0acd2dcb44cd"},"content":[{"type":"tableCell","attrs":{"localId":"60312b83e7db","background":"white"},"content":[{"type":"paragraph","content":[{"type":"text","text":"Received"}],"attrs":{"localId":"7268a4ebf952"}}]},{"type":"tableCell","attrs":{"localId":"14a7ebcad346"},"content":[{"type":"paragraph","content":[{"type":"text","text":"1"}],"attrs":{"localId":"d222e9e64227"}}]},{"type":"tableCell","attrs":{"localId":"6b253ec27c0c"},"content":[{"type":"paragraph","content":[{"type":"text","text":"1"}],"attrs":{"localId":"7e17d37a0a54"}}]}]},{"type":"tableRow","attrs":{"localId":"9bfb84983ae8"},"content":[{"type":"tableCell","attrs":{"localId":"59bce1a398ed","background":"white"},"content":[{"type":"paragraph","content":[{"type":"text","text":"Uploaded"}],"attrs":{"localId":"dde6a7f9b6a1"}}]},{"type":"tableCell","attrs":{"localId":"ec95ae036c04"},"content":[{"type":"paragraph","content":[{"type":"text","text":"1"}],"attrs":{"localId":"4edfea7cab67"}}]},{"type":"tableCell","attrs":{"localId":"847cb0b924de"},"content":[{"type":"paragraph","content":[{"type":"text","text":"1"}],"attrs":{"localId":"fa1f61636781"}}]}]},{"type":"tableRow","attrs":{"localId":"f4be95ad1cdc"},"content":[{"type":"tableCell","attrs":{"localId":"cf8a54656e70","background":"white"},"content":[{"type":"paragraph","content":[{"type":"text","text":"SKUs not uploaded"}],"attrs":{"localId":"e34400750be9"}}]},{"type":"tableCell","attrs":{"localId":"fd47739d16d0"},"content":[{"type":"paragraph","content":[{"type":"text","text":"0"}],"attrs":{"localId":"eeec07ecab5e"}}]},{"type":"tableCell","attrs":{"localId":"55a5e86bda52"},"content":[{"type":"paragraph","content":[{"type":"text","text":"0"}],"attrs":{"localId":"11819d01782d"}}]}]},{"type":"tableRow","attrs":{"localId":"8526ab7bf1a1"},"content":[{"type":"tableCell","attrs":{"localId":"a392b463850d","background":"white"},"content":[{"type":"paragraph","content":[{"type":"text","text":"LIDs Shared"}],"attrs":{"localId":"08365768fd23"}}]},{"type":"tableCell","attrs":{"localId":"27b06550c5ad"},"content":[{"type":"paragraph","content":[{"type":"text","text":"1"}],"attrs":{"localId":"1755750e4944"}}]},{"type":"tableCell","attrs":{"localId":"d5a6659d9981"},"content":[{"type":"paragraph","content":[{"type":"text","text":"1"}],"attrs":{"localId":"a267e39e1c08"}}]}]},{"type":"tableRow","attrs":{"localId":"1d8b34a688dc"},"content":[{"type":"tableCell","attrs":{"localId":"83aed106eee8","background":"white"},"content":[{"type":"paragraph","content":[{"type":"text","text":"LIDs Stuck in the System"}],"attrs":{"localId":"018f5cc69d10"}}]},{"type":"tableCell","attrs":{"localId":"2289e584a950"},"content":[{"type":"paragraph","content":[{"type":"text","text":"0"}],"attrs":{"localId":"9315eb3b5c9a"}}]},{"type":"tableCell","attrs":{"localId":"d53ba2908f04"},"content":[{"type":"paragraph","content":[{"type":"text","text":"0"}],"attrs":{"localId":"3d9595ead327"}}]}]}]}
{adf}
With this, we are closing this request from our end.
Thank you for your patience, support, and cooperation throughout the process. Your brand is important to us, and we look forward to assisting you again.</t>
  </si>
  <si>
    <t xml:space="preserve">The Magic Wand </t>
  </si>
  <si>
    <t xml:space="preserve">Date :07/15/2026 &lt;Ticket picked for pre processing Option: 15 SKU: 66&gt; &lt;Sanjana Ghosh&gt;;Date :07/17/2026 &lt;Pre Processing query to Brand &lt;EAN, Fabric, Image Missing&gt;&gt; &lt;Anwesha Mondal&gt; ;Date :07/18/2026 &lt;Size Chart Code Creation&gt; &lt;Anwesha Mondal&gt; 
[^UCW-34389 The Magic Wand.csv]
</t>
  </si>
  <si>
    <t>Date:07/16/2026&lt;Query to CCMT&gt;&lt;Need access for Image downloading&gt;&lt;Biplab Sarkar&gt;;Date:07/18/2026&lt;Brand to Resolve Query&gt;&lt;Need the Authencityi Image&gt;&lt;Biplab Sarkar&gt;</t>
  </si>
  <si>
    <t>Date:07/16/2026&lt;Brand to Resole Query&gt;&lt;Certification Image Need&gt;&lt;Biplab Sarkar&gt;</t>
  </si>
  <si>
    <t>[^UCW-34370.xlsx]
[^UCW-34370 Summary.zip]
Date :07/15/2026 &lt;Ticket has been successfully uploaded in our system. Option 2 Sku 2&gt; &lt;Amandeep&gt;
Date :07/15/2026 &lt;Ticket picked for pre processing Option 2 Sku 2 &gt; &lt;Amandeep&gt;;[^UCW-34370 (ce5e3573-0831-41fc-9b0e-fa3620826f8e).xlsx]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ebd118a-cfc4-4465-8572-7022215e8482"},"content":[{"type":"tableRow","attrs":{"localId":"f279da4f4caf"},"content":[{"type":"tableCell","attrs":{"localId":"a2137b4c6a22","background":"#44b3e1"},"content":[{"type":"paragraph","content":[{"type":"text","text":"Ticket ID","marks":[{"type":"strong"}]}],"attrs":{"localId":"63a159d6fa87"}}]},{"type":"tableCell","attrs":{"localId":"ae9e2db370de","colspan":2,"background":"#44b3e1"},"content":[{"type":"paragraph","content":[{"type":"text","text":"UCW-34370","marks":[{"type":"strong"}]}],"attrs":{"localId":"a13717b24c93"}}]}]},{"type":"tableRow","attrs":{"localId":"f96794fa4f56"},"content":[{"type":"tableCell","attrs":{"localId":"1444d4e5309c","background":"#44b3e1"},"content":[{"type":"paragraph","content":[{"type":"text","text":"Brand Name","marks":[{"type":"strong"}]}],"attrs":{"localId":"c59aacb8441c"}}]},{"type":"tableCell","attrs":{"localId":"637e560788a7","colspan":2,"background":"#44b3e1"},"content":[{"type":"paragraph","content":[{"type":"text","text":"Memo Paris","marks":[{"type":"strong"}]}],"attrs":{"localId":"32f0df136b2f"}}]}]},{"type":"tableRow","attrs":{"localId":"a792c8470157"},"content":[{"type":"tableCell","attrs":{"localId":"d890979f0f02","background":"#ace5fe"},"content":[{"type":"paragraph","content":[{"type":"text","text":"Platform","marks":[{"type":"strong"}]}],"attrs":{"localId":"f4788892fedb"}}]},{"type":"tableCell","attrs":{"localId":"6c8762c33abc","colspan":2,"background":"#ace5fe"},"content":[{"type":"paragraph","content":[{"type":"text","text":"Luxury","marks":[{"type":"strong"}]}],"attrs":{"localId":"57c733b144e3"}}]}]},{"type":"tableRow","attrs":{"localId":"7921c4df8f13"},"content":[{"type":"tableCell","attrs":{"localId":"f3766579ad99","background":"#ace5fe"},"content":[{"type":"paragraph","content":[{"type":"text","text":"Particulars","marks":[{"type":"strong"}]}],"attrs":{"localId":"0937f4e66079"}}]},{"type":"tableCell","attrs":{"localId":"64b55b506542","background":"#ace5fe"},"content":[{"type":"paragraph","content":[{"type":"text","text":"SKU Count","marks":[{"type":"strong"}]}],"attrs":{"localId":"f94be8e6caee"}}]},{"type":"tableCell","attrs":{"localId":"75567b26de1f","background":"#ace5fe"},"content":[{"type":"paragraph","content":[{"type":"text","text":"Option Count","marks":[{"type":"strong"}]}],"attrs":{"localId":"417c4dc53d1b"}}]}]},{"type":"tableRow","attrs":{"localId":"2e5590cbba7c"},"content":[{"type":"tableCell","attrs":{"localId":"8f7564bc1ea2","background":"white"},"content":[{"type":"paragraph","content":[{"type":"text","text":"Received"}],"attrs":{"localId":"4d23443e55c3"}}]},{"type":"tableCell","attrs":{"localId":"2db8104d5924"},"content":[{"type":"paragraph","content":[{"type":"text","text":"2"}],"attrs":{"localId":"75a335e01fb3"}}]},{"type":"tableCell","attrs":{"localId":"5578ff358fdb"},"content":[{"type":"paragraph","content":[{"type":"text","text":"2"}],"attrs":{"localId":"04ad1d51f568"}}]}]},{"type":"tableRow","attrs":{"localId":"8b7d18e38d46"},"content":[{"type":"tableCell","attrs":{"localId":"92796ff3245b","background":"white"},"content":[{"type":"paragraph","content":[{"type":"text","text":"Uploaded"}],"attrs":{"localId":"560795290772"}}]},{"type":"tableCell","attrs":{"localId":"2ff620b6c455"},"content":[{"type":"paragraph","content":[{"type":"text","text":"2"}],"attrs":{"localId":"832319ce80e8"}}]},{"type":"tableCell","attrs":{"localId":"7f58eadf8e31"},"content":[{"type":"paragraph","content":[{"type":"text","text":"2"}],"attrs":{"localId":"0686be97b7e4"}}]}]},{"type":"tableRow","attrs":{"localId":"6ba54c918d75"},"content":[{"type":"tableCell","attrs":{"localId":"f77a75de7950","background":"white"},"content":[{"type":"paragraph","content":[{"type":"text","text":"LIDs Shared"}],"attrs":{"localId":"ecf3cb1b3ef1"}}]},{"type":"tableCell","attrs":{"localId":"e756d2bfeffe"},"content":[{"type":"paragraph","content":[{"type":"text","text":"2"}],"attrs":{"localId":"10bf8c68f694"}}]},{"type":"tableCell","attrs":{"localId":"87df0b0082bf"},"content":[{"type":"paragraph","content":[{"type":"text","text":"2"}],"attrs":{"localId":"21bc95e84c3d"}}]}]},{"type":"tableRow","attrs":{"localId":"abe82efa2134"},"content":[{"type":"tableCell","attrs":{"localId":"571d639a1393","background":"white"},"content":[{"type":"paragraph","content":[{"type":"text","text":"LIDs Stuck in the System"}],"attrs":{"localId":"e527b92e9044"}}]},{"type":"tableCell","attrs":{"localId":"aef2802567bd"},"content":[{"type":"paragraph","content":[{"type":"text","text":"0"}],"attrs":{"localId":"227f59be1ee9"}}]},{"type":"tableCell","attrs":{"localId":"8cd39a6eeb9b"},"content":[{"type":"paragraph","content":[{"type":"text","text":"0"}],"attrs":{"localId":"9442e64dbf86"}}]}]}]}
{adf}
With this, we are closing this request from our end.
Thank you for your patience, support, and cooperation throughout the process. Your brand is important to us, and we look forward to assisting you again."</t>
  </si>
  <si>
    <t xml:space="preserve">Date :07/15/2026 &lt;Ticket has been successfully uploaded in our system. Option 281 Sku 1686&gt; &lt;Ankita&gt;[^Post Upload Status_V.2 (1).xlsx] [^Summary.zip] ;We are pleased to inform you that the SKUs are in the Commission stage.
Please find the attached file for your reference, along with the summary table below. As the commission is not approved yet.
{adf:display=block}
{"type":"table","attrs":{"isNumberColumnEnabled":false,"layout":"center","localId":"ade1fa81-010d-43d4-8eeb-83b687d6ae8d"},"content":[{"type":"tableRow","attrs":{"localId":"ec0a85e279ad"},"content":[{"type":"tableCell","attrs":{"localId":"8ddeeced8646","background":"#44b3e1"},"content":[{"type":"paragraph","content":[{"type":"text","text":"Ticket ID","marks":[{"type":"strong"}]}],"attrs":{"localId":"af1fe6aea157"}}]},{"type":"tableCell","attrs":{"localId":"1fbc401136e3","colspan":2,"background":"#44b3e1"},"content":[{"type":"paragraph","content":[{"type":"text","text":"UCW-34367","marks":[{"type":"strong"}]}],"attrs":{"localId":"8928da6b7a3c"}}]}]},{"type":"tableRow","attrs":{"localId":"89b664aae9fa"},"content":[{"type":"tableCell","attrs":{"localId":"485b6487bc52","background":"#44b3e1"},"content":[{"type":"paragraph","content":[{"type":"text","text":"Brand Name","marks":[{"type":"strong"}]}],"attrs":{"localId":"8834360687b1"}}]},{"type":"tableCell","attrs":{"localId":"e5b6370adeb7","colspan":2,"background":"#44b3e1"},"content":[{"type":"paragraph","content":[{"type":"text","text":"Monte Carlo","marks":[{"type":"strong"}]}],"attrs":{"localId":"9f105ecd7cbb"}}]}]},{"type":"tableRow","attrs":{"localId":"3ec73adc1fd7"},"content":[{"type":"tableCell","attrs":{"localId":"6a9512a41e33","background":"#ace5fe"},"content":[{"type":"paragraph","content":[{"type":"text","text":"Platform","marks":[{"type":"strong"}]}],"attrs":{"localId":"7434029ef5d1"}}]},{"type":"tableCell","attrs":{"localId":"97c2a5545c57","colspan":2,"background":"#ace5fe"},"content":[{"type":"paragraph","content":[{"type":"text","text":"Luxury","marks":[{"type":"strong"}]}],"attrs":{"localId":"d4ad7b5fea29"}}]}]},{"type":"tableRow","attrs":{"localId":"5f97ef1cdb6e"},"content":[{"type":"tableCell","attrs":{"localId":"300e3c0119c9","background":"#ace5fe"},"content":[{"type":"paragraph","content":[{"type":"text","text":"Particulars","marks":[{"type":"strong"}]}],"attrs":{"localId":"9b3f0e196cb8"}}]},{"type":"tableCell","attrs":{"localId":"493ff0b5bc50","background":"#ace5fe"},"content":[{"type":"paragraph","content":[{"type":"text","text":"SKU Count","marks":[{"type":"strong"}]}],"attrs":{"localId":"e044016803ad"}}]},{"type":"tableCell","attrs":{"localId":"c3f9a7b9693a","background":"#ace5fe"},"content":[{"type":"paragraph","content":[{"type":"text","text":"Option Count","marks":[{"type":"strong"}]}],"attrs":{"localId":"b8e1ea0a4aaf"}}]}]},{"type":"tableRow","attrs":{"localId":"1fc5863ed345"},"content":[{"type":"tableCell","attrs":{"localId":"f27a3f8be295","background":"white"},"content":[{"type":"paragraph","content":[{"type":"text","text":"Received"}],"attrs":{"localId":"ecc4d1eecc18"}}]},{"type":"tableCell","attrs":{"localId":"93410f5b020a"},"content":[{"type":"paragraph","content":[{"type":"text","text":"1686"}],"attrs":{"localId":"90f2ed4c03cb"}}]},{"type":"tableCell","attrs":{"localId":"ee37c2a99d3a"},"content":[{"type":"paragraph","content":[{"type":"text","text":"281"}],"attrs":{"localId":"ee09f40b31fe"}}]}]},{"type":"tableRow","attrs":{"localId":"f7b66ee6bf38"},"content":[{"type":"tableCell","attrs":{"localId":"e2cd42514060","background":"white"},"content":[{"type":"paragraph","content":[{"type":"text","text":"Uploaded"}],"attrs":{"localId":"387cd8e822c6"}}]},{"type":"tableCell","attrs":{"localId":"6dd00778fc9c"},"content":[{"type":"paragraph","content":[{"type":"text","text":"1686"}],"attrs":{"localId":"51eef7ea1c91"}}]},{"type":"tableCell","attrs":{"localId":"87e1bbd070f6"},"content":[{"type":"paragraph","content":[{"type":"text","text":"281"}],"attrs":{"localId":"e6cf9f5ddc78"}}]}]},{"type":"tableRow","attrs":{"localId":"a30bbe00f89b"},"content":[{"type":"tableCell","attrs":{"localId":"92b15cf35946","background":"white"},"content":[{"type":"paragraph","content":[{"type":"text","text":"Stuck in Pending for Commission"}],"attrs":{"localId":"50f4b055434c"}}]},{"type":"tableCell","attrs":{"localId":"dea780595996"},"content":[{"type":"paragraph","content":[{"type":"text","text":"1686"}],"attrs":{"localId":"4f2cef86e2e7"}}]},{"type":"tableCell","attrs":{"localId":"435c0ba0c6d0"},"content":[{"type":"paragraph","content":[{"type":"text","text":"281"}],"attrs":{"localId":"b780aa0a53b8"}}]}]},{"type":"tableRow","attrs":{"localId":"ec4cf40f5e02"},"content":[{"type":"tableCell","attrs":{"localId":"d050ad272879","background":"white"},"content":[{"type":"paragraph","content":[{"type":"text","text":"LIDs Stuck in the System"}],"attrs":{"localId":"a549ead9b7ee"}}]},{"type":"tableCell","attrs":{"localId":"35d65c252773"},"content":[{"type":"paragraph","content":[{"type":"text","text":"0"}],"attrs":{"localId":"9d7999f51c06"}}]},{"type":"tableCell","attrs":{"localId":"45236d9c5186"},"content":[{"type":"paragraph","content":[{"type":"text","text":"0"}],"attrs":{"localId":"b0acb41fafda"}}]}]}]}
{adf}
With this, we are closing this request from our end.
Thank you for your patience, support, and cooperation throughout the process. Your brand is important to us, and we look forward to assisting you again.[^UCW-34367.xlsx] </t>
  </si>
  <si>
    <t>Date :07/15/2026 &lt;Ticket picked for pre processing Option 100 Sku 849&gt; &lt;Ankita&gt;;Date :07/15/2026 &lt;Pre Processing query to Brand &lt;Less than 3 SKU, Size chart, Size not continuous &gt;&gt; &lt;Ankita&gt;;Date :07/15/2026 &lt;Ticket picked for Production and QC review Option 100 Sku 849&gt; &lt;Ankita &amp; Ishani&gt;;*Image deliver - Date :07/18/2026 &lt;Images Delivered Processed Options 100 Rejected Options 0&gt; &lt;Saswati Dey&gt;*</t>
  </si>
  <si>
    <t>|Date :07/15/2026 &lt;Ticket picked for pre processing SKU 4&gt; &lt;Tania&gt;|
|Date :07/15/2026 &lt;Ticket picked for Production and QC review SKU 4&gt; &lt;Tania&gt;|
IMAGE WIP;Date :07/15/2026 &lt;Upload stuck “In Progress” for 125928 seller&gt; &lt;Tania&gt;;Date :07/16/2026 &lt;Ticket has been successfully uploaded in our system. Option 4 Sku 4&gt; &lt;Ankita&gt;[^Summary (010eedd3-b323-4299-88d6-7ef054a0ba84).zip] [^Post Upload Status_V.2 (1) (3096e873-059d-4b4a-8835-3e28639a62ea).xlsx] ;[^UCW-34354.xlsx]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913f75d0-3d5f-46e1-9045-d6e6122b248a"},"content":[{"type":"tableRow","attrs":{"localId":"8494e2695996"},"content":[{"type":"tableCell","attrs":{"localId":"46707a9fc126","background":"#44b3e1"},"content":[{"type":"paragraph","content":[{"type":"text","text":"Ticket ID","marks":[{"type":"strong"}]}],"attrs":{"localId":"b9c6e5b90a62"}}]},{"type":"tableCell","attrs":{"localId":"a8b5cf66c716","colspan":2,"background":"#44b3e1"},"content":[{"type":"paragraph","content":[{"type":"text","text":"UCW-34354","marks":[{"type":"strong"}]}],"attrs":{"localId":"257e1c82d795"}}]}]},{"type":"tableRow","attrs":{"localId":"bad8a1052071"},"content":[{"type":"tableCell","attrs":{"localId":"b268c26a924e","background":"#44b3e1"},"content":[{"type":"paragraph","content":[{"type":"text","text":"Brand Name","marks":[{"type":"strong"}]}],"attrs":{"localId":"8e8a5690b90a"}}]},{"type":"tableCell","attrs":{"localId":"e5e969c2e6b8","colspan":2,"background":"#44b3e1"},"content":[{"type":"paragraph","content":[{"type":"text","text":"Estee Lauder","marks":[{"type":"strong"}]}],"attrs":{"localId":"df61d32264f6"}}]}]},{"type":"tableRow","attrs":{"localId":"f6eb01d4874e"},"content":[{"type":"tableCell","attrs":{"localId":"22cc16894cb6","background":"#ace5fe"},"content":[{"type":"paragraph","content":[{"type":"text","text":"Platform","marks":[{"type":"strong"}]}],"attrs":{"localId":"72810a2cda06"}}]},{"type":"tableCell","attrs":{"localId":"f4eba7b6792d","colspan":2,"background":"#ace5fe"},"content":[{"type":"paragraph","content":[{"type":"text","text":"Mall +Luxury","marks":[{"type":"strong"}]}],"attrs":{"localId":"206ad1203b6a"}}]}]},{"type":"tableRow","attrs":{"localId":"8ea89532646d"},"content":[{"type":"tableCell","attrs":{"localId":"94dabb896f11","background":"#ace5fe"},"content":[{"type":"paragraph","content":[{"type":"text","text":"Particulars","marks":[{"type":"strong"}]}],"attrs":{"localId":"c1bd6bbf8205"}}]},{"type":"tableCell","attrs":{"localId":"db57ff40504a","background":"#ace5fe"},"content":[{"type":"paragraph","content":[{"type":"text","text":"SKU Count","marks":[{"type":"strong"}]}],"attrs":{"localId":"c811f9728f54"}}]},{"type":"tableCell","attrs":{"localId":"426d6dd73cb2","background":"#ace5fe"},"content":[{"type":"paragraph","content":[{"type":"text","text":"Option Count","marks":[{"type":"strong"}]}],"attrs":{"localId":"9559886c22f0"}}]}]},{"type":"tableRow","attrs":{"localId":"6e8822ea86b1"},"content":[{"type":"tableCell","attrs":{"localId":"51a74f9e6f1b","background":"white"},"content":[{"type":"paragraph","content":[{"type":"text","text":"Received"}],"attrs":{"localId":"2fe0ce1ef79c"}}]},{"type":"tableCell","attrs":{"localId":"3f088c04c5fd"},"content":[{"type":"paragraph","content":[{"type":"text","text":"6"}],"attrs":{"localId":"8ccd60f7d9cc"}}]},{"type":"tableCell","attrs":{"localId":"5a38a12cdcbc"},"content":[{"type":"paragraph","content":[{"type":"text","text":"6"}],"attrs":{"localId":"c94bd39e5f28"}}]}]},{"type":"tableRow","attrs":{"localId":"3c3002b08d5a"},"content":[{"type":"tableCell","attrs":{"localId":"afb46d9538a0","background":"white"},"content":[{"type":"paragraph","content":[{"type":"text","text":"Uploaded"}],"attrs":{"localId":"c45a476e9a25"}}]},{"type":"tableCell","attrs":{"localId":"30aa6ff28705"},"content":[{"type":"paragraph","content":[{"type":"text","text":"4"}],"attrs":{"localId":"ec9545051b0b"}}]},{"type":"tableCell","attrs":{"localId":"476c148366ee"},"content":[{"type":"paragraph","content":[{"type":"text","text":"4"}],"attrs":{"localId":"98945ed1c377"}}]}]},{"type":"tableRow","attrs":{"localId":"b0311c7f9553"},"content":[{"type":"tableCell","attrs":{"localId":"856112c2a708","background":"white"},"content":[{"type":"paragraph","content":[{"type":"text","text":"Already Listed"}],"attrs":{"localId":"8739edf74369"}}]},{"type":"tableCell","attrs":{"localId":"fcfc66940dc7"},"content":[{"type":"paragraph","content":[{"type":"text","text":"2"}],"attrs":{"localId":"0da4d999157d"}}]},{"type":"tableCell","attrs":{"localId":"f4d5d9447f6e"},"content":[{"type":"paragraph","content":[{"type":"text","text":"2"}],"attrs":{"localId":"52b11bb3a991"}}]}]},{"type":"tableRow","attrs":{"localId":"dc211450ebcb"},"content":[{"type":"tableCell","attrs":{"localId":"1c53cf8ff46f","background":"white"},"content":[{"type":"paragraph","content":[{"type":"text","text":"SKUs Not Uploaded"}],"attrs":{"localId":"eccef265fe1a"}}]},{"type":"tableCell","attrs":{"localId":"3f526556d496"},"content":[{"type":"paragraph","content":[{"type":"text","text":"0"}],"attrs":{"localId":"e6375fd2ad86"}}]},{"type":"tableCell","attrs":{"localId":"3f1b6cdc5441"},"content":[{"type":"paragraph","content":[{"type":"text","text":"0"}],"attrs":{"localId":"d41eef70a4b7"}}]}]},{"type":"tableRow","attrs":{"localId":"bf58f00d4b93"},"content":[{"type":"tableCell","attrs":{"localId":"ede5b381d454","background":"white"},"content":[{"type":"paragraph","content":[{"type":"text","text":"LIDs Shared"}],"attrs":{"localId":"85259bfadc2c"}}]},{"type":"tableCell","attrs":{"localId":"71e06519c000"},"content":[{"type":"paragraph","content":[{"type":"text","text":"4"}],"attrs":{"localId":"126623c2bbd7"}}]},{"type":"tableCell","attrs":{"localId":"565968f82d2e"},"content":[{"type":"paragraph","content":[{"type":"text","text":"4"}],"attrs":{"localId":"a30980c96e42"}}]}]},{"type":"tableRow","attrs":{"localId":"1ec4f096ccb0"},"content":[{"type":"tableCell","attrs":{"localId":"52b2b8748a31","background":"white"},"content":[{"type":"paragraph","content":[{"type":"text","text":"LIDs Stuck in the System"}],"attrs":{"localId":"521197819cff"}}]},{"type":"tableCell","attrs":{"localId":"708f57b9b3bf"},"content":[{"type":"paragraph","content":[{"type":"text","text":"0"}],"attrs":{"localId":"ea747a6b2055"}}]},{"type":"tableCell","attrs":{"localId":"7b309d149139"},"content":[{"type":"paragraph","content":[{"type":"text","text":"0"}],"attrs":{"localId":"496babdbaf43"}}]}]}]}
{adf}
With this, we are closing this request from our end.
Thank you for your patience, support, and cooperation throughout the process. Your brand is important to us, and we look forward to assisting you again.</t>
  </si>
  <si>
    <t>Onewe India</t>
  </si>
  <si>
    <t xml:space="preserve">Date :07/15/2026 &lt;Ticket picked for pre processing SKU: 279&gt; &lt;Sanjana Ghosh&gt;;Date :07/15/2026 &lt;Query to Category &lt;Home Category L1 to L4 not available&gt; &lt;Sanjana Ghosh&gt; </t>
  </si>
  <si>
    <t>Medicube, SKIN1004, TIRTIR</t>
  </si>
  <si>
    <t xml:space="preserve">Date :07/15/2026  &lt;Ticket picked for pre processing Option 454  Sku 454&gt; &lt;Amandeep&gt;;Date :07/17/2026  &lt;Pre Processing query to Brand &lt;Manufacturer Details, Packer Details, Image Analysis&gt;&gt; &lt;Tania&gt; </t>
  </si>
  <si>
    <t>Date :07/15/2026 &lt;Pre Processing query to Brand &lt;SKU Code, Product Weight Is missing, Certificate Query&gt;&gt; &lt;Tania&gt;;Date :07/16/2026 &lt;Ticket has been successfully uploaded in our system. Option 1 Sku 1&gt; &lt;Ankita&gt;[^Summary.zip] [^Post Upload Status_V.2 (1).xlsx] ;[^UCW-34336.xlsx]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395c5868-8601-4fd0-94c9-8eeaec07e38d"},"content":[{"type":"tableRow","attrs":{"localId":"f2bc2cee4f01"},"content":[{"type":"tableCell","attrs":{"localId":"d1e1b577ea19","background":"#44b3e1"},"content":[{"type":"paragraph","content":[{"type":"text","text":"Ticket ID","marks":[{"type":"strong"}]}],"attrs":{"localId":"c7e5435df1af"}}]},{"type":"tableCell","attrs":{"localId":"06ee7dadff38","colspan":2,"background":"#44b3e1"},"content":[{"type":"paragraph","content":[{"type":"text","text":"UCW-34336","marks":[{"type":"strong"}]}],"attrs":{"localId":"794541f379d0"}}]}]},{"type":"tableRow","attrs":{"localId":"50626b48271d"},"content":[{"type":"tableCell","attrs":{"localId":"efdf064315a9","background":"#44b3e1"},"content":[{"type":"paragraph","content":[{"type":"text","text":"Brand Name","marks":[{"type":"strong"}]}],"attrs":{"localId":"da201007eee0"}}]},{"type":"tableCell","attrs":{"localId":"ac6ccc7d63c3","colspan":2,"background":"#44b3e1"},"content":[{"type":"paragraph","content":[{"type":"text","text":"Mamaearth","marks":[{"type":"strong"}]}],"attrs":{"localId":"9f37f9b816b3"}}]}]},{"type":"tableRow","attrs":{"localId":"5fe82c7c1b9b"},"content":[{"type":"tableCell","attrs":{"localId":"dcc1c6ed4ddb","background":"#ace5fe"},"content":[{"type":"paragraph","content":[{"type":"text","text":"Platform","marks":[{"type":"strong"}]}],"attrs":{"localId":"7923c71bfa32"}}]},{"type":"tableCell","attrs":{"localId":"e0c9ce707f1d","colspan":2,"background":"#ace5fe"},"content":[{"type":"paragraph","content":[{"type":"text","text":"Mall","marks":[{"type":"strong"}]}],"attrs":{"localId":"d674ebf0db97"}}]}]},{"type":"tableRow","attrs":{"localId":"7bf4ef210708"},"content":[{"type":"tableCell","attrs":{"localId":"96096e4c4ab6","background":"#ace5fe"},"content":[{"type":"paragraph","content":[{"type":"text","text":"Particulars","marks":[{"type":"strong"}]}],"attrs":{"localId":"ed64356cb0f8"}}]},{"type":"tableCell","attrs":{"localId":"00a687e9dd86","background":"#ace5fe"},"content":[{"type":"paragraph","content":[{"type":"text","text":"SKU Count","marks":[{"type":"strong"}]}],"attrs":{"localId":"373b3353b85e"}}]},{"type":"tableCell","attrs":{"localId":"e110b645c659","background":"#ace5fe"},"content":[{"type":"paragraph","content":[{"type":"text","text":"Option Count","marks":[{"type":"strong"}]}],"attrs":{"localId":"d91a35784b5f"}}]}]},{"type":"tableRow","attrs":{"localId":"612b659ba4f5"},"content":[{"type":"tableCell","attrs":{"localId":"0c9f8e1012ca","background":"white"},"content":[{"type":"paragraph","content":[{"type":"text","text":"Received"}],"attrs":{"localId":"7378632ebdf0"}}]},{"type":"tableCell","attrs":{"localId":"a12b787d1ffc"},"content":[{"type":"paragraph","content":[{"type":"text","text":"1"}],"attrs":{"localId":"42b31bad1a3d"}}]},{"type":"tableCell","attrs":{"localId":"21f567705a4c"},"content":[{"type":"paragraph","content":[{"type":"text","text":"1"}],"attrs":{"localId":"cc335345db5b"}}]}]},{"type":"tableRow","attrs":{"localId":"fe34dc45c3a6"},"content":[{"type":"tableCell","attrs":{"localId":"f61cd766e243","background":"white"},"content":[{"type":"paragraph","content":[{"type":"text","text":"Uploaded"}],"attrs":{"localId":"5f4b24a04f1f"}}]},{"type":"tableCell","attrs":{"localId":"b8b8805dd71d"},"content":[{"type":"paragraph","content":[{"type":"text","text":"1"}],"attrs":{"localId":"28718b9a2829"}}]},{"type":"tableCell","attrs":{"localId":"273e8d94d657"},"content":[{"type":"paragraph","content":[{"type":"text","text":"1"}],"attrs":{"localId":"7c7994620f30"}}]}]},{"type":"tableRow","attrs":{"localId":"15979c7e732a"},"content":[{"type":"tableCell","attrs":{"localId":"07e0544aef83","background":"white"},"content":[{"type":"paragraph","content":[{"type":"text","text":"SKUs not uploaded"}],"attrs":{"localId":"584dea53548b"}}]},{"type":"tableCell","attrs":{"localId":"0ebf9fb4dcc9"},"content":[{"type":"paragraph","content":[{"type":"text","text":"0"}],"attrs":{"localId":"41c12b969877"}}]},{"type":"tableCell","attrs":{"localId":"16d7fe77f164"},"content":[{"type":"paragraph","content":[{"type":"text","text":"0"}],"attrs":{"localId":"cd0821ec9453"}}]}]},{"type":"tableRow","attrs":{"localId":"18da93bdb5ab"},"content":[{"type":"tableCell","attrs":{"localId":"47edc1805cee","background":"white"},"content":[{"type":"paragraph","content":[{"type":"text","text":"LIDs Shared"}],"attrs":{"localId":"36c3eb27a5b2"}}]},{"type":"tableCell","attrs":{"localId":"43a9ddb41d49"},"content":[{"type":"paragraph","content":[{"type":"text","text":"1"}],"attrs":{"localId":"74d55e9ef9b5"}}]},{"type":"tableCell","attrs":{"localId":"12cd039368ab"},"content":[{"type":"paragraph","content":[{"type":"text","text":"1"}],"attrs":{"localId":"3b9e1c057ea7"}}]}]},{"type":"tableRow","attrs":{"localId":"dd9aecfb3553"},"content":[{"type":"tableCell","attrs":{"localId":"1d880d4b488b","background":"white"},"content":[{"type":"paragraph","content":[{"type":"text","text":"LIDs Stuck in the System"}],"attrs":{"localId":"4f7e9bd45bc7"}}]},{"type":"tableCell","attrs":{"localId":"03dfb008b724"},"content":[{"type":"paragraph","content":[{"type":"text","text":"0"}],"attrs":{"localId":"95555a635d72"}}]},{"type":"tableCell","attrs":{"localId":"23c81fb64605"},"content":[{"type":"paragraph","content":[{"type":"text","text":"0"}],"attrs":{"localId":"4390937f5173"}}]}]}]}
{adf}
With this, we are closing this request from our end.
Thank you for your patience, support, and cooperation throughout the process. Your brand is important to us, and we look forward to assisting you again.</t>
  </si>
  <si>
    <t>VANTIER SHOES</t>
  </si>
  <si>
    <t>Date :07/14/2026 &lt;Ticket picked for pre processing Option 25 Sku 200&gt; &lt;Ankita&gt;;Date :07/14/2026 &lt;Ticket picked for Production and QC review Option 25 Sku 200&gt; &lt;Ishani&gt;;Date :07/14/2026 &lt;Pre Processing query to Brand &lt;Image NA&gt;&gt; &lt;Ishani&gt;;Date :07/15/2026 &lt;Ticket has been successfully uploaded in our system. Option 23 Sku 184&gt; &lt;Ishani&gt;
Additionally, we would like to inform you that two SKUs are currently in *'Save as Draft'* status. A technical support ticket will be raised for this issue.
[^Summary.zip] 
[^Post Upload Status_V.2 (1) (1).xlsx] ;[^UCW-34329.xlsx]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bc5c3e3-7a39-438e-864c-218137ca9c56"},"content":[{"type":"tableRow","attrs":{"localId":"6be7988423b3"},"content":[{"type":"tableCell","attrs":{"localId":"6db942035824","background":"#44b3e1"},"content":[{"type":"paragraph","content":[{"type":"text","text":"Ticket ID","marks":[{"type":"strong"}]}],"attrs":{"localId":"7ad18d88bb72"}}]},{"type":"tableCell","attrs":{"localId":"18ce47885885","colspan":2,"background":"#44b3e1"},"content":[{"type":"paragraph","content":[{"type":"text","text":"UCW-34329","marks":[{"type":"strong"}]}],"attrs":{"localId":"5e556a084ffb"}}]}]},{"type":"tableRow","attrs":{"localId":"f93406752fa1"},"content":[{"type":"tableCell","attrs":{"localId":"2509b261ec23","background":"#44b3e1"},"content":[{"type":"paragraph","content":[{"type":"text","text":"Brand Name","marks":[{"type":"strong"}]}],"attrs":{"localId":"f9969cafce1d"}}]},{"type":"tableCell","attrs":{"localId":"52864c019d12","colspan":2,"background":"#44b3e1"},"content":[{"type":"paragraph","content":[{"type":"text","text":"VANTIER SHOES","marks":[{"type":"strong"}]}],"attrs":{"localId":"1ad5f3c14d74"}}]}]},{"type":"tableRow","attrs":{"localId":"caf44a61ecf7"},"content":[{"type":"tableCell","attrs":{"localId":"7b45c4c519a0","background":"#ace5fe"},"content":[{"type":"paragraph","content":[{"type":"text","text":"Platform","marks":[{"type":"strong"}]}],"attrs":{"localId":"64106c448739"}}]},{"type":"tableCell","attrs":{"localId":"407a1f1a7d33","colspan":2,"background":"#ace5fe"},"content":[{"type":"paragraph","content":[{"type":"text","text":"Luxury","marks":[{"type":"strong"}]}],"attrs":{"localId":"0e8c32613a80"}}]}]},{"type":"tableRow","attrs":{"localId":"c10002db91d3"},"content":[{"type":"tableCell","attrs":{"localId":"0087a4644119","background":"#ace5fe"},"content":[{"type":"paragraph","content":[{"type":"text","text":"Particulars","marks":[{"type":"strong"}]}],"attrs":{"localId":"5370647380e7"}}]},{"type":"tableCell","attrs":{"localId":"ce058c08f0f7","background":"#ace5fe"},"content":[{"type":"paragraph","content":[{"type":"text","text":"SKU Count","marks":[{"type":"strong"}]}],"attrs":{"localId":"ba43c99d0493"}}]},{"type":"tableCell","attrs":{"localId":"ea0b496c1042","background":"#ace5fe"},"content":[{"type":"paragraph","content":[{"type":"text","text":"Option Count","marks":[{"type":"strong"}]}],"attrs":{"localId":"e21b694f80b7"}}]}]},{"type":"tableRow","attrs":{"localId":"93bf336cc263"},"content":[{"type":"tableCell","attrs":{"localId":"e0cd12b6b929","background":"white"},"content":[{"type":"paragraph","content":[{"type":"text","text":"Received"}],"attrs":{"localId":"592c372678e6"}}]},{"type":"tableCell","attrs":{"localId":"1f38684056be"},"content":[{"type":"paragraph","content":[{"type":"text","text":"200"}],"attrs":{"localId":"125820077751"}}]},{"type":"tableCell","attrs":{"localId":"6549b3032bb0"},"content":[{"type":"paragraph","content":[{"type":"text","text":"25"}],"attrs":{"localId":"ceb745b6ea79"}}]}]},{"type":"tableRow","attrs":{"localId":"f20393b961dc"},"content":[{"type":"tableCell","attrs":{"localId":"391b4238074e","background":"white"},"content":[{"type":"paragraph","content":[{"type":"text","text":"Uploaded"}],"attrs":{"localId":"369990e1d304"}}]},{"type":"tableCell","attrs":{"localId":"6b3aa23abf33"},"content":[{"type":"paragraph","content":[{"type":"text","text":"184"}],"attrs":{"localId":"9efe0884ff9b"}}]},{"type":"tableCell","attrs":{"localId":"2673603eb7bc"},"content":[{"type":"paragraph","content":[{"type":"text","text":"23"}],"attrs":{"localId":"322f6c2850e4"}}]}]},{"type":"tableRow","attrs":{"localId":"039a72aa945b"},"content":[{"type":"tableCell","attrs":{"localId":"83ce4657f178","background":"white"},"content":[{"type":"paragraph","content":[{"type":"text","text":"Already Listed"}],"attrs":{"localId":"f8dae1e124d5"}}]},{"type":"tableCell","attrs":{"localId":"97b4907d5122"},"content":[{"type":"paragraph","content":[{"type":"text","text":"2"}],"attrs":{"localId":"f8d480674e03"}}]},{"type":"tableCell","attrs":{"localId":"8d6d3c64d275"},"content":[{"type":"paragraph","content":[{"type":"text","text":"0"}],"attrs":{"localId":"16be877bbf30"}}]}]},{"type":"tableRow","attrs":{"localId":"b6b7b15ada7e"},"content":[{"type":"tableCell","attrs":{"localId":"acc2dc07881d","background":"white"},"content":[{"type":"paragraph","content":[{"type":"text","text":"SKUs Not Uploaded"}],"attrs":{"localId":"1d57075374b8"}}]},{"type":"tableCell","attrs":{"localId":"6e2bf499e6d7"},"content":[{"type":"paragraph","content":[{"type":"text","text":"16"}],"attrs":{"localId":"8fb7f20f4d89"}}]},{"type":"tableCell","attrs":{"localId":"bf165c9cd0c8"},"content":[{"type":"paragraph","content":[{"type":"text","text":"2"}],"attrs":{"localId":"64444511d575"}}]}]},{"type":"tableRow","attrs":{"localId":"1ec273ea254a"},"content":[{"type":"tableCell","attrs":{"localId":"67c8157dd50a","background":"white"},"content":[{"type":"paragraph","content":[{"type":"text","text":"LIDs Shared"}],"attrs":{"localId":"18296d0a57be"}}]},{"type":"tableCell","attrs":{"localId":"8fea83a52c11"},"content":[{"type":"paragraph","content":[{"type":"text","text":"184"}],"attrs":{"localId":"ec5f9a1e1144"}}]},{"type":"tableCell","attrs":{"localId":"d4c92559a5e8"},"content":[{"type":"paragraph","content":[{"type":"text","text":"23"}],"attrs":{"localId":"30f0121c9672"}}]}]},{"type":"tableRow","attrs":{"localId":"eeda580429a1"},"content":[{"type":"tableCell","attrs":{"localId":"37aed221fc53","background":"white"},"content":[{"type":"paragraph","content":[{"type":"text","text":"LIDs Stuck in the System"}],"attrs":{"localId":"6ed5961f5084"}}]},{"type":"tableCell","attrs":{"localId":"c9d9dc6897e5"},"content":[{"type":"paragraph","content":[{"type":"text","text":"0"}],"attrs":{"localId":"b971b8235775"}}]},{"type":"tableCell","attrs":{"localId":"2244c7812b4f"},"content":[{"type":"paragraph","content":[{"type":"text","text":"0"}],"attrs":{"localId":"93e7e5a4f80c"}}]}]}]}
{adf}
2 SKUs have already been listed, but they are currently stuck in the "Save as Draft" stage. As a result, we have not uploaded the remaining SKUs in the cluster. We have highlighted this issue to the Tech Team. Once the issue is resolved, we will take the necessary action and update you accordingly.
Tech Ticket: [https://tatacliqhelpdesk.freshservice.com/support/tickets/223027|https://tatacliqhelpdesk.freshservice.com/support/tickets/223027]
Thank you for your patience, support, and cooperation throughout the process. Your brand is important to us, and we look forward to assisting you again.</t>
  </si>
  <si>
    <t xml:space="preserve">|Date :07/14/2026 &lt;Ticket picked for pre processing SKU 48&gt; &lt;Tania&gt;|
|Date :07/14/2026 &lt;Pre Processing query to Brand &lt;Skin Type, MRP, Best Within &amp; Gender is missing, Images Analysis&gt;&gt; &lt;Tania&gt;|;Date :07/15/2026 &lt; Pre Processing query to Brand 1st Follow Up&gt; &lt;Tania&gt;;Date :07/15/2026 Resolution Received &lt;Ticket picked for Production and QC review SKU 48&gt; &lt;Tania&gt;
Image WIP;Date :07/15/2026 &lt;Ticket has been successfully uploaded in our system. Option 48 Sku 48&gt; &lt;Tania&gt;
[^UCW-34325 Summary.zip]
[^UCW-34325 Post Upload.xlsx]
;{adf:display=block}
{"type":"table","attrs":{"isNumberColumnEnabled":false,"layout":"center","localId":"47a9ca33-8aff-4592-9b93-d5cd6da5543d"},"content":[{"type":"tableRow","attrs":{"localId":"969dd9d4142e"},"content":[{"type":"tableCell","attrs":{"localId":"21329ad6142f","background":"#44b3e1"},"content":[{"type":"paragraph","content":[{"type":"text","text":"Ticket ID","marks":[{"type":"strong"}]}],"attrs":{"localId":"19b623ce10a3"}}]},{"type":"tableCell","attrs":{"localId":"456127fc5ce1","colspan":2,"background":"#44b3e1"},"content":[{"type":"paragraph","content":[{"type":"text","text":"UCW-34325","marks":[{"type":"strong"}]}],"attrs":{"localId":"b46f219e133a"}}]}]},{"type":"tableRow","attrs":{"localId":"4412cc5cd638"},"content":[{"type":"tableCell","attrs":{"localId":"b18fd48f381d","background":"#44b3e1"},"content":[{"type":"paragraph","content":[{"type":"text","text":"Brand Name","marks":[{"type":"strong"}]}],"attrs":{"localId":"67f951dfc799"}}]},{"type":"tableCell","attrs":{"localId":"ed96e448c309","colspan":2,"background":"#44b3e1"},"content":[{"type":"paragraph","content":[{"type":"text","text":"LUSH","marks":[{"type":"strong"}]}],"attrs":{"localId":"e071541f78b1"}}]}]},{"type":"tableRow","attrs":{"localId":"e21631fbea91"},"content":[{"type":"tableCell","attrs":{"localId":"d598dfd29c65","background":"#ace5fe"},"content":[{"type":"paragraph","content":[{"type":"text","text":"Platform","marks":[{"type":"strong"}]}],"attrs":{"localId":"acbda5872ea0"}}]},{"type":"tableCell","attrs":{"localId":"209430904667","colspan":2,"background":"#ace5fe"},"content":[{"type":"paragraph","content":[{"type":"text","text":"Mall, Lux","marks":[{"type":"strong"}]}],"attrs":{"localId":"c9ec0eae1f43"}}]}]},{"type":"tableRow","attrs":{"localId":"4d7c4896049e"},"content":[{"type":"tableCell","attrs":{"localId":"fe81a3c138a4","background":"#ace5fe"},"content":[{"type":"paragraph","content":[{"type":"text","text":"Particulars","marks":[{"type":"strong"}]}],"attrs":{"localId":"9b5541866978"}}]},{"type":"tableCell","attrs":{"localId":"2b37dfe5f5d4","background":"#ace5fe"},"content":[{"type":"paragraph","content":[{"type":"text","text":"SKU Count","marks":[{"type":"strong"}]}],"attrs":{"localId":"78942bb787f2"}}]},{"type":"tableCell","attrs":{"localId":"d2c4d09261b5","background":"#ace5fe"},"content":[{"type":"paragraph","content":[{"type":"text","text":"Option Count","marks":[{"type":"strong"}]}],"attrs":{"localId":"22b9463be341"}}]}]},{"type":"tableRow","attrs":{"localId":"d7a4084fd27a"},"content":[{"type":"tableCell","attrs":{"localId":"5c306e95d5e5","background":"white"},"content":[{"type":"paragraph","content":[{"type":"text","text":"Received"}],"attrs":{"localId":"1f28a2bcef48"}}]},{"type":"tableCell","attrs":{"localId":"3e88f15fbf26"},"content":[{"type":"paragraph","content":[{"type":"text","text":"48"}],"attrs":{"localId":"f10d596d029e"}}]},{"type":"tableCell","attrs":{"localId":"6fd64ebe150e"},"content":[{"type":"paragraph","content":[{"type":"text","text":"48"}],"attrs":{"localId":"7a02285cfa8e"}}]}]},{"type":"tableRow","attrs":{"localId":"d2640df0faa4"},"content":[{"type":"tableCell","attrs":{"localId":"de31b15feb62","background":"white"},"content":[{"type":"paragraph","content":[{"type":"text","text":"Uploaded"}],"attrs":{"localId":"9f90b079958d"}}]},{"type":"tableCell","attrs":{"localId":"71636637a7dd"},"content":[{"type":"paragraph","content":[{"type":"text","text":"48"}],"attrs":{"localId":"d13055c0e986"}}]},{"type":"tableCell","attrs":{"localId":"70208c64be58"},"content":[{"type":"paragraph","content":[{"type":"text","text":"48"}],"attrs":{"localId":"b433f7b89c1d"}}]}]},{"type":"tableRow","attrs":{"localId":"88038a955b6a"},"content":[{"type":"tableCell","attrs":{"localId":"53a20f9d43e8","background":"white"},"content":[{"type":"paragraph","content":[{"type":"text","text":"LIDs Shared"}],"attrs":{"localId":"8c606d23bf0d"}}]},{"type":"tableCell","attrs":{"localId":"880eafca46d7"},"content":[{"type":"paragraph","content":[{"type":"text","text":"48"}],"attrs":{"localId":"a1a3684eccd0"}}]},{"type":"tableCell","attrs":{"localId":"8b8074ba8536"},"content":[{"type":"paragraph","content":[{"type":"text","text":"48"}],"attrs":{"localId":"3c2f8570118a"}}]}]}]}
{adf}
[^UCW-34325 LIDs.xlsx]
</t>
  </si>
  <si>
    <t>Tom Ford</t>
  </si>
  <si>
    <t>|Date :07/14/2026 &lt;Ticket picked for pre processing SKU 3&gt; &lt;Tania&gt;|
|Date :07/14/2026 &lt;Pre Processing query to Brand &lt;Ingredients List missing, And Notes are missing&gt;&gt; &lt;Tania&gt;|;Date :07/15/2026 &lt; Pre Processing query to Brand 1st Follow Up&gt; &lt;Tania&gt;;
Date :07/16/2026 &lt; Pre Processing query to Brand, Brand will share it by Friday&gt; &lt;Tania&gt;;Date :07/17/2026 &lt;Ticket has been successfully uploaded in our system SKU 2&gt; &lt;Tania&gt;;[^UCW-34321_Post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bd29c6d-beff-4e5b-b43f-d77cbaf2cba4"},"content":[{"type":"tableRow","attrs":{"localId":"dac623ee1e6d"},"content":[{"type":"tableCell","attrs":{"localId":"dd95cc41c29a","background":"#44b3e1"},"content":[{"type":"paragraph","content":[{"type":"text","text":"Ticket ID","marks":[{"type":"strong"}]}],"attrs":{"localId":"4fac827492c8"}}]},{"type":"tableCell","attrs":{"localId":"c5f4d1783029","colspan":2,"background":"#44b3e1"},"content":[{"type":"paragraph","content":[{"type":"text","text":"UCW-34321","marks":[{"type":"strong"}]}],"attrs":{"localId":"da783a85d3a2"}}]}]},{"type":"tableRow","attrs":{"localId":"e11cb919ca6d"},"content":[{"type":"tableCell","attrs":{"localId":"cf2e81fd309a","background":"#44b3e1"},"content":[{"type":"paragraph","content":[{"type":"text","text":"Brand Name","marks":[{"type":"strong"}]}],"attrs":{"localId":"ef9c254d7cd6"}}]},{"type":"tableCell","attrs":{"localId":"18ca73b475b3","colspan":2,"background":"#44b3e1"},"content":[{"type":"paragraph","content":[{"type":"text","text":"Tom Ford","marks":[{"type":"strong"}]}],"attrs":{"localId":"5d860a73c914"}}]}]},{"type":"tableRow","attrs":{"localId":"48d5e58fd960"},"content":[{"type":"tableCell","attrs":{"localId":"fed27d989095","background":"#ace5fe"},"content":[{"type":"paragraph","content":[{"type":"text","text":"Platform","marks":[{"type":"strong"}]}],"attrs":{"localId":"64189260c162"}}]},{"type":"tableCell","attrs":{"localId":"5ad2472e9ed8","colspan":2,"background":"#ace5fe"},"content":[{"type":"paragraph","content":[{"type":"text","text":"Luxury","marks":[{"type":"strong"}]}],"attrs":{"localId":"c3bf5ee63a9d"}}]}]},{"type":"tableRow","attrs":{"localId":"77130653de8a"},"content":[{"type":"tableCell","attrs":{"localId":"fc3abd17ab3b","background":"#ace5fe"},"content":[{"type":"paragraph","content":[{"type":"text","text":"Particulars","marks":[{"type":"strong"}]}],"attrs":{"localId":"eca326992479"}}]},{"type":"tableCell","attrs":{"localId":"e5395b8533a2","background":"#ace5fe"},"content":[{"type":"paragraph","content":[{"type":"text","text":"SKU Count","marks":[{"type":"strong"}]}],"attrs":{"localId":"47a321fa845a"}}]},{"type":"tableCell","attrs":{"localId":"fc9d5c23d46b","background":"#ace5fe"},"content":[{"type":"paragraph","content":[{"type":"text","text":"Option Count","marks":[{"type":"strong"}]}],"attrs":{"localId":"9484ed167a80"}}]}]},{"type":"tableRow","attrs":{"localId":"f12b69048a3b"},"content":[{"type":"tableCell","attrs":{"localId":"6813b92cbca6","background":"white"},"content":[{"type":"paragraph","content":[{"type":"text","text":"Received"}],"attrs":{"localId":"43d33ddab011"}}]},{"type":"tableCell","attrs":{"localId":"7b4e82e7b2e0"},"content":[{"type":"paragraph","content":[{"type":"text","text":"3"}],"attrs":{"localId":"9bd5edd35e74"}}]},{"type":"tableCell","attrs":{"localId":"816c39a8a908"},"content":[{"type":"paragraph","content":[{"type":"text","text":"3"}],"attrs":{"localId":"2e28e934118e"}}]}]},{"type":"tableRow","attrs":{"localId":"e6cb81356463"},"content":[{"type":"tableCell","attrs":{"localId":"5931a2245697","background":"white"},"content":[{"type":"paragraph","content":[{"type":"text","text":"Uploaded"}],"attrs":{"localId":"00256b897fa1"}}]},{"type":"tableCell","attrs":{"localId":"e46cb9fddfd6"},"content":[{"type":"paragraph","content":[{"type":"text","text":"2"}],"attrs":{"localId":"112e77feeecc"}}]},{"type":"tableCell","attrs":{"localId":"9f3c74a55a44"},"content":[{"type":"paragraph","content":[{"type":"text","text":"2"}],"attrs":{"localId":"5113de985556"}}]}]},{"type":"tableRow","attrs":{"localId":"ba6b455315f1"},"content":[{"type":"tableCell","attrs":{"localId":"5cf8f96eb3cd","background":"white"},"content":[{"type":"paragraph","content":[{"type":"text","text":"Already Listed"}],"attrs":{"localId":"d196e74f051c"}}]},{"type":"tableCell","attrs":{"localId":"2700cd0ac26d"},"content":[{"type":"paragraph","content":[{"type":"text","text":"1"}],"attrs":{"localId":"ab62ae414163"}}]},{"type":"tableCell","attrs":{"localId":"b1f1e3fb5d2b"},"content":[{"type":"paragraph","content":[{"type":"text","text":"1"}],"attrs":{"localId":"f1f3b573be52"}}]}]},{"type":"tableRow","attrs":{"localId":"74fb152a60f7"},"content":[{"type":"tableCell","attrs":{"localId":"cfdf6ac9022e","background":"white"},"content":[{"type":"paragraph","content":[{"type":"text","text":"LIDs Shared"}],"attrs":{"localId":"bc6ab38fd455"}}]},{"type":"tableCell","attrs":{"localId":"7a6c3de20113"},"content":[{"type":"paragraph","content":[{"type":"text","text":"2"}],"attrs":{"localId":"4b40cc72170a"}}]},{"type":"tableCell","attrs":{"localId":"c044de985e6a"},"content":[{"type":"paragraph","content":[{"type":"text","text":"2"}],"attrs":{"localId":"17faf8d99445"}}]}]},{"type":"tableRow","attrs":{"localId":"2f813a1007b6"},"content":[{"type":"tableCell","attrs":{"localId":"5019b73f8613","background":"white"},"content":[{"type":"paragraph","content":[{"type":"text","text":"LIDs Stuck in the System"}],"attrs":{"localId":"f11612d85fe8"}}]},{"type":"tableCell","attrs":{"localId":"87aee3db8cb9"},"content":[{"type":"paragraph","content":[{"type":"text","text":"0"}],"attrs":{"localId":"1837c886febe"}}]},{"type":"tableCell","attrs":{"localId":"d1b0b0273c4c"},"content":[{"type":"paragraph","content":[{"type":"text","text":"0"}],"attrs":{"localId":"5b43e08075eb"}}]}]}]}
{adf}
With this, we are closing this request from our end.
Thank you for your patience, support, and cooperation throughout the process. Your brand is important to us, and we look forward to assisting you again.</t>
  </si>
  <si>
    <t>Mia by Tanishq</t>
  </si>
  <si>
    <t>[^UCW-34232.xlsx]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19fab1b6-6772-4bb9-9243-0881587f6ff6"},"content":[{"type":"tableRow","attrs":{"localId":"c3a2c9c9224d"},"content":[{"type":"tableCell","attrs":{"localId":"c67652eff3fa","background":"#44b3e1"},"content":[{"type":"paragraph","content":[{"type":"text","text":"Ticket ID","marks":[{"type":"strong"}]}],"attrs":{"localId":"c67af2c7cccf"}}]},{"type":"tableCell","attrs":{"localId":"1b04d17e27d3","colspan":2,"background":"#44b3e1"},"content":[{"type":"paragraph","content":[{"type":"text","text":"UCW-34234","marks":[{"type":"strong"}]}],"attrs":{"localId":"2a8c9a17fe0f"}},{"type":"paragraph","content":[{"type":"text","text":"Cloned-UCW-34314","marks":[{"type":"strong"}]}],"attrs":{"localId":"7083164a8568"}}]}]},{"type":"tableRow","attrs":{"localId":"deef04debf41"},"content":[{"type":"tableCell","attrs":{"localId":"ca5577b6802f","background":"#44b3e1"},"content":[{"type":"paragraph","content":[{"type":"text","text":"Brand Name","marks":[{"type":"strong"}]}],"attrs":{"localId":"46d13595d959"}}]},{"type":"tableCell","attrs":{"localId":"0307225ca65f","colspan":2,"background":"#44b3e1"},"content":[{"type":"paragraph","content":[{"type":"text","text":"Mia by Tanishq","marks":[{"type":"strong"}]}],"attrs":{"localId":"ee3b0143281d"}}]}]},{"type":"tableRow","attrs":{"localId":"48db534b0d8e"},"content":[{"type":"tableCell","attrs":{"localId":"e72b36b122f5","background":"#ace5fe"},"content":[{"type":"paragraph","content":[{"type":"text","text":"Platform","marks":[{"type":"strong"}]}],"attrs":{"localId":"6d94acf37133"}}]},{"type":"tableCell","attrs":{"localId":"98baebd1512f","colspan":2,"background":"#ace5fe"},"content":[{"type":"paragraph","content":[{"type":"text","text":"Mall","marks":[{"type":"strong"}]}],"attrs":{"localId":"032f957d4fb3"}}]}]},{"type":"tableRow","attrs":{"localId":"fa362eca5212"},"content":[{"type":"tableCell","attrs":{"localId":"ef5b0ec99f39","background":"#ace5fe"},"content":[{"type":"paragraph","content":[{"type":"text","text":"Particulars","marks":[{"type":"strong"}]}],"attrs":{"localId":"06a0b48f12c0"}}]},{"type":"tableCell","attrs":{"localId":"b22f59980ede","background":"#ace5fe"},"content":[{"type":"paragraph","content":[{"type":"text","text":"SKU Count","marks":[{"type":"strong"}]}],"attrs":{"localId":"01b5b8f1253a"}}]},{"type":"tableCell","attrs":{"localId":"a86c3049d382","background":"#ace5fe"},"content":[{"type":"paragraph","content":[{"type":"text","text":"Option Count","marks":[{"type":"strong"}]}],"attrs":{"localId":"f2c0550a9b7b"}}]}]},{"type":"tableRow","attrs":{"localId":"3cca1963e7d2"},"content":[{"type":"tableCell","attrs":{"localId":"f09ed68050a8","background":"white"},"content":[{"type":"paragraph","content":[{"type":"text","text":"Received"}],"attrs":{"localId":"0bec052acf11"}}]},{"type":"tableCell","attrs":{"localId":"7a2b65ef9cfd"},"content":[{"type":"paragraph","content":[{"type":"text","text":"3"}],"attrs":{"localId":"e1b631d40605"}}]},{"type":"tableCell","attrs":{"localId":"d8363f7c6351"},"content":[{"type":"paragraph","content":[{"type":"text","text":"3"}],"attrs":{"localId":"1fe9f02699be"}}]}]},{"type":"tableRow","attrs":{"localId":"c6dcdd252035"},"content":[{"type":"tableCell","attrs":{"localId":"3ca297492dd2","background":"white"},"content":[{"type":"paragraph","content":[{"type":"text","text":"Uploaded"}],"attrs":{"localId":"85bddb101379"}}]},{"type":"tableCell","attrs":{"localId":"9276cc6d383d"},"content":[{"type":"paragraph","content":[{"type":"text","text":"3"}],"attrs":{"localId":"ee80496199ab"}}]},{"type":"tableCell","attrs":{"localId":"9f02de3f8490"},"content":[{"type":"paragraph","content":[{"type":"text","text":"3"}],"attrs":{"localId":"566df0bf8d0b"}}]}]},{"type":"tableRow","attrs":{"localId":"592a2f151a85"},"content":[{"type":"tableCell","attrs":{"localId":"15730d93e1af","background":"white"},"content":[{"type":"paragraph","content":[{"type":"text","text":"LIDs Shared"}],"attrs":{"localId":"1f312ef6a159"}}]},{"type":"tableCell","attrs":{"localId":"3c32b5c05ad5"},"content":[{"type":"paragraph","content":[{"type":"text","text":"3"}],"attrs":{"localId":"a6c28cb6a007"}}]},{"type":"tableCell","attrs":{"localId":"5ea1d7404293"},"content":[{"type":"paragraph","content":[{"type":"text","text":"3"}],"attrs":{"localId":"8e54cbec89e9"}}]}]},{"type":"tableRow","attrs":{"localId":"eed58e52f18d"},"content":[{"type":"tableCell","attrs":{"localId":"122944c17d2d","background":"white"},"content":[{"type":"paragraph","content":[{"type":"text","text":"LIDs Stuck in the System"}],"attrs":{"localId":"282d90f8a767"}}]},{"type":"tableCell","attrs":{"localId":"0d9daf2bfe44"},"content":[{"type":"paragraph","content":[{"type":"text","text":"0"}],"attrs":{"localId":"b592f14d46ee"}}]},{"type":"tableCell","attrs":{"localId":"1240fbeab6b7"},"content":[{"type":"paragraph","content":[{"type":"text","text":"0"}],"attrs":{"localId":"27226f31d0b0"}}]}]}]}
{adf}
With this, we are closing this request from our end.
Thank you for your patience, support, and cooperation throughout the process. Your brand is important to us, and we look forward to assisting you again.</t>
  </si>
  <si>
    <t>Date :07/14/2026 &lt;Ticket picked for pre processing Option 12 Sku 60&gt; &lt;Ankita&gt;;Date :07/14/2026 &lt;Ticket picked for Production and QC review Option 12 Sku 60&gt; &lt;Ankita&gt;;*Image deliver - Date :07/14/2026 &lt;Images Delivered Processed Options 12 Rejected Options 0&gt; &lt;Saswati Dey&gt;*;Date :07/15/2026 &lt;Ticket has been successfully uploaded in our system. Option 12 Sku 60&gt; &lt;Ankita&gt;[^Post Upload Status_V.2 (1).xlsx] [^Summary.zip] ;[^UCW-34305.xlsx]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6aacb7e-113d-459d-9f3e-b7922b4b2afc"},"content":[{"type":"tableRow","attrs":{"localId":"d31430f72b69"},"content":[{"type":"tableCell","attrs":{"localId":"ed2cec72e448","background":"#44b3e1"},"content":[{"type":"paragraph","content":[{"type":"text","text":"Ticket ID","marks":[{"type":"strong"}]}],"attrs":{"localId":"48e615faddf1"}}]},{"type":"tableCell","attrs":{"localId":"53f4a3640fcc","colspan":2,"background":"#44b3e1"},"content":[{"type":"paragraph","content":[{"type":"text","text":"UCW-34305","marks":[{"type":"strong"}]}],"attrs":{"localId":"7f8ea5451978"}}]}]},{"type":"tableRow","attrs":{"localId":"779affbefd0e"},"content":[{"type":"tableCell","attrs":{"localId":"bde56263138b","background":"#44b3e1"},"content":[{"type":"paragraph","content":[{"type":"text","text":"Brand Name","marks":[{"type":"strong"}]}],"attrs":{"localId":"91bb7466b2ea"}}]},{"type":"tableCell","attrs":{"localId":"7a59c013a182","colspan":2,"background":"#44b3e1"},"content":[{"type":"paragraph","content":[{"type":"text","text":"Red Chief","marks":[{"type":"strong"}]}],"attrs":{"localId":"29ee71fe4b73"}}]}]},{"type":"tableRow","attrs":{"localId":"34ac93b714c9"},"content":[{"type":"tableCell","attrs":{"localId":"6da74b91d485","background":"#ace5fe"},"content":[{"type":"paragraph","content":[{"type":"text","text":"Platform","marks":[{"type":"strong"}]}],"attrs":{"localId":"959bc66c27d1"}}]},{"type":"tableCell","attrs":{"localId":"ed56892d8fda","colspan":2,"background":"#ace5fe"},"content":[{"type":"paragraph","content":[{"type":"text","text":"Mall","marks":[{"type":"strong"}]}],"attrs":{"localId":"bfb1904fce11"}}]}]},{"type":"tableRow","attrs":{"localId":"377db45f9f7d"},"content":[{"type":"tableCell","attrs":{"localId":"47015399e7d1","background":"#ace5fe"},"content":[{"type":"paragraph","content":[{"type":"text","text":"Particulars","marks":[{"type":"strong"}]}],"attrs":{"localId":"8458362f5f7c"}}]},{"type":"tableCell","attrs":{"localId":"8836f0a75fd5","background":"#ace5fe"},"content":[{"type":"paragraph","content":[{"type":"text","text":"SKU Count","marks":[{"type":"strong"}]}],"attrs":{"localId":"8b94a12a3cf2"}}]},{"type":"tableCell","attrs":{"localId":"861c2b126346","background":"#ace5fe"},"content":[{"type":"paragraph","content":[{"type":"text","text":"Option Count","marks":[{"type":"strong"}]}],"attrs":{"localId":"96a04167b1e8"}}]}]},{"type":"tableRow","attrs":{"localId":"879ebe1484d6"},"content":[{"type":"tableCell","attrs":{"localId":"6e92ffdb6197","background":"white"},"content":[{"type":"paragraph","content":[{"type":"text","text":"Received"}],"attrs":{"localId":"3fb2dc73ce0d"}}]},{"type":"tableCell","attrs":{"localId":"9141c28bebc4"},"content":[{"type":"paragraph","content":[{"type":"text","text":"60"}],"attrs":{"localId":"2895c62150b5"}}]},{"type":"tableCell","attrs":{"localId":"eb941ffbeb59"},"content":[{"type":"paragraph","content":[{"type":"text","text":"12"}],"attrs":{"localId":"9b6f92b75fbf"}}]}]},{"type":"tableRow","attrs":{"localId":"84cdfeccf971"},"content":[{"type":"tableCell","attrs":{"localId":"73874d9d72a4","background":"white"},"content":[{"type":"paragraph","content":[{"type":"text","text":"Uploaded"}],"attrs":{"localId":"251ff262745b"}}]},{"type":"tableCell","attrs":{"localId":"0112fe6d8e53"},"content":[{"type":"paragraph","content":[{"type":"text","text":"60"}],"attrs":{"localId":"b3a68c61652b"}}]},{"type":"tableCell","attrs":{"localId":"2e79cd5ed851"},"content":[{"type":"paragraph","content":[{"type":"text","text":"12"}],"attrs":{"localId":"47dcbdb7d986"}}]}]},{"type":"tableRow","attrs":{"localId":"2aa740213444"},"content":[{"type":"tableCell","attrs":{"localId":"dc4e450d3bc6","background":"white"},"content":[{"type":"paragraph","content":[{"type":"text","text":"LIDs Shared"}],"attrs":{"localId":"5784827749c3"}}]},{"type":"tableCell","attrs":{"localId":"1c9653e9be5f"},"content":[{"type":"paragraph","content":[{"type":"text","text":"60"}],"attrs":{"localId":"1f9a8940a8f4"}}]},{"type":"tableCell","attrs":{"localId":"80f7fa6c86a9"},"content":[{"type":"paragraph","content":[{"type":"text","text":"12"}],"attrs":{"localId":"49aee308d47b"}}]}]},{"type":"tableRow","attrs":{"localId":"449095635478"},"content":[{"type":"tableCell","attrs":{"localId":"a7ad18389b76","background":"white"},"content":[{"type":"paragraph","content":[{"type":"text","text":"LIDs Stuck in the System"}],"attrs":{"localId":"2f1b4485ee40"}}]},{"type":"tableCell","attrs":{"localId":"e7d4d2a0c35e"},"content":[{"type":"paragraph","content":[{"type":"text","text":"0"}],"attrs":{"localId":"c13fbe4992cd"}}]},{"type":"tableCell","attrs":{"localId":"d427e2b5b6e6"},"content":[{"type":"paragraph","content":[{"type":"text","text":"0"}],"attrs":{"localId":"254619a4093b"}}]}]}]}
{adf}
With this, we are closing this request from our end.
Thank you for your patience, support, and cooperation throughout the process. Your brand is important to us, and we look forward to assisting you again.</t>
  </si>
  <si>
    <t>Kiddopanti</t>
  </si>
  <si>
    <t>Date :07/14/2026 &lt;Cut Size has been successfully uploaded in our system. Option 0 Sku 21&gt; &lt;Ankita&gt;[^Summary.zip] [^Tatacliq Size additions Details 9th (1).xlsx] ;[^UCW-34299Tatacliq Size additions Details 9th (1).xlsx]
21 SKUs are currently stuck in SFA. These SKUs were received for Cut Size Addition, and we have already completed the required Cut Size updates. We have already highlighted this issue to the Tech Team. Once we receive a resolution, we will inform you accordingly.
Tech Team: [https://tatacliqhelpdesk.freshservice.com/support/tickets/223020|https://tatacliqhelpdesk.freshservice.com/support/tickets/223020];[^UCW-34299Tatacliq Size additions Details 9th (1) (f013c61c-d9a0-40f7-bedc-b3644444634c).xlsx]
We are pleased to inform you that the Cut Size addition has been completed successfully, and the corresponding Listing IDs have been generated successfully.
With this, we are closing this request from our end.
Thank you for your patience, support, and cooperation throughout the process. Your brand is important to us, and we look forward to assisting you again.</t>
  </si>
  <si>
    <t xml:space="preserve">Date :07/14/2026 &lt;Ticket picked for pre processing Option: 93 SKU: 468&gt; &lt;Sanjana Ghosh&gt;;Date : 14th Jul 2026 , Pre-Processing Done .
 Date : 14th Jul 2026  Production Done-Mousumi.
Date : 14th Jul 2026  Description -Khushnuma
Date : 14th Jul 2026 Images Done -Saswati
Date : 14th Jul 2026  QC &amp; Uploaded Done -Mousumi.
PFA the Summary &amp; Post-Uploaded Sheet for Jewellery [^Summary.zip] [^UCW-34297 Post Upload Status_V.2 (1).xlsx] ;Date :07/16/2026  &lt;Pre Processing query to Brand for Apparel Category&lt;Mandatory Image Missing&gt;&gt; &lt;Anwesha Mondal&gt; ;Please find attached the sheet, where 1option of Jewellery has been listed.
Kindly update the price and inventory, and share the summary once completed.
{adf:display=block}
{"type":"table","attrs":{"isNumberColumnEnabled":false,"layout":"center","localId":"db02e005-c3d2-4e96-a4f4-636bd8178ac3"},"content":[{"type":"tableRow","attrs":{"localId":"27021e4b54e8"},"content":[{"type":"tableCell","attrs":{"localId":"a84b4837291f","background":"#44b3e1"},"content":[{"type":"paragraph","content":[{"type":"text","text":"Ticket ID","marks":[{"type":"strong"}]}],"attrs":{"localId":"af4daf5b41b9"}}]},{"type":"tableCell","attrs":{"localId":"b0d65407ec09","colspan":2,"background":"#44b3e1"},"content":[{"type":"paragraph","content":[{"type":"text","text":"UCW-34297","marks":[{"type":"strong"}]}],"attrs":{"localId":"60d8bc19bce8"}}]}]},{"type":"tableRow","attrs":{"localId":"11f67459c5b2"},"content":[{"type":"tableCell","attrs":{"localId":"1dbbaf457f16","background":"#44b3e1"},"content":[{"type":"paragraph","content":[{"type":"text","text":"Brand Name","marks":[{"type":"strong"}]}],"attrs":{"localId":"f143db8bc16e"}}]},{"type":"tableCell","attrs":{"localId":"6f7f77299825","colspan":2,"background":"#44b3e1"},"content":[{"type":"paragraph","content":[{"type":"text","text":"Fab India","marks":[{"type":"strong"}]}],"attrs":{"localId":"9743b907e386"}}]}]},{"type":"tableRow","attrs":{"localId":"ee6c8e934382"},"content":[{"type":"tableCell","attrs":{"localId":"16772fe6c174","background":"#ace5fe"},"content":[{"type":"paragraph","content":[{"type":"text","text":"Platform","marks":[{"type":"strong"}]}],"attrs":{"localId":"5947d3e28818"}}]},{"type":"tableCell","attrs":{"localId":"f11e00b6be21","colspan":2,"background":"#ace5fe"},"content":[{"type":"paragraph","content":[{"type":"text","text":"Mall","marks":[{"type":"strong"}]}],"attrs":{"localId":"66672d34e5a5"}}]}]},{"type":"tableRow","attrs":{"localId":"a318df8487a0"},"content":[{"type":"tableCell","attrs":{"localId":"2ecaae9dccfe","background":"#ace5fe"},"content":[{"type":"paragraph","content":[{"type":"text","text":"Particulars","marks":[{"type":"strong"}]}],"attrs":{"localId":"6af69eb04ed3"}}]},{"type":"tableCell","attrs":{"localId":"a95eb190e900","background":"#ace5fe"},"content":[{"type":"paragraph","content":[{"type":"text","text":"SKU Count","marks":[{"type":"strong"}]}],"attrs":{"localId":"3e4fb89641d9"}}]},{"type":"tableCell","attrs":{"localId":"6dcd5ac99ce3","background":"#ace5fe"},"content":[{"type":"paragraph","content":[{"type":"text","text":"Option Count","marks":[{"type":"strong"}]}],"attrs":{"localId":"3a57bd6b22ee"}}]}]},{"type":"tableRow","attrs":{"localId":"96a1347ebfaa"},"content":[{"type":"tableCell","attrs":{"localId":"a513045e503a","background":"white"},"content":[{"type":"paragraph","content":[{"type":"text","text":"Received"}],"attrs":{"localId":"9370a6cf570e"}}]},{"type":"tableCell","attrs":{"localId":"b283629eee8f"},"content":[{"type":"paragraph","content":[{"type":"text","text":"1"}],"attrs":{"localId":"bc312b44a2f9"}}]},{"type":"tableCell","attrs":{"localId":"78c12461de2b"},"content":[{"type":"paragraph","content":[{"type":"text","text":"1"}],"attrs":{"localId":"0afa4dac7afa"}}]}]},{"type":"tableRow","attrs":{"localId":"b82589f674a9"},"content":[{"type":"tableCell","attrs":{"localId":"32d27de67a55","background":"white"},"content":[{"type":"paragraph","content":[{"type":"text","text":"Uploaded"}],"attrs":{"localId":"10285d364857"}}]},{"type":"tableCell","attrs":{"localId":"89d77bf9798b"},"content":[{"type":"paragraph","content":[{"type":"text","text":"1"}],"attrs":{"localId":"dfca71a2f5ea"}}]},{"type":"tableCell","attrs":{"localId":"921bf9951a0a"},"content":[{"type":"paragraph","content":[{"type":"text","text":"1"}],"attrs":{"localId":"d1e1b879be5c"}}]}]},{"type":"tableRow","attrs":{"localId":"aee36ba94942"},"content":[{"type":"tableCell","attrs":{"localId":"06a8f8fa3298","background":"white"},"content":[{"type":"paragraph","content":[{"type":"text","text":"LIDs Shared"}],"attrs":{"localId":"d9d26870346e"}}]},{"type":"tableCell","attrs":{"localId":"1e6f90372974"},"content":[{"type":"paragraph","content":[{"type":"text","text":"1"}],"attrs":{"localId":"754c637921c2"}}]},{"type":"tableCell","attrs":{"localId":"702f9c2cb8c0"},"content":[{"type":"paragraph","content":[{"type":"text","text":"1"}],"attrs":{"localId":"c71d6ee424a9"}}]}]},{"type":"tableRow","attrs":{"localId":"fb5bef949df3"},"content":[{"type":"tableCell","attrs":{"localId":"eb53793036ee","background":"white"},"content":[{"type":"paragraph","content":[{"type":"text","text":"LIDs Stuck in the System"}],"attrs":{"localId":"3e3a7907242f"}}]},{"type":"tableCell","attrs":{"localId":"df85d3aa188a"},"content":[{"type":"paragraph","content":[{"type":"text","text":"0"}],"attrs":{"localId":"62caba58c298"}}]},{"type":"tableCell","attrs":{"localId":"9fa072619942"},"content":[{"type":"paragraph","content":[{"type":"text","text":"0"}],"attrs":{"localId":"74a2bc667f4c"}}]}]}]}
{adf}
Note: We are currently working on the *Women's Apparel listings*. Once the upload is completed, we will inform you accordingly.[^UCW-34297.xlsx] ;Date :07/16/2026  &lt;Size chart Code Creation &gt; &lt;Anwesha Mondal&gt; 
[^UCW-34297 Fabindia.csv]
;!image-20260717-132447.png|width=634,alt="image-20260717-132447.png"!;Date :07/18/2026 &lt;Ticket has been successfully uploaded in our system. Option 72 Sku 371&gt; &lt;Anwesha Mondal&gt;
[^Post Upload Status_UCW-34297.xlsx]
[^Summary (5cdc9b5b-8e2c-4dae-b6be-fead34cbbc87).zip]
</t>
  </si>
  <si>
    <t xml:space="preserve">Lifestyle </t>
  </si>
  <si>
    <t>Women's Westernwear/Lingerie/Sportswear</t>
  </si>
  <si>
    <t xml:space="preserve"> Lifestyle </t>
  </si>
  <si>
    <t>We have uploaded this batch for men's apparel. PFA the summary &amp; post-production sheet for your reference.
[^Summary.zip]
[^Post Upload Status_UCW-17355.xlsx]
;We have uploaded the catalog for Women’s Apparel. PFA the summary and post-upload status.
[^Post Upload Status_UCW-17355 (044f8fd2-eb8a-43b2-86c6-5bb1901fa906).xlsx]
[^Summary (c80f7cc8-5cbe-4590-9b1a-262f8f09cdee).zip]
;This file has been uploaded. PFA the post production sheet and summary of Accessories.
[^Summary.7z]
[^Post Upload Status_UCW-17355 (e191edf2-9102-494e-b457-f55bf713b01e).xlsx]
;[^UCW-17355 Accesories.xlsx]
[^UCW-17355 Men's Apparel.xlsx]
[^UCW-17355 Women's Apparel.xlsx]
Hi @Ummer Farooq
Please find attached the sheet, where 54 options of Men's Apparel, 106 options of Women's Apparel and 134 options Accessories have been listed.
Kindly update the price and inventory, and share the summary once completed.
{adf:display=block}
{"type":"table","attrs":{"isNumberColumnEnabled":false,"layout":"center","localId":"c488981c-f047-496e-bcda-560ec1a30ea2"},"content":[{"type":"tableRow","content":[{"type":"tableCell","attrs":{"colspan":4,"background":"#caedfb"},"content":[{"type":"paragraph","content":[{"type":"text","text":"Brand name-Lifestyle  - UCW-17355","marks":[{"type":"strong"}]},{"type":"hardBreak"},{"type":"text","text":"16-08-2025","marks":[{"type":"strong"}]}]}]}]},{"type":"tableRow","content":[{"type":"tableCell","attrs":{"background":"#61cbf3"},"content":[{"type":"paragraph","content":[{"type":"text","text":"Status","marks":[{"type":"strong"}]}]}]},{"type":"tableCell","attrs":{"colspan":3,"background":"#61cbf3"},"content":[{"type":"paragraph","content":[{"type":"text","text":"Count","marks":[{"type":"strong"}]}]}]}]},{"type":"tableRow","content":[{"type":"tableCell","attrs":{"background":"#61cbf3"},"content":[{"type":"paragraph","content":[{"type":"text","text":" ","marks":[{"type":"strong"}]}]}]},{"type":"tableCell","attrs":{"background":"#61cbf3"},"content":[{"type":"paragraph","content":[{"type":"text","text":"Men's Apparel","marks":[{"type":"strong"}]}]}]},{"type":"tableCell","attrs":{"background":"#61cbf3"},"content":[{"type":"paragraph","content":[{"type":"text","text":"Women's Apparel","marks":[{"type":"strong"}]}]}]},{"type":"tableCell","attrs":{"background":"#61cbf3"},"content":[{"type":"paragraph","content":[{"type":"text","text":"Accessories","marks":[{"type":"strong"}]}]}]}]},{"type":"tableRow","content":[{"type":"tableCell","attrs":{"background":"white"},"content":[{"type":"paragraph","content":[{"type":"text","text":"Total SKUs Received"}]}]},{"type":"tableCell","attrs":{"background":"white"},"content":[{"type":"paragraph","content":[{"type":"text","text":"293"}]}]},{"type":"tableCell","attrs":{"background":"white"},"content":[{"type":"paragraph","content":[{"type":"text","text":"604"}]}]},{"type":"tableCell","attrs":{},"content":[{"type":"paragraph","content":[{"type":"text","text":"242"}]}]}]},{"type":"tableRow","content":[{"type":"tableCell","attrs":{"background":"white"},"content":[{"type":"paragraph","content":[{"type":"text","text":"Successfully Uploaded"}]}]},{"type":"tableCell","attrs":{"background":"white"},"content":[{"type":"paragraph","content":[{"type":"text","text":"293"}]}]},{"type":"tableCell","attrs":{"background":"white"},"content":[{"type":"paragraph","content":[{"type":"text","text":"604"}]}]},{"type":"tableCell","attrs":{},"content":[{"type":"paragraph","content":[{"type":"text","text":"196"}]}]}]},{"type":"tableRow","content":[{"type":"tableCell","attrs":{"background":"white"},"content":[{"type":"paragraph","content":[{"type":"text","text":"Not Uploaded"}]}]},{"type":"tableCell","attrs":{"background":"white"},"content":[{"type":"paragraph","content":[{"type":"text","text":"0"}]}]},{"type":"tableCell","attrs":{"background":"white"},"content":[{"type":"paragraph","content":[{"type":"text","text":"0"}]}]},{"type":"tableCell","attrs":{},"content":[{"type":"paragraph","content":[{"type":"text","text":"46"}]}]}]},{"type":"tableRow","content":[{"type":"tableCell","attrs":{},"content":[{"type":"paragraph","content":[{"type":"text","text":"LIDs Shared"}]}]},{"type":"tableCell","attrs":{"background":"white"},"content":[{"type":"paragraph","content":[{"type":"text","text":"293"}]}]},{"type":"tableCell","attrs":{"background":"white"},"content":[{"type":"paragraph","content":[{"type":"text","text":"593"}]}]},{"type":"tableCell","attrs":{},"content":[{"type":"paragraph","content":[{"type":"text","text":"196"}]}]}]},{"type":"tableRow","content":[{"type":"tableCell","attrs":{},"content":[{"type":"paragraph","content":[{"type":"text","text":"Stuck In  SFA"}]}]},{"type":"tableCell","attrs":{},"content":[{"type":"paragraph","content":[{"type":"text","text":"0"}]}]},{"type":"tableCell","attrs":{},"content":[{"type":"paragraph","content":[{"type":"text","text":"11"}]}]},{"type":"tableCell","attrs":{},"content":[{"type":"paragraph","content":[{"type":"text","text":"0"}]}]}]},{"type":"tableRow","content":[{"type":"tableCell","attrs":{},"content":[{"type":"paragraph","content":[{"type":"text","text":"Stuck In Rejected"}]}]},{"type":"tableCell","attrs":{},"content":[{"type":"paragraph","content":[{"type":"text","text":"0"}]}]},{"type":"tableCell","attrs":{},"content":[{"type":"paragraph","content":[{"type":"text","text":"0"}]}]},{"type":"tableCell","attrs":{},"content":[{"type":"paragraph","content":[{"type":"text","text":"0"}]}]}]}]}
{adf}
11 SKUs of Women's Apparel stuck in SFA Stage . Will informed once its resolved;This file has been uploaded. PFA the post production sheet and summary of Kids Apparel.
[^Summary (13ec462e-457c-4bb9-8dc9-91acf389991e).7z]
[^Post Upload Status_UCW-17355 (e7402f87-429b-4921-a614-c2318da6b15a).xlsx]
;This file has been uploaded. PFA the post production sheet and summary for accessories revised.
[^Summary Lot 2 (2).7z]
[^Post Upload stastusUCW-17355(Revised).xlsx]
;Post Uploaded Status for footwear
[^126517_Footwear(MPH13)_Kids(MPH1310)_Girls_Casual(MPH1310108)_Sneaker(MPH1310108105)_20250818_093348_173_summary.csv]
[^126517_Footwear(MPH13)_Kids(MPH1310)_Girls_Casual(MPH1310108)_Shoe_Slip-on(MPH1310108102)_20250818_093324_960_summary.csv]
[^126517_Footwear(MPH13)_Kids(MPH1310)_Girls_Casual(MPH1310108)_Sandal(MPH1310108103)_20250818_093303_829_summary.csv]
[^126517_Footwear(MPH13)_Kids(MPH1310)_Boys_Home__Beach_Wear(MPH1310104)_Flip_Flop(MPH1310104102)_20250818_093225_388_summary.csv]
[^126517_Footwear(MPH13)_Kids(MPH1310)_Boys_Home__Beach_Wear(MPH1310104)_Clog(MPH1310104101)_20250818_093204_156_summary.csv]
[^126517_Footwear(MPH13)_Kids(MPH1310)_Boys_Casual(MPH1310101)_Sneaker(MPH1310101105)_20250818_093140_017_summary.csv]
[^126517_Footwear(MPH13)_Women(MPH1312)_Casual(MPH1312101)_Sneaker(MPH1312101103)_20250818_093619_204_summary.csv]
[^126517_Footwear(MPH13)_Women(MPH1312)_Casual(MPH1312101)_Sandal(MPH1312101100)_20250818_093553_296_summary.csv]
[^126517_Footwear(MPH13)_Men(MPH1311)_Casual(MPH1311101)_Sneaker(MPH1311101104)_20250818_093535_931_summary.csv]
[^126517_Footwear(MPH13)_Men(MPH1311)_Casual(MPH1311101)_Shoe_Slip-on(MPH1311101102)_20250818_093517_301_summary.csv]
[^126517_Footwear(MPH13)_Men(MPH1311)_Casual(MPH1311101)_Sandal(MPH1311101100)_20250818_093459_171_summary.csv]
[^126517_Footwear(MPH13)_Men(MPH1311)_Casual(MPH1311101)_Boot(MPH1311101103)_20250818_093431_986_summary.csv]
[^126517_Footwear(MPH13)_Kids(MPH1310)_Girls_Home__Beach_Wear(MPH1310111)_Clog(MPH1310111101)_20250818_093413_917_summary.csv]
[^Post Upload Status_V.2 (1) (2).xlsx]
;Please find attached the sheet, where 60 options have been listed of Kid's Apparel.
 Kindly update the price and inventory, and share the summary once completed.
{adf:display=block}
{"type":"table","attrs":{"isNumberColumnEnabled":false,"layout":"center","localId":"8444dc73-65c1-4c0e-bae3-b1325d1d8d27"},"content":[{"type":"tableRow","content":[{"type":"tableCell","attrs":{"colspan":2,"background":"#caedfb"},"content":[{"type":"paragraph","content":[{"type":"text","text":"Brand name -Lifestyle-UCW-17355-19-08-2025","marks":[{"type":"strong"}]}]}]}]},{"type":"tableRow","content":[{"type":"tableCell","attrs":{"background":"#61cbf3"},"content":[{"type":"paragraph","content":[{"type":"text","text":"Status","marks":[{"type":"strong"}]}]}]},{"type":"tableCell","attrs":{"background":"#61cbf3"},"content":[{"type":"paragraph","content":[{"type":"text","text":"Count","marks":[{"type":"strong"}]}]}]}]},{"type":"tableRow","content":[{"type":"tableCell","attrs":{"background":"white"},"content":[{"type":"paragraph","content":[{"type":"text","text":"Total SKUs Received"}]}]},{"type":"tableCell","attrs":{"background":"white"},"content":[{"type":"paragraph","content":[{"type":"text","text":"417"}]}]}]},{"type":"tableRow","content":[{"type":"tableCell","attrs":{"background":"white"},"content":[{"type":"paragraph","content":[{"type":"text","text":"Successfully Uploaded"}]}]},{"type":"tableCell","attrs":{"background":"white"},"content":[{"type":"paragraph","content":[{"type":"text","text":"267"}]}]}]},{"type":"tableRow","content":[{"type":"tableCell","attrs":{},"content":[{"type":"paragraph","content":[{"type":"text","text":"SKUs Not Uploaded (Duplicate SKU)"}]}]},{"type":"tableCell","attrs":{"background":"white"},"content":[{"type":"paragraph","content":[{"type":"text","text":"150"}]}]}]},{"type":"tableRow","content":[{"type":"tableCell","attrs":{},"content":[{"type":"paragraph","content":[{"type":"text","text":"LIDs Shared"}]}]},{"type":"tableCell","attrs":{"background":"white"},"content":[{"type":"paragraph","content":[{"type":"text","text":"267"}]}]}]},{"type":"tableRow","content":[{"type":"tableCell","attrs":{},"content":[{"type":"paragraph","content":[{"type":"text","text":"Stuck In SFA"}]}]},{"type":"tableCell","attrs":{},"content":[{"type":"paragraph","content":[{"type":"text","text":"0"}]}]}]},{"type":"tableRow","content":[{"type":"tableCell","attrs":{},"content":[{"type":"paragraph","content":[{"type":"text","text":"Stuck In Rejected"}]}]},{"type":"tableCell","attrs":{},"content":[{"type":"paragraph","content":[{"type":"text","text":"0"}]}]}]}]}
{adf}
[^UCW-17355  KIDS APPAREL.xlsx]
;[^126517_Footwear(MPH13)_Women(MPH1312)_Casual(MPH1312101)_Sneaker(MPH1312101103)_20250819_065549_782_summary.csv]
Reupload done;[^UCW-17355  FOOTWEAR.xlsx]
Hi @Ummer Farooq,
Please find attached the sheet, where 49 options have been listed of Footwear.
 Kindly update the price and inventory, and share the summary once completed.
{adf:display=block}
{"type":"table","attrs":{"isNumberColumnEnabled":false,"layout":"center","localId":"38c374dd-72d9-4b8b-aec2-04984ee3aff1"},"content":[{"type":"tableRow","content":[{"type":"tableCell","attrs":{"colspan":2,"background":"#caedfb"},"content":[{"type":"paragraph","content":[{"type":"text","text":"Brand name-Lifestyle -UCW-17355","marks":[{"type":"strong"}]},{"type":"hardBreak"},{"type":"text","text":"19-08-2025","marks":[{"type":"strong"}]}]}]}]},{"type":"tableRow","content":[{"type":"tableCell","attrs":{"background":"#61cbf3"},"content":[{"type":"paragraph","content":[{"type":"text","text":"Status","marks":[{"type":"strong"}]}]}]},{"type":"tableCell","attrs":{"background":"#61cbf3"},"content":[{"type":"paragraph","content":[{"type":"text","text":"Count","marks":[{"type":"strong"}]}]}]}]},{"type":"tableRow","content":[{"type":"tableCell","attrs":{"background":"white"},"content":[{"type":"paragraph","content":[{"type":"text","text":"Total SKUs Received"}]}]},{"type":"tableCell","attrs":{"background":"white"},"content":[{"type":"paragraph","content":[{"type":"text","text":"267"}]}]}]},{"type":"tableRow","content":[{"type":"tableCell","attrs":{"background":"white"},"content":[{"type":"paragraph","content":[{"type":"text","text":"Successfully Uploaded"}]}]},{"type":"tableCell","attrs":{"background":"white"},"content":[{"type":"paragraph","content":[{"type":"text","text":"267"}]}]}]},{"type":"tableRow","content":[{"type":"tableCell","attrs":{},"content":[{"type":"paragraph","content":[{"type":"text","text":"LIDs Shared"}]}]},{"type":"tableCell","attrs":{"background":"white"},"content":[{"type":"paragraph","content":[{"type":"text","text":"267"}]}]}]},{"type":"tableRow","content":[{"type":"tableCell","attrs":{},"content":[{"type":"paragraph","content":[{"type":"text","text":"Stuck In SFA"}]}]},{"type":"tableCell","attrs":{},"content":[{"type":"paragraph","content":[{"type":"text","text":"0"}]}]}]},{"type":"tableRow","content":[{"type":"tableCell","attrs":{},"content":[{"type":"paragraph","content":[{"type":"text","text":"Stuck In Rejected"}]}]},{"type":"tableCell","attrs":{},"content":[{"type":"paragraph","content":[{"type":"text","text":"0"}]}]}]}]}
{adf};The size chart code has been updated through PCM. Once the changes are successfully reflected we will inform you accordingly.;The size chart code has been successfully reflected. Therefore, we will close this ticket for now. If you experience any further issues, please feel free to reach out to us.</t>
  </si>
  <si>
    <t>Date :07/14/2026  &lt;Ticket picked for pre processing SKU 1&gt; &lt;Tania&gt;
Date :07/14/2026 &lt;Ticket picked for Production and QC review SKU 1&gt; &lt;Tania&gt;
Date :07/14/2026 &lt;Ticket has been successfully uploaded in our system. SKU 1&gt; &lt;Tania&gt;;We have successfully uploaded this batch. Please find the attached summary sheet and summary report. [^UCW-34285_Post Upload Status.xlsx] [^ProductBulkUpload_125928_Beauty__Grooming(MPH22)_Tools_and_Accessories(MPH2217)_Hair_Tools_and_Devices(MPH2217101)_Hair_Straighteners_and_Curlers(MPH2217101103)_33887_1784021452261_20260714_0.csv] ;LIDs[^UCW-34285_Post Upload Status (eb1afed7-e465-4592-bffb-0790ebe59497).xlsx] 
{adf:display=block}
{"type":"table","attrs":{"isNumberColumnEnabled":false,"layout":"center","localId":"569da78c-cb0c-4734-91b7-d855cdd269fa"},"content":[{"type":"tableRow","attrs":{"localId":"20ca9a497a77"},"content":[{"type":"tableCell","attrs":{"localId":"90337b847c61","background":"#44b3e1"},"content":[{"type":"paragraph","content":[{"type":"text","text":"Ticket ID","marks":[{"type":"strong"}]}],"attrs":{"localId":"320cd8e71523"}}]},{"type":"tableCell","attrs":{"localId":"f537466fe0d5","colspan":2,"background":"#44b3e1"},"content":[{"type":"paragraph","content":[{"type":"text","text":"UCW-34285","marks":[{"type":"strong"}]}],"attrs":{"localId":"e8fe9d4aec35"}}]}]},{"type":"tableRow","attrs":{"localId":"f48c62de1b3a"},"content":[{"type":"tableCell","attrs":{"localId":"792b072bfe19","background":"#44b3e1"},"content":[{"type":"paragraph","content":[{"type":"text","text":"Brand Name","marks":[{"type":"strong"}]}],"attrs":{"localId":"d7b4ac436560"}}]},{"type":"tableCell","attrs":{"localId":"cc249173972b","colspan":2,"background":"#44b3e1"},"content":[{"type":"paragraph","content":[{"type":"text","text":"Dyson","marks":[{"type":"strong"}]}],"attrs":{"localId":"803069d07212"}}]}]},{"type":"tableRow","attrs":{"localId":"ae292ebbbb89"},"content":[{"type":"tableCell","attrs":{"localId":"d5274af589e2","background":"#ace5fe"},"content":[{"type":"paragraph","content":[{"type":"text","text":"Platform","marks":[{"type":"strong"}]}],"attrs":{"localId":"2ba023e225c0"}}]},{"type":"tableCell","attrs":{"localId":"5c78449c5c6f","colspan":2,"background":"#ace5fe"},"content":[{"type":"paragraph","content":[{"type":"text","text":"Mall, LUX","marks":[{"type":"strong"}]}],"attrs":{"localId":"3412026cd4d7"}}]}]},{"type":"tableRow","attrs":{"localId":"51a1941d384a"},"content":[{"type":"tableCell","attrs":{"localId":"952e7e571845","background":"#ace5fe"},"content":[{"type":"paragraph","content":[{"type":"text","text":"Particulars","marks":[{"type":"strong"}]}],"attrs":{"localId":"57d9f91ab314"}}]},{"type":"tableCell","attrs":{"localId":"18c8f9168de7","background":"#ace5fe"},"content":[{"type":"paragraph","content":[{"type":"text","text":"SKU Count","marks":[{"type":"strong"}]}],"attrs":{"localId":"332607ccffce"}}]},{"type":"tableCell","attrs":{"localId":"501fc38c28ba","background":"#ace5fe"},"content":[{"type":"paragraph","content":[{"type":"text","text":"Option Count","marks":[{"type":"strong"}]}],"attrs":{"localId":"ab3423570b75"}}]}]},{"type":"tableRow","attrs":{"localId":"1c0611c1aadb"},"content":[{"type":"tableCell","attrs":{"localId":"ed3780001724","background":"white"},"content":[{"type":"paragraph","content":[{"type":"text","text":"Received"}],"attrs":{"localId":"1e94c6713926"}}]},{"type":"tableCell","attrs":{"localId":"2fcc6d08a593"},"content":[{"type":"paragraph","content":[{"type":"text","text":"1"}],"attrs":{"localId":"eed868ea9588"}}]},{"type":"tableCell","attrs":{"localId":"ed4c95066b1a"},"content":[{"type":"paragraph","content":[{"type":"text","text":"1"}],"attrs":{"localId":"11218dca21fc"}}]}]},{"type":"tableRow","attrs":{"localId":"9cf8b0a9abcf"},"content":[{"type":"tableCell","attrs":{"localId":"1c40c4949557","background":"white"},"content":[{"type":"paragraph","content":[{"type":"text","text":"Uploaded"}],"attrs":{"localId":"26461b37ec31"}}]},{"type":"tableCell","attrs":{"localId":"bb5ab2d1ff22"},"content":[{"type":"paragraph","content":[{"type":"text","text":"1"}],"attrs":{"localId":"e2a1f9d1115c"}}]},{"type":"tableCell","attrs":{"localId":"df13d355a3c9"},"content":[{"type":"paragraph","content":[{"type":"text","text":"1"}],"attrs":{"localId":"7af70a491da0"}}]}]},{"type":"tableRow","attrs":{"localId":"693f3a9bf75a"},"content":[{"type":"tableCell","attrs":{"localId":"52ec9af23020","background":"white"},"content":[{"type":"paragraph","content":[{"type":"text","text":"LIDs Shared"}],"attrs":{"localId":"b2e3e534c552"}}]},{"type":"tableCell","attrs":{"localId":"84ae2d76d49d"},"content":[{"type":"paragraph","content":[{"type":"text","text":"1"}],"attrs":{"localId":"16303666bc05"}}]},{"type":"tableCell","attrs":{"localId":"f7d582111887"},"content":[{"type":"paragraph","content":[{"type":"text","text":"1"}],"attrs":{"localId":"2bdc63b4dfd3"}}]}]}]}
{adf}</t>
  </si>
  <si>
    <t>Date :07/14/2026 &lt;Ticket picked for pre processing Option 5 Sku 33&gt; &lt;Ankita&gt;;Date :07/14/2026 &lt;Ticket picked for Production and QC review Option 5 Sku 33&gt; &lt;Ankita&gt;;*Analysis Shared - Date :07/14/2026 &lt;Analysis Shared Processed Options 5 Rejected Options 0 Rejected Reason XXX&gt; &lt;Saswati Dey&gt;*;Date :07/14/2026 &lt;Ticket has been successfully uploaded in our system. Option 5 Sku 33&gt; &lt;Ankita&gt;[^Summary.zip] [^Post Upload Status_V.2 (1).xlsx] ;[^UCW-34280.xlsx]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7bb73b6-31e4-49bb-b517-3de1e314b3f9"},"content":[{"type":"tableRow","attrs":{"localId":"58780cccb503"},"content":[{"type":"tableCell","attrs":{"localId":"869718cff007","background":"#44b3e1"},"content":[{"type":"paragraph","content":[{"type":"text","text":"Ticket ID","marks":[{"type":"strong"}]}],"attrs":{"localId":"a573c182af54"}}]},{"type":"tableCell","attrs":{"localId":"9ebb0f3dd5c1","colspan":2,"background":"#44b3e1"},"content":[{"type":"paragraph","content":[{"type":"text","text":"UCW-34280","marks":[{"type":"strong"}]}],"attrs":{"localId":"745034dbcd79"}}]}]},{"type":"tableRow","attrs":{"localId":"3fc82f3adae7"},"content":[{"type":"tableCell","attrs":{"localId":"450feeb154e0","background":"#44b3e1"},"content":[{"type":"paragraph","content":[{"type":"text","text":"Brand Name","marks":[{"type":"strong"}]}],"attrs":{"localId":"9cff58262c36"}}]},{"type":"tableCell","attrs":{"localId":"737ca0bc1b9e","colspan":2,"background":"#44b3e1"},"content":[{"type":"paragraph","content":[{"type":"text","text":"Lotto","marks":[{"type":"strong"}]}],"attrs":{"localId":"5e6e88ec948e"}}]}]},{"type":"tableRow","attrs":{"localId":"0548279b8c95"},"content":[{"type":"tableCell","attrs":{"localId":"ecbabf844b5b","background":"#ace5fe"},"content":[{"type":"paragraph","content":[{"type":"text","text":"Platform","marks":[{"type":"strong"}]}],"attrs":{"localId":"d12bfb8a1cf1"}}]},{"type":"tableCell","attrs":{"localId":"06fac39a598a","colspan":2,"background":"#ace5fe"},"content":[{"type":"paragraph","content":[{"type":"text","text":"Mall","marks":[{"type":"strong"}]}],"attrs":{"localId":"00aef57e817b"}}]}]},{"type":"tableRow","attrs":{"localId":"6bc75ec82200"},"content":[{"type":"tableCell","attrs":{"localId":"0c7c81982eb8","background":"#ace5fe"},"content":[{"type":"paragraph","content":[{"type":"text","text":"Particulars","marks":[{"type":"strong"}]}],"attrs":{"localId":"ba66f4e0f568"}}]},{"type":"tableCell","attrs":{"localId":"928f16ce789c","background":"#ace5fe"},"content":[{"type":"paragraph","content":[{"type":"text","text":"SKU Count","marks":[{"type":"strong"}]}],"attrs":{"localId":"9b2381d15d23"}}]},{"type":"tableCell","attrs":{"localId":"0fe9bec6d313","background":"#ace5fe"},"content":[{"type":"paragraph","content":[{"type":"text","text":"Option Count","marks":[{"type":"strong"}]}],"attrs":{"localId":"f86a40568c24"}}]}]},{"type":"tableRow","attrs":{"localId":"485f67bdb638"},"content":[{"type":"tableCell","attrs":{"localId":"d094d3e0f513","background":"white"},"content":[{"type":"paragraph","content":[{"type":"text","text":"Received"}],"attrs":{"localId":"21096113b936"}}]},{"type":"tableCell","attrs":{"localId":"cd46ff2040eb"},"content":[{"type":"paragraph","content":[{"type":"text","text":"33"}],"attrs":{"localId":"35843c4e0b19"}}]},{"type":"tableCell","attrs":{"localId":"fb9f4971a1d3"},"content":[{"type":"paragraph","content":[{"type":"text","text":"5"}],"attrs":{"localId":"429b7fd4db66"}}]}]},{"type":"tableRow","attrs":{"localId":"e1e0a88cf4d4"},"content":[{"type":"tableCell","attrs":{"localId":"2f839fbe115e","background":"white"},"content":[{"type":"paragraph","content":[{"type":"text","text":"Uploaded"}],"attrs":{"localId":"73b518ba9950"}}]},{"type":"tableCell","attrs":{"localId":"d7168d5d733c"},"content":[{"type":"paragraph","content":[{"type":"text","text":"33"}],"attrs":{"localId":"b17d910e6faa"}}]},{"type":"tableCell","attrs":{"localId":"138ee67dfd32"},"content":[{"type":"paragraph","content":[{"type":"text","text":"5"}],"attrs":{"localId":"0ead1960af36"}}]}]},{"type":"tableRow","attrs":{"localId":"4ed5b301dd87"},"content":[{"type":"tableCell","attrs":{"localId":"e612e93a1e40","background":"white"},"content":[{"type":"paragraph","content":[{"type":"text","text":"LIDs Shared"}],"attrs":{"localId":"c23594ab5231"}}]},{"type":"tableCell","attrs":{"localId":"00d522c9f469"},"content":[{"type":"paragraph","content":[{"type":"text","text":"33"}],"attrs":{"localId":"eb042eaf578a"}}]},{"type":"tableCell","attrs":{"localId":"8b8d4ffc664c"},"content":[{"type":"paragraph","content":[{"type":"text","text":"5"}],"attrs":{"localId":"c29e3a039da3"}}]}]},{"type":"tableRow","attrs":{"localId":"19c47a0271a9"},"content":[{"type":"tableCell","attrs":{"localId":"059cc71fe003","background":"white"},"content":[{"type":"paragraph","content":[{"type":"text","text":"LIDs Stuck in the System"}],"attrs":{"localId":"a61f0af6dcdc"}}]},{"type":"tableCell","attrs":{"localId":"1376563748be"},"content":[{"type":"paragraph","content":[{"type":"text","text":"0"}],"attrs":{"localId":"3621d9d300e2"}}]},{"type":"tableCell","attrs":{"localId":"7650f85b2d5d"},"content":[{"type":"paragraph","content":[{"type":"text","text":"0"}],"attrs":{"localId":"b9b7854eec53"}}]}]}]}
{adf}
With this, we are closing this request from our end.
Thank you for your patience, support, and cooperation throughout the process. Your brand is important to us, and we look forward to assisting you again.</t>
  </si>
  <si>
    <t>Jockey</t>
  </si>
  <si>
    <t>Date :07/13/2026 &lt;Ticket picked for pre processing Option: 61 SKU: 612&gt; &lt;Sanjana Ghosh&gt;;Date :07/15/2026  &lt;Pre Processing query to Brand &lt;Incorrect Fabric, Mandatory image missing, Size grid not provided, duplicate sku &gt;&gt; &lt;Anwesha Mondal&gt; ;Date :07/16/2026 &lt; Pre Processing query to Brand 1st Follow Up&gt; &lt;Anwesha Mondal&gt;</t>
  </si>
  <si>
    <t>Davidoff</t>
  </si>
  <si>
    <t>Date :07/14/2026 &lt;Ticket picked for pre processing SKU 6&gt; &lt;Tania&gt;;Date :07/14/2026 &lt;Pre Processing query to Brand &lt;Manufacturer Nd COO is Mismatched&gt;&gt; &lt;Tania&gt;;|Date :07/14/2026 &lt;Ticket picked for Production and QC review SKU 6&gt; &lt;Tania&gt;|
|Date :07/14/2026 &lt;Ticket has been successfully uploaded in our system. SKU 6&gt; &lt;Tania&gt;|;We have successfully uploaded this batch. Please find the attached summary sheet and summary report.[^ProductBulkUpload_125928_Beauty__Grooming(MPH22)_Fragrances_and_Perfumes(MPH2211)_Fragrances(MPH2211100)_Perfumes(MPH2211100104)_33887_1784027455731_20260714_044055_874_summary.csv] [^UCW-34270_Post Upload Status.xlsx] ;07/16/2026&lt;Stuck in SFA, Take needful action&gt;&lt;Debabrata&gt;[^125928_product_retrigger_BULK_UPLOAD_summary.csv] ;[^UCW-34270_Post Upload Status (ddb13d18-cecf-4700-b55d-c9d1301f376f).xlsx]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88927939-3dbf-4cea-ba42-4d887fadcbb7"},"content":[{"type":"tableRow","attrs":{"localId":"3c4c34065b58"},"content":[{"type":"tableCell","attrs":{"localId":"a8eab59e9ca3","background":"#44b3e1"},"content":[{"type":"paragraph","content":[{"type":"text","text":"Ticket ID","marks":[{"type":"strong"}]}],"attrs":{"localId":"731cf029e0a9"}}]},{"type":"tableCell","attrs":{"localId":"7014bb9c8629","colspan":2,"background":"#44b3e1"},"content":[{"type":"paragraph","content":[{"type":"text","text":"UCW-34270","marks":[{"type":"strong"}]}],"attrs":{"localId":"b304585e12a3"}}]}]},{"type":"tableRow","attrs":{"localId":"7e2b93eda598"},"content":[{"type":"tableCell","attrs":{"localId":"0ac7a1267a67","background":"#44b3e1"},"content":[{"type":"paragraph","content":[{"type":"text","text":"Brand Name","marks":[{"type":"strong"}]}],"attrs":{"localId":"5cea92620018"}}]},{"type":"tableCell","attrs":{"localId":"87800da43ee1","colspan":2,"background":"#44b3e1"},"content":[{"type":"paragraph","content":[{"type":"text","text":"Davidoff","marks":[{"type":"strong"}]}],"attrs":{"localId":"2c54fdeb409b"}}]}]},{"type":"tableRow","attrs":{"localId":"cea901afd380"},"content":[{"type":"tableCell","attrs":{"localId":"e0db6cfc72b1","background":"#ace5fe"},"content":[{"type":"paragraph","content":[{"type":"text","text":"Platform","marks":[{"type":"strong"}]}],"attrs":{"localId":"756445d58ead"}}]},{"type":"tableCell","attrs":{"localId":"212087207b8a","colspan":2,"background":"#ace5fe"},"content":[{"type":"paragraph","content":[{"type":"text","text":"Mall + Luxury","marks":[{"type":"strong"}]}],"attrs":{"localId":"812dc850a913"}}]}]},{"type":"tableRow","attrs":{"localId":"28c90acc26e8"},"content":[{"type":"tableCell","attrs":{"localId":"49831704c6ab","background":"#ace5fe"},"content":[{"type":"paragraph","content":[{"type":"text","text":"Particulars","marks":[{"type":"strong"}]}],"attrs":{"localId":"802a0389b60e"}}]},{"type":"tableCell","attrs":{"localId":"af825c8a54a8","background":"#ace5fe"},"content":[{"type":"paragraph","content":[{"type":"text","text":"SKU Count","marks":[{"type":"strong"}]}],"attrs":{"localId":"aae4736fa30c"}}]},{"type":"tableCell","attrs":{"localId":"698834f241d7","background":"#ace5fe"},"content":[{"type":"paragraph","content":[{"type":"text","text":"Option Count","marks":[{"type":"strong"}]}],"attrs":{"localId":"3c8ac6371e3f"}}]}]},{"type":"tableRow","attrs":{"localId":"c888ce0b6d8a"},"content":[{"type":"tableCell","attrs":{"localId":"e583ff9ce3f5","background":"white"},"content":[{"type":"paragraph","content":[{"type":"text","text":"Received"}],"attrs":{"localId":"22bb748b077a"}}]},{"type":"tableCell","attrs":{"localId":"1b027428a987"},"content":[{"type":"paragraph","content":[{"type":"text","text":"6"}],"attrs":{"localId":"c6dc79ee0419"}}]},{"type":"tableCell","attrs":{"localId":"412095e13b0c"},"content":[{"type":"paragraph","content":[{"type":"text","text":"6"}],"attrs":{"localId":"0f0a31f948b5"}}]}]},{"type":"tableRow","attrs":{"localId":"3e75909ac1ad"},"content":[{"type":"tableCell","attrs":{"localId":"6bcfa86cb312","background":"white"},"content":[{"type":"paragraph","content":[{"type":"text","text":"Uploaded"}],"attrs":{"localId":"787319160a37"}}]},{"type":"tableCell","attrs":{"localId":"0a2e38fe4cfb"},"content":[{"type":"paragraph","content":[{"type":"text","text":"6"}],"attrs":{"localId":"e83f537caa29"}}]},{"type":"tableCell","attrs":{"localId":"0b94fc017d54"},"content":[{"type":"paragraph","content":[{"type":"text","text":"6"}],"attrs":{"localId":"db42bae88c00"}}]}]},{"type":"tableRow","attrs":{"localId":"29493f2f044d"},"content":[{"type":"tableCell","attrs":{"localId":"8ef12826a5f0","background":"white"},"content":[{"type":"paragraph","content":[{"type":"text","text":"SKUs not uploaded"}],"attrs":{"localId":"819e99326167"}}]},{"type":"tableCell","attrs":{"localId":"1ca40774791e"},"content":[{"type":"paragraph","content":[{"type":"text","text":"0"}],"attrs":{"localId":"c344e64a4f7b"}}]},{"type":"tableCell","attrs":{"localId":"131aba9b3e3e"},"content":[{"type":"paragraph","content":[{"type":"text","text":"0"}],"attrs":{"localId":"4d222e9f0ced"}}]}]},{"type":"tableRow","attrs":{"localId":"020bd4acc139"},"content":[{"type":"tableCell","attrs":{"localId":"1d76ca1485e2","background":"white"},"content":[{"type":"paragraph","content":[{"type":"text","text":"LIDs Shared"}],"attrs":{"localId":"ee42ce89bba0"}}]},{"type":"tableCell","attrs":{"localId":"dd3abb833d90"},"content":[{"type":"paragraph","content":[{"type":"text","text":"6"}],"attrs":{"localId":"5d65c9d3b574"}}]},{"type":"tableCell","attrs":{"localId":"5c067b9652cc"},"content":[{"type":"paragraph","content":[{"type":"text","text":"6"}],"attrs":{"localId":"d4a8cf233f38"}}]}]},{"type":"tableRow","attrs":{"localId":"5d40899a7a9f"},"content":[{"type":"tableCell","attrs":{"localId":"c111f8a3bb37","background":"white"},"content":[{"type":"paragraph","content":[{"type":"text","text":"LIDs Stuck in the System"}],"attrs":{"localId":"5957fb9b2ef1"}}]},{"type":"tableCell","attrs":{"localId":"75b0297c6361"},"content":[{"type":"paragraph","content":[{"type":"text","text":"0"}],"attrs":{"localId":"916eaa2338bd"}}]},{"type":"tableCell","attrs":{"localId":"540e5c799558"},"content":[{"type":"paragraph","content":[{"type":"text","text":"0"}],"attrs":{"localId":"6ae655fb175c"}}]}]}]}
{adf}
With this, we are closing this request from our end.
Thank you for your patience, support, and cooperation throughout the process. Your brand is important to us, and we look forward to assisting you again.</t>
  </si>
  <si>
    <t>Date :07/13/2026 &lt;Ticket picked for pre processing Option 69 Sku 77&gt; &lt;Ankita&gt;;Date :07/13/2026 &lt;Pre Processing query to Brand &lt;Size chart, MRP missing, Duplicate Seller Article SKU, Image NA issues&gt;&gt; &lt;Ishani&gt;;Date :07/13/2026 &lt;Ticket picked for Production and QC review Option 67 Sku 74&gt; &lt;Ishani&gt;;Date :07/14/2026 &lt; Pre Processing query to Brand 1st Follow Up&gt; &lt;Ishani&gt;;Date :07/14/2026 &lt;Ticket has been successfully uploaded in our system. Option 64 Sku 71&gt; &lt;Ishani&gt;
[^Post Upload Status_V.2 (1) (1).xlsx]
[^Summary.zip]
;[^UCW-34254 LIDs.xlsx]
LIDs 
{adf:display=block}
{"type":"table","attrs":{"isNumberColumnEnabled":false,"layout":"center","localId":"8b982473-fa14-4d56-b4fa-a119baa69211"},"content":[{"type":"tableRow","attrs":{"localId":"df1e76957db5"},"content":[{"type":"tableCell","attrs":{"localId":"cce0ea18cfae","background":"#44b3e1"},"content":[{"type":"paragraph","content":[{"type":"text","text":"Ticket ID","marks":[{"type":"strong"}]}],"attrs":{"localId":"e210fb5bd49e"}}]},{"type":"tableCell","attrs":{"localId":"1eba3e9e7b56","colspan":2,"background":"#44b3e1"},"content":[{"type":"paragraph","content":[{"type":"text","text":"UCW-34254","marks":[{"type":"strong"}]}],"attrs":{"localId":"5f9df4381de7"}}]}]},{"type":"tableRow","attrs":{"localId":"547cbd123ed3"},"content":[{"type":"tableCell","attrs":{"localId":"df98acc9d1c9","background":"#44b3e1"},"content":[{"type":"paragraph","content":[{"type":"text","text":"Brand Name","marks":[{"type":"strong"}]}],"attrs":{"localId":"2b9081412722"}}]},{"type":"tableCell","attrs":{"localId":"30a333be3927","colspan":2,"background":"#44b3e1"},"content":[{"type":"paragraph","content":[{"type":"text","text":"ON","marks":[{"type":"strong"}]}],"attrs":{"localId":"cb8323bd2552"}}]}]},{"type":"tableRow","attrs":{"localId":"c26497308d5c"},"content":[{"type":"tableCell","attrs":{"localId":"1c4a775e79c2","background":"#ace5fe"},"content":[{"type":"paragraph","content":[{"type":"text","text":"Platform","marks":[{"type":"strong"}]}],"attrs":{"localId":"0c4c58c5603c"}}]},{"type":"tableCell","attrs":{"localId":"0fb632263721","colspan":2,"background":"#ace5fe"},"content":[{"type":"paragraph","content":[{"type":"text","text":"LUX","marks":[{"type":"strong"}]}],"attrs":{"localId":"9e16f4866e22"}}]}]},{"type":"tableRow","attrs":{"localId":"1f177a70ad57"},"content":[{"type":"tableCell","attrs":{"localId":"8d034655f9c2","background":"#ace5fe"},"content":[{"type":"paragraph","content":[{"type":"text","text":"Particulars","marks":[{"type":"strong"}]}],"attrs":{"localId":"8d7abd3d0245"}}]},{"type":"tableCell","attrs":{"localId":"756089415841","background":"#ace5fe"},"content":[{"type":"paragraph","content":[{"type":"text","text":"SKU Count","marks":[{"type":"strong"}]}],"attrs":{"localId":"eee468cc7609"}}]},{"type":"tableCell","attrs":{"localId":"01ed7c08e43d","background":"#ace5fe"},"content":[{"type":"paragraph","content":[{"type":"text","text":"Option Count","marks":[{"type":"strong"}]}],"attrs":{"localId":"4bd06d511f79"}}]}]},{"type":"tableRow","attrs":{"localId":"99bb3af37fa8"},"content":[{"type":"tableCell","attrs":{"localId":"f43dbcf44d71","background":"white"},"content":[{"type":"paragraph","content":[{"type":"text","text":"Received"}],"attrs":{"localId":"0b044ed781b1"}}]},{"type":"tableCell","attrs":{"localId":"f55e8ed06ceb"},"content":[{"type":"paragraph","content":[{"type":"text","text":"77"}],"attrs":{"localId":"1afe2d8d37f3"}}]},{"type":"tableCell","attrs":{"localId":"4f7328ece4b6"},"content":[{"type":"paragraph","content":[{"type":"text","text":"70"}],"attrs":{"localId":"619b7c702860"}}]}]},{"type":"tableRow","attrs":{"localId":"545db3a99488"},"content":[{"type":"tableCell","attrs":{"localId":"9ca74dcabe5f","background":"white"},"content":[{"type":"paragraph","content":[{"type":"text","text":"Brand asked to hold"}],"attrs":{"localId":"011db0b53bbd"}}]},{"type":"tableCell","attrs":{"localId":"6aecdff7051e"},"content":[{"type":"paragraph","content":[{"type":"text","text":"6"}],"attrs":{"localId":"66b660171065"}}]},{"type":"tableCell","attrs":{"localId":"546e15664672"},"content":[{"type":"paragraph","content":[{"type":"text","text":"6"}],"attrs":{"localId":"7bc86d8dd85d"}}]}]},{"type":"tableRow","attrs":{"localId":"b8a5b6a3684e"},"content":[{"type":"tableCell","attrs":{"localId":"ba796bc2d7c7","background":"white"},"content":[{"type":"paragraph","content":[{"type":"text","text":"Uploaded"}],"attrs":{"localId":"15f4ccd1d87d"}}]},{"type":"tableCell","attrs":{"localId":"978e28c88304"},"content":[{"type":"paragraph","content":[{"type":"text","text":"71"}],"attrs":{"localId":"003d0632482e"}}]},{"type":"tableCell","attrs":{"localId":"8c8f99fbf5c2"},"content":[{"type":"paragraph","content":[{"type":"text","text":"64"}],"attrs":{"localId":"a0bd269fea59"}}]}]},{"type":"tableRow","attrs":{"localId":"749dafa50a54"},"content":[{"type":"tableCell","attrs":{"localId":"d8d72ffacc1c","background":"white"},"content":[{"type":"paragraph","content":[{"type":"text","text":"LIDs Shared"}],"attrs":{"localId":"28917b251293"}}]},{"type":"tableCell","attrs":{"localId":"baadaffbaf2a"},"content":[{"type":"paragraph","content":[{"type":"text","text":"28"}],"attrs":{"localId":"f9d036c44f87"}}]},{"type":"tableCell","attrs":{"localId":"6187517f2bcb"},"content":[{"type":"paragraph","content":[{"type":"text","text":"28"}],"attrs":{"localId":"11ad86b67d3c"}}]}]},{"type":"tableRow","attrs":{"localId":"8c615046d4cd"},"content":[{"type":"tableCell","attrs":{"localId":"bf7ce0b73698","background":"white"},"content":[{"type":"paragraph","content":[{"type":"text","text":"Send for Approval Stage"}],"attrs":{"localId":"cf6bca17b82d"}}]},{"type":"tableCell","attrs":{"localId":"a2edc9838cc3"},"content":[{"type":"paragraph","content":[{"type":"text","text":"43"}],"attrs":{"localId":"8b978b752b91"}}]},{"type":"tableCell","attrs":{"localId":"8d37016c8b8f"},"content":[{"type":"paragraph","content":[{"type":"text","text":"36"}],"attrs":{"localId":"6ff3c2225657"}}]}]}]}
{adf};[^UCW-34254 LIDs (b490a95a-e3b3-4855-9b2b-1b184b9a26ef).xlsx]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c20d0ac-2071-4e8b-b044-4db8f4346654"},"content":[{"type":"tableRow","attrs":{"localId":"bfe46a7933e3"},"content":[{"type":"tableCell","attrs":{"localId":"1f98546b6fec","background":"#44b3e1"},"content":[{"type":"paragraph","content":[{"type":"text","text":"Ticket ID","marks":[{"type":"strong"}]}],"attrs":{"localId":"e8a56ad57910"}}]},{"type":"tableCell","attrs":{"localId":"d4bee4baf10a","colspan":2,"background":"#44b3e1"},"content":[{"type":"paragraph","content":[{"type":"text","text":"UCW-34254","marks":[{"type":"strong"}]}],"attrs":{"localId":"2ef703eab6f6"}}]}]},{"type":"tableRow","attrs":{"localId":"a72ae1f9b919"},"content":[{"type":"tableCell","attrs":{"localId":"43dafff52969","background":"#44b3e1"},"content":[{"type":"paragraph","content":[{"type":"text","text":"Brand Name","marks":[{"type":"strong"}]}],"attrs":{"localId":"3b3dab999cc6"}}]},{"type":"tableCell","attrs":{"localId":"a2d5af699141","colspan":2,"background":"#44b3e1"},"content":[{"type":"paragraph","content":[{"type":"text","text":"ON","marks":[{"type":"strong"}]}],"attrs":{"localId":"ca43d9d76de8"}}]}]},{"type":"tableRow","attrs":{"localId":"1b3c00e67a1f"},"content":[{"type":"tableCell","attrs":{"localId":"977a92806e29","background":"#ace5fe"},"content":[{"type":"paragraph","content":[{"type":"text","text":"Platform","marks":[{"type":"strong"}]}],"attrs":{"localId":"c9f8b49c151d"}}]},{"type":"tableCell","attrs":{"localId":"c9a422f42ca1","colspan":2,"background":"#ace5fe"},"content":[{"type":"paragraph","content":[{"type":"text","text":"Luxury","marks":[{"type":"strong"}]}],"attrs":{"localId":"8bc351a1727f"}}]}]},{"type":"tableRow","attrs":{"localId":"fc7b27fe57ca"},"content":[{"type":"tableCell","attrs":{"localId":"8e5285aff1b9","background":"#ace5fe"},"content":[{"type":"paragraph","content":[{"type":"text","text":"Particulars","marks":[{"type":"strong"}]}],"attrs":{"localId":"a10af44f54f9"}}]},{"type":"tableCell","attrs":{"localId":"1986b3b7c920","background":"#ace5fe"},"content":[{"type":"paragraph","content":[{"type":"text","text":"SKU Count","marks":[{"type":"strong"}]}],"attrs":{"localId":"2b940c19afcc"}}]},{"type":"tableCell","attrs":{"localId":"dff299ed0c77","background":"#ace5fe"},"content":[{"type":"paragraph","content":[{"type":"text","text":"Option Count","marks":[{"type":"strong"}]}],"attrs":{"localId":"7e6167f57fb7"}}]}]},{"type":"tableRow","attrs":{"localId":"8ee35bd7674a"},"content":[{"type":"tableCell","attrs":{"localId":"a0975486953e","background":"white"},"content":[{"type":"paragraph","content":[{"type":"text","text":"Received"}],"attrs":{"localId":"a24040004fe6"}}]},{"type":"tableCell","attrs":{"localId":"1ef6e6f6e73a"},"content":[{"type":"paragraph","content":[{"type":"text","text":"77"}],"attrs":{"localId":"ba62020b5c4b"}}]},{"type":"tableCell","attrs":{"localId":"6355e35b0e43"},"content":[{"type":"paragraph","content":[{"type":"text","text":"70"}],"attrs":{"localId":"a6f22aefbf72"}}]}]},{"type":"tableRow","attrs":{"localId":"74ceceff6cfa"},"content":[{"type":"tableCell","attrs":{"localId":"2335a552e9c1","background":"white"},"content":[{"type":"paragraph","content":[{"type":"text","text":"Brand asked to uploaded"}],"attrs":{"localId":"6f9ec8a053dc"}}]},{"type":"tableCell","attrs":{"localId":"8a8e32767d92"},"content":[{"type":"paragraph","content":[{"type":"text","text":"4"}],"attrs":{"localId":"be01f186ad73"}}]},{"type":"tableCell","attrs":{"localId":"4f30ca3da288"},"content":[{"type":"paragraph","content":[{"type":"text","text":"4"}],"attrs":{"localId":"8739f224a78a"}}]}]},{"type":"tableRow","attrs":{"localId":"610530dc8780"},"content":[{"type":"tableCell","attrs":{"localId":"f82e38b8b76f","background":"white"},"content":[{"type":"paragraph","content":[{"type":"text","text":"Uploaded"}],"attrs":{"localId":"40302d0a8c9c"}}]},{"type":"tableCell","attrs":{"localId":"ca478c0b42cc"},"content":[{"type":"paragraph","content":[{"type":"text","text":"71"}],"attrs":{"localId":"3346c2e27cdc"}}]},{"type":"tableCell","attrs":{"localId":"45fed8785a13"},"content":[{"type":"paragraph","content":[{"type":"text","text":"64"}],"attrs":{"localId":"04831a824db5"}}]}]},{"type":"tableRow","attrs":{"localId":"565864184655"},"content":[{"type":"tableCell","attrs":{"localId":"273442458ac6","background":"white"},"content":[{"type":"paragraph","content":[{"type":"text","text":"Duplicate SKUs"}],"attrs":{"localId":"293a3eab32e7"}}]},{"type":"tableCell","attrs":{"localId":"fc6d872294f4"},"content":[{"type":"paragraph","content":[{"type":"text","text":"2"}],"attrs":{"localId":"8c76c43de437"}}]},{"type":"tableCell","attrs":{"localId":"213d2e180668"},"content":[{"type":"paragraph","content":[{"type":"text","text":"2"}],"attrs":{"localId":"c8f25eaf67d7"}}]}]},{"type":"tableRow","attrs":{"localId":"dd33edda8522"},"content":[{"type":"tableCell","attrs":{"localId":"02c2a46e49a0","background":"white"},"content":[{"type":"paragraph","content":[{"type":"text","text":"LIDs Shared"}],"attrs":{"localId":"507c577f860d"}}]},{"type":"tableCell","attrs":{"localId":"63c17b8ee66b"},"content":[{"type":"paragraph","content":[{"type":"text","text":"71"}],"attrs":{"localId":"f06bd83036a3"}}]},{"type":"tableCell","attrs":{"localId":"72aa0b577b89"},"content":[{"type":"paragraph","content":[{"type":"text","text":"64"}],"attrs":{"localId":"c633e2e6d496"}}]}]},{"type":"tableRow","attrs":{"localId":"da8eff2a061c"},"content":[{"type":"tableCell","attrs":{"localId":"0303b60b6feb","background":"white"},"content":[{"type":"paragraph","content":[{"type":"text","text":"LIDs Stuck in the System"}],"attrs":{"localId":"7785e9cfde8f"}}]},{"type":"tableCell","attrs":{"localId":"de11bb18b293"},"content":[{"type":"paragraph","content":[{"type":"text","text":"0"}],"attrs":{"localId":"2ba880d7bff9"}}]},{"type":"tableCell","attrs":{"localId":"ecc163821bc3"},"content":[{"type":"paragraph","content":[{"type":"text","text":"0"}],"attrs":{"localId":"d19cb64eea9f"}}]}]}]}
{adf}
With this, we are closing this request from our end.
Thank you for your patience, support, and cooperation throughout the process. Your brand is important to us, and we look forward to assisting you again.</t>
  </si>
  <si>
    <t>Date: 13th Jul 2026, This ticket has been picked for Pre-Processing and Image Analysis -Mousumi. 
Date: 13th Jul 2026,  Production Done-Mousumi
Date: 13th Jul 2026, -Imges Done-Saswati
Date: 13th Jul 2026,  Description -Khushnuma
QC &amp; Uploade WIP-Mousumi;Date: 14th Jul 2026 , Qc &amp; Uploaded Done-Mousumi.
PFA the Summary &amp; Post-Uploaded Sheet[^UCW-34250 Post Upload Status_V.2 (1).xlsx] [^Summary.zip] ;[^UCW-34250.xlsx]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c759152-cef3-4d70-b739-8e9105baf20f"},"content":[{"type":"tableRow","attrs":{"localId":"f4af91fb5444"},"content":[{"type":"tableCell","attrs":{"localId":"332a9ffaebd8","background":"#44b3e1"},"content":[{"type":"paragraph","content":[{"type":"text","text":"Ticket ID","marks":[{"type":"strong"}]}],"attrs":{"localId":"55c947ac2454"}}]},{"type":"tableCell","attrs":{"localId":"67d6e5b6834a","colspan":2,"background":"#44b3e1"},"content":[{"type":"paragraph","content":[{"type":"text","text":"UCW-34250","marks":[{"type":"strong"}]}],"attrs":{"localId":"bdb721b309c7"}}]}]},{"type":"tableRow","attrs":{"localId":"2f68850a005b"},"content":[{"type":"tableCell","attrs":{"localId":"db634cf776ed","background":"#44b3e1"},"content":[{"type":"paragraph","content":[{"type":"text","text":"Brand Name","marks":[{"type":"strong"}]}],"attrs":{"localId":"ac1cda5b4a36"}}]},{"type":"tableCell","attrs":{"localId":"8f214ccc2d1b","colspan":2,"background":"#44b3e1"},"content":[{"type":"paragraph","content":[{"type":"text","text":"Ornate Jewels","marks":[{"type":"strong"}]}],"attrs":{"localId":"1ed179a8ee3b"}}]}]},{"type":"tableRow","attrs":{"localId":"7ab9b68b0e30"},"content":[{"type":"tableCell","attrs":{"localId":"190e05d272ce","background":"#ace5fe"},"content":[{"type":"paragraph","content":[{"type":"text","text":"Platform","marks":[{"type":"strong"}]}],"attrs":{"localId":"9d286bcfc711"}}]},{"type":"tableCell","attrs":{"localId":"72bf44f55b34","colspan":2,"background":"#ace5fe"},"content":[{"type":"paragraph","content":[{"type":"text","text":"Mall","marks":[{"type":"strong"}]}],"attrs":{"localId":"d94fb07d8415"}}]}]},{"type":"tableRow","attrs":{"localId":"5cdc91086e2c"},"content":[{"type":"tableCell","attrs":{"localId":"fb9d18a4e366","background":"#ace5fe"},"content":[{"type":"paragraph","content":[{"type":"text","text":"Particulars","marks":[{"type":"strong"}]}],"attrs":{"localId":"a06f9831fa19"}}]},{"type":"tableCell","attrs":{"localId":"8205383bfe0c","background":"#ace5fe"},"content":[{"type":"paragraph","content":[{"type":"text","text":"SKU Count","marks":[{"type":"strong"}]}],"attrs":{"localId":"f8e1b8efbb03"}}]},{"type":"tableCell","attrs":{"localId":"216b0c96337e","background":"#ace5fe"},"content":[{"type":"paragraph","content":[{"type":"text","text":"Option Count","marks":[{"type":"strong"}]}],"attrs":{"localId":"6551b57bec34"}}]}]},{"type":"tableRow","attrs":{"localId":"06cf1db51437"},"content":[{"type":"tableCell","attrs":{"localId":"c9b621d7b52e","background":"white"},"content":[{"type":"paragraph","content":[{"type":"text","text":"Received"}],"attrs":{"localId":"77c8b8589884"}}]},{"type":"tableCell","attrs":{"localId":"b19a128da78a"},"content":[{"type":"paragraph","content":[{"type":"text","text":"10"}],"attrs":{"localId":"69bcd43625c9"}}]},{"type":"tableCell","attrs":{"localId":"5f697794cb68"},"content":[{"type":"paragraph","content":[{"type":"text","text":"10"}],"attrs":{"localId":"d9810c799d5f"}}]}]},{"type":"tableRow","attrs":{"localId":"8e858d6a2b61"},"content":[{"type":"tableCell","attrs":{"localId":"1c4816d30258","background":"white"},"content":[{"type":"paragraph","content":[{"type":"text","text":"Uploaded"}],"attrs":{"localId":"48840e12ca39"}}]},{"type":"tableCell","attrs":{"localId":"1b40a7651519"},"content":[{"type":"paragraph","content":[{"type":"text","text":"10"}],"attrs":{"localId":"e182586ba500"}}]},{"type":"tableCell","attrs":{"localId":"c70c206f6396"},"content":[{"type":"paragraph","content":[{"type":"text","text":"10"}],"attrs":{"localId":"8d6a2bfa9bbb"}}]}]},{"type":"tableRow","attrs":{"localId":"164ab972c236"},"content":[{"type":"tableCell","attrs":{"localId":"7194a2379a5a","background":"white"},"content":[{"type":"paragraph","content":[{"type":"text","text":"SKUs not Uploaded"}],"attrs":{"localId":"d70d41609642"}}]},{"type":"tableCell","attrs":{"localId":"7b2ca6083dd0"},"content":[{"type":"paragraph","content":[{"type":"text","text":"0"}],"attrs":{"localId":"2601d2026362"}}]},{"type":"tableCell","attrs":{"localId":"05b452038656"},"content":[{"type":"paragraph","content":[{"type":"text","text":"0"}],"attrs":{"localId":"4c29cf173423"}}]}]},{"type":"tableRow","attrs":{"localId":"600c645a97bb"},"content":[{"type":"tableCell","attrs":{"localId":"bce4772af9d4","background":"white"},"content":[{"type":"paragraph","content":[{"type":"text","text":"LIDs Shared"}],"attrs":{"localId":"2267d97573b5"}}]},{"type":"tableCell","attrs":{"localId":"2d7502f7f0ec"},"content":[{"type":"paragraph","content":[{"type":"text","text":"10"}],"attrs":{"localId":"a12ed68e61a9"}}]},{"type":"tableCell","attrs":{"localId":"755792cf26ab"},"content":[{"type":"paragraph","content":[{"type":"text","text":"10"}],"attrs":{"localId":"701e0600a2ac"}}]}]},{"type":"tableRow","attrs":{"localId":"b1e5a9a93f65"},"content":[{"type":"tableCell","attrs":{"localId":"4ea45484ae92","background":"white"},"content":[{"type":"paragraph","content":[{"type":"text","text":"LIDs Stuck in the System"}],"attrs":{"localId":"52c773506c88"}}]},{"type":"tableCell","attrs":{"localId":"2e7262da9e85"},"content":[{"type":"paragraph","content":[{"type":"text","text":"0"}],"attrs":{"localId":"1ca9fc54be92"}}]},{"type":"tableCell","attrs":{"localId":"3d5914ed491a"},"content":[{"type":"paragraph","content":[{"type":"text","text":"0"}],"attrs":{"localId":"ae46281d261b"}}]}]}]}
{adf}
With this, we are closing this request from our end.
Thank you for your patience, support, and cooperation throughout the process. Your brand is important to us, and we look forward to assisting you again."</t>
  </si>
  <si>
    <t>OnnMe</t>
  </si>
  <si>
    <t>Date : 13th Jul, 2026 This ticket has been picked for Pre-Processing and Image Analysis -Mousumi. 
Date : 13th Jul, 2026  Pre-Processing Done( Brand to Query for weight , warranty Type, time, Barclet size, CHain length, anklets length, ring size , Images)-Mousumi;Date : 14th Jul, 2026 1st Followup Done -Mousumi;Date :07/15/2026 &lt; Closing ticket as fashion jewelry not added in L1&gt; &lt;Mousumi&gt;</t>
  </si>
  <si>
    <t>Date: 13th July, 2026 Pre-Processing Done( Brand to Query for Assocition Code, STyle Code, Chain Length, Ring Size, Diamond Type, Total COunt Diamond, Total weight diamomd)-Mousumi.;*Image deliver - Date :07/13/2026 &lt;Images Delivered Processed Options 21 Rejected Options 1&gt; &lt;Saswati Dey&gt;*;*Image deliver - Date :07/14/2026 &lt;Images Delivered Processed Options 1 Rejected Options 0&gt; &lt;Saswati Dey&gt;*;Date: 14th July, 2026 Resolution has been received from the brand- Mousumi.
Date: 13th July, 2026 Production Done-Mousumi.
Date: 13th July, 2026 Description Done-Khushnuma
Date: 13th July, 2026 Images Done-Saawati
Date: 14th July, 2026 QC &amp; Uploaded Done-Mousumi
PFA the Summary &amp; Post-Uploaded Sheet [^Summary.zip] [^UCW-34233 Post Upload Status_V.2 (1).xlsx] 
;[^UCW-34233.xlsx]
{adf:display=block}
{"type":"table","attrs":{"isNumberColumnEnabled":false,"layout":"center","localId":"4a5aa8df-f718-4a72-855d-add8fda97e00"},"content":[{"type":"tableRow","attrs":{"localId":"b2782a0a396a"},"content":[{"type":"tableCell","attrs":{"localId":"3c429c54d0b6","background":"#44b3e1"},"content":[{"type":"paragraph","content":[{"type":"text","text":"Ticket ID","marks":[{"type":"strong"}]}],"attrs":{"localId":"f2933829e857"}}]},{"type":"tableCell","attrs":{"localId":"a60d90f83945","colspan":2,"background":"#44b3e1"},"content":[{"type":"paragraph","content":[{"type":"text","text":"UCW-34233","marks":[{"type":"strong"}]}],"attrs":{"localId":"374281b4a12b"}}]}]},{"type":"tableRow","attrs":{"localId":"8ce0107dbdf1"},"content":[{"type":"tableCell","attrs":{"localId":"779987e7ceb0","background":"#44b3e1"},"content":[{"type":"paragraph","content":[{"type":"text","text":"Brand Name","marks":[{"type":"strong"}]}],"attrs":{"localId":"6d4e3aa4ac9c"}}]},{"type":"tableCell","attrs":{"localId":"65178883e434","colspan":2,"background":"#44b3e1"},"content":[{"type":"paragraph","content":[{"type":"text","text":"Mia by Tanishq","marks":[{"type":"strong"}]}],"attrs":{"localId":"a9c07593267f"}}]}]},{"type":"tableRow","attrs":{"localId":"bd71c842045d"},"content":[{"type":"tableCell","attrs":{"localId":"29c2e14b04f2","background":"#ace5fe"},"content":[{"type":"paragraph","content":[{"type":"text","text":"Platform","marks":[{"type":"strong"}]}],"attrs":{"localId":"2da2586f397d"}}]},{"type":"tableCell","attrs":{"localId":"02252b73991e","colspan":2,"background":"#ace5fe"},"content":[{"type":"paragraph","content":[{"type":"text","text":"Mall","marks":[{"type":"strong"}]}],"attrs":{"localId":"e7a0ac1720d7"}}]}]},{"type":"tableRow","attrs":{"localId":"4a8d81543cf1"},"content":[{"type":"tableCell","attrs":{"localId":"8e961b463dfd","background":"#ace5fe"},"content":[{"type":"paragraph","content":[{"type":"text","text":"Particulars","marks":[{"type":"strong"}]}],"attrs":{"localId":"cbfb996661d1"}}]},{"type":"tableCell","attrs":{"localId":"3df777278d3e","background":"#ace5fe"},"content":[{"type":"paragraph","content":[{"type":"text","text":"SKU Count","marks":[{"type":"strong"}]}],"attrs":{"localId":"fca79644b863"}}]},{"type":"tableCell","attrs":{"localId":"3be17059fc74","background":"#ace5fe"},"content":[{"type":"paragraph","content":[{"type":"text","text":"Option Count","marks":[{"type":"strong"}]}],"attrs":{"localId":"887860e24a16"}}]}]},{"type":"tableRow","attrs":{"localId":"6ee214c054fd"},"content":[{"type":"tableCell","attrs":{"localId":"284dabaedc06","background":"white"},"content":[{"type":"paragraph","content":[{"type":"text","text":"Received"}],"attrs":{"localId":"bc92211ab8cf"}}]},{"type":"tableCell","attrs":{"localId":"337a89fa00db"},"content":[{"type":"paragraph","content":[{"type":"text","text":"22"}],"attrs":{"localId":"358f36a65dba"}}]},{"type":"tableCell","attrs":{"localId":"22c87209d0e3"},"content":[{"type":"paragraph","content":[{"type":"text","text":"22"}],"attrs":{"localId":"128b4ca02e6a"}}]}]},{"type":"tableRow","attrs":{"localId":"915c4d09e8aa"},"content":[{"type":"tableCell","attrs":{"localId":"14362db453c6","background":"white"},"content":[{"type":"paragraph","content":[{"type":"text","text":"Uploaded"}],"attrs":{"localId":"3b408e58e00e"}}]},{"type":"tableCell","attrs":{"localId":"40fa148161ca"},"content":[{"type":"paragraph","content":[{"type":"text","text":"22"}],"attrs":{"localId":"dad668e86f82"}}]},{"type":"tableCell","attrs":{"localId":"0fd0be3edb77"},"content":[{"type":"paragraph","content":[{"type":"text","text":"22"}],"attrs":{"localId":"692a9d48d9cf"}}]}]},{"type":"tableRow","attrs":{"localId":"dd93bbabb866"},"content":[{"type":"tableCell","attrs":{"localId":"5e1632005764","background":"white"},"content":[{"type":"paragraph","content":[{"type":"text","text":"LIDs Shared"}],"attrs":{"localId":"8b305dbaa48c"}}]},{"type":"tableCell","attrs":{"localId":"700b2236e699"},"content":[{"type":"paragraph","content":[{"type":"text","text":"22"}],"attrs":{"localId":"55f89dff6f61"}}]},{"type":"tableCell","attrs":{"localId":"3cf3142c2d60"},"content":[{"type":"paragraph","content":[{"type":"text","text":"22"}],"attrs":{"localId":"d92a36a51089"}}]}]}]}
{adf}
LIDs</t>
  </si>
  <si>
    <t>Date :07/13/2026 &lt;Ticket picked for pre processing Option 5 Sku 110&gt; &lt;Ankita&gt;;Date :07/13/2026 &lt;Pre Processing query to Brand &lt;Size chart Query&gt;&gt; &lt;Ankita&gt;;Date :07/13/2026 &lt;Ticket picked for Production and QC review Option 5 Sku 110&gt; &lt;Ankita&gt;;Date :07/13/2026 &lt;Ticket has been successfully uploaded in our system. Option 5 Sku 110&gt; &lt;Ankita&gt;[^Post Upload Status_V.2 (1).xlsx] 
[^Summary.zip]
;*Image deliver - Date :07/13/2026 &lt;Images Delivered Processed Options 5 Rejected Options 0&gt; &lt;Saswati Dey&gt;*;[^UCW-34232.xlsx]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131ac29-69f6-42fc-94a9-a317578189af"},"content":[{"type":"tableRow","attrs":{"localId":"7e2804763f9a"},"content":[{"type":"tableCell","attrs":{"localId":"cc732897921e","background":"#44b3e1"},"content":[{"type":"paragraph","content":[{"type":"text","text":"Ticket ID","marks":[{"type":"strong"}]}],"attrs":{"localId":"79d40de329bf"}}]},{"type":"tableCell","attrs":{"localId":"eba1380162f2","colspan":2,"background":"#44b3e1"},"content":[{"type":"paragraph","content":[{"type":"text","text":"UCW-34232","marks":[{"type":"strong"}]}],"attrs":{"localId":"d9c46a452e6e"}}]}]},{"type":"tableRow","attrs":{"localId":"d63a71fe1faa"},"content":[{"type":"tableCell","attrs":{"localId":"e1034c29265e","background":"#44b3e1"},"content":[{"type":"paragraph","content":[{"type":"text","text":"Brand Name","marks":[{"type":"strong"}]}],"attrs":{"localId":"a45a5f40bc2b"}}]},{"type":"tableCell","attrs":{"localId":"6daaafa0bb5b","colspan":2,"background":"#44b3e1"},"content":[{"type":"paragraph","content":[{"type":"text","text":"Adidas","marks":[{"type":"strong"}]}],"attrs":{"localId":"93972a38c574"}}]}]},{"type":"tableRow","attrs":{"localId":"167f6348bde6"},"content":[{"type":"tableCell","attrs":{"localId":"c8838427a29c","background":"#ace5fe"},"content":[{"type":"paragraph","content":[{"type":"text","text":"Platform","marks":[{"type":"strong"}]}],"attrs":{"localId":"a76c0d309bf7"}}]},{"type":"tableCell","attrs":{"localId":"7f1c4bb1f759","colspan":2,"background":"#ace5fe"},"content":[{"type":"paragraph","content":[{"type":"text","text":"Mall","marks":[{"type":"strong"}]}],"attrs":{"localId":"273194a9f453"}}]}]},{"type":"tableRow","attrs":{"localId":"c182b17d0b23"},"content":[{"type":"tableCell","attrs":{"localId":"6bc7a1ce4268","background":"#ace5fe"},"content":[{"type":"paragraph","content":[{"type":"text","text":"Particulars","marks":[{"type":"strong"}]}],"attrs":{"localId":"8d3e47dfb12d"}}]},{"type":"tableCell","attrs":{"localId":"0f2db2330e5a","background":"#ace5fe"},"content":[{"type":"paragraph","content":[{"type":"text","text":"SKU Count","marks":[{"type":"strong"}]}],"attrs":{"localId":"9c65b54b5989"}}]},{"type":"tableCell","attrs":{"localId":"98aedd58d77b","background":"#ace5fe"},"content":[{"type":"paragraph","content":[{"type":"text","text":"Option Count","marks":[{"type":"strong"}]}],"attrs":{"localId":"7ec5e971ea89"}}]}]},{"type":"tableRow","attrs":{"localId":"c97b2d0a88ae"},"content":[{"type":"tableCell","attrs":{"localId":"af2f0c671332","background":"white"},"content":[{"type":"paragraph","content":[{"type":"text","text":"Received"}],"attrs":{"localId":"25652de0261c"}}]},{"type":"tableCell","attrs":{"localId":"8ff95c72e4b1"},"content":[{"type":"paragraph","content":[{"type":"text","text":"110"}],"attrs":{"localId":"2742b946341f"}}]},{"type":"tableCell","attrs":{"localId":"7bd5db22665b"},"content":[{"type":"paragraph","content":[{"type":"text","text":"5"}],"attrs":{"localId":"1e33aa0e83e1"}}]}]},{"type":"tableRow","attrs":{"localId":"256371cd0041"},"content":[{"type":"tableCell","attrs":{"localId":"e60dbae81b2f","background":"white"},"content":[{"type":"paragraph","content":[{"type":"text","text":"Uploaded"}],"attrs":{"localId":"97fb9c46a0e7"}}]},{"type":"tableCell","attrs":{"localId":"b91eb21e9dc1"},"content":[{"type":"paragraph","content":[{"type":"text","text":"110"}],"attrs":{"localId":"f28f73a2bdd6"}}]},{"type":"tableCell","attrs":{"localId":"8a0962c02029"},"content":[{"type":"paragraph","content":[{"type":"text","text":"5"}],"attrs":{"localId":"58467ce9d839"}}]}]},{"type":"tableRow","attrs":{"localId":"8af92af65d80"},"content":[{"type":"tableCell","attrs":{"localId":"22ae563dd6b2","background":"white"},"content":[{"type":"paragraph","content":[{"type":"text","text":"LIDs Shared"}],"attrs":{"localId":"a641300015f8"}}]},{"type":"tableCell","attrs":{"localId":"21129c7097e4"},"content":[{"type":"paragraph","content":[{"type":"text","text":"110"}],"attrs":{"localId":"ffcdc837afca"}}]},{"type":"tableCell","attrs":{"localId":"ada5106cc283"},"content":[{"type":"paragraph","content":[{"type":"text","text":"5"}],"attrs":{"localId":"05b7ec1a1e17"}}]}]},{"type":"tableRow","attrs":{"localId":"2553ba3f2521"},"content":[{"type":"tableCell","attrs":{"localId":"9b4c6e608758","background":"white"},"content":[{"type":"paragraph","content":[{"type":"text","text":"LIDs Stuck in the System"}],"attrs":{"localId":"62be2b28d60c"}}]},{"type":"tableCell","attrs":{"localId":"0257cfc16c44"},"content":[{"type":"paragraph","content":[{"type":"text","text":"0"}],"attrs":{"localId":"3b1955b88da7"}}]},{"type":"tableCell","attrs":{"localId":"d8c4ce284f13"},"content":[{"type":"paragraph","content":[{"type":"text","text":"0"}],"attrs":{"localId":"8e0b70f5d664"}}]}]}]}
{adf}
With this, we are closing this request from our end.
Thank you for your patience, support, and cooperation throughout the process. Your brand is important to us, and we look forward to assisting you again.</t>
  </si>
  <si>
    <t>Watches</t>
  </si>
  <si>
    <t>CIGA design, D1M</t>
  </si>
  <si>
    <t>Date :07/13/2026 &lt;Ticket picked for pre processing Option 181 Sku 181&gt; &lt;Anjalita&gt;;Date :07/14/2026 &lt;Ticket has been successfully uploaded in our system. Option 181 Sku 181&gt; &lt;Anjalita&gt;;Date :07/15/2026 &lt;content are reflecting successfully on PDP. Option 181 Sku 181&gt; &lt;Monu saha&gt;</t>
  </si>
  <si>
    <t>|Date :07/13/2026 &lt;Ticket picked for pre processing SKU 4&gt; &lt;Tania&gt;|
|Date :07/13/2026 &lt;Pre Processing query to Brand &lt;Manufacturer, Importer, Packer Details, Longevity, Occasion and Image Analysis&gt;&gt; &lt;Tania&gt;|;* Date :07/14/2026 &lt; Pre Processing query to Brand 1st Follow Up&gt; &lt;Tania&gt;;* Date :07/15/2026 &lt; Pre Processing query to Brand 2nd Follow Up&gt; &lt;Tania&gt;;Date :07/15/2026 &lt;Ticket picked for Production and QC review SKU 4&gt; &lt;Tania&gt;
Certificate Issues Not Resolved.;* Date :07/16/2026 &lt; Pre Processing query to Brand 3rd Follow Up&gt; &lt;Tania&gt;;|Date :07/17/2026 &lt;Ticket picked for Production and QC review SKU 4&gt; &lt;Tania&gt;|
|Date :07/17/2026 &lt;Ticket has been successfully uploaded in our system. SKU 4&gt; &lt;Tania&gt;|;We have successfully uploaded this batch. Please find the attached summary sheet and summary report.[^UCW-34227_Post Upload Status.xlsx] [^SUM.zip] ;[^UCW-34227.xlsx]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57a26f23-97fb-46c2-812b-7c5f80ac387c"},"content":[{"type":"tableRow","attrs":{"localId":"44346384fa83"},"content":[{"type":"tableCell","attrs":{"localId":"596648c2389c","background":"#44b3e1"},"content":[{"type":"paragraph","content":[{"type":"text","text":"Ticket ID","marks":[{"type":"strong"}]}],"attrs":{"localId":"6739cd78b46b"}}]},{"type":"tableCell","attrs":{"localId":"e6d38681eeaa","colspan":2,"background":"#44b3e1"},"content":[{"type":"paragraph","content":[{"type":"text","text":"UCW-34227","marks":[{"type":"strong"}]}],"attrs":{"localId":"d1e50879b555"}}]}]},{"type":"tableRow","attrs":{"localId":"e4497f432be8"},"content":[{"type":"tableCell","attrs":{"localId":"151ac4639882","background":"#44b3e1"},"content":[{"type":"paragraph","content":[{"type":"text","text":"Brand Name","marks":[{"type":"strong"}]}],"attrs":{"localId":"3e48d99cf6e1"}}]},{"type":"tableCell","attrs":{"localId":"c6dbe0370c7f","colspan":2,"background":"#44b3e1"},"content":[{"type":"paragraph","content":[{"type":"text","text":"Lancome","marks":[{"type":"strong"}]}],"attrs":{"localId":"51671cee990a"}}]}]},{"type":"tableRow","attrs":{"localId":"0c8c70403e87"},"content":[{"type":"tableCell","attrs":{"localId":"ed431bfc876a","background":"#ace5fe"},"content":[{"type":"paragraph","content":[{"type":"text","text":"Platform","marks":[{"type":"strong"}]}],"attrs":{"localId":"ec1773efceef"}}]},{"type":"tableCell","attrs":{"localId":"155b58b2c0b1","colspan":2,"background":"#ace5fe"},"content":[{"type":"paragraph","content":[{"type":"text","text":"Luxury","marks":[{"type":"strong"}]}],"attrs":{"localId":"3f6f921da3a6"}}]}]},{"type":"tableRow","attrs":{"localId":"88c478710aa7"},"content":[{"type":"tableCell","attrs":{"localId":"f953f3597988","background":"#ace5fe"},"content":[{"type":"paragraph","content":[{"type":"text","text":"Particulars","marks":[{"type":"strong"}]}],"attrs":{"localId":"5de4d66af002"}}]},{"type":"tableCell","attrs":{"localId":"08ebe58d3afc","background":"#ace5fe"},"content":[{"type":"paragraph","content":[{"type":"text","text":"SKU Count","marks":[{"type":"strong"}]}],"attrs":{"localId":"c86dab6235f2"}}]},{"type":"tableCell","attrs":{"localId":"74b7a01a3db1","background":"#ace5fe"},"content":[{"type":"paragraph","content":[{"type":"text","text":"Option Count","marks":[{"type":"strong"}]}],"attrs":{"localId":"72e7f55c9248"}}]}]},{"type":"tableRow","attrs":{"localId":"7149f10ee600"},"content":[{"type":"tableCell","attrs":{"localId":"131284c36744","background":"white"},"content":[{"type":"paragraph","content":[{"type":"text","text":"Received"}],"attrs":{"localId":"34b76da915ef"}}]},{"type":"tableCell","attrs":{"localId":"bbe160d6a0e5"},"content":[{"type":"paragraph","content":[{"type":"text","text":"4"}],"attrs":{"localId":"1d47659865f2"}}]},{"type":"tableCell","attrs":{"localId":"8f519306779b"},"content":[{"type":"paragraph","content":[{"type":"text","text":"4"}],"attrs":{"localId":"4dede5051e1c"}}]}]},{"type":"tableRow","attrs":{"localId":"125888c5a0bd"},"content":[{"type":"tableCell","attrs":{"localId":"47df49686ccd","background":"white"},"content":[{"type":"paragraph","content":[{"type":"text","text":"Uploaded"}],"attrs":{"localId":"2c68d11f6be9"}}]},{"type":"tableCell","attrs":{"localId":"366db0dfec3c"},"content":[{"type":"paragraph","content":[{"type":"text","text":"4"}],"attrs":{"localId":"7b27cb77b087"}}]},{"type":"tableCell","attrs":{"localId":"aefb623dab1d"},"content":[{"type":"paragraph","content":[{"type":"text","text":"4"}],"attrs":{"localId":"81287bf5f886"}}]}]},{"type":"tableRow","attrs":{"localId":"b1aab7ce56e6"},"content":[{"type":"tableCell","attrs":{"localId":"ec7907519ac3","background":"white"},"content":[{"type":"paragraph","content":[{"type":"text","text":"SKUs not uploaded"}],"attrs":{"localId":"555177f84c8d"}}]},{"type":"tableCell","attrs":{"localId":"bc453e0fbd55"},"content":[{"type":"paragraph","content":[{"type":"text","text":"0"}],"attrs":{"localId":"e9c02deaf3f1"}}]},{"type":"tableCell","attrs":{"localId":"6ba36827954e"},"content":[{"type":"paragraph","content":[{"type":"text","text":"0"}],"attrs":{"localId":"321824a6f4c6"}}]}]},{"type":"tableRow","attrs":{"localId":"da99291d9cec"},"content":[{"type":"tableCell","attrs":{"localId":"bb4dc99f7a3b","background":"white"},"content":[{"type":"paragraph","content":[{"type":"text","text":"LIDs Shared"}],"attrs":{"localId":"18bc2a5fb31c"}}]},{"type":"tableCell","attrs":{"localId":"78fa360694a6"},"content":[{"type":"paragraph","content":[{"type":"text","text":"4"}],"attrs":{"localId":"e929545edd9b"}}]},{"type":"tableCell","attrs":{"localId":"08ca905b13e7"},"content":[{"type":"paragraph","content":[{"type":"text","text":"4"}],"attrs":{"localId":"7cbfb38485c6"}}]}]},{"type":"tableRow","attrs":{"localId":"153b57d727fd"},"content":[{"type":"tableCell","attrs":{"localId":"9f6c0f634f8f","background":"white"},"content":[{"type":"paragraph","content":[{"type":"text","text":"LIDs Stuck in the System"}],"attrs":{"localId":"263b38f3b25f"}}]},{"type":"tableCell","attrs":{"localId":"00b614ad68a5"},"content":[{"type":"paragraph","content":[{"type":"text","text":"0"}],"attrs":{"localId":"943023e66d87"}}]},{"type":"tableCell","attrs":{"localId":"3581ae395f05"},"content":[{"type":"paragraph","content":[{"type":"text","text":"0"}],"attrs":{"localId":"7441a2da6fbf"}}]}]}]}
{adf}
With this, we are closing this request from our end.
Thank you for your patience, support, and cooperation throughout the process. Your brand is important to us, and we look forward to assisting you again.</t>
  </si>
  <si>
    <t>Forever New</t>
  </si>
  <si>
    <t>Date :07/13/2026 &lt;Ticket picked for pre processing Option: 31 SKU: 133&gt; &lt;Sanjana Ghosh&gt;;Date 13th July,2026 Pre-Processing Done for jewellery ( Brand to Query for weight &amp; Size)-Mousumi;Date :07/14/2026 &lt;Ticket has been successfully uploaded for the Apparel category in our system. Option 19 Sku 127&gt; &lt;Anwesha Mondal&gt;
[^Summary (377151eb-a1dc-4998-92cd-4a56b4c186ec).zip]
[^Post Upload Status_UCW-34225 (406fecbf-1483-4df4-9e39-001d5ae7cf4f).xlsx]
;Date :07/15/2026 &lt;Ticket has been already listed in our system. Option: 3 SKU: 3&gt; &lt;Sanjana Ghosh&gt;
PFA the summary file: [^Accessories Summary.zip] ;[^Post Upload Status_UCW-34225.xlsx]
Please find attached the sheet, 19 options of Women's Apparel have been listed.
3 options of Accessories have already been listed, and the corresponding Listing IDs have also been shared.
Kindly update the price and inventory, and share the summary once completed.
{color:#ffffff}__{color}
{adf:display=block}
{"type":"table","attrs":{"isNumberColumnEnabled":false,"layout":"center","localId":"130438eb-cf5e-4d9b-ad5b-7883f29fa1e0"},"content":[{"type":"tableRow","attrs":{"localId":"415ecbd97945"},"content":[{"type":"tableCell","attrs":{"localId":"6be7af6fbaa4","background":"#44b3e1"},"content":[{"type":"paragraph","content":[{"type":"text","text":"Ticket ID","marks":[{"type":"strong"}]}],"attrs":{"localId":"d57a09990383"}}]},{"type":"tableCell","attrs":{"localId":"7ff0f9e720f8","colspan":2,"background":"#44b3e1"},"content":[{"type":"paragraph","content":[{"type":"text","text":"UCW-34225","marks":[{"type":"strong"}]}],"attrs":{"localId":"90eebfdf1d1f"}}]}]},{"type":"tableRow","attrs":{"localId":"38c2892956e9"},"content":[{"type":"tableCell","attrs":{"localId":"e8ac370418a6","background":"#44b3e1"},"content":[{"type":"paragraph","content":[{"type":"text","text":"Brand Name","marks":[{"type":"strong"}]}],"attrs":{"localId":"0508967a4ed5"}}]},{"type":"tableCell","attrs":{"localId":"53d3d1c12953","colspan":2,"background":"#44b3e1"},"content":[{"type":"paragraph","content":[{"type":"text","text":"Forever New","marks":[{"type":"strong"}]}],"attrs":{"localId":"206c24ed1aa8"}}]}]},{"type":"tableRow","attrs":{"localId":"68d570a18fa9"},"content":[{"type":"tableCell","attrs":{"localId":"26d27c1acf30","background":"#ace5fe"},"content":[{"type":"paragraph","content":[{"type":"text","text":"Platform","marks":[{"type":"strong"}]}],"attrs":{"localId":"17bfa0929fa2"}}]},{"type":"tableCell","attrs":{"localId":"97d01644ffae","colspan":2,"background":"#ace5fe"},"content":[{"type":"paragraph","content":[{"type":"text","text":"Mall + Luxury","marks":[{"type":"strong"}]}],"attrs":{"localId":"b28eacf29482"}}]}]},{"type":"tableRow","attrs":{"localId":"ea6797f9e8fc"},"content":[{"type":"tableCell","attrs":{"localId":"89b6a86fa9c7","background":"#ace5fe"},"content":[{"type":"paragraph","content":[{"type":"text","text":"Particulars","marks":[{"type":"strong"}]}],"attrs":{"localId":"3eb79e1e93e3"}}]},{"type":"tableCell","attrs":{"localId":"0b0e46c3ca11","background":"#ace5fe"},"content":[{"type":"paragraph","content":[{"type":"text","text":"SKU Count","marks":[{"type":"strong"}]}],"attrs":{"localId":"d2793508d054"}}]},{"type":"tableCell","attrs":{"localId":"f6b2e6a53d42","background":"#ace5fe"},"content":[{"type":"paragraph","content":[{"type":"text","text":"Option Count","marks":[{"type":"strong"}]}],"attrs":{"localId":"55a83763d845"}}]}]},{"type":"tableRow","attrs":{"localId":"9628b166a3ba"},"content":[{"type":"tableCell","attrs":{"localId":"f1fbc5e58a56","background":"white"},"content":[{"type":"paragraph","content":[{"type":"text","text":"Received"}],"attrs":{"localId":"758ec6f0c429"}}]},{"type":"tableCell","attrs":{"localId":"17e61f9a0467"},"content":[{"type":"paragraph","content":[{"type":"text","text":"130"}],"attrs":{"localId":"b3e9e791b74c"}}]},{"type":"tableCell","attrs":{"localId":"d45a508d791e"},"content":[{"type":"paragraph","content":[{"type":"text","text":"22"}],"attrs":{"localId":"a6efde2d74c8"}}]}]},{"type":"tableRow","attrs":{"localId":"63adc962af67"},"content":[{"type":"tableCell","attrs":{"localId":"044b999d4b7e","background":"white"},"content":[{"type":"paragraph","content":[{"type":"text","text":"Uploaded"}],"attrs":{"localId":"c0608a780309"}}]},{"type":"tableCell","attrs":{"localId":"0593ce692831"},"content":[{"type":"paragraph","content":[{"type":"text","text":"127"}],"attrs":{"localId":"102d05190f7e"}}]},{"type":"tableCell","attrs":{"localId":"c0ee87b0f1fd"},"content":[{"type":"paragraph","content":[{"type":"text","text":"19"}],"attrs":{"localId":"3246460e2df5"}}]}]},{"type":"tableRow","attrs":{"localId":"7268418202f7"},"content":[{"type":"tableCell","attrs":{"localId":"b8002ee411b3","background":"white"},"content":[{"type":"paragraph","content":[{"type":"text","text":"Already Listed"}],"attrs":{"localId":"5ef70516328d"}}]},{"type":"tableCell","attrs":{"localId":"c5a3da5470a1"},"content":[{"type":"paragraph","content":[{"type":"text","text":"3"}],"attrs":{"localId":"de32e4f2c4ed"}}]},{"type":"tableCell","attrs":{"localId":"03d582e60d86"},"content":[{"type":"paragraph","content":[{"type":"text","text":"3"}],"attrs":{"localId":"33a9401315f9"}}]}]},{"type":"tableRow","attrs":{"localId":"50b26a20087a"},"content":[{"type":"tableCell","attrs":{"localId":"b718223aefb4","background":"white"},"content":[{"type":"paragraph","content":[{"type":"text","text":"LIDs Shared"}],"attrs":{"localId":"d5d469397768"}}]},{"type":"tableCell","attrs":{"localId":"ee0121b4dcc9"},"content":[{"type":"paragraph","content":[{"type":"text","text":"121"}],"attrs":{"localId":"06da0c860a22"}}]},{"type":"tableCell","attrs":{"localId":"fd644a4c5c40"},"content":[{"type":"paragraph","content":[{"type":"text","text":"19"}],"attrs":{"localId":"904678080510"}}]}]},{"type":"tableRow","attrs":{"localId":"b125acb190b4"},"content":[{"type":"tableCell","attrs":{"localId":"6065505069e1","background":"white"},"content":[{"type":"paragraph","content":[{"type":"text","text":"LIDs Stuck in the System"}],"attrs":{"localId":"e6ddc2c15e78"}}]},{"type":"tableCell","attrs":{"localId":"5c87d644b0ee"},"content":[{"type":"paragraph","content":[{"type":"text","text":"6"}],"attrs":{"localId":"178eec213d30"}}]},{"type":"tableCell","attrs":{"localId":"255dd2ef8c24"},"content":[{"type":"paragraph","content":[{"type":"text","text":"0"}],"attrs":{"localId":"644a6439c035"}}]}]}]}
{adf}
*Note: 6 SKUs are currently stuck in Rejected. We have already taken the necessary action. Once the Listing IDs are generated, we will inform you accordingly. The Jewellery batch is currently under Brand to Resolve status. We will upload the batch as soon as we receive the resolution.*
Thank you for your patience, support, and cooperation throughout the process. Your brand is important to us, and we look forward to assisting you again.</t>
  </si>
  <si>
    <t>Content Retrigger</t>
  </si>
  <si>
    <t>UCW-34182</t>
  </si>
  <si>
    <t>Error_Estee Lauder | Crème/Matte Information Missing on PDP</t>
  </si>
  <si>
    <t>The formulation of the lipstick was missing from the title and desc.</t>
  </si>
  <si>
    <t>Size code was not reflecting as it was a 2025 work and size code must have bee changed in between, so we have retrigger that and its reflecting successfully.</t>
  </si>
  <si>
    <t>UCW-34920</t>
  </si>
  <si>
    <t xml:space="preserve">CH La Bomba Cataloguing  </t>
  </si>
  <si>
    <t>Carolina Herrera</t>
  </si>
  <si>
    <t>UCW-34917</t>
  </si>
  <si>
    <t>Fw: Tata Cliq - Gift box Listings</t>
  </si>
  <si>
    <t>Brillari</t>
  </si>
  <si>
    <t>UCW-34913</t>
  </si>
  <si>
    <t>PDP strip remove</t>
  </si>
  <si>
    <t>Marshall</t>
  </si>
  <si>
    <t>UCW-34904</t>
  </si>
  <si>
    <t>Aapno Rajasthan | Fashion Jewellery | 126205 | 22-07-26 (199skus)</t>
  </si>
  <si>
    <t>UCW-34900</t>
  </si>
  <si>
    <t>Request to Update Product Images &lt;&gt; Tatacliq</t>
  </si>
  <si>
    <t>Nutrabay</t>
  </si>
  <si>
    <t>UCW-34891</t>
  </si>
  <si>
    <t>Diwali Box| 2733568|TCL</t>
  </si>
  <si>
    <t>UCW-34869</t>
  </si>
  <si>
    <t>Guess Footwear Men &amp; Women (New) 13 Options 20-07-2026</t>
  </si>
  <si>
    <t xml:space="preserve">Date :07/25/2026 &lt;Ticket picked for pre processing Option 13 Sku 72&gt; &lt;Ankita&gt;;Date :07/25/2026 &lt;Ticket has been successfully uploaded in our system. Option 13 Sku 72 &gt; &lt;Ishani&gt;
[^Post Upload Status_V.2 (1) (1).xlsx] [^Summary LUX.zip] [^Summary MP.zip] </t>
  </si>
  <si>
    <t>UCW-34865</t>
  </si>
  <si>
    <t>Tata Cliq Lux - FALL'26 Newness Listing Jewellery (Adonis Kommerce - 127636)</t>
  </si>
  <si>
    <t>Emporio Armani</t>
  </si>
  <si>
    <t>UCW-34862</t>
  </si>
  <si>
    <t>Colors Queen || Makeup || 129094 || 21-07-2026</t>
  </si>
  <si>
    <t>Color Queen</t>
  </si>
  <si>
    <t>|Date :07/25/2026 &lt;Ticket picked for pre processing SKU 07&gt; &lt;Tania&gt;|
|Date :07/25/2026 &lt;Pre Processing query to Brand &lt;Images &amp; Certificate Details&gt;&gt; &lt;Tania&gt;|
|Date :07/25/2026 &lt;Ticket picked for Production and QC review SKU 7&gt; &lt;Tania&gt;|</t>
  </si>
  <si>
    <t>UCW-34860</t>
  </si>
  <si>
    <t>EL GWP 21st July (Local GWP)</t>
  </si>
  <si>
    <t xml:space="preserve">Date :07/25/2026 &lt;Ticket has been successfully uploaded in our system. Option 3 Sku 3&gt; &lt;Ishani&gt;
[^Post Upload Status_V.2 (1) (1).xlsx]
[^Summary.zip]
</t>
  </si>
  <si>
    <t>UCW-34856</t>
  </si>
  <si>
    <t>Foxtale X Tata Cliq Clarifying Swirl Mask listing</t>
  </si>
  <si>
    <t>|Date :07/25/2026 &lt;Ticket picked for pre processing SKU 1&gt; &lt;Tania&gt;|
|Date :07/25/2026 &lt;Pre Processing query to Brand &lt;Packer Details, Image &amp; Certificate Analysis&gt;&gt; &lt;Tania&gt;|</t>
  </si>
  <si>
    <t>UCW-34845</t>
  </si>
  <si>
    <t>Kitbag listing file (SC:129280</t>
  </si>
  <si>
    <t>Yonex</t>
  </si>
  <si>
    <t xml:space="preserve">Date :07/25/2026 &lt;Ticket picked for pre processing Option: 16 SKU: 16&gt; &lt;Sanjana Ghosh&gt;;Date :07/25/2026 &lt;Pre Processing query to Brand &lt;GLOBAL_IDENTIFIER_VALUE, BIS/ISI license/UPC, Skill Level, Ideal For, Size and Image Query&gt; &lt;Sanjana Ghosh&gt; </t>
  </si>
  <si>
    <t>UCW-34842</t>
  </si>
  <si>
    <t>Woodland / Footwear / 196 SKU's / 28 Options / 17-07-26</t>
  </si>
  <si>
    <t>Date :07/25/2026 &lt;Ticket picked for pre processing Option 28 Sku 196&gt; &lt;Ankita&gt;;Date :07/25/2026 &lt;Ticket picked for Production and QC review Option 28 Sku 196&gt; &lt;Ankita&gt;</t>
  </si>
  <si>
    <t>UCW-34822</t>
  </si>
  <si>
    <t>Auraa Trends - Jewelery - 24/06/2026 - 37 SKUs</t>
  </si>
  <si>
    <t>AURAA TRENDS</t>
  </si>
  <si>
    <t xml:space="preserve">Date : 24th Jul, 2026 This ticket has been picked for Pre-Processing and Image Analysis -Mousumi. 
Date : 24th Jul, 2026  Pre-Processing Done( noQuerys)-Mousumi.
Date : 24th Jul, 2026 Production WIP
</t>
  </si>
  <si>
    <t>UCW-34821</t>
  </si>
  <si>
    <t>Muthoot New Listing - Seller ID 128830</t>
  </si>
  <si>
    <t>Muthoot Pappachan</t>
  </si>
  <si>
    <t>Date : 24th Jul, 2026 Pre-Processing Done ( Brand to Query For COO details)</t>
  </si>
  <si>
    <t>UCW-34818</t>
  </si>
  <si>
    <t>PNG Jewellers | Silver Rakhi | Code - 124260 | Total SKUs - 108</t>
  </si>
  <si>
    <t>PNG Jwellers</t>
  </si>
  <si>
    <t>Date : 24th Jul, 2026 This ticket has been picked for Pre-Processing and Image Analysis -Mousumi. 
Date : 24th Jul, 2026  Pre-Processing Done -(Brand To Query for Price Break up Invoice &amp; Price Breakup on PDP , Certification, Size, Images)-Mousumi</t>
  </si>
  <si>
    <t>UCW-34815</t>
  </si>
  <si>
    <t>Request for New Product Cataloguing_PENDANTS_KISNA</t>
  </si>
  <si>
    <t>Kisna</t>
  </si>
  <si>
    <t>Date :24th Jul, 2026 This ticket has been picked for Pre-Processing and Image Analysis -Mousumi. 
Date :24th Jul, 2026  Pre-Processing Done Brand to Query for Diamond Count , weight Diamond product Type, Gender confimation, Size)-Mousumi</t>
  </si>
  <si>
    <t>UCW-34813</t>
  </si>
  <si>
    <t>Giva | Silver Jewellery | 125927 | 14-07-2026 &amp; 16-07-2026 (22SKUs) | Rakhi collection 2nd slot</t>
  </si>
  <si>
    <t>Date : 24th Jul, 2026 Pre-Procsing Sheet ( Brand To query Bracelet Size &amp; Size chart Measurment SIze)-Mousumi.</t>
  </si>
  <si>
    <t>UCW-34797</t>
  </si>
  <si>
    <t>PDP images update Smart Peeling White Jewel Perle</t>
  </si>
  <si>
    <t>Date :07/24/2027&lt;Ticket picked for pre processing Option 1Sku 1&gt; &lt;Rupa&gt;;[^Status of UCW-34797.xlsx]
[^Summary.zip]
As per the requirement, we have retriggered the images for USSID 1259588806182572500 (MP Code - MP000000008713323
) Here we attached the Summary and Status file.
As we observed, for seller code 125928, when we generate the USSID and search it in GPS, it retrieves the details for 1259588806182572500 instead of 1259288806182572500
Kindly provide the correct details for 125928 so that we can proceed with the required action.</t>
  </si>
  <si>
    <t>UCW-34795</t>
  </si>
  <si>
    <t>GWP listing July'26</t>
  </si>
  <si>
    <t>LLADRO</t>
  </si>
  <si>
    <t>UCW-34794</t>
  </si>
  <si>
    <t>JML: EANS TO BE UPDATED July'26</t>
  </si>
  <si>
    <t>Date :07/25/2026&lt;Ticket picked for pre processing Option 12Sku 12&gt; &lt;Rupa&gt;</t>
  </si>
  <si>
    <t>UCW-34783</t>
  </si>
  <si>
    <t>Kiddopanti Image Change Request 18th_July_2026</t>
  </si>
  <si>
    <t>The image has been successfully updated. Once it is successfully reflected, we will let you know accordingly.
[^127460_SKUEDITRETRIGGER_KRIMSON_APPARELS_PRIVATE_LIMITED(127460)_Jumpsuit__Dungaree(MPH1122109101)_20260724_044527_534_summary.csv]
;The image has been successfully reflected. Therefore, we are closing this ticket for now. If you encounter any further issues, please feel free to reach out to us.
!image-20260725-103147.png|width=530,alt="image-20260725-103147.png"!
!image-20260725-103159.png|width=515,alt="image-20260725-103159.png"!</t>
  </si>
  <si>
    <t>UCW-34782</t>
  </si>
  <si>
    <t>TataCliq x O3+ New Launch 18-07-2026</t>
  </si>
  <si>
    <t xml:space="preserve">Date :07/24/2026 &lt;Ticket picked for pre processing SKU 01&gt; &lt;Tania&gt;
Date :07/24/2026 &lt;Ticket picked for Production and QC review SKU 1&gt; &lt;Tania&gt;;Date :07/24/2026&lt;Ticket has been successfully uploaded in our system. Option 1 Sku 1&gt; &lt;Ankita&gt;[^Post Upload Status_V.2 (1).xlsx] [^Summary.zip] ;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74023332-f067-4736-a642-4ce730fd6c4c"},"content":[{"type":"tableRow","attrs":{"localId":"5b6793778113"},"content":[{"type":"tableCell","attrs":{"localId":"2579d12c2d26","background":"#44b3e1"},"content":[{"type":"paragraph","content":[{"type":"text","text":"Ticket ID","marks":[{"type":"strong"}]}],"attrs":{"localId":"7f571deb9c28"}}]},{"type":"tableCell","attrs":{"localId":"7b8185ae36f4","colspan":2,"background":"#44b3e1"},"content":[{"type":"paragraph","content":[{"type":"text","text":"UCW-34782","marks":[{"type":"strong"}]}],"attrs":{"localId":"438dd03df4a5"}}]}]},{"type":"tableRow","attrs":{"localId":"9033b4c29f41"},"content":[{"type":"tableCell","attrs":{"localId":"92a4df6e9999","background":"#44b3e1"},"content":[{"type":"paragraph","content":[{"type":"text","text":"Brand Name","marks":[{"type":"strong"}]}],"attrs":{"localId":"2121387d1b75"}}]},{"type":"tableCell","attrs":{"localId":"2296fd94c95c","colspan":2,"background":"#44b3e1"},"content":[{"type":"paragraph","content":[{"type":"text","text":"O3+","marks":[{"type":"strong"}]}],"attrs":{"localId":"c07efba16a41"}}]}]},{"type":"tableRow","attrs":{"localId":"0e6f321f8bb8"},"content":[{"type":"tableCell","attrs":{"localId":"4b0b86940497","background":"#ace5fe"},"content":[{"type":"paragraph","content":[{"type":"text","text":"Platform","marks":[{"type":"strong"}]}],"attrs":{"localId":"8bf3ac306d86"}}]},{"type":"tableCell","attrs":{"localId":"67b0a3c9826e","colspan":2,"background":"#ace5fe"},"content":[{"type":"paragraph","content":[{"type":"text","text":"MALL","marks":[{"type":"strong"}]}],"attrs":{"localId":"df8edd5925c8"}}]}]},{"type":"tableRow","attrs":{"localId":"ca06bb79a04e"},"content":[{"type":"tableCell","attrs":{"localId":"31ebff93e64d","background":"#ace5fe"},"content":[{"type":"paragraph","content":[{"type":"text","text":"Particulars","marks":[{"type":"strong"}]}],"attrs":{"localId":"8bca4c2d438b"}}]},{"type":"tableCell","attrs":{"localId":"c8bffa413bb9","background":"#ace5fe"},"content":[{"type":"paragraph","content":[{"type":"text","text":"SKU Count","marks":[{"type":"strong"}]}],"attrs":{"localId":"721811262218"}}]},{"type":"tableCell","attrs":{"localId":"3dbec2b49341","background":"#ace5fe"},"content":[{"type":"paragraph","content":[{"type":"text","text":"Option Count","marks":[{"type":"strong"}]}],"attrs":{"localId":"6a97d230e716"}}]}]},{"type":"tableRow","attrs":{"localId":"7e78bb4b5c46"},"content":[{"type":"tableCell","attrs":{"localId":"014720065c94","background":"white"},"content":[{"type":"paragraph","content":[{"type":"text","text":"Received"}],"attrs":{"localId":"fad6994cae05"}}]},{"type":"tableCell","attrs":{"localId":"fd749574e1c2"},"content":[{"type":"paragraph","content":[{"type":"text","text":"1"}],"attrs":{"localId":"0188709865f4"}}]},{"type":"tableCell","attrs":{"localId":"eb8d80799ec8"},"content":[{"type":"paragraph","content":[{"type":"text","text":"1"}],"attrs":{"localId":"9eb9652c7714"}}]}]},{"type":"tableRow","attrs":{"localId":"61c294a7a961"},"content":[{"type":"tableCell","attrs":{"localId":"d755572db96a","background":"white"},"content":[{"type":"paragraph","content":[{"type":"text","text":"Uploaded"}],"attrs":{"localId":"b74613a95f72"}}]},{"type":"tableCell","attrs":{"localId":"0b009c90b5ec"},"content":[{"type":"paragraph","content":[{"type":"text","text":"1"}],"attrs":{"localId":"4eb996f7c7f5"}}]},{"type":"tableCell","attrs":{"localId":"8de81e0513ab"},"content":[{"type":"paragraph","content":[{"type":"text","text":"1"}],"attrs":{"localId":"d6bb949735fb"}}]}]},{"type":"tableRow","attrs":{"localId":"94f20c871c98"},"content":[{"type":"tableCell","attrs":{"localId":"ab92595e0f40","background":"white"},"content":[{"type":"paragraph","content":[{"type":"text","text":"LIDs Shared"}],"attrs":{"localId":"719908a2c108"}}]},{"type":"tableCell","attrs":{"localId":"057352e45950"},"content":[{"type":"paragraph","content":[{"type":"text","text":"1"}],"attrs":{"localId":"acc156289aa1"}}]},{"type":"tableCell","attrs":{"localId":"36fec8769a87"},"content":[{"type":"paragraph","content":[{"type":"text","text":"1"}],"attrs":{"localId":"24b6604ec4ea"}}]}]}]}
{adf}
With this, we are closing this request from our end.
Thank you for your patience, support, and cooperation throughout the process. Your brand is important to us, and we look forward to assisting you again.
[^Post Upload Status_V.2 (1) (3).xlsx] </t>
  </si>
  <si>
    <t>UCW-34768</t>
  </si>
  <si>
    <t>FY27 Diwali GWPs - Cataloguing &amp; Local PO Creation - TCL</t>
  </si>
  <si>
    <t xml:space="preserve">|Date :07/24/2026 &lt;Ticket picked for pre processing SKU 1&gt; &lt;Tania&gt;|
|Date :07/24/2026 &lt;Ticket picked for Production and QC review SKU 1&gt; &lt;Tania&gt;|;Date :07/25/2026 &lt;Ticket has been successfully uploaded in our system. SKU 1&gt; &lt;Tania&gt;;We have successfully uploaded this batch. Please find the attached summary sheet and summary report. [^ProductBulkUpload_125928_Beauty__Grooming(MPH22)_Fragrances_and_Perfumes(MPH2211)_Fragrances(MPH2211100)_Perfumes(MPH2211100104)_33887_1784961587364_20260725_120947_521_summary.csv] [^UCW-34768_Post Upload Status.xlsx] </t>
  </si>
  <si>
    <t>UCW-34765</t>
  </si>
  <si>
    <t>Cloned-R&amp;B - Apparel - Seller Code 123986 - New Listing - 01-07-2026 (Lot 11 Women))</t>
  </si>
  <si>
    <t xml:space="preserve">Date :07/24/2026 &lt;Ticket has been successfully uploaded in our system. Option 9 Sku 42&gt; &lt;Anwesha Mondal&gt;
[^Summary.zip]
[^Post Upload Status_UCW-34765 Clone.xlsx]
</t>
  </si>
  <si>
    <t>UCW-34757</t>
  </si>
  <si>
    <t>CLONE - Images Update - OOMPH - 18.07.2026 - Fashion Jewellery - TATACLIQ</t>
  </si>
  <si>
    <t>Date :07/24/2026&lt;Ticket picked for pre processing Option 1Sku 1&gt; &lt;Rupa&gt;;[^Status of UCW-34757.xlsx]
[^Summary.zip]
We have changed the images and also attached the summary file. Once the images are successfully reflected we will let you know;Date :07/24/2026&lt;Ticket has been successfully uploaded in our system. Option 1 Sku 1 &gt; &lt;Rupa&gt;;!Screenshot 2026-07-25 191230.png|width=530,alt="Screenshot 2026-07-25 191230.png"!
!Screenshot 2026-07-25 191203.png|width=530,alt="Screenshot 2026-07-25 191203.png"!
!Screenshot 2026-07-25 191149.png|width=530,alt="Screenshot 2026-07-25 191149.png"!
!Screenshot 2026-07-25 191133.png|width=530,alt="Screenshot 2026-07-25 191133.png"!
!Screenshot 2026-07-25 191217.png|width=530,alt="Screenshot 2026-07-25 191217.png"!
The images have been successfully reflected. Please find the attached screenshots for your reference. As of now, we are closing the ticket. If there are any further concerns, please let us know. ;Date :07/25/2025&lt;Images are reflecting successfully on PDP. Option 1Sku 1&gt; &lt;Rupa&gt;</t>
  </si>
  <si>
    <t>UCW-34744</t>
  </si>
  <si>
    <t>Tata Cliq  - New Listing - Lolita Lempika and Replay (22-07-2026)</t>
  </si>
  <si>
    <t>Lolita Lempicka</t>
  </si>
  <si>
    <t xml:space="preserve">|Date :07/23/2026 &lt;Ticket picked for pre processing SKU 16&gt; &lt;Tania&gt;|
|Date :07/23/2026 &lt;Ticket picked for Production and QC WIP&gt; &lt;Tania&gt;|;Date :07/24/2026 &lt;Ticket picked for Production and QC review SKU 16&gt; &lt;Tania&gt;
IMAGES WIP;Date :07/24/2026 &lt;Pre Processing query to Brand &lt;Image Analysis&gt;&gt; &lt;Tania&gt;;Date :07/25/2026 &lt; Pre Processing query to Brand 1st Follow Up&gt; &lt;Tania&gt;;Date :07/25/2026 &lt;Ticket has been successfully uploaded in our system. Option 16 Sku 16&gt; &lt;Ishani&gt;
[^Post Upload Status_V.2 (1) (1).xlsx] [^Summary.zip] </t>
  </si>
  <si>
    <t>UCW-34722</t>
  </si>
  <si>
    <t>CLONE - Fabindia – Apparel &amp; Jewellery– Seller Code-126453 – SKU Count-486 – Style Count-93 – 09-07-2026</t>
  </si>
  <si>
    <t>Fabindia</t>
  </si>
  <si>
    <t>[^Summary.zip]
[^Post Upload Status_V.2 UCW-34297 (be847617-7dc0-444f-a07c-2a5cf51eb196).xlsx]
Date: 7/21/2026 - Pending 20 options were uploaded - Anwesha;[^Post Upload Status_V.2 UCW-34297 (67665235-ca58-4e79-86ae-dfb0383f480c).xlsx]
The LID has been generated. We have attached the sheet for your reference. Also, the images have been successfully reflected. As of now, we are closing the ticket. If there are any further concerns, please let us know. </t>
  </si>
  <si>
    <t>UCW-34714</t>
  </si>
  <si>
    <t>New launch cataloguing details of HUGO BOSS(BOSS BOTTLED BEYOND FOR HIM)_Fragrance for TCL_01_July_26</t>
  </si>
  <si>
    <t>Hugo Boss</t>
  </si>
  <si>
    <t xml:space="preserve">Date :07/22/2026  &lt;Ticket picked for pre processing SKU 4&gt; &lt;Tania&gt;
Date :07/22/2026 &lt;Ticket picked for Production and QC review SKU 4&gt; &lt;Tania&gt;
IMAGE WIP;Date :07/23/2026 &lt;Ticket picked for Production and QC review SKU 04&gt; &lt;Tania&gt;
IMAGE WIP;Date :07/24/2026 &lt;Ticket picked for Production and QC review SKU 04&gt; &lt;Tania&gt;
IMAGE WIP;Date :07/24/2026 &lt;Ticket has been successfully uploaded in our system. Option 4 Sku 4&gt; &lt;Ankita&gt;[^Post Upload Status_V.2 (1).xlsx] [^Summary.zip]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2f68f91a-a433-4332-95c8-583e1cc3c7d5"},"content":[{"type":"tableRow","attrs":{"localId":"f38cb4437ea2"},"content":[{"type":"tableCell","attrs":{"localId":"b9306411d22e","background":"#44b3e1"},"content":[{"type":"paragraph","content":[{"type":"text","text":"Ticket ID","marks":[{"type":"strong"}]}],"attrs":{"localId":"fb942303a189"}}]},{"type":"tableCell","attrs":{"localId":"2a7312c80f11","colspan":2,"background":"#44b3e1"},"content":[{"type":"paragraph","content":[{"type":"text","text":"UCW-34714","marks":[{"type":"strong"}]}],"attrs":{"localId":"c1505505ef3c"}}]}]},{"type":"tableRow","attrs":{"localId":"44704b675179"},"content":[{"type":"tableCell","attrs":{"localId":"7b4cd3a439ee","background":"#44b3e1"},"content":[{"type":"paragraph","content":[{"type":"text","text":"Brand Name","marks":[{"type":"strong"}]}],"attrs":{"localId":"963612cf4e71"}}]},{"type":"tableCell","attrs":{"localId":"2a9df0680525","colspan":2,"background":"#44b3e1"},"content":[{"type":"paragraph","content":[{"type":"text","text":"Hugo Boss","marks":[{"type":"strong"}]}],"attrs":{"localId":"a0567f4b77fc"}}]}]},{"type":"tableRow","attrs":{"localId":"06cdd855e29f"},"content":[{"type":"tableCell","attrs":{"localId":"6dd3892695f8","background":"#ace5fe"},"content":[{"type":"paragraph","content":[{"type":"text","text":"Platform","marks":[{"type":"strong"}]}],"attrs":{"localId":"53309635ddb7"}}]},{"type":"tableCell","attrs":{"localId":"67f0982037e2","colspan":2,"background":"#ace5fe"},"content":[{"type":"paragraph","content":[{"type":"text","text":"LUX","marks":[{"type":"strong"}]}],"attrs":{"localId":"0ee9bcb4f7bd"}}]}]},{"type":"tableRow","attrs":{"localId":"ae338f0681ae"},"content":[{"type":"tableCell","attrs":{"localId":"a79ba98396ba","background":"#ace5fe"},"content":[{"type":"paragraph","content":[{"type":"text","text":"Particulars","marks":[{"type":"strong"}]}],"attrs":{"localId":"d55ecf452f06"}}]},{"type":"tableCell","attrs":{"localId":"e857bec25ea6","background":"#ace5fe"},"content":[{"type":"paragraph","content":[{"type":"text","text":"SKU Count","marks":[{"type":"strong"}]}],"attrs":{"localId":"1bc21051150a"}}]},{"type":"tableCell","attrs":{"localId":"21d75ac8e89b","background":"#ace5fe"},"content":[{"type":"paragraph","content":[{"type":"text","text":"Option Count","marks":[{"type":"strong"}]}],"attrs":{"localId":"195a66f9c1f4"}}]}]},{"type":"tableRow","attrs":{"localId":"05793b621f50"},"content":[{"type":"tableCell","attrs":{"localId":"2b1bbf4d9511","background":"white"},"content":[{"type":"paragraph","content":[{"type":"text","text":"Received"}],"attrs":{"localId":"d7a34b07408d"}}]},{"type":"tableCell","attrs":{"localId":"67984a61cbb4"},"content":[{"type":"paragraph","content":[{"type":"text","text":"4"}],"attrs":{"localId":"44a396b1153a"}}]},{"type":"tableCell","attrs":{"localId":"92381682e52b"},"content":[{"type":"paragraph","content":[{"type":"text","text":"4"}],"attrs":{"localId":"102d3bc2afc6"}}]}]},{"type":"tableRow","attrs":{"localId":"7e82c1a419f3"},"content":[{"type":"tableCell","attrs":{"localId":"839d94f8c779","background":"white"},"content":[{"type":"paragraph","content":[{"type":"text","text":"Uploaded"}],"attrs":{"localId":"c051b2eefe13"}}]},{"type":"tableCell","attrs":{"localId":"addab2e29cf1"},"content":[{"type":"paragraph","content":[{"type":"text","text":"4"}],"attrs":{"localId":"cfa455baa18e"}}]},{"type":"tableCell","attrs":{"localId":"20d662fd823e"},"content":[{"type":"paragraph","content":[{"type":"text","text":"4"}],"attrs":{"localId":"7d8156e7628f"}}]}]},{"type":"tableRow","attrs":{"localId":"cfe991504ab1"},"content":[{"type":"tableCell","attrs":{"localId":"fd9c981b4cd5","background":"white"},"content":[{"type":"paragraph","content":[{"type":"text","text":"LIDs Shared"}],"attrs":{"localId":"0f9fa2a577e1"}}]},{"type":"tableCell","attrs":{"localId":"7187b90a9c95"},"content":[{"type":"paragraph","content":[{"type":"text","text":"4"}],"attrs":{"localId":"087285bd445d"}}]},{"type":"tableCell","attrs":{"localId":"e4669ab3cfa9"},"content":[{"type":"paragraph","content":[{"type":"text","text":"4"}],"attrs":{"localId":"10ed86539574"}}]}]}]}
{adf}
With this, we are closing this request from our end.
Thank you for your patience, support, and cooperation throughout the process. Your brand is important to us, and we look forward to assisting you again.
[^Post Upload Status_V.2 (1) (4).xlsx]
</t>
  </si>
  <si>
    <t>UCW-34711</t>
  </si>
  <si>
    <t>JW BRANDS PVT LTD | JEWELRY | 127801 | 20-07-2026(350)</t>
  </si>
  <si>
    <t xml:space="preserve"> Joker &amp; Witch</t>
  </si>
  <si>
    <t xml:space="preserve">Date : 23rd Jul, 2026 This ticket has been picked for Pre-Processing and Image Analysis -Mousumi. 
Date : 23rd Jul, 2026 Pre-Processing Done (Brand to Query)-Mousumi;Date : 24th Jul, 2026 Uploaded Qc Done
PFA the SUmmary &amp; Post-Uploaded Sheet[^UCW-34711 Post Upload Status_V.2 (1).xlsx] [^Summary.zip] </t>
  </si>
  <si>
    <t>UCW-34710</t>
  </si>
  <si>
    <t>ZAVERI PEARLS | JEWELLERY | SELLER CODE: 124167 | 20-07-2026 | 69 SKU</t>
  </si>
  <si>
    <t xml:space="preserve">Date : 23rd Jul, 2026 This ticket has been picked for Pre-Processing and Image Analysis -Mousumi. ;Date : 23rd Jul, 2026 Pre-Processing Done (No Query)-Mousumi
Date : 23rd Jul, 2026  Production Done-Mousumi
Date : 23rd Jul, 2026  Images DOne-Mousta
Date : 23rd Jul, 2026  Description Done-Khushnuma
Date : 23rd Jul, 2026 QC &amp; Uploaded Done
PFA the Summary &amp; Post-Uploaded Sheet[^Summary.zip] [^UCW-34710 Post Upload Status_V.2 (1).xlsx] </t>
  </si>
  <si>
    <t>UCW-34709</t>
  </si>
  <si>
    <t>Foxtale X tata cliq Brightening moisturizer 100 ml listing</t>
  </si>
  <si>
    <t>Date :07/20/2026  &lt;Ticket picked for pre processing SKU 1&gt; &lt;Tania&gt;
Date :07/22/2026 &lt;Ticket picked for Production and QC review SKU 1&gt; &lt;Tania&gt;
IMAGE WIP;Date :07/23/2026 &lt;Pre Processing query to Brand &lt;Image &amp; Certificate Analysis&gt;&gt; &lt;Tania&gt;;Date :07/24/2026 &lt; Pre Processing query to Brand 1st Follow Up&gt; &lt;Tania&gt;;Date :07/25/2026 &lt; Pre Processing query to Brand 2nd Follow Up&gt; &lt;Tania&gt;</t>
  </si>
  <si>
    <t>UCW-34697</t>
  </si>
  <si>
    <t>Image Replacement 118 options 16.07.2026</t>
  </si>
  <si>
    <t>Date:07/24/2026&lt;Brand to Reslove Query&gt;&lt;Reqired Lead sku and lead sku image&gt;&lt;Biplab Sarkar&gt;;Date:07/25/2026&lt;Query to CCMT&gt;&lt;Reqired L1-L4&gt;&lt;Biplab Sarkar&gt;</t>
  </si>
  <si>
    <t>UCW-34694</t>
  </si>
  <si>
    <t>Forevermark X126412 - Millemoi Listing</t>
  </si>
  <si>
    <t>Stuti Dube</t>
  </si>
  <si>
    <t>Forvermark</t>
  </si>
  <si>
    <t>Date : 22ndJul, 2026 This ticket has been picked for Pre-Processing and Image Analysis -Mousumi. 
Date : 22ndJul, 2026 Pre-Processing Done( Brand to query for weight, Diamond Type ,  warrnty type , Warrnty Time , Count diamond, color, Clarity , Lead Time, weight)-Mousumi
Date : 22ndJul, 2026 Production Done-Mousumi
Date : 22ndJul, 2026 Images Done-saswati
Date : 22ndJul, 2026 Description Done-Mousumi
 ;Date : 23rd Jul, 2026 Size Chart Creation -Mousumi[^Forevermark (90ef7f77-5178-49e4-ab2c-6b248001a3ab).csv] 
Date : 23rd Jul, 2026 Resolution has been received from the brand- Mousumi.
Date : 23rd Jul, 2026 QC &amp; Uploaded Done-Mousumi
PFA the Summary &amp; Post-Uploaded Sheet[^Summary.zip] [^UCW-34694 Post Upload Status_V.2 (1).xlsx] 
;Done
!image-20260723-120334.png|width=535,alt="image-20260723-120334.png"!;[^UCW-34694 Post Upload Status_V.2 (1) (96ab7c94-ca2a-46ac-8a6c-4db417ac29cf).xlsx]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538125bc-20a4-4e18-ab52-9aafc934ce0b"},"content":[{"type":"tableRow","attrs":{"localId":"652f7110dc28"},"content":[{"type":"tableCell","attrs":{"localId":"cd8957ddaacf","background":"#44b3e1"},"content":[{"type":"paragraph","content":[{"type":"text","text":"Ticket ID","marks":[{"type":"strong"}]}],"attrs":{"localId":"2ca6734562e7"}}]},{"type":"tableCell","attrs":{"localId":"8fb636273be5","colspan":2,"background":"#44b3e1"},"content":[{"type":"paragraph","content":[{"type":"text","text":"UCW-34694","marks":[{"type":"strong"}]}],"attrs":{"localId":"b358db121dbc"}}]}]},{"type":"tableRow","attrs":{"localId":"fb9555854892"},"content":[{"type":"tableCell","attrs":{"localId":"c27e7457b142","background":"#44b3e1"},"content":[{"type":"paragraph","content":[{"type":"text","text":"Brand Name","marks":[{"type":"strong"}]}],"attrs":{"localId":"fab1b583b7da"}}]},{"type":"tableCell","attrs":{"localId":"481d18230cad","colspan":2,"background":"#44b3e1"},"content":[{"type":"paragraph","content":[{"type":"text","text":"Forvermark","marks":[{"type":"strong"}]}],"attrs":{"localId":"6779fefd1f7c"}}]}]},{"type":"tableRow","attrs":{"localId":"79062122c2ab"},"content":[{"type":"tableCell","attrs":{"localId":"bb3e40d91b3f","background":"#ace5fe"},"content":[{"type":"paragraph","content":[{"type":"text","text":"Platform","marks":[{"type":"strong"}]}],"attrs":{"localId":"fb662a8e4826"}}]},{"type":"tableCell","attrs":{"localId":"934f5228ab91","colspan":2,"background":"#ace5fe"},"content":[{"type":"paragraph","content":[{"type":"text","text":"Luxury","marks":[{"type":"strong"}]}],"attrs":{"localId":"1bbb82094d75"}}]}]},{"type":"tableRow","attrs":{"localId":"f1110eab7a08"},"content":[{"type":"tableCell","attrs":{"localId":"44015c987ab5","background":"#ace5fe"},"content":[{"type":"paragraph","content":[{"type":"text","text":"Particulars","marks":[{"type":"strong"}]}],"attrs":{"localId":"d0ecc0171a7d"}}]},{"type":"tableCell","attrs":{"localId":"2a7dc33140f7","background":"#ace5fe"},"content":[{"type":"paragraph","content":[{"type":"text","text":"SKU Count","marks":[{"type":"strong"}]}],"attrs":{"localId":"fa0d379564bc"}}]},{"type":"tableCell","attrs":{"localId":"d3a094a0d7b9","background":"#ace5fe"},"content":[{"type":"paragraph","content":[{"type":"text","text":"Option Count","marks":[{"type":"strong"}]}],"attrs":{"localId":"94d46f1d8b2e"}}]}]},{"type":"tableRow","attrs":{"localId":"7972a56b3446"},"content":[{"type":"tableCell","attrs":{"localId":"2accb76c9296","background":"white"},"content":[{"type":"paragraph","content":[{"type":"text","text":"Received"}],"attrs":{"localId":"f92dea04bb9c"}}]},{"type":"tableCell","attrs":{"localId":"974fde6249ae"},"content":[{"type":"paragraph","content":[{"type":"text","text":"13"}],"attrs":{"localId":"3c209aa5a85b"}}]},{"type":"tableCell","attrs":{"localId":"9d598c911fb8"},"content":[{"type":"paragraph","content":[{"type":"text","text":"13"}],"attrs":{"localId":"8bbdbe15ed25"}}]}]},{"type":"tableRow","attrs":{"localId":"8682157c4d7b"},"content":[{"type":"tableCell","attrs":{"localId":"0abbe602d9c1","background":"white"},"content":[{"type":"paragraph","content":[{"type":"text","text":"Uploaded"}],"attrs":{"localId":"63acd9deec95"}}]},{"type":"tableCell","attrs":{"localId":"00077dc60631"},"content":[{"type":"paragraph","content":[{"type":"text","text":"13"}],"attrs":{"localId":"40235a85c4f9"}}]},{"type":"tableCell","attrs":{"localId":"7100d1384958"},"content":[{"type":"paragraph","content":[{"type":"text","text":"13"}],"attrs":{"localId":"6b966a540ca5"}}]}]},{"type":"tableRow","attrs":{"localId":"d2d9a9961b92"},"content":[{"type":"tableCell","attrs":{"localId":"ef647a7bff99","background":"white"},"content":[{"type":"paragraph","content":[{"type":"text","text":"SKUs not uploaded"}],"attrs":{"localId":"95dec140727a"}}]},{"type":"tableCell","attrs":{"localId":"bd8bf8f95e28"},"content":[{"type":"paragraph","content":[{"type":"text","text":"0"}],"attrs":{"localId":"c95df719fcf8"}}]},{"type":"tableCell","attrs":{"localId":"1db79f54b482"},"content":[{"type":"paragraph","content":[{"type":"text","text":"0"}],"attrs":{"localId":"dbbaa643636b"}}]}]},{"type":"tableRow","attrs":{"localId":"918fcd070c5c"},"content":[{"type":"tableCell","attrs":{"localId":"b6cce693635e","background":"white"},"content":[{"type":"paragraph","content":[{"type":"text","text":"LIDs Shared"}],"attrs":{"localId":"cf413c2fde00"}}]},{"type":"tableCell","attrs":{"localId":"59441410e98d"},"content":[{"type":"paragraph","content":[{"type":"text","text":"13"}],"attrs":{"localId":"9beca44a8a2b"}}]},{"type":"tableCell","attrs":{"localId":"49dd110c4568"},"content":[{"type":"paragraph","content":[{"type":"text","text":"13"}],"attrs":{"localId":"801c91a58348"}}]}]},{"type":"tableRow","attrs":{"localId":"917314f1bbc8"},"content":[{"type":"tableCell","attrs":{"localId":"d4538a45f23a","background":"white"},"content":[{"type":"paragraph","content":[{"type":"text","text":"LIDs Stuck in the System"}],"attrs":{"localId":"e52255758f4d"}}]},{"type":"tableCell","attrs":{"localId":"370893949136"},"content":[{"type":"paragraph","content":[{"type":"text","text":"0"}],"attrs":{"localId":"0e618adfec24"}}]},{"type":"tableCell","attrs":{"localId":"bc07657706f5"},"content":[{"type":"paragraph","content":[{"type":"text","text":"0"}],"attrs":{"localId":"ae50d536aab5"}}]}]}]}
{adf}
With this, we are closing this request from our end.
Thank you for your patience, support, and cooperation throughout the process. Your brand is important to us, and we look forward to assisting you again.</t>
  </si>
  <si>
    <t>UCW-34672</t>
  </si>
  <si>
    <t>Cloned-Tata Cliq Luxury Footwear Catalogue- Asics | 10th July</t>
  </si>
  <si>
    <t>Date :07/21/2026 &lt;Ticket has been successfully uploaded in our system. Option 3 Sku 26&gt; &lt;Ankita&gt;[^UCW-34672_Post Upload Sheet.xlsx] [^Pending Styles.xlsx] [^Summary.zip] ;[^UCW-34672_Post Upload Sheet (ef8f8d19-569b-4da3-bcac-46a89336a76f).xlsx]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f6ec59f-040c-489b-ba11-8ac016650dca"},"content":[{"type":"tableRow","attrs":{"localId":"8f8c366d4b37"},"content":[{"type":"tableCell","attrs":{"localId":"087bcabd7853","background":"#44b3e1"},"content":[{"type":"paragraph","content":[{"type":"text","text":"Ticket ID","marks":[{"type":"strong"}]}],"attrs":{"localId":"7ad8ff27ba85"}}]},{"type":"tableCell","attrs":{"localId":"63d4f7b9d0c3","colspan":2,"background":"#44b3e1"},"content":[{"type":"paragraph","content":[{"type":"text","text":"Cloned-UCW-34672","marks":[{"type":"strong"}]}],"attrs":{"localId":"2fce66c7b7b1"}}]}]},{"type":"tableRow","attrs":{"localId":"c6e4c24143b6"},"content":[{"type":"tableCell","attrs":{"localId":"5357a9f5ba16","background":"#44b3e1"},"content":[{"type":"paragraph","content":[{"type":"text","text":"Brand Name","marks":[{"type":"strong"}]}],"attrs":{"localId":"7ebfd4dd62f8"}}]},{"type":"tableCell","attrs":{"localId":"10f045f65754","colspan":2,"background":"#44b3e1"},"content":[{"type":"paragraph","content":[{"type":"text","text":"Asics","marks":[{"type":"strong"}]}],"attrs":{"localId":"b1cd8364eca2"}}]}]},{"type":"tableRow","attrs":{"localId":"ff63a183b26b"},"content":[{"type":"tableCell","attrs":{"localId":"132adc70d3f5","background":"#ace5fe"},"content":[{"type":"paragraph","content":[{"type":"text","text":"Platform","marks":[{"type":"strong"}]}],"attrs":{"localId":"792666b91fe9"}}]},{"type":"tableCell","attrs":{"localId":"6606bbb32a1f","colspan":2,"background":"#ace5fe"},"content":[{"type":"paragraph","content":[{"type":"text","text":"Luxury","marks":[{"type":"strong"}]}],"attrs":{"localId":"c9502c8a154a"}}]}]},{"type":"tableRow","attrs":{"localId":"f5bb36115548"},"content":[{"type":"tableCell","attrs":{"localId":"79f792696735","background":"#ace5fe"},"content":[{"type":"paragraph","content":[{"type":"text","text":"Particulars","marks":[{"type":"strong"}]}],"attrs":{"localId":"345c32f41a84"}}]},{"type":"tableCell","attrs":{"localId":"f5a021703c20","background":"#ace5fe"},"content":[{"type":"paragraph","content":[{"type":"text","text":"SKU Count","marks":[{"type":"strong"}]}],"attrs":{"localId":"2a471c163b64"}}]},{"type":"tableCell","attrs":{"localId":"7d582f648eef","background":"#ace5fe"},"content":[{"type":"paragraph","content":[{"type":"text","text":"Option Count","marks":[{"type":"strong"}]}],"attrs":{"localId":"8e0d9ff70082"}}]}]},{"type":"tableRow","attrs":{"localId":"6f7fd25067df"},"content":[{"type":"tableCell","attrs":{"localId":"0557a6345949","background":"white"},"content":[{"type":"paragraph","content":[{"type":"text","text":"Received"}],"attrs":{"localId":"9520f96d884f"}}]},{"type":"tableCell","attrs":{"localId":"8b09cfa3d046"},"content":[{"type":"paragraph","content":[{"type":"text","text":"26"}],"attrs":{"localId":"cc7232df90ed"}}]},{"type":"tableCell","attrs":{"localId":"b4528e84e0de"},"content":[{"type":"paragraph","content":[{"type":"text","text":"3"}],"attrs":{"localId":"4374c0b1c65e"}}]}]},{"type":"tableRow","attrs":{"localId":"fa913476461e"},"content":[{"type":"tableCell","attrs":{"localId":"443143ae73b2","background":"white"},"content":[{"type":"paragraph","content":[{"type":"text","text":"Uploaded"}],"attrs":{"localId":"00bd13da6372"}}]},{"type":"tableCell","attrs":{"localId":"b3a558671933"},"content":[{"type":"paragraph","content":[{"type":"text","text":"26"}],"attrs":{"localId":"1b6047a8d333"}}]},{"type":"tableCell","attrs":{"localId":"3174879dc79f"},"content":[{"type":"paragraph","content":[{"type":"text","text":"3"}],"attrs":{"localId":"22ee89243002"}}]}]},{"type":"tableRow","attrs":{"localId":"2cec5fe78778"},"content":[{"type":"tableCell","attrs":{"localId":"e864c9ccfd5f","background":"white"},"content":[{"type":"paragraph","content":[{"type":"text","text":"SKUs not uploaded"}],"attrs":{"localId":"cef11b61b87d"}}]},{"type":"tableCell","attrs":{"localId":"0f6b32bee934"},"content":[{"type":"paragraph","content":[{"type":"text","text":"0"}],"attrs":{"localId":"6fad96542724"}}]},{"type":"tableCell","attrs":{"localId":"b593929b71e3"},"content":[{"type":"paragraph","content":[{"type":"text","text":"0"}],"attrs":{"localId":"17b428e48af6"}}]}]},{"type":"tableRow","attrs":{"localId":"00431d4f013e"},"content":[{"type":"tableCell","attrs":{"localId":"929103f1c264","background":"white"},"content":[{"type":"paragraph","content":[{"type":"text","text":"LIDs Shared"}],"attrs":{"localId":"a27e64859dea"}}]},{"type":"tableCell","attrs":{"localId":"687abb1e1b23"},"content":[{"type":"paragraph","content":[{"type":"text","text":"26"}],"attrs":{"localId":"6903bc91fbd7"}}]},{"type":"tableCell","attrs":{"localId":"943ae1087041"},"content":[{"type":"paragraph","content":[{"type":"text","text":"3"}],"attrs":{"localId":"636d1c1528e3"}}]}]},{"type":"tableRow","attrs":{"localId":"4c8557d8c7d5"},"content":[{"type":"tableCell","attrs":{"localId":"db9e832a50be","background":"white"},"content":[{"type":"paragraph","content":[{"type":"text","text":"LIDs Stuck in the System"}],"attrs":{"localId":"894b9668426c"}}]},{"type":"tableCell","attrs":{"localId":"c53f1fbfc87d"},"content":[{"type":"paragraph","content":[{"type":"text","text":"0"}],"attrs":{"localId":"5b6aef3b6fcc"}}]},{"type":"tableCell","attrs":{"localId":"5325a89e14b1"},"content":[{"type":"paragraph","content":[{"type":"text","text":"0"}],"attrs":{"localId":"902911feac78"}}]}]}]}
{adf}
Some styles have *non-continuous sizes* and could not be uploaded without confirmation. The affected SKUs and sizes are listed below:
||SKU||Foot Size||
|1201A896.100.6|UK/IND-5|
|1201A896.100.8|UK/IND-7|
|1201A896.100.9|UK/IND-8|
|1201A896.100.10|UK/IND-9|
|1201A967.100.6|UK/IND-5|
|1201A967.100.8|UK/IND-7|
|1201A967.100.9|UK/IND-8|
|1201A967.100.10|UK/IND-9|
@Madhuri Singh, kindly confirm whether we can proceed with uploading the styles with non-continuous sizes.
With this, we are closing this request from our end.
Thank you for your patience, support, and cooperation throughout the process. Your brand is important to us, and we look forward to assisting you again.</t>
  </si>
  <si>
    <t>UCW-34667</t>
  </si>
  <si>
    <t>Aug NPL - TFB</t>
  </si>
  <si>
    <t xml:space="preserve">Date :07/20/2026  &lt;Ticket picked for pre processing SKU 4&gt; &lt;Tania&gt;
Date :07/22/2026 &lt;Ticket picked for Production and QC review SKU 4&gt; &lt;Tania&gt;
IMAGE WIP;Date :07/22/2026&lt;Pre Processing query to Brand &lt;Certificate Issues&gt;&gt; &lt;Tania&gt;;Date :07/23/2026&lt;Query for platform confirmation &amp; Certificate Issues&gt;&lt;Amandeep&gt;;Date :07/24/2026&lt;Ticket picked for Production and QC review SKU 4&gt; &lt;Tania&gt;;Date :07/24/2026 &lt;Ticket has been successfully uploaded in our system. Option 4 Sku 4&gt; &lt;Ankita&gt;[^Summary.zip] [^Post Upload Status_V.2 (1).xlsx]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fb2bedc-6f62-4706-87f7-33359c30019f"},"content":[{"type":"tableRow","attrs":{"localId":"917a5c3b90e9"},"content":[{"type":"tableCell","attrs":{"localId":"a099daf4621b","background":"#44b3e1"},"content":[{"type":"paragraph","content":[{"type":"text","text":"Ticket ID","marks":[{"type":"strong"}]}],"attrs":{"localId":"7f4c595965b6"}}]},{"type":"tableCell","attrs":{"localId":"1f04fa1fbc62","colspan":2,"background":"#44b3e1"},"content":[{"type":"paragraph","content":[{"type":"text","text":"UCW-34667","marks":[{"type":"strong"}]}],"attrs":{"localId":"7e558d651385"}}]}]},{"type":"tableRow","attrs":{"localId":"201150317804"},"content":[{"type":"tableCell","attrs":{"localId":"708f678524f9","background":"#44b3e1"},"content":[{"type":"paragraph","content":[{"type":"text","text":"Brand Name","marks":[{"type":"strong"}]}],"attrs":{"localId":"0c1ee17d8429"}}]},{"type":"tableCell","attrs":{"localId":"024e52da4bfd","colspan":2,"background":"#44b3e1"},"content":[{"type":"paragraph","content":[{"type":"text","text":"Tom Ford","marks":[{"type":"strong"}]}],"attrs":{"localId":"b4584bd71c41"}}]}]},{"type":"tableRow","attrs":{"localId":"1c32392f5eea"},"content":[{"type":"tableCell","attrs":{"localId":"314f9ed50384","background":"#ace5fe"},"content":[{"type":"paragraph","content":[{"type":"text","text":"Platform","marks":[{"type":"strong"}]}],"attrs":{"localId":"d5a85e3d9541"}}]},{"type":"tableCell","attrs":{"localId":"ea3d43b1a2b6","colspan":2,"background":"#ace5fe"},"content":[{"type":"paragraph","content":[{"type":"text","text":"LUX","marks":[{"type":"strong"}]}],"attrs":{"localId":"7b0c4422941b"}}]}]},{"type":"tableRow","attrs":{"localId":"0a1ac49fec2d"},"content":[{"type":"tableCell","attrs":{"localId":"ec1501eb8a9b","background":"#ace5fe"},"content":[{"type":"paragraph","content":[{"type":"text","text":"Particulars","marks":[{"type":"strong"}]}],"attrs":{"localId":"4ca869f66a1b"}}]},{"type":"tableCell","attrs":{"localId":"5cc0d7be145f","background":"#ace5fe"},"content":[{"type":"paragraph","content":[{"type":"text","text":"SKU Count","marks":[{"type":"strong"}]}],"attrs":{"localId":"7a7070c097cc"}}]},{"type":"tableCell","attrs":{"localId":"4e68b12da4df","background":"#ace5fe"},"content":[{"type":"paragraph","content":[{"type":"text","text":"Option Count","marks":[{"type":"strong"}]}],"attrs":{"localId":"b51d273ef70b"}}]}]},{"type":"tableRow","attrs":{"localId":"bb4097fd2ccc"},"content":[{"type":"tableCell","attrs":{"localId":"de61b2a41d36","background":"white"},"content":[{"type":"paragraph","content":[{"type":"text","text":"Received"}],"attrs":{"localId":"2d5ef64a448c"}}]},{"type":"tableCell","attrs":{"localId":"1411ee500ac7"},"content":[{"type":"paragraph","content":[{"type":"text","text":"4"}],"attrs":{"localId":"a65d3e73d5de"}}]},{"type":"tableCell","attrs":{"localId":"2636745e4575"},"content":[{"type":"paragraph","content":[{"type":"text","text":"4"}],"attrs":{"localId":"7bea26896261"}}]}]},{"type":"tableRow","attrs":{"localId":"4b2a6bc61c03"},"content":[{"type":"tableCell","attrs":{"localId":"e2b7ca7298a8","background":"white"},"content":[{"type":"paragraph","content":[{"type":"text","text":"Uploaded"}],"attrs":{"localId":"66db4a5b2849"}}]},{"type":"tableCell","attrs":{"localId":"7db3b6e711c1"},"content":[{"type":"paragraph","content":[{"type":"text","text":"4"}],"attrs":{"localId":"e08bc3fe6b41"}}]},{"type":"tableCell","attrs":{"localId":"b9fa51eb7671"},"content":[{"type":"paragraph","content":[{"type":"text","text":"4"}],"attrs":{"localId":"4a99cf2dbf1e"}}]}]},{"type":"tableRow","attrs":{"localId":"86ff7097da35"},"content":[{"type":"tableCell","attrs":{"localId":"f97cffbb9e45","background":"white"},"content":[{"type":"paragraph","content":[{"type":"text","text":"LIDs Shared"}],"attrs":{"localId":"ed98c7fd1d85"}}]},{"type":"tableCell","attrs":{"localId":"80a9c996a52c"},"content":[{"type":"paragraph","content":[{"type":"text","text":"4"}],"attrs":{"localId":"060ed3e96f29"}}]},{"type":"tableCell","attrs":{"localId":"5ac1c50f6930"},"content":[{"type":"paragraph","content":[{"type":"text","text":"4"}],"attrs":{"localId":"3f5697472917"}}]}]}]}
{adf}
With this, we are closing this request from our end.
Thank you for your patience, support, and cooperation throughout the process. Your brand is important to us, and we look forward to assisting you again.
[^Post Upload Status_V.2 (1) (5).xlsx] </t>
  </si>
  <si>
    <t>UCW-34639</t>
  </si>
  <si>
    <t>GWP Catalogue Sheet</t>
  </si>
  <si>
    <t>Biotique</t>
  </si>
  <si>
    <t>SKU is already listed in System.</t>
  </si>
  <si>
    <t>UCW-34637</t>
  </si>
  <si>
    <t xml:space="preserve">GAR | Acno Fight PDP | TATACLIQ - Fashion | Seller Code 125928 | PRIORITY </t>
  </si>
  <si>
    <t xml:space="preserve">Date:07/24/2026&lt;Brand To Reslove Query&gt;&lt;Image link expired&gt;&lt;Biplab Sarkar&gt;;The images are successfully uploaded. Once the images are reflected, we will let you know.
{adf:display=block}
{"type":"table","attrs":{"isNumberColumnEnabled":false,"layout":"center","localId":"37bb9d3e-97c0-4a04-8c8e-7630837e816e"},"content":[{"type":"tableRow","attrs":{"localId":"c19592285ffd"},"content":[{"type":"tableCell","attrs":{"localId":"10f08bf3445a"},"content":[{"type":"paragraph","content":[{"type":"text","text":"Ticket ID"}],"attrs":{"localId":"4f09896d1e16"}}]},{"type":"tableCell","attrs":{"localId":"6b1f074726a3","colspan":2},"content":[{"type":"paragraph","content":[{"type":"text","text":"UCW-34637"}],"attrs":{"localId":"9ed6b47c8e6b"}}]}]},{"type":"tableRow","attrs":{"localId":"6a05574ce3a2"},"content":[{"type":"tableCell","attrs":{"localId":"2d7e258e9e77"},"content":[{"type":"paragraph","content":[{"type":"text","text":"Brand Name"}],"attrs":{"localId":"696a7ac5c540"}}]},{"type":"tableCell","attrs":{"localId":"45b575ab55ff","colspan":2},"content":[{"type":"paragraph","content":[{"type":"text","text":"Garnier"}],"attrs":{"localId":"02c2d27ea3ff"}}]}]},{"type":"tableRow","attrs":{"localId":"6a549ba9dcec"},"content":[{"type":"tableCell","attrs":{"localId":"a8f5669704f4"},"content":[{"type":"paragraph","content":[{"type":"text","text":"Platform"}],"attrs":{"localId":"29a16a401e41"}}]},{"type":"tableCell","attrs":{"localId":"e9b59188843d","colspan":2},"content":[{"type":"paragraph","content":[{"type":"text","text":"Marketplace &amp; Beauty"}],"attrs":{"localId":"765396a616ab"}}]}]},{"type":"tableRow","attrs":{"localId":"682ce23b1fda"},"content":[{"type":"tableCell","attrs":{"localId":"c61daf449e0b"},"content":[{"type":"paragraph","content":[{"type":"text","text":"Particulars"}],"attrs":{"localId":"77366eb6b798"}}]},{"type":"tableCell","attrs":{"localId":"122e62b903cf"},"content":[{"type":"paragraph","content":[{"type":"text","text":"SKU Count"}],"attrs":{"localId":"facb2156eb38"}}]},{"type":"tableCell","attrs":{"localId":"a84012bdd321"},"content":[{"type":"paragraph","content":[{"type":"text","text":"Option Count"}],"attrs":{"localId":"c4647151435a"}}]}]},{"type":"tableRow","attrs":{"localId":"287f661e9213"},"content":[{"type":"tableCell","attrs":{"localId":"2dbff5dc85d1"},"content":[{"type":"paragraph","content":[{"type":"text","text":"Received"}],"attrs":{"localId":"4c1e1d187cdb"}}]},{"type":"tableCell","attrs":{"localId":"0232093f9b88"},"content":[{"type":"paragraph","content":[{"type":"text","text":"3"}],"attrs":{"localId":"f73ace8eac98"}}]},{"type":"tableCell","attrs":{"localId":"4c235dd48c85"},"content":[{"type":"paragraph","content":[{"type":"text","text":"3"}],"attrs":{"localId":"1f910df3bf77"}}]}]},{"type":"tableRow","attrs":{"localId":"0a857cdb2b80"},"content":[{"type":"tableCell","attrs":{"localId":"32a3e1a7c609"},"content":[{"type":"paragraph","content":[{"type":"text","text":"Uploaded"}],"attrs":{"localId":"de20e82a2404"}}]},{"type":"tableCell","attrs":{"localId":"70c508ca3988"},"content":[{"type":"paragraph","content":[{"type":"text","text":"3"}],"attrs":{"localId":"2cd6009f3ee8"}}]},{"type":"tableCell","attrs":{"localId":"f1b2d0fe7670"},"content":[{"type":"paragraph","content":[{"type":"text","text":"3"}],"attrs":{"localId":"8f948ad87a19"}}]}]}]}
{adf}
[^Status of UCW-34637.xlsx]
[^125928_SKUEDITRETRIGGER__Mens_Skincare_1(MPH2215103100)_20260721_020727_633_summary.csv]
</t>
  </si>
  <si>
    <t>UCW-34633</t>
  </si>
  <si>
    <t>Platform Addition Request - &amp;honey , Dr Athlea on Luxury</t>
  </si>
  <si>
    <t>&amp;honey, Dr. Althea</t>
  </si>
  <si>
    <t>The platform addition task has been completed. Please find the attached summary sheet for your reference. Once the updates are successfully reflected, we will inform you accordingly.
{adf:display=block}
{"type":"table","attrs":{"isNumberColumnEnabled":false,"layout":"center","localId":"174d9e12-649a-4636-9056-7418e47e8ca6"},"content":[{"type":"tableRow","attrs":{"localId":"bd51476a0035"},"content":[{"type":"tableCell","attrs":{"localId":"53f13bfa6463"},"content":[{"type":"paragraph","content":[{"type":"text","text":"Ticket ID"}],"attrs":{"localId":"4ebbb7c11c9b"}}]},{"type":"tableCell","attrs":{"localId":"4b77271cbca2","colspan":2},"content":[{"type":"paragraph","content":[{"type":"text","text":"UCW-34633"}],"attrs":{"localId":"6d94119d701e"}}]}]},{"type":"tableRow","attrs":{"localId":"617afe0c8697"},"content":[{"type":"tableCell","attrs":{"localId":"9cca393c0a30"},"content":[{"type":"paragraph","content":[{"type":"text","text":"Brand Name"}],"attrs":{"localId":"2a7844be6133"}}]},{"type":"tableCell","attrs":{"localId":"adcc19bdb134","colspan":2},"content":[{"type":"paragraph","content":[{"type":"text","text":"&amp;honey &amp; De.Althea"}],"attrs":{"localId":"dcc6d4bd44f3"}}]}]},{"type":"tableRow","attrs":{"localId":"e20c7394b7de"},"content":[{"type":"tableCell","attrs":{"localId":"6ddcb494e4e3"},"content":[{"type":"paragraph","content":[{"type":"text","text":"Platform"}],"attrs":{"localId":"b0e2018d6e75"}}]},{"type":"tableCell","attrs":{"localId":"0c0b9709f9b0","colspan":2},"content":[{"type":"paragraph","content":[{"type":"text","text":"Marketplace &amp; Luxury"}],"attrs":{"localId":"27d80b796b76"}}]}]},{"type":"tableRow","attrs":{"localId":"82f6cc52e7fb"},"content":[{"type":"tableCell","attrs":{"localId":"cdbdc1b036c3"},"content":[{"type":"paragraph","content":[{"type":"text","text":"Particulars"}],"attrs":{"localId":"c8db8d68ad55"}}]},{"type":"tableCell","attrs":{"localId":"3a740c1aeca0"},"content":[{"type":"paragraph","content":[{"type":"text","text":"SKU Count"}],"attrs":{"localId":"2ebb1647535a"}}]},{"type":"tableCell","attrs":{"localId":"aec0ca29513c"},"content":[{"type":"paragraph","content":[{"type":"text","text":"Option Count"}],"attrs":{"localId":"c42b51f333ee"}}]}]},{"type":"tableRow","attrs":{"localId":"2ae6d0fccda2"},"content":[{"type":"tableCell","attrs":{"localId":"d691164b5c85"},"content":[{"type":"paragraph","content":[{"type":"text","text":"Received"}],"attrs":{"localId":"af496105062c"}}]},{"type":"tableCell","attrs":{"localId":"49cec0fffbcf"},"content":[{"type":"paragraph","content":[{"type":"text","text":"40"}],"attrs":{"localId":"eea04fa1b7f8"}}]},{"type":"tableCell","attrs":{"localId":"b54dff4252b5"},"content":[{"type":"paragraph","content":[{"type":"text","text":"40"}],"attrs":{"localId":"0205b97b45ee"}}]}]},{"type":"tableRow","attrs":{"localId":"e2bdf740dadd"},"content":[{"type":"tableCell","attrs":{"localId":"616a3bfd9bb9"},"content":[{"type":"paragraph","content":[{"type":"text","text":"Uploaded"}],"attrs":{"localId":"8616b1b6d9a0"}}]},{"type":"tableCell","attrs":{"localId":"8fcee10393af"},"content":[{"type":"paragraph","content":[{"type":"text","text":"40"}],"attrs":{"localId":"3b1a2754ad0e"}}]},{"type":"tableCell","attrs":{"localId":"8ad884d150bb"},"content":[{"type":"paragraph","content":[{"type":"text","text":"40"}],"attrs":{"localId":"18bc7b49f82d"}}]}]}]}
{adf}
[^Status of UCW-34633.xlsx]
[^Summery.zip]
;The image has been successfully reflected on both platforms. Therefore, we will proceed with closing this ticket for now. If you encounter any further issues, please feel free to reach out to us.</t>
  </si>
  <si>
    <t>UCW-34628</t>
  </si>
  <si>
    <t>New listing of iunik</t>
  </si>
  <si>
    <t>iunik</t>
  </si>
  <si>
    <t xml:space="preserve">Date :07/20/2026  &lt;Ticket picked for pre processing SKU 1&gt; &lt;Tania&gt;
Date :07/22/2026 &lt;Ticket picked for Production and QC review SKU 1&gt; &lt;Tania&gt;
IMAGE WIP;Date :07/22/2026Y &lt;Pre Processing query to Brand &lt;Images Analysis&gt;&gt; &lt;Tania&gt;
Date :07/23/2026 &lt; Pre Processing query to Brand 1st Follow Up&gt; &lt;Tania&gt;;Date :07/24/2026 &lt; Pre Processing query to Brand 2nd Follow Up&gt; &lt;Tania&gt;;Date :07/24/2026 &lt; Resolution Received, Production &amp; QC Done&gt; &lt;Tania&gt;;Date :07/24/2026 &lt;Ticket has been successfully uploaded in our system. Option 1 Sku 1&gt; &lt;Ishani&gt;
[^Post Upload Status_V.2 (1) (1).xlsx] [^Summary.zip]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4a03ee0-295c-4ea6-9d39-03bc7554c6f0"},"content":[{"type":"tableRow","attrs":{"localId":"51c42b1b0970"},"content":[{"type":"tableCell","attrs":{"localId":"3d4287240a07","background":"#44b3e1"},"content":[{"type":"paragraph","content":[{"type":"text","text":"Ticket ID","marks":[{"type":"strong"}]}],"attrs":{"localId":"8bd9531b8797"}}]},{"type":"tableCell","attrs":{"localId":"bf34e222fe0b","colspan":2,"background":"#44b3e1"},"content":[{"type":"paragraph","content":[{"type":"text","text":"UCW-34628","marks":[{"type":"strong"}]}],"attrs":{"localId":"b61c5720784e"}}]}]},{"type":"tableRow","attrs":{"localId":"eb8993a7db4b"},"content":[{"type":"tableCell","attrs":{"localId":"3a18b4c3208d","background":"#44b3e1"},"content":[{"type":"paragraph","content":[{"type":"text","text":"Brand Name","marks":[{"type":"strong"}]}],"attrs":{"localId":"2d7fe51547b9"}}]},{"type":"tableCell","attrs":{"localId":"56ade1ab75ad","colspan":2,"background":"#44b3e1"},"content":[{"type":"paragraph","content":[{"type":"text","text":"iunik","marks":[{"type":"strong"}]}],"attrs":{"localId":"ce962885abfc"}}]}]},{"type":"tableRow","attrs":{"localId":"5b1a4dae78c6"},"content":[{"type":"tableCell","attrs":{"localId":"2d9d9c2519a1","background":"#ace5fe"},"content":[{"type":"paragraph","content":[{"type":"text","text":"Platform","marks":[{"type":"strong"}]}],"attrs":{"localId":"a2eaad6e9dfd"}}]},{"type":"tableCell","attrs":{"localId":"e97357d34cbb","colspan":2,"background":"#ace5fe"},"content":[{"type":"paragraph","content":[{"type":"text","text":"MALL","marks":[{"type":"strong"}]}],"attrs":{"localId":"3ff7411851dd"}}]}]},{"type":"tableRow","attrs":{"localId":"6aa99eaae2e3"},"content":[{"type":"tableCell","attrs":{"localId":"e919aec302d4","background":"#ace5fe"},"content":[{"type":"paragraph","content":[{"type":"text","text":"Particulars","marks":[{"type":"strong"}]}],"attrs":{"localId":"46a32eb60fdb"}}]},{"type":"tableCell","attrs":{"localId":"7d6c310a197a","background":"#ace5fe"},"content":[{"type":"paragraph","content":[{"type":"text","text":"SKU Count","marks":[{"type":"strong"}]}],"attrs":{"localId":"b25a6f50b9f8"}}]},{"type":"tableCell","attrs":{"localId":"05aa6bdf732f","background":"#ace5fe"},"content":[{"type":"paragraph","content":[{"type":"text","text":"Option Count","marks":[{"type":"strong"}]}],"attrs":{"localId":"23080bff0c34"}}]}]},{"type":"tableRow","attrs":{"localId":"f43c952f4c39"},"content":[{"type":"tableCell","attrs":{"localId":"ac68bb1c2e9b","background":"white"},"content":[{"type":"paragraph","content":[{"type":"text","text":"Received"}],"attrs":{"localId":"a7e73dbe5fca"}}]},{"type":"tableCell","attrs":{"localId":"c4c49b46d0e6"},"content":[{"type":"paragraph","content":[{"type":"text","text":"1"}],"attrs":{"localId":"210080a31fe8"}}]},{"type":"tableCell","attrs":{"localId":"5e9972c2cc35"},"content":[{"type":"paragraph","content":[{"type":"text","text":"1"}],"attrs":{"localId":"b486110fa94f"}}]}]},{"type":"tableRow","attrs":{"localId":"ef9fe0bfdfaa"},"content":[{"type":"tableCell","attrs":{"localId":"8354151fa543","background":"white"},"content":[{"type":"paragraph","content":[{"type":"text","text":"Uploaded"}],"attrs":{"localId":"ab994162e841"}}]},{"type":"tableCell","attrs":{"localId":"88e76da04719"},"content":[{"type":"paragraph","content":[{"type":"text","text":"1"}],"attrs":{"localId":"362f1e56335b"}}]},{"type":"tableCell","attrs":{"localId":"1a17f17aad13"},"content":[{"type":"paragraph","content":[{"type":"text","text":"1"}],"attrs":{"localId":"7d2077243a62"}}]}]},{"type":"tableRow","attrs":{"localId":"7bc7e652d4ba"},"content":[{"type":"tableCell","attrs":{"localId":"a9fb71ec1ad2","background":"white"},"content":[{"type":"paragraph","content":[{"type":"text","text":"LIDs Shared"}],"attrs":{"localId":"e0893fa4a4ee"}}]},{"type":"tableCell","attrs":{"localId":"03fb990b9c34"},"content":[{"type":"paragraph","content":[{"type":"text","text":"1"}],"attrs":{"localId":"bba8f2196271"}}]},{"type":"tableCell","attrs":{"localId":"aa5ec274f2e7"},"content":[{"type":"paragraph","content":[{"type":"text","text":"1"}],"attrs":{"localId":"5b9ef9d57baf"}}]}]}]}
{adf}
With this, we are closing this request from our end.
Thank you for your patience, support, and cooperation throughout the process. Your brand is important to us, and we look forward to assisting you again.
[^Post Upload Status_V.2 (1) (1) (4).xlsx]
</t>
  </si>
  <si>
    <t>UCW-34627</t>
  </si>
  <si>
    <t>TCL- New listing - Juliette Has A Gun Banana Rush (MDP)</t>
  </si>
  <si>
    <t>Juliette has a gun</t>
  </si>
  <si>
    <t>Date :07/20/2026  &lt;Ticket picked for pre processing SKU 3&gt; &lt;Tania&gt;
Date :07/22/2026 &lt;Ticket picked for Production and QC review SKU 3&gt; &lt;Tania&gt;
IMAGE WIP;Date :07/23/2026 &lt;Ticket has been successfully uploaded in our system. SKU 3&gt; &lt;Tania&gt;;We have successfully uploaded this batch. Please find the attached summary sheet and summary report.[^UCW-34627_Post Upload Status.xlsx] [^ProductBulkUpload_127939_Beauty__Grooming(MPH22)_Fragrances_and_Perfumes(MPH2211)_Fragrances(MPH2211100)_Perfumes(MPH22111.csv] ;[^UCW-34627_Post Upload Status (4ecfd7a6-d81a-4edf-86e5-0f273b5b1b4a).xlsx]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846a644-125f-458c-92fc-b020218e0d72"},"content":[{"type":"tableRow","attrs":{"localId":"8e7e1a3cb942"},"content":[{"type":"tableCell","attrs":{"localId":"097d1f21b68f","background":"#44b3e1"},"content":[{"type":"paragraph","content":[{"type":"text","text":"Ticket ID","marks":[{"type":"strong"}]}],"attrs":{"localId":"0d26c94c99ed"}}]},{"type":"tableCell","attrs":{"localId":"fd1bd60990f6","colspan":2,"background":"#44b3e1"},"content":[{"type":"paragraph","content":[{"type":"text","text":"UCW-34627","marks":[{"type":"strong"}]}],"attrs":{"localId":"703c55381e21"}}]}]},{"type":"tableRow","attrs":{"localId":"f6702feb560d"},"content":[{"type":"tableCell","attrs":{"localId":"17a72a28f5b4","background":"#44b3e1"},"content":[{"type":"paragraph","content":[{"type":"text","text":"Brand Name","marks":[{"type":"strong"}]}],"attrs":{"localId":"803fda2c54cd"}}]},{"type":"tableCell","attrs":{"localId":"ca1bbae5cca4","colspan":2,"background":"#44b3e1"},"content":[{"type":"paragraph","content":[{"type":"text","text":"Juliette has a gun","marks":[{"type":"strong"}]}],"attrs":{"localId":"68fee42e91fa"}}]}]},{"type":"tableRow","attrs":{"localId":"8f30d43943fd"},"content":[{"type":"tableCell","attrs":{"localId":"2d5d3e5d5324","background":"#ace5fe"},"content":[{"type":"paragraph","content":[{"type":"text","text":"Platform","marks":[{"type":"strong"}]}],"attrs":{"localId":"19a49b585c36"}}]},{"type":"tableCell","attrs":{"localId":"e109e6805158","colspan":2,"background":"#ace5fe"},"content":[{"type":"paragraph","content":[{"type":"text","text":"Luxury","marks":[{"type":"strong"}]}],"attrs":{"localId":"94dfa686f203"}}]}]},{"type":"tableRow","attrs":{"localId":"8718245c726f"},"content":[{"type":"tableCell","attrs":{"localId":"61991bd34fbe","background":"#ace5fe"},"content":[{"type":"paragraph","content":[{"type":"text","text":"Particulars","marks":[{"type":"strong"}]}],"attrs":{"localId":"50d7deb4e953"}}]},{"type":"tableCell","attrs":{"localId":"0b726adefae0","background":"#ace5fe"},"content":[{"type":"paragraph","content":[{"type":"text","text":"SKU Count","marks":[{"type":"strong"}]}],"attrs":{"localId":"a6068c083bc7"}}]},{"type":"tableCell","attrs":{"localId":"1425457f0eac","background":"#ace5fe"},"content":[{"type":"paragraph","content":[{"type":"text","text":"Option Count","marks":[{"type":"strong"}]}],"attrs":{"localId":"d3f32dc70c86"}}]}]},{"type":"tableRow","attrs":{"localId":"b7d4eb67ca54"},"content":[{"type":"tableCell","attrs":{"localId":"9a1fcd7bb9e6","background":"white"},"content":[{"type":"paragraph","content":[{"type":"text","text":"Received"}],"attrs":{"localId":"0c7158c23688"}}]},{"type":"tableCell","attrs":{"localId":"07eee9196267"},"content":[{"type":"paragraph","content":[{"type":"text","text":"3"}],"attrs":{"localId":"8f6d3f63102a"}}]},{"type":"tableCell","attrs":{"localId":"11518480f0d9"},"content":[{"type":"paragraph","content":[{"type":"text","text":"3"}],"attrs":{"localId":"bcf8e99a8e90"}}]}]},{"type":"tableRow","attrs":{"localId":"f1152e587ec2"},"content":[{"type":"tableCell","attrs":{"localId":"227331654cfe","background":"white"},"content":[{"type":"paragraph","content":[{"type":"text","text":"Uploaded"}],"attrs":{"localId":"ea56406545c0"}}]},{"type":"tableCell","attrs":{"localId":"42c176968a88"},"content":[{"type":"paragraph","content":[{"type":"text","text":"3"}],"attrs":{"localId":"e2d53b3c4387"}}]},{"type":"tableCell","attrs":{"localId":"ae72c71e78c1"},"content":[{"type":"paragraph","content":[{"type":"text","text":"3"}],"attrs":{"localId":"f9e4d17ee2b4"}}]}]},{"type":"tableRow","attrs":{"localId":"d2e7520f06ad"},"content":[{"type":"tableCell","attrs":{"localId":"514ba0dfb38d","background":"white"},"content":[{"type":"paragraph","content":[{"type":"text","text":"SKUs not uploaded"}],"attrs":{"localId":"93ac3d4bea54"}}]},{"type":"tableCell","attrs":{"localId":"275b47155e5d"},"content":[{"type":"paragraph","content":[{"type":"text","text":"0"}],"attrs":{"localId":"2a88d4281b00"}}]},{"type":"tableCell","attrs":{"localId":"fefb6bce5a2a"},"content":[{"type":"paragraph","content":[{"type":"text","text":"0"}],"attrs":{"localId":"8914ae1baec5"}}]}]},{"type":"tableRow","attrs":{"localId":"cb53d0b6d4ed"},"content":[{"type":"tableCell","attrs":{"localId":"1e01a100a21c","background":"white"},"content":[{"type":"paragraph","content":[{"type":"text","text":"LIDs Shared"}],"attrs":{"localId":"fcd5229a584e"}}]},{"type":"tableCell","attrs":{"localId":"81c066641b6d"},"content":[{"type":"paragraph","content":[{"type":"text","text":"3"}],"attrs":{"localId":"ac1bd59ed67a"}}]},{"type":"tableCell","attrs":{"localId":"e4bf2671a8ab"},"content":[{"type":"paragraph","content":[{"type":"text","text":"3"}],"attrs":{"localId":"63ad1d5db053"}}]}]},{"type":"tableRow","attrs":{"localId":"27dfda109c67"},"content":[{"type":"tableCell","attrs":{"localId":"743c0ce1f9d0","background":"white"},"content":[{"type":"paragraph","content":[{"type":"text","text":"LIDs Stuck in the System"}],"attrs":{"localId":"eca5844f9790"}}]},{"type":"tableCell","attrs":{"localId":"14d3d39fa87f"},"content":[{"type":"paragraph","content":[{"type":"text","text":"0"}],"attrs":{"localId":"c6234b083456"}}]},{"type":"tableCell","attrs":{"localId":"3f545759427f"},"content":[{"type":"paragraph","content":[{"type":"text","text":"0"}],"attrs":{"localId":"0d756be150ba"}}]}]}]}
{adf}
With this, we are closing this request from our end.
Thank you for your patience, support, and cooperation throughout the process. Your brand is important to us, and we look forward to assisting you again.</t>
  </si>
  <si>
    <t>UCW-34624</t>
  </si>
  <si>
    <t>Sept'26 NPL to be ordered in July'26: TCL</t>
  </si>
  <si>
    <t>M.A.C.</t>
  </si>
  <si>
    <t xml:space="preserve">Date :07/20/2026  &lt;Ticket picked for pre processing SKU 10&gt; &lt;Tania&gt;
Date :07/22/2026 &lt;Ticket picked for Production and QC review SKU 10&gt; &lt;Tania&gt;
IMAGE WIP;Date :07/24/2026 &lt;Query Shared due to images issues SKU 10&gt; &lt;Tania&gt;;We have successfully uploaded this batch. Please find the attached summary sheet and summary report.[^ProductBulkUpload_125928_Beauty__Grooming(MPH22)_Makeup(MPH2214)_Face(MPH2214101)_Foundation(MPH2214101112)_33887_17848963.csv][^UCW-34624_Post Upload Status (1) (f22d307d-a210-4eee-acac-28d106707c5f).xlsx]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760201b-5462-4b77-9dc5-922500204961"},"content":[{"type":"tableRow","attrs":{"localId":"b3b87187b427"},"content":[{"type":"tableCell","attrs":{"localId":"538642904a9a","background":"#44b3e1"},"content":[{"type":"paragraph","content":[{"type":"text","text":"Ticket ID","marks":[{"type":"strong"}]}],"attrs":{"localId":"66c2c119b9fb"}}]},{"type":"tableCell","attrs":{"localId":"3778fc55507f","colspan":2,"background":"#44b3e1"},"content":[{"type":"paragraph","content":[{"type":"text","text":"UCW-34624"}],"attrs":{"localId":"985130bb443d"}}]}]},{"type":"tableRow","attrs":{"localId":"922b66deb161"},"content":[{"type":"tableCell","attrs":{"localId":"cbae2c190187","background":"#44b3e1"},"content":[{"type":"paragraph","content":[{"type":"text","text":"Brand Name","marks":[{"type":"strong"}]}],"attrs":{"localId":"46c174cadc8c"}}]},{"type":"tableCell","attrs":{"localId":"ed206ee13efa","colspan":2,"background":"#44b3e1"},"content":[{"type":"paragraph","content":[{"type":"text","text":"M.A.C.","marks":[{"type":"strong"}]}],"attrs":{"localId":"ef8456406589"}}]}]},{"type":"tableRow","attrs":{"localId":"db3230de3e8d"},"content":[{"type":"tableCell","attrs":{"localId":"a597d7a85191","background":"#ace5fe"},"content":[{"type":"paragraph","content":[{"type":"text","text":"Platform","marks":[{"type":"strong"}]}],"attrs":{"localId":"ee24542054b9"}}]},{"type":"tableCell","attrs":{"localId":"1aee8a0b5d13","colspan":2,"background":"#ace5fe"},"content":[{"type":"paragraph","content":[{"type":"text","text":"MALL+LUX","marks":[{"type":"strong"}]}],"attrs":{"localId":"60bfc544b70d"}}]}]},{"type":"tableRow","attrs":{"localId":"d2d96d33969c"},"content":[{"type":"tableCell","attrs":{"localId":"1afb6d25dc6b","background":"#ace5fe"},"content":[{"type":"paragraph","content":[{"type":"text","text":"Particulars","marks":[{"type":"strong"}]}],"attrs":{"localId":"bab31f6ea4a8"}}]},{"type":"tableCell","attrs":{"localId":"1eb20561af79","background":"#ace5fe"},"content":[{"type":"paragraph","content":[{"type":"text","text":"SKU Count","marks":[{"type":"strong"}]}],"attrs":{"localId":"cfd433d0f2ee"}}]},{"type":"tableCell","attrs":{"localId":"2203c2265eab","background":"#ace5fe"},"content":[{"type":"paragraph","content":[{"type":"text","text":"Option Count","marks":[{"type":"strong"}]}],"attrs":{"localId":"cf198476f33a"}}]}]},{"type":"tableRow","attrs":{"localId":"a769feb396d4"},"content":[{"type":"tableCell","attrs":{"localId":"a0e6fad8431e","background":"white"},"content":[{"type":"paragraph","content":[{"type":"text","text":"Received"}],"attrs":{"localId":"db9b66fdec09"}}]},{"type":"tableCell","attrs":{"localId":"b19ef57bb93d"},"content":[{"type":"paragraph","content":[{"type":"text","text":"10"}],"attrs":{"localId":"e400626612b8"}}]},{"type":"tableCell","attrs":{"localId":"85d289ee8ddc"},"content":[{"type":"paragraph","content":[{"type":"text","text":"10"}],"attrs":{"localId":"8fcc79c23f10"}}]}]},{"type":"tableRow","attrs":{"localId":"addb03568c74"},"content":[{"type":"tableCell","attrs":{"localId":"6f5139657da0","background":"white"},"content":[{"type":"paragraph","content":[{"type":"text","text":"Uploaded"}],"attrs":{"localId":"ecc045735c11"}}]},{"type":"tableCell","attrs":{"localId":"5f173e19631c"},"content":[{"type":"paragraph","content":[{"type":"text","text":"9"}],"attrs":{"localId":"f103ae27a428"}}]},{"type":"tableCell","attrs":{"localId":"2cce61da6d27"},"content":[{"type":"paragraph","content":[{"type":"text","text":"9"}],"attrs":{"localId":"1ea88b88d068"}}]}]},{"type":"tableRow","attrs":{"localId":"3bf4f5a54b3d"},"content":[{"type":"tableCell","attrs":{"localId":"4a29aef2dc30","background":"white"},"content":[{"type":"paragraph","content":[{"type":"text","text":"SKUs not Uploaded"}],"attrs":{"localId":"44a7a58b2ad0"}}]},{"type":"tableCell","attrs":{"localId":"d523d25c2daf"},"content":[{"type":"paragraph","content":[{"type":"text","text":"1"}],"attrs":{"localId":"fdbcdb320284"}}]},{"type":"tableCell","attrs":{"localId":"de640038fb4e"},"content":[{"type":"paragraph","content":[{"type":"text","text":"1"}],"attrs":{"localId":"aa3ad356a58e"}}]}]},{"type":"tableRow","attrs":{"localId":"623a4b524e18"},"content":[{"type":"tableCell","attrs":{"localId":"07cdbdf2fdeb","background":"white"},"content":[{"type":"paragraph","content":[{"type":"text","text":"LIDs Shared"}],"attrs":{"localId":"5b05d64a9ded"}}]},{"type":"tableCell","attrs":{"localId":"56648f2c6882"},"content":[{"type":"paragraph","content":[{"type":"text","text":"9"}],"attrs":{"localId":"dd2b3952f422"}}]},{"type":"tableCell","attrs":{"localId":"dee35e6c84d7"},"content":[{"type":"paragraph","content":[{"type":"text","text":"9"}],"attrs":{"localId":"90b1c445166c"}}]}]}]}
{adf}
With this, we are closing this request from our end.
Thank you for your patience, support, and cooperation throughout the process. Your brand is important to us, and we look forward to assisting you again.
[^UCW-34624_Post Upload Status.xlsx]
</t>
  </si>
  <si>
    <t>UCW-34623</t>
  </si>
  <si>
    <t>Tata Cliq Luxury  - New listing - Hermès (Ginseng Biloba)</t>
  </si>
  <si>
    <t>Date :07/20/2026  &lt;Ticket picked for pre processing SKU 1&gt; &lt;Tania&gt;
Date :07/22/2026 &lt;Ticket picked for Production and QC review SKU 1&gt; &lt;Tania&gt;
IMAGE WIP;Date :07/23/2026 &lt;Ticket has been successfully uploaded in our system. SKU 1&gt; &lt;Tania&gt;;We have successfully uploaded this batch. Please find the attached summary sheet and summary report.[^ProductBulkUpload_127939_Beauty__Grooming(MPH22)_Fragrances_and_Perfumes(MPH2211)_Fragrances(MPH2211100)_Perfumes(MPH22111.csv] [^UCW-34623_Post Upload Status.xlsx] ;[^UCW-34623_Post Upload Status (22c38245-0037-4b74-b24f-adc3f3f4e851).xlsx]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23842b0b-3d8d-49e6-97bb-ae6bb2dd46ed"},"content":[{"type":"tableRow","attrs":{"localId":"31501498e217"},"content":[{"type":"tableCell","attrs":{"localId":"14767e54dc20","background":"#44b3e1"},"content":[{"type":"paragraph","content":[{"type":"text","text":"Ticket ID","marks":[{"type":"strong"}]}],"attrs":{"localId":"663da0b992be"}}]},{"type":"tableCell","attrs":{"localId":"ad714a82f6d3","colspan":2,"background":"#44b3e1"},"content":[{"type":"paragraph","content":[{"type":"text","text":"UCW-34623","marks":[{"type":"strong"}]}],"attrs":{"localId":"c41ae4fea291"}}]}]},{"type":"tableRow","attrs":{"localId":"5ebdc72172f3"},"content":[{"type":"tableCell","attrs":{"localId":"1bad5ec37e54","background":"#44b3e1"},"content":[{"type":"paragraph","content":[{"type":"text","text":"Brand Name","marks":[{"type":"strong"}]}],"attrs":{"localId":"a7bce04b9602"}}]},{"type":"tableCell","attrs":{"localId":"283feb7ccc45","colspan":2,"background":"#44b3e1"},"content":[{"type":"paragraph","content":[{"type":"text","text":"Hermes","marks":[{"type":"strong"}]}],"attrs":{"localId":"dd06dae2351c"}}]}]},{"type":"tableRow","attrs":{"localId":"02a2c775ce80"},"content":[{"type":"tableCell","attrs":{"localId":"10aef9a5fea2","background":"#ace5fe"},"content":[{"type":"paragraph","content":[{"type":"text","text":"Platform","marks":[{"type":"strong"}]}],"attrs":{"localId":"f4662e1921f3"}}]},{"type":"tableCell","attrs":{"localId":"eb67b9b83227","colspan":2,"background":"#ace5fe"},"content":[{"type":"paragraph","content":[{"type":"text","text":"Luxury","marks":[{"type":"strong"}]}],"attrs":{"localId":"90c36c35ecb9"}}]}]},{"type":"tableRow","attrs":{"localId":"e50eccd0b38b"},"content":[{"type":"tableCell","attrs":{"localId":"f696974d6163","background":"#ace5fe"},"content":[{"type":"paragraph","content":[{"type":"text","text":"Particulars","marks":[{"type":"strong"}]}],"attrs":{"localId":"eba39beb2773"}}]},{"type":"tableCell","attrs":{"localId":"a950f0b590f1","background":"#ace5fe"},"content":[{"type":"paragraph","content":[{"type":"text","text":"SKU Count","marks":[{"type":"strong"}]}],"attrs":{"localId":"f6bb46fe4ccb"}}]},{"type":"tableCell","attrs":{"localId":"80770178d95d","background":"#ace5fe"},"content":[{"type":"paragraph","content":[{"type":"text","text":"Option Count","marks":[{"type":"strong"}]}],"attrs":{"localId":"3771043d20f5"}}]}]},{"type":"tableRow","attrs":{"localId":"770a8810414b"},"content":[{"type":"tableCell","attrs":{"localId":"ad0721e290f0","background":"white"},"content":[{"type":"paragraph","content":[{"type":"text","text":"Received"}],"attrs":{"localId":"35eb70018d7e"}}]},{"type":"tableCell","attrs":{"localId":"dfba3753a507"},"content":[{"type":"paragraph","content":[{"type":"text","text":"1"}],"attrs":{"localId":"8ca04717d01a"}}]},{"type":"tableCell","attrs":{"localId":"14992a867724"},"content":[{"type":"paragraph","content":[{"type":"text","text":"1"}],"attrs":{"localId":"4e179e8dd12f"}}]}]},{"type":"tableRow","attrs":{"localId":"b172ce78ca80"},"content":[{"type":"tableCell","attrs":{"localId":"ca3f46787ea0","background":"white"},"content":[{"type":"paragraph","content":[{"type":"text","text":"Uploaded"}],"attrs":{"localId":"4bc703a58196"}}]},{"type":"tableCell","attrs":{"localId":"0abea235afa1"},"content":[{"type":"paragraph","content":[{"type":"text","text":"1"}],"attrs":{"localId":"48c51bec634c"}}]},{"type":"tableCell","attrs":{"localId":"a2d13ebb6f09"},"content":[{"type":"paragraph","content":[{"type":"text","text":"1"}],"attrs":{"localId":"acd964a0ad03"}}]}]},{"type":"tableRow","attrs":{"localId":"0d8bd8b34c68"},"content":[{"type":"tableCell","attrs":{"localId":"be12c8a7c3a9","background":"white"},"content":[{"type":"paragraph","content":[{"type":"text","text":"SKUs not uploaded"}],"attrs":{"localId":"cdbbcc474a31"}}]},{"type":"tableCell","attrs":{"localId":"8e18c815ad90"},"content":[{"type":"paragraph","content":[{"type":"text","text":"0"}],"attrs":{"localId":"08d395d54f39"}}]},{"type":"tableCell","attrs":{"localId":"cd46527b8892"},"content":[{"type":"paragraph","content":[{"type":"text","text":"0"}],"attrs":{"localId":"56f5d575083f"}}]}]},{"type":"tableRow","attrs":{"localId":"df4853166693"},"content":[{"type":"tableCell","attrs":{"localId":"74f0761319a7","background":"white"},"content":[{"type":"paragraph","content":[{"type":"text","text":"LIDs Shared"}],"attrs":{"localId":"4646aef84e2d"}}]},{"type":"tableCell","attrs":{"localId":"d2e1b773889c"},"content":[{"type":"paragraph","content":[{"type":"text","text":"1"}],"attrs":{"localId":"0124f8fe9777"}}]},{"type":"tableCell","attrs":{"localId":"d0eda6b6099c"},"content":[{"type":"paragraph","content":[{"type":"text","text":"1"}],"attrs":{"localId":"1e340597ab15"}}]}]},{"type":"tableRow","attrs":{"localId":"1fb254e51180"},"content":[{"type":"tableCell","attrs":{"localId":"b1d5b1714ceb","background":"white"},"content":[{"type":"paragraph","content":[{"type":"text","text":"LIDs Stuck in the System"}],"attrs":{"localId":"aacea63b9802"}}]},{"type":"tableCell","attrs":{"localId":"9e29b2b1b3e7"},"content":[{"type":"paragraph","content":[{"type":"text","text":"0"}],"attrs":{"localId":"357264717f1b"}}]},{"type":"tableCell","attrs":{"localId":"46f5d78f73e5"},"content":[{"type":"paragraph","content":[{"type":"text","text":"0"}],"attrs":{"localId":"0e0101e51582"}}]}]}]}
{adf}
With this, we are closing this request from our end.
Thank you for your patience, support, and cooperation throughout the process. Your brand is important to us, and we look forward to assisting you again.</t>
  </si>
  <si>
    <t>UCW-34622</t>
  </si>
  <si>
    <t>Ormonde Jayne new skus Listing</t>
  </si>
  <si>
    <t>Ormonde Jayne</t>
  </si>
  <si>
    <t xml:space="preserve">|Date :07/22/2026 &lt;Ticket picked for pre processing SKU 3&gt; &lt;Tania&gt;|
|Date :07/22/2026 &lt;Pre Processing query to Brand &lt;HSN, Image Analysis&gt;&gt; &lt;Tania&gt;|;Date :07/23/2026 &lt; Pre Processing query to Brand 1st Follow Up&gt; &lt;Tania&gt;;Date :07/24/2026 &lt; Pre Processing query to Brand 2nd Follow Up&gt; &lt;Tania&gt;;Date :07/24/2026 &lt; Resolution Received, Production &amp; QC Done&gt; &lt;Tania&gt;;Date :07/24/2026 &lt;Ticket has been successfully uploaded in our system. Option 3 Sku 3&gt; &lt;Ishani&gt;
[^Post Upload Status_V.2 (1) (1).xlsx] [^Summary.zip]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cc4599e-0ddc-455e-85a8-27f5f2b24117"},"content":[{"type":"tableRow","attrs":{"localId":"8f732fb40c8b"},"content":[{"type":"tableCell","attrs":{"localId":"762509d171bd","background":"#44b3e1"},"content":[{"type":"paragraph","content":[{"type":"text","text":"Ticket ID","marks":[{"type":"strong"}]}],"attrs":{"localId":"b990b26ba668"}}]},{"type":"tableCell","attrs":{"localId":"5660bfb3eed4","colspan":2,"background":"#44b3e1"},"content":[{"type":"paragraph","content":[{"type":"text","text":"UCW-34622","marks":[{"type":"strong"}]}],"attrs":{"localId":"fe2b008127c4"}}]}]},{"type":"tableRow","attrs":{"localId":"af5eb02e851a"},"content":[{"type":"tableCell","attrs":{"localId":"c5d07d24cb79","background":"#44b3e1"},"content":[{"type":"paragraph","content":[{"type":"text","text":"Brand Name","marks":[{"type":"strong"}]}],"attrs":{"localId":"fc024f7ba951"}}]},{"type":"tableCell","attrs":{"localId":"29bb5c49efa4","colspan":2,"background":"#44b3e1"},"content":[{"type":"paragraph","content":[{"type":"text","text":"Ormonde Jayne","marks":[{"type":"strong"}]}],"attrs":{"localId":"0eca1da1cde5"}}]}]},{"type":"tableRow","attrs":{"localId":"ad5b45c69955"},"content":[{"type":"tableCell","attrs":{"localId":"39aa9c7f1ffb","background":"#ace5fe"},"content":[{"type":"paragraph","content":[{"type":"text","text":"Platform","marks":[{"type":"strong"}]}],"attrs":{"localId":"8bf06feaae15"}}]},{"type":"tableCell","attrs":{"localId":"5d35d7adf5d4","colspan":2,"background":"#ace5fe"},"content":[{"type":"paragraph","content":[{"type":"text","text":"MALL+LUX","marks":[{"type":"strong"}]}],"attrs":{"localId":"d73f06299566"}}]}]},{"type":"tableRow","attrs":{"localId":"33e6bf6cd53d"},"content":[{"type":"tableCell","attrs":{"localId":"72f4e4b90222","background":"#ace5fe"},"content":[{"type":"paragraph","content":[{"type":"text","text":"Particulars","marks":[{"type":"strong"}]}],"attrs":{"localId":"c9a353e558de"}}]},{"type":"tableCell","attrs":{"localId":"b19bf91a95ee","background":"#ace5fe"},"content":[{"type":"paragraph","content":[{"type":"text","text":"SKU Count","marks":[{"type":"strong"}]}],"attrs":{"localId":"02cefe0cd01e"}}]},{"type":"tableCell","attrs":{"localId":"9315740b0b15","background":"#ace5fe"},"content":[{"type":"paragraph","content":[{"type":"text","text":"Option Count","marks":[{"type":"strong"}]}],"attrs":{"localId":"45948f27324e"}}]}]},{"type":"tableRow","attrs":{"localId":"bb9e08b513fd"},"content":[{"type":"tableCell","attrs":{"localId":"d72fbf126623","background":"white"},"content":[{"type":"paragraph","content":[{"type":"text","text":"Received"}],"attrs":{"localId":"4c9813796717"}}]},{"type":"tableCell","attrs":{"localId":"3fc60c47762d"},"content":[{"type":"paragraph","content":[{"type":"text","text":"3"}],"attrs":{"localId":"a2680faf60c6"}}]},{"type":"tableCell","attrs":{"localId":"0209b7ff980d"},"content":[{"type":"paragraph","content":[{"type":"text","text":"3"}],"attrs":{"localId":"dc5bb2387d7b"}}]}]},{"type":"tableRow","attrs":{"localId":"6952e77f6a6e"},"content":[{"type":"tableCell","attrs":{"localId":"c7f7ed5f91f8","background":"white"},"content":[{"type":"paragraph","content":[{"type":"text","text":"Uploaded"}],"attrs":{"localId":"5979a44b9d0b"}}]},{"type":"tableCell","attrs":{"localId":"5bb6b541ef3b"},"content":[{"type":"paragraph","content":[{"type":"text","text":"3"}],"attrs":{"localId":"e270eec542cb"}}]},{"type":"tableCell","attrs":{"localId":"e24bee1cfa7d"},"content":[{"type":"paragraph","content":[{"type":"text","text":"3"}],"attrs":{"localId":"50b161561973"}}]}]},{"type":"tableRow","attrs":{"localId":"7302de271115"},"content":[{"type":"tableCell","attrs":{"localId":"812ffa1939f2","background":"white"},"content":[{"type":"paragraph","content":[{"type":"text","text":"LIDs Shared"}],"attrs":{"localId":"9feed2127bf4"}}]},{"type":"tableCell","attrs":{"localId":"aaac629fab2d"},"content":[{"type":"paragraph","content":[{"type":"text","text":"3"}],"attrs":{"localId":"f2972591e739"}}]},{"type":"tableCell","attrs":{"localId":"fbdcf3a0ee54"},"content":[{"type":"paragraph","content":[{"type":"text","text":"3"}],"attrs":{"localId":"72acc2fc4d03"}}]}]}]}
{adf}
With this, we are closing this request from our end.
Thank you for your patience, support, and cooperation throughout the process. Your brand is important to us, and we look forward to assisting you again.
[^Post Upload Status_V.2 (1) (1) (3).xlsx]
</t>
  </si>
  <si>
    <t>UCW-34619</t>
  </si>
  <si>
    <t>GWP Recommendation -Tata Cliq</t>
  </si>
  <si>
    <t xml:space="preserve">Anastasia Beverly Hills </t>
  </si>
  <si>
    <t>We have successfully uploaded this batch. Please find the attached summary sheet and summary report.
[^UCW-34619_Post Upload Status.xlsx] [^ProductBulkUpload_125928_Beauty__Grooming(MPH22)_Makeup(MPH2214)_Eyes(MPH2214100)_Mascara(MPH2214100111)_33887_1784697868012_20260722_105441_569_summary.csv] ;|Date :07/20/2026 &lt;Ticket picked for pre processing SKU 1&gt; &lt;Tania&gt;|
|Date :07/21/2026 &lt;Ticket picked for Production and QC review SKU 1&gt; &lt;Tania&gt;|
|Date :07/22/2026 &lt;Ticket has been successfully uploaded in our system. SKU 1&gt; &lt;Tania&gt;|;[^UCW-34619_Post Upload Status (8d47d71c-4572-44ad-966a-8561885c49d4).xlsx]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18ed2ce-5086-4875-8682-060f58acf960"},"content":[{"type":"tableRow","attrs":{"localId":"9fc7e91462b5"},"content":[{"type":"tableCell","attrs":{"localId":"4e01d188e276","background":"#44b3e1"},"content":[{"type":"paragraph","content":[{"type":"text","text":"Ticket ID","marks":[{"type":"strong"}]}],"attrs":{"localId":"915d9939100b"}}]},{"type":"tableCell","attrs":{"localId":"b6ca5e9d2b70","colspan":2,"background":"#44b3e1"},"content":[{"type":"paragraph","content":[{"type":"text","text":"UCW-34619","marks":[{"type":"strong"}]}],"attrs":{"localId":"71f5f17ded21"}}]}]},{"type":"tableRow","attrs":{"localId":"f41e69b022ab"},"content":[{"type":"tableCell","attrs":{"localId":"7a3993c6b0d9","background":"#44b3e1"},"content":[{"type":"paragraph","content":[{"type":"text","text":"Brand Name","marks":[{"type":"strong"}]}],"attrs":{"localId":"0acfc4a8f392"}}]},{"type":"tableCell","attrs":{"localId":"ef1db1c616f9","colspan":2,"background":"#44b3e1"},"content":[{"type":"paragraph","content":[{"type":"text","text":"Anastasia Beverly Hills","marks":[{"type":"strong"}]}],"attrs":{"localId":"f80770cab58a"}}]}]},{"type":"tableRow","attrs":{"localId":"01771e3b322a"},"content":[{"type":"tableCell","attrs":{"localId":"ec409840e314","background":"#ace5fe"},"content":[{"type":"paragraph","content":[{"type":"text","text":"Platform","marks":[{"type":"strong"}]}],"attrs":{"localId":"79f96ddd7b7b"}}]},{"type":"tableCell","attrs":{"localId":"e35f4abe1203","colspan":2,"background":"#ace5fe"},"content":[{"type":"paragraph","content":[{"type":"text","text":"Mall + Luxury","marks":[{"type":"strong"}]}],"attrs":{"localId":"5ce6a330f89a"}}]}]},{"type":"tableRow","attrs":{"localId":"75d5413d14ef"},"content":[{"type":"tableCell","attrs":{"localId":"7e7b90ff0fb2","background":"#ace5fe"},"content":[{"type":"paragraph","content":[{"type":"text","text":"Particulars","marks":[{"type":"strong"}]}],"attrs":{"localId":"817fed3deb96"}}]},{"type":"tableCell","attrs":{"localId":"07a1ff8aaa74","background":"#ace5fe"},"content":[{"type":"paragraph","content":[{"type":"text","text":"SKU Count","marks":[{"type":"strong"}]}],"attrs":{"localId":"f90117a11445"}}]},{"type":"tableCell","attrs":{"localId":"4f1cdc3606d0","background":"#ace5fe"},"content":[{"type":"paragraph","content":[{"type":"text","text":"Option Count","marks":[{"type":"strong"}]}],"attrs":{"localId":"bfd69f5aeecc"}}]}]},{"type":"tableRow","attrs":{"localId":"5b7a98525ebd"},"content":[{"type":"tableCell","attrs":{"localId":"3533c661bfca","background":"white"},"content":[{"type":"paragraph","content":[{"type":"text","text":"Received"}],"attrs":{"localId":"a55b3ef3e066"}}]},{"type":"tableCell","attrs":{"localId":"5949bfbd2174"},"content":[{"type":"paragraph","content":[{"type":"text","text":"1"}],"attrs":{"localId":"6bf6fc9f4781"}}]},{"type":"tableCell","attrs":{"localId":"5810b1800d89"},"content":[{"type":"paragraph","content":[{"type":"text","text":"1"}],"attrs":{"localId":"0be407aef977"}}]}]},{"type":"tableRow","attrs":{"localId":"df3f13d6ac86"},"content":[{"type":"tableCell","attrs":{"localId":"4bcbcb7437be","background":"white"},"content":[{"type":"paragraph","content":[{"type":"text","text":"Uploaded"}],"attrs":{"localId":"062014108f10"}}]},{"type":"tableCell","attrs":{"localId":"880beeecc451"},"content":[{"type":"paragraph","content":[{"type":"text","text":"1"}],"attrs":{"localId":"3b45cfc00657"}}]},{"type":"tableCell","attrs":{"localId":"2ef68c984aff"},"content":[{"type":"paragraph","content":[{"type":"text","text":"1"}],"attrs":{"localId":"a79db141a79c"}}]}]},{"type":"tableRow","attrs":{"localId":"ac76243c587c"},"content":[{"type":"tableCell","attrs":{"localId":"ecc37b4af376","background":"white"},"content":[{"type":"paragraph","content":[{"type":"text","text":"SKUs not uploaded"}],"attrs":{"localId":"707e1485a00b"}}]},{"type":"tableCell","attrs":{"localId":"8944ef18c340"},"content":[{"type":"paragraph","content":[{"type":"text","text":"0"}],"attrs":{"localId":"2c7bfc0f234b"}}]},{"type":"tableCell","attrs":{"localId":"e84431990a83"},"content":[{"type":"paragraph","content":[{"type":"text","text":"0"}],"attrs":{"localId":"a438c0ea9eac"}}]}]},{"type":"tableRow","attrs":{"localId":"10920b0e81f3"},"content":[{"type":"tableCell","attrs":{"localId":"a5fd4ef7ec4b","background":"white"},"content":[{"type":"paragraph","content":[{"type":"text","text":"LIDs Shared"}],"attrs":{"localId":"c464fddd186c"}}]},{"type":"tableCell","attrs":{"localId":"959456bda5ce"},"content":[{"type":"paragraph","content":[{"type":"text","text":"1"}],"attrs":{"localId":"088675b9abef"}}]},{"type":"tableCell","attrs":{"localId":"6965bf6a9d69"},"content":[{"type":"paragraph","content":[{"type":"text","text":"1"}],"attrs":{"localId":"a2c222b14d54"}}]}]},{"type":"tableRow","attrs":{"localId":"40c8c3e9c7ad"},"content":[{"type":"tableCell","attrs":{"localId":"c6c95c5746ba","background":"white"},"content":[{"type":"paragraph","content":[{"type":"text","text":"LIDs Stuck in the System"}],"attrs":{"localId":"e38a5b71968e"}}]},{"type":"tableCell","attrs":{"localId":"a8afbbc4beb4"},"content":[{"type":"paragraph","content":[{"type":"text","text":"0"}],"attrs":{"localId":"c290ad7d063b"}}]},{"type":"tableCell","attrs":{"localId":"db8355ff94c7"},"content":[{"type":"paragraph","content":[{"type":"text","text":"0"}],"attrs":{"localId":"2a1446aae15c"}}]}]}]}
{adf}
With this, we are closing this request from our end.
Thank you for your patience, support, and cooperation throughout the process. Your brand is important to us, and we look forward to assisting you again.</t>
  </si>
  <si>
    <t>UCW-34618</t>
  </si>
  <si>
    <t>New listing on TataCliq Platforms</t>
  </si>
  <si>
    <t>fHair</t>
  </si>
  <si>
    <t>Date :07/20/2026  &lt;Ticket picked for pre processing SKU 4&gt; &lt;Tania&gt;
Date :07/22/2026 &lt;Ticket picked for Production and QC review SKU 4&gt; &lt;Tania&gt;
IMAGE WIP;Date :07/23/2026 &lt;Ticket has been successfully uploaded in our system. SKU 4&gt; &lt;Tania&gt;;We have successfully uploaded this batch. Please find the attached summary sheet and summary report. [^UCW-34618_Post Upload Status.xlsx] [^Sum.zip] ;[^UCW-34618_Post Upload Status (44f7b124-0dad-4e7a-9955-13f6b9bb9472).xlsx]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e52b7cc-4b63-4269-a2cc-8e6844da5395"},"content":[{"type":"tableRow","attrs":{"localId":"deab88c829d5"},"content":[{"type":"tableCell","attrs":{"localId":"774551b14e32","background":"#44b3e1"},"content":[{"type":"paragraph","content":[{"type":"text","text":"Ticket ID","marks":[{"type":"strong"}]}],"attrs":{"localId":"397dc57fcc25"}}]},{"type":"tableCell","attrs":{"localId":"8bbc0aa75178","colspan":2,"background":"#44b3e1"},"content":[{"type":"paragraph","content":[{"type":"text","text":"UCW-34618","marks":[{"type":"strong"}]}],"attrs":{"localId":"9b2f1ca7ef12"}}]}]},{"type":"tableRow","attrs":{"localId":"cea50bcf5264"},"content":[{"type":"tableCell","attrs":{"localId":"ec6975ba9492","background":"#44b3e1"},"content":[{"type":"paragraph","content":[{"type":"text","text":"Brand Name","marks":[{"type":"strong"}]}],"attrs":{"localId":"109dc0d3c140"}}]},{"type":"tableCell","attrs":{"localId":"360a294be4ea","colspan":2,"background":"#44b3e1"},"content":[{"type":"paragraph","content":[{"type":"text","text":"F hair","marks":[{"type":"strong"}]}],"attrs":{"localId":"1587329b66d3"}}]}]},{"type":"tableRow","attrs":{"localId":"364645d1e9f4"},"content":[{"type":"tableCell","attrs":{"localId":"8e4a2e6e8ef1","background":"#ace5fe"},"content":[{"type":"paragraph","content":[{"type":"text","text":"Platform","marks":[{"type":"strong"}]}],"attrs":{"localId":"eaf629957fee"}}]},{"type":"tableCell","attrs":{"localId":"296f9f462e32","colspan":2,"background":"#ace5fe"},"content":[{"type":"paragraph","content":[{"type":"text","text":"Mall + Luxury","marks":[{"type":"strong"}]}],"attrs":{"localId":"0432fbfd3dea"}}]}]},{"type":"tableRow","attrs":{"localId":"4747f2101bd2"},"content":[{"type":"tableCell","attrs":{"localId":"f1ab55e26466","background":"#ace5fe"},"content":[{"type":"paragraph","content":[{"type":"text","text":"Particulars","marks":[{"type":"strong"}]}],"attrs":{"localId":"b6be56a1d5a2"}}]},{"type":"tableCell","attrs":{"localId":"546f272d2987","background":"#ace5fe"},"content":[{"type":"paragraph","content":[{"type":"text","text":"SKU Count","marks":[{"type":"strong"}]}],"attrs":{"localId":"0b1b7d9e381c"}}]},{"type":"tableCell","attrs":{"localId":"18356be46b6c","background":"#ace5fe"},"content":[{"type":"paragraph","content":[{"type":"text","text":"Option Count","marks":[{"type":"strong"}]}],"attrs":{"localId":"e3104e3dc833"}}]}]},{"type":"tableRow","attrs":{"localId":"35e9f5fe4ee6"},"content":[{"type":"tableCell","attrs":{"localId":"f488652a6086","background":"white"},"content":[{"type":"paragraph","content":[{"type":"text","text":"Received"}],"attrs":{"localId":"bb4e479caf3d"}}]},{"type":"tableCell","attrs":{"localId":"0fc202e3da17"},"content":[{"type":"paragraph","content":[{"type":"text","text":"4"}],"attrs":{"localId":"d19864528418"}}]},{"type":"tableCell","attrs":{"localId":"f273173faeff"},"content":[{"type":"paragraph","content":[{"type":"text","text":"4"}],"attrs":{"localId":"070721179bde"}}]}]},{"type":"tableRow","attrs":{"localId":"a09fac70f1f0"},"content":[{"type":"tableCell","attrs":{"localId":"674e53e3b70a","background":"white"},"content":[{"type":"paragraph","content":[{"type":"text","text":"Uploaded"}],"attrs":{"localId":"9a51888e9b64"}}]},{"type":"tableCell","attrs":{"localId":"d6b0c0d39332"},"content":[{"type":"paragraph","content":[{"type":"text","text":"4"}],"attrs":{"localId":"d759f581b050"}}]},{"type":"tableCell","attrs":{"localId":"e9b6c6941f33"},"content":[{"type":"paragraph","content":[{"type":"text","text":"4"}],"attrs":{"localId":"cddaf2feb287"}}]}]},{"type":"tableRow","attrs":{"localId":"389f1b995286"},"content":[{"type":"tableCell","attrs":{"localId":"3d8c638a5651","background":"white"},"content":[{"type":"paragraph","content":[{"type":"text","text":"SKUs not uploaded"}],"attrs":{"localId":"4fa6d0f77a78"}}]},{"type":"tableCell","attrs":{"localId":"e50ba0198d5b"},"content":[{"type":"paragraph","content":[{"type":"text","text":"0"}],"attrs":{"localId":"359865da155a"}}]},{"type":"tableCell","attrs":{"localId":"868fea118b3f"},"content":[{"type":"paragraph","content":[{"type":"text","text":"0"}],"attrs":{"localId":"4f0f7d7016e2"}}]}]},{"type":"tableRow","attrs":{"localId":"3c7ed17067bd"},"content":[{"type":"tableCell","attrs":{"localId":"a4d692c63f55","background":"white"},"content":[{"type":"paragraph","content":[{"type":"text","text":"LIDs Shared"}],"attrs":{"localId":"84bf9bcfbfb0"}}]},{"type":"tableCell","attrs":{"localId":"b374f014c868"},"content":[{"type":"paragraph","content":[{"type":"text","text":"4"}],"attrs":{"localId":"d14a79143571"}}]},{"type":"tableCell","attrs":{"localId":"7c8d69bbb3b4"},"content":[{"type":"paragraph","content":[{"type":"text","text":"4"}],"attrs":{"localId":"008e90d94877"}}]}]},{"type":"tableRow","attrs":{"localId":"8948c2e37cea"},"content":[{"type":"tableCell","attrs":{"localId":"a3320d2002a7","background":"white"},"content":[{"type":"paragraph","content":[{"type":"text","text":"LIDs Stuck in the System"}],"attrs":{"localId":"1e3e6336f364"}}]},{"type":"tableCell","attrs":{"localId":"076718f44035"},"content":[{"type":"paragraph","content":[{"type":"text","text":"0"}],"attrs":{"localId":"888402d1d344"}}]},{"type":"tableCell","attrs":{"localId":"895a05fd55be"},"content":[{"type":"paragraph","content":[{"type":"text","text":"0"}],"attrs":{"localId":"22c3c79d16f2"}}]}]}]}
{adf}
With this, we are closing this request from our end.
Thank you for your patience, support, and cooperation throughout the process. Your brand is important to us, and we look forward to assisting you again.</t>
  </si>
  <si>
    <t>UCW-34614</t>
  </si>
  <si>
    <t>L’Oréal Paris | Cushion Foundation Update | TATACLIQ - Fashion | Seller Code 125928</t>
  </si>
  <si>
    <t>Date :07/24/2027&lt;Pre Processing query to Brand &lt;image link needed&gt;&gt; &lt;Rupa&gt;;Date :07/24/2027&lt;Ticket picked for pre processing Option 10 Sku 10&gt; &lt;Rupa&gt;;[^Status of UCW-34614.xlsx]
[^Summary.zip]
We have changed the images and also attached the summary file. Once the images are successfully reflected we will let you know;Date :07/25/2026&lt;Ticket has been successfully uploaded in our system. Option 10 Sku 10 &gt; &lt;Rupa&gt;</t>
  </si>
  <si>
    <t>UCW-34613</t>
  </si>
  <si>
    <t>MNY | Super Stay Matte Max Cushion Foundation Listing | TATACLIQ - Fashion | Seller Code 125928</t>
  </si>
  <si>
    <t xml:space="preserve">Date :07/20/2026  &lt;Ticket picked for pre processing SKU 11&gt; &lt;Tania&gt;
Date :07/22/2026 &lt;Ticket picked for Production and QC review SKU 11&gt; &lt;Tania&gt;
IMAGE WIP;Date :07/24/2026 &lt;Ticket has been successfully uploaded in our system. SKU 11 XXX&gt; &lt;Tania&gt;;We have successfully uploaded this batch. Please find the attached summary sheet and summary report.[^UCW-34613_Post Upload Status (6da541c3-2a73-4b07-b119-44f32aecda6d).xlsx] [^PRODUC~1 (caf1d789-628c-4ec9-ae79-570ce578843f).CSV] </t>
  </si>
  <si>
    <t>UCW-34607</t>
  </si>
  <si>
    <t>PUMA FOOTWEAR 124130 &amp; 125381 New Listings 17-07-2026</t>
  </si>
  <si>
    <t>Date :07/20/2026 &lt;Ticket picked for pre processing Option 3 Sku 33&gt; &lt;Ankita&gt;;Date :07/20/2026 &lt;Ticket picked for Production and QC review Option 3 Sku 33&gt; &lt;Ankita&gt;;Date :07/20/2026 &lt;Ticket has been successfully uploaded in our system. Option 3 Sku 33&gt; &lt;Ankita&gt;[^Post Upload Status_V.2 (1).xlsx] [^Summary.zip] ;[^UCW-34607.xlsx]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76035dbf-421c-41bf-a0b1-b65018c80e73"},"content":[{"type":"tableRow","attrs":{"localId":"fd803c41955f"},"content":[{"type":"tableCell","attrs":{"localId":"a255735a4169","background":"#44b3e1"},"content":[{"type":"paragraph","content":[{"type":"text","text":"Ticket ID","marks":[{"type":"strong"}]}],"attrs":{"localId":"8bbe66c7e8f1"}}]},{"type":"tableCell","attrs":{"localId":"6d70ac5367de","colspan":2,"background":"#44b3e1"},"content":[{"type":"paragraph","content":[{"type":"text","text":"UCW-34607","marks":[{"type":"strong"}]}],"attrs":{"localId":"1955a398adae"}}]},{"type":"tableCell","attrs":{"localId":"b764bfae2879","colspan":2,"background":"#44b3e1"},"content":[{"type":"paragraph","content":[{"type":"text","text":"UCW-34607","marks":[{"type":"strong"}]}],"attrs":{"localId":"40d42a55617c"}}]}]},{"type":"tableRow","attrs":{"localId":"71995b71e760"},"content":[{"type":"tableCell","attrs":{"localId":"80e392dbb9a1","background":"#44b3e1"},"content":[{"type":"paragraph","content":[{"type":"text","text":"Brand Name","marks":[{"type":"strong"}]}],"attrs":{"localId":"8b407ad8e76b"}}]},{"type":"tableCell","attrs":{"localId":"e72035c8d505","colspan":2,"background":"#44b3e1"},"content":[{"type":"paragraph","content":[{"type":"text","text":"Puma","marks":[{"type":"strong"}]}],"attrs":{"localId":"b7924eb1fc51"}}]},{"type":"tableCell","attrs":{"localId":"f2b2438ee52c","colspan":2,"background":"#44b3e1"},"content":[{"type":"paragraph","content":[{"type":"text","text":"Puma","marks":[{"type":"strong"}]}],"attrs":{"localId":"8b640eefa945"}}]}]},{"type":"tableRow","attrs":{"localId":"e95fa66a6ba4"},"content":[{"type":"tableCell","attrs":{"localId":"a549cb672a6f","background":"#44b3e1"},"content":[{"type":"paragraph","content":[{"type":"text","text":"Platform","marks":[{"type":"strong"}]}],"attrs":{"localId":"01ab8045e1fc"}}]},{"type":"tableCell","attrs":{"localId":"476256a73a1a","colspan":2,"background":"#44b3e1"},"content":[{"type":"paragraph","content":[{"type":"text","text":"Luxury","marks":[{"type":"strong"}]}],"attrs":{"localId":"3144cbc78911"}}]},{"type":"tableCell","attrs":{"localId":"d3f2b254befc","colspan":2,"background":"#44b3e1"},"content":[{"type":"paragraph","content":[{"type":"text","text":"Mall","marks":[{"type":"strong"}]}],"attrs":{"localId":"4012f17eb63a"}}]}]},{"type":"tableRow","attrs":{"localId":"eb09d2a1016e"},"content":[{"type":"tableCell","attrs":{"localId":"1cd94b2c029a","background":"#ace5fe"},"content":[{"type":"paragraph","content":[{"type":"text","text":"Particulars","marks":[{"type":"strong"}]}],"attrs":{"localId":"e737637e7fca"}}]},{"type":"tableCell","attrs":{"localId":"3e7a0b6cc3c3","background":"#ace5fe"},"content":[{"type":"paragraph","content":[{"type":"text","text":"SKU Count","marks":[{"type":"strong"}]}],"attrs":{"localId":"b30733e20ca9"}}]},{"type":"tableCell","attrs":{"localId":"42040a1b5615","background":"#ace5fe"},"content":[{"type":"paragraph","content":[{"type":"text","text":"Option Count","marks":[{"type":"strong"}]}],"attrs":{"localId":"183beda7267a"}}]},{"type":"tableCell","attrs":{"localId":"1689155f579f","background":"#ace5fe"},"content":[{"type":"paragraph","content":[{"type":"text","text":"SKU Count","marks":[{"type":"strong"}]}],"attrs":{"localId":"9299d484ab9d"}}]},{"type":"tableCell","attrs":{"localId":"ed18ac39bee0","background":"#ace5fe"},"content":[{"type":"paragraph","content":[{"type":"text","text":"Option Count","marks":[{"type":"strong"}]}],"attrs":{"localId":"7df02f0996a1"}}]}]},{"type":"tableRow","attrs":{"localId":"53f58d2534ed"},"content":[{"type":"tableCell","attrs":{"localId":"b650653141ef","background":"white"},"content":[{"type":"paragraph","content":[{"type":"text","text":"Received"}],"attrs":{"localId":"797581e7090b"}}]},{"type":"tableCell","attrs":{"localId":"536d176bb3ae","background":"white"},"content":[{"type":"paragraph","content":[{"type":"text","text":"33"}],"attrs":{"localId":"1cb486b36682"}}]},{"type":"tableCell","attrs":{"localId":"0f5763ed696c","background":"white"},"content":[{"type":"paragraph","content":[{"type":"text","text":"3"}],"attrs":{"localId":"95623ab40959"}}]},{"type":"tableCell","attrs":{"localId":"031d991fdb7b","background":"white"},"content":[{"type":"paragraph","content":[{"type":"text","text":"33"}],"attrs":{"localId":"155e3c40908f"}}]},{"type":"tableCell","attrs":{"localId":"4b2d83edb53f","background":"white"},"content":[{"type":"paragraph","content":[{"type":"text","text":"3"}],"attrs":{"localId":"e5b64f773842"}}]}]},{"type":"tableRow","attrs":{"localId":"d6d0f42cceaf"},"content":[{"type":"tableCell","attrs":{"localId":"fd2eb4bd235e","background":"white"},"content":[{"type":"paragraph","content":[{"type":"text","text":"Uploaded"}],"attrs":{"localId":"2342a4c390e4"}}]},{"type":"tableCell","attrs":{"localId":"8dd981a337e7","background":"white"},"content":[{"type":"paragraph","content":[{"type":"text","text":"33"}],"attrs":{"localId":"ef5bcbeb206f"}}]},{"type":"tableCell","attrs":{"localId":"07d5fcd05267","background":"white"},"content":[{"type":"paragraph","content":[{"type":"text","text":"3"}],"attrs":{"localId":"4bf6474b26a7"}}]},{"type":"tableCell","attrs":{"localId":"533f89f5b256","background":"white"},"content":[{"type":"paragraph","content":[{"type":"text","text":"33"}],"attrs":{"localId":"f6fb926cd736"}}]},{"type":"tableCell","attrs":{"localId":"509c64be00d4","background":"white"},"content":[{"type":"paragraph","content":[{"type":"text","text":"3"}],"attrs":{"localId":"6f29028bfa93"}}]}]},{"type":"tableRow","attrs":{"localId":"ab78a69778a3"},"content":[{"type":"tableCell","attrs":{"localId":"2656689192f7","background":"white"},"content":[{"type":"paragraph","content":[{"type":"text","text":"SKUs Not Uploaded"}],"attrs":{"localId":"8a0dc2e6eb35"}}]},{"type":"tableCell","attrs":{"localId":"c819b4f521c7","background":"white"},"content":[{"type":"paragraph","content":[{"type":"text","text":"0"}],"attrs":{"localId":"135e683c720a"}}]},{"type":"tableCell","attrs":{"localId":"3514e68b7726","background":"white"},"content":[{"type":"paragraph","content":[{"type":"text","text":"0"}],"attrs":{"localId":"fd358dff26b2"}}]},{"type":"tableCell","attrs":{"localId":"fc4999a064ce","background":"white"},"content":[{"type":"paragraph","content":[{"type":"text","text":"0"}],"attrs":{"localId":"d7f263f6dbd0"}}]},{"type":"tableCell","attrs":{"localId":"e2cec1b5755a","background":"white"},"content":[{"type":"paragraph","content":[{"type":"text","text":"0"}],"attrs":{"localId":"813372881724"}}]}]},{"type":"tableRow","attrs":{"localId":"2696af5f162d"},"content":[{"type":"tableCell","attrs":{"localId":"8b96194e8d9c","background":"white"},"content":[{"type":"paragraph","content":[{"type":"text","text":"LIDs Shared"}],"attrs":{"localId":"3cd1d3307cde"}}]},{"type":"tableCell","attrs":{"localId":"da88bab23fb4","background":"white"},"content":[{"type":"paragraph","content":[{"type":"text","text":"33"}],"attrs":{"localId":"914aaf637376"}}]},{"type":"tableCell","attrs":{"localId":"fd932428718f","background":"white"},"content":[{"type":"paragraph","content":[{"type":"text","text":"3"}],"attrs":{"localId":"2e19b0cb11fd"}}]},{"type":"tableCell","attrs":{"localId":"70a00adf1ce4","background":"white"},"content":[{"type":"paragraph","content":[{"type":"text","text":"33"}],"attrs":{"localId":"ff1120921db3"}}]},{"type":"tableCell","attrs":{"localId":"d9c7c52af061","background":"white"},"content":[{"type":"paragraph","content":[{"type":"text","text":"3"}],"attrs":{"localId":"328c4a54642f"}}]}]},{"type":"tableRow","attrs":{"localId":"c85d5e3d494e"},"content":[{"type":"tableCell","attrs":{"localId":"ae6fdfd7011e","background":"white"},"content":[{"type":"paragraph","content":[{"type":"text","text":"LIDs Stuck in the System"}],"attrs":{"localId":"582477f8a1b3"}}]},{"type":"tableCell","attrs":{"localId":"e50c962a6ffa"},"content":[{"type":"paragraph","content":[{"type":"text","text":"0"}],"attrs":{"localId":"2161034bf04f"}}]},{"type":"tableCell","attrs":{"localId":"9c9f12480865","background":"white"},"content":[{"type":"paragraph","content":[{"type":"text","text":"0"}],"attrs":{"localId":"ce26cb132ad2"}}]},{"type":"tableCell","attrs":{"localId":"79d3ce0a4832"},"content":[{"type":"paragraph","content":[{"type":"text","text":"0"}],"attrs":{"localId":"f2747949fe56"}}]},{"type":"tableCell","attrs":{"localId":"7457e52b1983","background":"white"},"content":[{"type":"paragraph","content":[{"type":"text","text":"0"}],"attrs":{"localId":"672f5f9236a3"}}]}]}]}
{adf}
With this, we are closing this request from our end.
Thank you for your patience, support, and cooperation throughout the process. Your brand is important to us, and we look forward to assisting you again.</t>
  </si>
  <si>
    <t>UCW-34595</t>
  </si>
  <si>
    <t>D&amp;G Cataloguing - Makeup &amp; Skincare (P0 Priority)</t>
  </si>
  <si>
    <t xml:space="preserve">Date :07/20/2026 &lt;Ticket picked for pre processing Option 218 Sku 218&gt; &lt;Amandeep&gt;;Date :07/23/2026 &lt;Pre Processing query to Brand &lt;Query Deatils-manufacture/packer and images&gt;&gt; &lt;Amandeep&gt;;Date :07/24/2026 &lt;Ticket picked for Production and QC review SKU 218&gt; &lt;Amandeep&gt;;Date :07/24/2026 &lt;Ticket has been successfully uploaded in our system. Option 204 Sku 204&gt; &lt;Ishani&gt;
[^Post Upload Status_V.2 (1) (1).xlsx] [^Summary.zip] </t>
  </si>
  <si>
    <t>UCW-34590</t>
  </si>
  <si>
    <t>Aapno Rajasthan | Fashion Jewellery | 126205 | 18-07-26 (162skus)</t>
  </si>
  <si>
    <t>Date : 21st July , 2026 This ticket has been picked for Pre-Processing and Image Analysis -Mousumi. ;*Image deliver - Date :07/21/2026 &lt;Images Delivered Processed Options 162 Rejected Options 0&gt; &lt;Saswati Dey&gt;*;Date :23rd July , 2026 Pre-Processing Done ( No Query)
Date :23rd July , 2026 Production Done
Date :23rd July , 2026 Images Done-Saswati
Date :23rd July , 2026 QC &amp; Uploaded Done-Mousumi
Date :23rd July , 2026 Description Done-Khushnuma
PFA the summary &amp; Post-Uploaded Sheet[^UCW-34590 Post Upload Status_V.2 (1).xlsx] [^Summary.zip] 
;[^UCW-34590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34ca8450-3c0d-496d-a7c9-1c98ce83687f"},"content":[{"type":"tableRow","attrs":{"localId":"c2f78d189f51"},"content":[{"type":"tableCell","attrs":{"localId":"b020f2da7628","background":"#44b3e1"},"content":[{"type":"paragraph","content":[{"type":"text","text":"Ticket ID","marks":[{"type":"strong"}]}],"attrs":{"localId":"67e78b82fa6d"}}]},{"type":"tableCell","attrs":{"localId":"e08bb9e1ae3c","colspan":2,"background":"#44b3e1"},"content":[{"type":"paragraph","content":[{"type":"text","text":"UCW-34590","marks":[{"type":"strong"}]}],"attrs":{"localId":"f4ea1a5f2ed1"}}]}]},{"type":"tableRow","attrs":{"localId":"fbb45e9cc4ba"},"content":[{"type":"tableCell","attrs":{"localId":"d9fca33123ce","background":"#44b3e1"},"content":[{"type":"paragraph","content":[{"type":"text","text":"Brand Name","marks":[{"type":"strong"}]}],"attrs":{"localId":"c38a25c8e834"}}]},{"type":"tableCell","attrs":{"localId":"4e23a7fed637","colspan":2,"background":"#44b3e1"},"content":[{"type":"paragraph","content":[{"type":"text","text":"AAPNO RAJASTHAN","marks":[{"type":"strong"}]}],"attrs":{"localId":"994de0e1c8f0"}}]}]},{"type":"tableRow","attrs":{"localId":"30ccb458475b"},"content":[{"type":"tableCell","attrs":{"localId":"ed8f70c8a985","background":"#ace5fe"},"content":[{"type":"paragraph","content":[{"type":"text","text":"Platform","marks":[{"type":"strong"}]}],"attrs":{"localId":"8d391929b762"}}]},{"type":"tableCell","attrs":{"localId":"aa76d4af8de8","colspan":2,"background":"#ace5fe"},"content":[{"type":"paragraph","content":[{"type":"text","text":"Mall","marks":[{"type":"strong"}]}],"attrs":{"localId":"c06f49766109"}}]}]},{"type":"tableRow","attrs":{"localId":"c7a8f0ecf963"},"content":[{"type":"tableCell","attrs":{"localId":"ffbae2e255bc","background":"#ace5fe"},"content":[{"type":"paragraph","content":[{"type":"text","text":"Particulars","marks":[{"type":"strong"}]}],"attrs":{"localId":"0410f8154fd8"}}]},{"type":"tableCell","attrs":{"localId":"11975c235eb4","background":"#ace5fe"},"content":[{"type":"paragraph","content":[{"type":"text","text":"SKU Count","marks":[{"type":"strong"}]}],"attrs":{"localId":"d15daf38b383"}}]},{"type":"tableCell","attrs":{"localId":"a0d13307a58e","background":"#ace5fe"},"content":[{"type":"paragraph","content":[{"type":"text","text":"Option Count","marks":[{"type":"strong"}]}],"attrs":{"localId":"27ccf845f64b"}}]}]},{"type":"tableRow","attrs":{"localId":"4b03273a767c"},"content":[{"type":"tableCell","attrs":{"localId":"753afc2ceb72","background":"white"},"content":[{"type":"paragraph","content":[{"type":"text","text":"Received"}],"attrs":{"localId":"8193df434a3a"}}]},{"type":"tableCell","attrs":{"localId":"e671d36def73"},"content":[{"type":"paragraph","content":[{"type":"text","text":"162"}],"attrs":{"localId":"b7f378210a05"}}]},{"type":"tableCell","attrs":{"localId":"25ecc43e3c6d"},"content":[{"type":"paragraph","content":[{"type":"text","text":"162"}],"attrs":{"localId":"df7fb5aedbc5"}}]}]},{"type":"tableRow","attrs":{"localId":"bf44e7b8e945"},"content":[{"type":"tableCell","attrs":{"localId":"f0e36a1e1b3c","background":"white"},"content":[{"type":"paragraph","content":[{"type":"text","text":"Uploaded"}],"attrs":{"localId":"cfb06d49d1ec"}}]},{"type":"tableCell","attrs":{"localId":"7835b46b9ce3"},"content":[{"type":"paragraph","content":[{"type":"text","text":"162"}],"attrs":{"localId":"f8e3da464f94"}}]},{"type":"tableCell","attrs":{"localId":"3f3e06952544"},"content":[{"type":"paragraph","content":[{"type":"text","text":"162"}],"attrs":{"localId":"da6a0aec5e85"}}]}]},{"type":"tableRow","attrs":{"localId":"38147c268602"},"content":[{"type":"tableCell","attrs":{"localId":"ff6fb8a51802","background":"white"},"content":[{"type":"paragraph","content":[{"type":"text","text":"SKUs not uploaded"}],"attrs":{"localId":"88ea03a46eb4"}}]},{"type":"tableCell","attrs":{"localId":"87f4de7fd6b1"},"content":[{"type":"paragraph","content":[{"type":"text","text":"0"}],"attrs":{"localId":"7df68c576749"}}]},{"type":"tableCell","attrs":{"localId":"a4ef3b983dd3"},"content":[{"type":"paragraph","content":[{"type":"text","text":"0"}],"attrs":{"localId":"6aad52ad64d3"}}]}]},{"type":"tableRow","attrs":{"localId":"5cadd18ca85f"},"content":[{"type":"tableCell","attrs":{"localId":"e7f4566fe2e8","background":"white"},"content":[{"type":"paragraph","content":[{"type":"text","text":"LIDs Shared"}],"attrs":{"localId":"66ddc1c1c87f"}}]},{"type":"tableCell","attrs":{"localId":"ed3ba6d7c6a7"},"content":[{"type":"paragraph","content":[{"type":"text","text":"162"}],"attrs":{"localId":"d74d0947c2c6"}}]},{"type":"tableCell","attrs":{"localId":"259be3cb5d49"},"content":[{"type":"paragraph","content":[{"type":"text","text":"162"}],"attrs":{"localId":"827bef291a18"}}]}]},{"type":"tableRow","attrs":{"localId":"217c10255f24"},"content":[{"type":"tableCell","attrs":{"localId":"ad14ae3a9794","background":"white"},"content":[{"type":"paragraph","content":[{"type":"text","text":"LIDs Stuck in the System"}],"attrs":{"localId":"4f7bc6ba27b9"}}]},{"type":"tableCell","attrs":{"localId":"bb7710b5aff9"},"content":[{"type":"paragraph","content":[{"type":"text","text":"0"}],"attrs":{"localId":"fc2a493507c8"}}]},{"type":"tableCell","attrs":{"localId":"753a3f512eb3"},"content":[{"type":"paragraph","content":[{"type":"text","text":"0"}],"attrs":{"localId":"efbe5c036dc5"}}]}]}]}
{adf}
With this, we are closing this request from our end.
Thank you for your patience, support, and cooperation throughout the process. Your brand is important to us, and we look forward to assisting you again.</t>
  </si>
  <si>
    <t>UCW-34587</t>
  </si>
  <si>
    <t>PNG Jewellers | Gold Jewelry, Litestyle Products, Diamond Jewelry | Code - 124260 | Total SKUs - 1290</t>
  </si>
  <si>
    <t xml:space="preserve">PNG </t>
  </si>
  <si>
    <t>Date : 20th Jul, 2026 This ticket has been picked for Pre-Processing and Image Analysis -Mousumi. ;Date : 21th Jul, 2026 Pre-processing Done ( Brand to Query for Count Diamond , Diamond weight, bangle size , Bracelet SIze, Chain Length, Nospin Size);Date : 22nd Jul, 2026 QC &amp; Uploaded Done-Mousumi
PFA the Summary &amp; Post-Uploaded sheet[^UCW-34587 Post Upload Status_V.2 (1).xlsx] [^Summary.zip] ;[^UCW-34587.xlsx]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b78511e-97ef-455f-8404-2f9c92d0e780"},"content":[{"type":"tableRow","attrs":{"localId":"eb18c256f28f"},"content":[{"type":"tableCell","attrs":{"localId":"e3d32bb24337","background":"#44b3e1"},"content":[{"type":"paragraph","content":[{"type":"text","text":"Ticket ID","marks":[{"type":"strong"}]}],"attrs":{"localId":"a5d4183ab27c"}}]},{"type":"tableCell","attrs":{"localId":"81683556a40d","colspan":2,"background":"#44b3e1"},"content":[{"type":"paragraph","content":[{"type":"text","text":"UCW-34587","marks":[{"type":"strong"}]}],"attrs":{"localId":"80630758e2f8"}}]}]},{"type":"tableRow","attrs":{"localId":"8990cbe2c98c"},"content":[{"type":"tableCell","attrs":{"localId":"f0294426ccae","background":"#44b3e1"},"content":[{"type":"paragraph","content":[{"type":"text","text":"Brand Name","marks":[{"type":"strong"}]}],"attrs":{"localId":"ee75c28ab205"}}]},{"type":"tableCell","attrs":{"localId":"ac37a912cd73","colspan":2,"background":"#44b3e1"},"content":[{"type":"paragraph","content":[{"type":"text","text":"PNG Jewellers","marks":[{"type":"strong"}]}],"attrs":{"localId":"05683a30bf40"}}]}]},{"type":"tableRow","attrs":{"localId":"ec9f8f56cc40"},"content":[{"type":"tableCell","attrs":{"localId":"9a45a3bfa173","background":"#ace5fe"},"content":[{"type":"paragraph","content":[{"type":"text","text":"Platform","marks":[{"type":"strong"}]}],"attrs":{"localId":"4d48d99d3466"}}]},{"type":"tableCell","attrs":{"localId":"4b45eb846ecf","colspan":2,"background":"#ace5fe"},"content":[{"type":"paragraph","content":[{"type":"text","text":"Mall","marks":[{"type":"strong"}]}],"attrs":{"localId":"008a25c3aff3"}}]}]},{"type":"tableRow","attrs":{"localId":"a5dd17005185"},"content":[{"type":"tableCell","attrs":{"localId":"ba1331045089","background":"#ace5fe"},"content":[{"type":"paragraph","content":[{"type":"text","text":"Particulars","marks":[{"type":"strong"}]}],"attrs":{"localId":"6c80d4f3a57f"}}]},{"type":"tableCell","attrs":{"localId":"d5bc377d7afc","background":"#ace5fe"},"content":[{"type":"paragraph","content":[{"type":"text","text":"SKU Count","marks":[{"type":"strong"}]}],"attrs":{"localId":"f10f2c475072"}}]},{"type":"tableCell","attrs":{"localId":"4719579d8618","background":"#ace5fe"},"content":[{"type":"paragraph","content":[{"type":"text","text":"Option Count","marks":[{"type":"strong"}]}],"attrs":{"localId":"206d602134ad"}}]}]},{"type":"tableRow","attrs":{"localId":"f3e145a5063c"},"content":[{"type":"tableCell","attrs":{"localId":"e0199eba1866","background":"white"},"content":[{"type":"paragraph","content":[{"type":"text","text":"Received"}],"attrs":{"localId":"d44a5e25a638"}}]},{"type":"tableCell","attrs":{"localId":"e4d54dc5be61"},"content":[{"type":"paragraph","content":[{"type":"text","text":"1290"}],"attrs":{"localId":"ef5a6b7dfbb5"}}]},{"type":"tableCell","attrs":{"localId":"92dc7bcbdecd"},"content":[{"type":"paragraph","content":[{"type":"text","text":"1290"}],"attrs":{"localId":"9345b126e9c3"}}]}]},{"type":"tableRow","attrs":{"localId":"60ca05ea5335"},"content":[{"type":"tableCell","attrs":{"localId":"58e2ee608b69","background":"white"},"content":[{"type":"paragraph","content":[{"type":"text","text":"Uploaded"}],"attrs":{"localId":"e4c80a5726f6"}}]},{"type":"tableCell","attrs":{"localId":"d392d1502000"},"content":[{"type":"paragraph","content":[{"type":"text","text":"1197"}],"attrs":{"localId":"98e25525e9e2"}}]},{"type":"tableCell","attrs":{"localId":"6aa72f480866"},"content":[{"type":"paragraph","content":[{"type":"text","text":"1197"}],"attrs":{"localId":"a3bf97df92e4"}}]}]},{"type":"tableRow","attrs":{"localId":"0012c49f346a"},"content":[{"type":"tableCell","attrs":{"localId":"306aa88a0e14","background":"white"},"content":[{"type":"paragraph","content":[{"type":"text","text":"Already Listed"}],"attrs":{"localId":"c8d9ee8f05db"}}]},{"type":"tableCell","attrs":{"localId":"ca8fbdae33d2"},"content":[{"type":"paragraph","content":[{"type":"text","text":"93"}],"attrs":{"localId":"2bc3bb637f5c"}}]},{"type":"tableCell","attrs":{"localId":"0616c9a713f1"},"content":[{"type":"paragraph","content":[{"type":"text","text":"93"}],"attrs":{"localId":"84d81c14c38e"}}]}]},{"type":"tableRow","attrs":{"localId":"2ae9d1bf9990"},"content":[{"type":"tableCell","attrs":{"localId":"dcffac379eaf","background":"white"},"content":[{"type":"paragraph","content":[{"type":"text","text":"LIDs Shared"}],"attrs":{"localId":"9b73328aa9bf"}}]},{"type":"tableCell","attrs":{"localId":"f0377bdf302d"},"content":[{"type":"paragraph","content":[{"type":"text","text":"1197"}],"attrs":{"localId":"8907374219e7"}}]},{"type":"tableCell","attrs":{"localId":"31581d1c2aa4"},"content":[{"type":"paragraph","content":[{"type":"text","text":"1197"}],"attrs":{"localId":"b0143dedd358"}}]}]},{"type":"tableRow","attrs":{"localId":"1b11fce78b98"},"content":[{"type":"tableCell","attrs":{"localId":"0963a12e7cd3","background":"white"},"content":[{"type":"paragraph","content":[{"type":"text","text":"LIDs Stuck in the System"}],"attrs":{"localId":"3c8d93ff4307"}}]},{"type":"tableCell","attrs":{"localId":"44212e21c8a9"},"content":[{"type":"paragraph","content":[{"type":"text","text":"0"}],"attrs":{"localId":"88ac5fa9e169"}}]},{"type":"tableCell","attrs":{"localId":"a5b111d0ca92"},"content":[{"type":"paragraph","content":[{"type":"text","text":"0"}],"attrs":{"localId":"907593c441c1"}}]}]}]}
{adf}
With this, we are closing this request from our end.
Thank you for your patience, support, and cooperation throughout the process. Your brand is important to us, and we look forward to assisting you again."</t>
  </si>
  <si>
    <t>UCW-34584</t>
  </si>
  <si>
    <t>CLONE - Mia Rhapsody of colors</t>
  </si>
  <si>
    <t>UCW-34579</t>
  </si>
  <si>
    <t>Giva | Silver Jewellery | 125927 | 9-07-2026(138SKUs)</t>
  </si>
  <si>
    <t>Date : 21st July , 2026 Pre-Processing Done-(Kada Size, Bracelet size, Gender, Chain Length , gender Confirmation,images Query)-Mousumi;*Image deliver - Date :07/21/2026 &lt;Images Delivered Processed Options 131 Rejected Options 7&gt; &lt;Saswati Dey&gt;*;Date : 23rd July , 2026 Size chart Creation [^GIVA Additional Size.csv] 
Date : 23rd July , 2026 QC &amp; Uploaded Done-Mousumi
PFA the Summary &amp; Post-Uploaded Sheet[^Summary.zip] [^UCW-34579 Post Upload Status_V.2 (1).xlsx] ;!image-20260723-085612.png|width=634,alt="image-20260723-085612.png"!;[^UCW-34579 Post Upload Status_V.2 (1) (c2059e04-51c4-42f6-af60-f3d06a12a54b).xlsx]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89f1772c-b3a8-4af1-8904-07ca42574111"},"content":[{"type":"tableRow","attrs":{"localId":"f5684fabf02a"},"content":[{"type":"tableCell","attrs":{"localId":"265fe660dca7","background":"#44b3e1"},"content":[{"type":"paragraph","content":[{"type":"text","text":"Ticket ID","marks":[{"type":"strong"}]}],"attrs":{"localId":"99725cacefb9"}}]},{"type":"tableCell","attrs":{"localId":"b3f838a967ac","colspan":2,"background":"#44b3e1"},"content":[{"type":"paragraph","content":[{"type":"text","text":"UCW-34579","marks":[{"type":"strong"}]}],"attrs":{"localId":"b82fb33b9949"}}]}]},{"type":"tableRow","attrs":{"localId":"cdf467857d5b"},"content":[{"type":"tableCell","attrs":{"localId":"542b6a1b6d78","background":"#44b3e1"},"content":[{"type":"paragraph","content":[{"type":"text","text":"Brand Name","marks":[{"type":"strong"}]}],"attrs":{"localId":"a0fe4b9289f8"}}]},{"type":"tableCell","attrs":{"localId":"d135598afac4","colspan":2,"background":"#44b3e1"},"content":[{"type":"paragraph","content":[{"type":"text","text":"GIVA","marks":[{"type":"strong"}]}],"attrs":{"localId":"2a4365c9009a"}}]}]},{"type":"tableRow","attrs":{"localId":"fb6d8f3b2b35"},"content":[{"type":"tableCell","attrs":{"localId":"096e5bbe3d9f","background":"#ace5fe"},"content":[{"type":"paragraph","content":[{"type":"text","text":"Platform","marks":[{"type":"strong"}]}],"attrs":{"localId":"7377b0652189"}}]},{"type":"tableCell","attrs":{"localId":"13c29e8a1bec","colspan":2,"background":"#ace5fe"},"content":[{"type":"paragraph","content":[{"type":"text","text":"Mall","marks":[{"type":"strong"}]}],"attrs":{"localId":"6206b228e501"}}]}]},{"type":"tableRow","attrs":{"localId":"dd97dd126b50"},"content":[{"type":"tableCell","attrs":{"localId":"6edbf1578abe","background":"#ace5fe"},"content":[{"type":"paragraph","content":[{"type":"text","text":"Particulars","marks":[{"type":"strong"}]}],"attrs":{"localId":"ace9d500236d"}}]},{"type":"tableCell","attrs":{"localId":"7e6cbb5294ea","background":"#ace5fe"},"content":[{"type":"paragraph","content":[{"type":"text","text":"SKU Count","marks":[{"type":"strong"}]}],"attrs":{"localId":"b179780e9034"}}]},{"type":"tableCell","attrs":{"localId":"7fb4569f19b1","background":"#ace5fe"},"content":[{"type":"paragraph","content":[{"type":"text","text":"Option Count","marks":[{"type":"strong"}]}],"attrs":{"localId":"9ad6b7399a82"}}]}]},{"type":"tableRow","attrs":{"localId":"e531b228ab4a"},"content":[{"type":"tableCell","attrs":{"localId":"8ca3a833c8ab","background":"white"},"content":[{"type":"paragraph","content":[{"type":"text","text":"Received"}],"attrs":{"localId":"e2e09ddab216"}}]},{"type":"tableCell","attrs":{"localId":"63aa2cce8743"},"content":[{"type":"paragraph","content":[{"type":"text","text":"138"}],"attrs":{"localId":"4f45e2f71c9c"}}]},{"type":"tableCell","attrs":{"localId":"62a4a8c73ded"},"content":[{"type":"paragraph","content":[{"type":"text","text":"138"}],"attrs":{"localId":"46c44c3d1bab"}}]}]},{"type":"tableRow","attrs":{"localId":"885613c2bfe4"},"content":[{"type":"tableCell","attrs":{"localId":"ba13773b7c1e","background":"white"},"content":[{"type":"paragraph","content":[{"type":"text","text":"Uploaded"}],"attrs":{"localId":"e7955e8cdb8d"}}]},{"type":"tableCell","attrs":{"localId":"d60280aa73ad"},"content":[{"type":"paragraph","content":[{"type":"text","text":"127"}],"attrs":{"localId":"dd932a63afff"}}]},{"type":"tableCell","attrs":{"localId":"9921b312e646"},"content":[{"type":"paragraph","content":[{"type":"text","text":"127"}],"attrs":{"localId":"d633f25e6090"}}]}]},{"type":"tableRow","attrs":{"localId":"c7fe99b2e834"},"content":[{"type":"tableCell","attrs":{"localId":"69cbe5613f6d","background":"white"},"content":[{"type":"paragraph","content":[{"type":"text","text":"SKUs not uploaded"}],"attrs":{"localId":"58b6ccb69b1a"}}]},{"type":"tableCell","attrs":{"localId":"871f5ba9df50"},"content":[{"type":"paragraph","content":[{"type":"text","text":"6"}],"attrs":{"localId":"193f362a250c"}}]},{"type":"tableCell","attrs":{"localId":"d3cceb7e867e"},"content":[{"type":"paragraph","content":[{"type":"text","text":"6"}],"attrs":{"localId":"7201bdf69c2b"}}]}]},{"type":"tableRow","attrs":{"localId":"1e6f30f24bf1"},"content":[{"type":"tableCell","attrs":{"localId":"5da75c5cc034","background":"white"},"content":[{"type":"paragraph","content":[{"type":"text","text":"Already Listed"}],"attrs":{"localId":"9dec7f560322"}}]},{"type":"tableCell","attrs":{"localId":"c352a1366d30"},"content":[{"type":"paragraph","content":[{"type":"text","text":"5"}],"attrs":{"localId":"740b7f125cae"}}]},{"type":"tableCell","attrs":{"localId":"4be6692be55f"},"content":[{"type":"paragraph","content":[{"type":"text","text":"5"}],"attrs":{"localId":"41b91da71a69"}}]}]},{"type":"tableRow","attrs":{"localId":"a2313f6f48f9"},"content":[{"type":"tableCell","attrs":{"localId":"8cf2ddcc249e","background":"white"},"content":[{"type":"paragraph","content":[{"type":"text","text":"LIDs Shared"}],"attrs":{"localId":"532cf7587afc"}}]},{"type":"tableCell","attrs":{"localId":"0c2cabee2e7f"},"content":[{"type":"paragraph","content":[{"type":"text","text":"127"}],"attrs":{"localId":"cabf18d3fb99"}}]},{"type":"tableCell","attrs":{"localId":"0f9f322e577a"},"content":[{"type":"paragraph","content":[{"type":"text","text":"127"}],"attrs":{"localId":"812d4670aa3a"}}]}]},{"type":"tableRow","attrs":{"localId":"447f45925ecc"},"content":[{"type":"tableCell","attrs":{"localId":"26a656176d31","background":"white"},"content":[{"type":"paragraph","content":[{"type":"text","text":"LIDs Stuck in the System"}],"attrs":{"localId":"8fc32738cf4a"}}]},{"type":"tableCell","attrs":{"localId":"7df657fcdcea"},"content":[{"type":"paragraph","content":[{"type":"text","text":"0"}],"attrs":{"localId":"e8ab435a3859"}}]},{"type":"tableCell","attrs":{"localId":"90002e412cb5"},"content":[{"type":"paragraph","content":[{"type":"text","text":"0"}],"attrs":{"localId":"59d56e7f5755"}}]}]}]}
{adf}
Note: *The SKU was dropped because the image was not available, and the SKU length must be less than or equal to 30 characters.*
With this, we are closing this request from our end.
Thank you for your patience, support, and cooperation throughout the process. Your brand is important to us, and we look forward to assisting you again.</t>
  </si>
  <si>
    <t>UCW-34573</t>
  </si>
  <si>
    <t>Pantaloons/Men Women/Specimen/Non Apparel Footwear/New Listing/SKU 680/Options 166| 15th July'2026</t>
  </si>
  <si>
    <t xml:space="preserve">Date :07/20/2026 &lt;Ticket picked for pre processing Footwear Option 70 Sku 403&gt; &lt;Ankita&gt;;Date :07/21/2026 &lt;Pre Processing query to Brand &lt;less than 3 sku , size not continuous &gt;&gt; &lt;Ankita&gt;;Date :07/22/2026 &lt; Pre Processing query to Brand 1st Follow Up&gt; &lt;Ankita&gt;;Date :07/23/2026 &lt; Pre Processing query to Brand 2nd Follow Up&gt; &lt;Ankita&gt;;Date :07/23/2026 &lt;Ticket picked for pre processing (Accessories) Option: 68 SKU: 68&gt; &lt;Sanjana Ghosh&gt;;Date :07/24/2026 &lt;Pre Processing query to Brand &lt;Image Issue &amp; Image Missing&gt; &lt;Sanjana Ghosh&gt; ;Date :07/24/2026 &lt;Pre Processing query to Brand &lt;Size grid Query&gt; Option 70 Sku 403&gt; &lt;Ishani&gt;;Date :07/25/2026 &lt; Pre Processing query to Brand 1st Follow Up&lt;Size Grid Query&gt;&gt; &lt;Ishani&gt;;Date :07/25/2026 &lt;Ticket (Apparel Category)has been successfully uploaded in our system. Option 39 Sku 210&gt; &lt;Anwesha Mondal&gt;
[^Post Upload Status_UCW-34573.xlsx]
[^Summary.zip]
</t>
  </si>
  <si>
    <t>UCW-34572</t>
  </si>
  <si>
    <t>Bhima Jewels New Listing - Gold-37</t>
  </si>
  <si>
    <t>Bhima Jewels</t>
  </si>
  <si>
    <t>Date : 20th Jul, 2026 This ticket has been picked for Pre-Processing and Image Analysis -Mousumi. ;*Image deliver - Date :07/20/2026 &lt;Images Delivered Processed Options 37 Rejected Options 0&gt; &lt;Saswati Dey&gt;*;Date : 21th Jul, 2026 Pre-Processing Done( Brand to Query for Style code Association Code, Chain Length)-Mousumi;Date : 23rd Jul, 2026 1st Followup Done;Date : 24th Jul, 2026 2ndFollowup Done-Mousumi</t>
  </si>
  <si>
    <t>UCW-35394</t>
  </si>
  <si>
    <t>Tatacliq Footwear Batch-1 (July) _Colehaan_29-07-2026</t>
  </si>
  <si>
    <t>UCW-35393</t>
  </si>
  <si>
    <t>Tatacliq Footwear Batch 26 (July) _USPA_28-07-2026</t>
  </si>
  <si>
    <t>UCW-35387</t>
  </si>
  <si>
    <t>New Listings - Superyou</t>
  </si>
  <si>
    <t>UCW-35386</t>
  </si>
  <si>
    <t>New Listings+Lattafa+Perfumes+126349+TCF+31st July 2026</t>
  </si>
  <si>
    <t>UCW-35382</t>
  </si>
  <si>
    <t>CLONE - Libas Apparel 127532 13-07-2026 (Request to Update Product Category)</t>
  </si>
  <si>
    <t>UCW-35376</t>
  </si>
  <si>
    <t>Request to Update Front Images for SKUs</t>
  </si>
  <si>
    <t>UCW-35373</t>
  </si>
  <si>
    <t>Need to change the product images (Seller Id- 129561)</t>
  </si>
  <si>
    <t>UCW-35371</t>
  </si>
  <si>
    <t>Error_Weekly Consolidated QC Report (1 July – 13 July) | Agency Name -  Netscribes</t>
  </si>
  <si>
    <t>Swati Shukla</t>
  </si>
  <si>
    <t>UCW-35368</t>
  </si>
  <si>
    <t>Cloned-Bhima Jewels New Listing - Gold-37</t>
  </si>
  <si>
    <t>UCW-35358</t>
  </si>
  <si>
    <t>New Listing Template :- 27-07-2026</t>
  </si>
  <si>
    <t>UCW-35357</t>
  </si>
  <si>
    <t>Trove Label - Swimwear (13 SKUs) - 30/07/2026</t>
  </si>
  <si>
    <t>UCW-35356</t>
  </si>
  <si>
    <t>D&amp;G Pending 1 SKU</t>
  </si>
  <si>
    <t>UCW-35355</t>
  </si>
  <si>
    <t>CLONE - New Master Content Sheet with Image Link</t>
  </si>
  <si>
    <t>UCW-35352</t>
  </si>
  <si>
    <t>Clone - TQ | Brand: Converse | Catalog Listing | FTWR-FA26.</t>
  </si>
  <si>
    <t>UCW-35351</t>
  </si>
  <si>
    <t>Seller Code: 129357 | Brand: Converse | Request for Size Addition to Existing Style Code</t>
  </si>
  <si>
    <t>UCW-35348</t>
  </si>
  <si>
    <t xml:space="preserve"> Tata Cliq Fashion -  New Image Update - Franck Olivier </t>
  </si>
  <si>
    <t>UCW-35346</t>
  </si>
  <si>
    <t>New GWP Listing (Aug) - Tata</t>
  </si>
  <si>
    <t>UCW-35342</t>
  </si>
  <si>
    <t>TataCliq X Bewakoof II Mens Wear II 31-07-2026</t>
  </si>
  <si>
    <t>UCW-35341</t>
  </si>
  <si>
    <t xml:space="preserve"> Image Replacement 146 options 30.07.2026</t>
  </si>
  <si>
    <t>UCW-35337</t>
  </si>
  <si>
    <t>The Bear House - New Collection Details- 20th July- 124388</t>
  </si>
  <si>
    <t>UCW-35328</t>
  </si>
  <si>
    <t>New Catalogue Sheet 18 July 2026</t>
  </si>
  <si>
    <t>UCW-35316</t>
  </si>
  <si>
    <t>Images update | Tata Cliq | Miduty</t>
  </si>
  <si>
    <t>UCW-35309</t>
  </si>
  <si>
    <t>Update Listing - B12 | Tata Cliq | Miduty</t>
  </si>
  <si>
    <t>UCW-35308</t>
  </si>
  <si>
    <t>CLONE - TCL- New listing - Bvlgari (Omnia Amethyste )</t>
  </si>
  <si>
    <t>UCW-35306</t>
  </si>
  <si>
    <t>CLONE - Sept'26 NPL to be ordered in July'26: TCL</t>
  </si>
  <si>
    <t>UCW-35295</t>
  </si>
  <si>
    <t>CLONE - TataCliq: New CGS-Series, D-Series &amp; Oversize T-Shirt Category Articles</t>
  </si>
  <si>
    <t>UCW-35291</t>
  </si>
  <si>
    <t>SKU and image change of 8809728080231</t>
  </si>
  <si>
    <t>UCW-35264</t>
  </si>
  <si>
    <t>Benetton kids apparel new catalog details 23-7-2026</t>
  </si>
  <si>
    <t>UCW-35247</t>
  </si>
  <si>
    <t>MMTC | Product Details and Images for Pendants | Addoc | 3skus</t>
  </si>
  <si>
    <t>UCW-35245</t>
  </si>
  <si>
    <t>CLONE - Product Listing Request – COOLA Clear Skin Mineral Sunscreen SPF30</t>
  </si>
  <si>
    <t>UCW-35230</t>
  </si>
  <si>
    <t>Super You Listing dump</t>
  </si>
  <si>
    <t>UCW-35221</t>
  </si>
  <si>
    <t xml:space="preserve">L’Oréal Paris | GB Serum Update | TataCliq Fashion  |125928 </t>
  </si>
  <si>
    <t>UCW-35217</t>
  </si>
  <si>
    <t>SKU Change Request : Squintalk</t>
  </si>
  <si>
    <t>UCW-35215</t>
  </si>
  <si>
    <t>Benetton Footwear Catalog Details 25-7-2026</t>
  </si>
  <si>
    <t>UCW-35213</t>
  </si>
  <si>
    <t>Libas Apparel 127532 27-07-2026 (SIZE ADDITION)</t>
  </si>
  <si>
    <t>UCW-35209</t>
  </si>
  <si>
    <t>Auraa Trends - Jewelery - 27/07/2026 - 35 SKUs</t>
  </si>
  <si>
    <t>UCW-35199</t>
  </si>
  <si>
    <t>EAN JV - 2 STD - New Listing - TATA - 14/07/26</t>
  </si>
  <si>
    <t>UCW-35194</t>
  </si>
  <si>
    <t>Packaging Label Update - Slot 3 - Tata</t>
  </si>
  <si>
    <t>UCW-35191</t>
  </si>
  <si>
    <t>Klotthe Pending styles</t>
  </si>
  <si>
    <t>UCW-35189</t>
  </si>
  <si>
    <t>The Magic Wand Linesheet Festive Collection 3_25 Styles_27.07.2026</t>
  </si>
  <si>
    <t>UCW-35186</t>
  </si>
  <si>
    <t>Zabella - 06-07-2026 - 129469 - Resort Wear</t>
  </si>
  <si>
    <t>UCW-35175</t>
  </si>
  <si>
    <t>New Catalouge : 24.07.2026</t>
  </si>
  <si>
    <t>UCW-35172</t>
  </si>
  <si>
    <t>SKU change of Dr. Althea products</t>
  </si>
  <si>
    <t>UCW-35150</t>
  </si>
  <si>
    <t>TataCliq x O3+ New Launch 25-07-2026</t>
  </si>
  <si>
    <t>UCW-35149</t>
  </si>
  <si>
    <t>Tata Cliq  -  New Image - Fragrance (25-07-2026)</t>
  </si>
  <si>
    <t>UCW-35144</t>
  </si>
  <si>
    <t xml:space="preserve"> Image Addition for WROGN Articles</t>
  </si>
  <si>
    <t>UCW-35132</t>
  </si>
  <si>
    <t>TCL | Converse | Footwear listing from Rs.3999</t>
  </si>
  <si>
    <t>UCW-35131</t>
  </si>
  <si>
    <t>Guess Footwear Men &amp; Women (New) 18 Options 20-07-2026</t>
  </si>
  <si>
    <t>UCW-35130</t>
  </si>
  <si>
    <t>Under Armour Listing (128047)-27/07/2026</t>
  </si>
  <si>
    <t>UCW-35129</t>
  </si>
  <si>
    <t>AW'26 Footwear Templates for Fresh Listing - Onitsuka Tiger ( Lot-1 )</t>
  </si>
  <si>
    <t>UCW-35126</t>
  </si>
  <si>
    <t>CLONE - 65 Request to Expedite Catalog Listing</t>
  </si>
  <si>
    <t>UCW-35125</t>
  </si>
  <si>
    <t>CLONE - CLONE - Images Update - OOMPH - 18.07.2026 - Fashion Jewellery - TATACLIQ</t>
  </si>
  <si>
    <t>UCW-35124</t>
  </si>
  <si>
    <t xml:space="preserve"> Varnika Arora - Jewellery - 22/07/2026 - 35 SKUs</t>
  </si>
  <si>
    <t>UCW-35123</t>
  </si>
  <si>
    <t>CLONE - Giva | Silver Jewellery | 125927 | 23-07-2026 (27SKUs)</t>
  </si>
  <si>
    <t>UCW-35115</t>
  </si>
  <si>
    <t>New Catalog Women_Biba_17-07-2026</t>
  </si>
  <si>
    <t>UCW-35114</t>
  </si>
  <si>
    <t>Tata Cliq - Adidas Hyperboost Listing - 28th July 2026</t>
  </si>
  <si>
    <t>UCW-35112</t>
  </si>
  <si>
    <t>CLONE - DAVIDOFF REP - 5 STD - NEW Listing - TATA - 22/7/26</t>
  </si>
  <si>
    <t>UCW-35110</t>
  </si>
  <si>
    <t>CLONE - MONKSTORY - Footwear - 16/07/2026 - 69 SKUs</t>
  </si>
  <si>
    <t>UCW-35106</t>
  </si>
  <si>
    <t>JUSTCAVALLI_JEWELLERY_115 Styles_</t>
  </si>
  <si>
    <t>UCW-35105</t>
  </si>
  <si>
    <t>Tata Cliq-adidas DTC|Apparel| Attributes_27-07-26</t>
  </si>
  <si>
    <t>UCW-35103</t>
  </si>
  <si>
    <t>Lot 58 Latin Quarters 20-07-2026</t>
  </si>
  <si>
    <t>UCW-35098</t>
  </si>
  <si>
    <t>Charles &amp; Keith_Footwear_125610_27thJuly'26 (Batch 14)</t>
  </si>
  <si>
    <t>UCW-35093</t>
  </si>
  <si>
    <t>CLONE - Autumnlane - 15-07-2026 - 128336 - Casual Wear</t>
  </si>
  <si>
    <t>UCW-35088</t>
  </si>
  <si>
    <t>CLONE - Mia new Silver coin</t>
  </si>
  <si>
    <t>UCW-35082</t>
  </si>
  <si>
    <t>CLONE - NEEMANS+FOOTWEAR+ 125173+ 15-07-2026</t>
  </si>
  <si>
    <t>UCW-35076</t>
  </si>
  <si>
    <t>Tata CLiQ listing file for women &amp; Men's 20-07-2026</t>
  </si>
  <si>
    <t>UCW-35073</t>
  </si>
  <si>
    <t>Changes In The Products - HOUSE OF CDC FASHION PVT LTD</t>
  </si>
  <si>
    <t>UCW-35068</t>
  </si>
  <si>
    <t>CLONE - New Launch Listing - 3 gram rose pendant</t>
  </si>
  <si>
    <t>UCW-35065</t>
  </si>
  <si>
    <t>Request for New Product Cataloguing_PENDANTS_KISNA (75skus)</t>
  </si>
  <si>
    <t>UCW-35063</t>
  </si>
  <si>
    <t>New Listings_18 Styles_24.07.2026</t>
  </si>
  <si>
    <t>UCW-35061</t>
  </si>
  <si>
    <t>Campus x Tatacliq ~ New Listing_24.07.2026</t>
  </si>
  <si>
    <t>UCW-35058</t>
  </si>
  <si>
    <t>New Styles Catalogue - SCENTRA</t>
  </si>
  <si>
    <t>UCW-35054</t>
  </si>
  <si>
    <t>New Listings+Rasasi+Perfumes+126349+TCF+24th July 2026</t>
  </si>
  <si>
    <t>UCW-35052</t>
  </si>
  <si>
    <t>New Listings+Afnan+Perfumes+126349+TCF+24th July 2026</t>
  </si>
  <si>
    <t>UCW-35050</t>
  </si>
  <si>
    <t>CLONE - SKU Change Request</t>
  </si>
  <si>
    <t>UCW-35034</t>
  </si>
  <si>
    <t>CLONE - July 26' Order cycle - Fragrance - Samples + NPLs : TCL</t>
  </si>
  <si>
    <t>UCW-35033</t>
  </si>
  <si>
    <t>CLONE - TCL- New listing - Bvlgari &amp; Hermès GWP</t>
  </si>
  <si>
    <t>UCW-35030</t>
  </si>
  <si>
    <t>Tatacliq Footwear Batch 25 (July) _Colehaan_23-07-2026</t>
  </si>
  <si>
    <t>UCW-35018</t>
  </si>
  <si>
    <t>Ben Sherman Men Apparel Listing</t>
  </si>
  <si>
    <t>UCW-35017</t>
  </si>
  <si>
    <t>Benetton Women's Catalog Details 23-7-2026</t>
  </si>
  <si>
    <t>UCW-35013</t>
  </si>
  <si>
    <t>CLONE - Ben Sherman Footwear Listing</t>
  </si>
  <si>
    <t>UCW-35012</t>
  </si>
  <si>
    <t>SKU EAN Updates &amp; Stock Activation (Primespot) - L'Occitane (New)</t>
  </si>
  <si>
    <t>UCW-35011</t>
  </si>
  <si>
    <t xml:space="preserve">Request to Update Jewelry Terminology- Additional Skus </t>
  </si>
  <si>
    <t>UCW-35005</t>
  </si>
  <si>
    <t>OLAPLEX H1 2026 - Launch Overview &amp; Next Steps</t>
  </si>
  <si>
    <t>UCW-35004</t>
  </si>
  <si>
    <t>December'25 Order cycle - Fragrance - Samples + NPLs + GWP : TCL</t>
  </si>
  <si>
    <t>UCW-34997</t>
  </si>
  <si>
    <t>CLONE - Tangerine Jewelry</t>
  </si>
  <si>
    <t>UCW-34995</t>
  </si>
  <si>
    <t>Cloned-Honasa Updated A+ and E-Commerce Creatives- Tata Cliq (July-1)</t>
  </si>
  <si>
    <t>UCW-34980</t>
  </si>
  <si>
    <t xml:space="preserve"> TATA CLIQ IKM BRUSHES LISTING </t>
  </si>
  <si>
    <t>UCW-34976</t>
  </si>
  <si>
    <t>Scarf Tie - Cataloguing</t>
  </si>
  <si>
    <t>UCW-34966</t>
  </si>
  <si>
    <t>CLONE - New Listing - Catalog Sheet</t>
  </si>
  <si>
    <t>UCW-34965</t>
  </si>
  <si>
    <t>Request for for New Product Listing</t>
  </si>
  <si>
    <t>UCW-34964</t>
  </si>
  <si>
    <t>CLONE - Tata Cliq  - New Listing - BMW and MAX&amp;CO. (New Brand)</t>
  </si>
  <si>
    <t>UCW-34956</t>
  </si>
  <si>
    <t>Request for SKU Replacement and Image Update</t>
  </si>
  <si>
    <t>UCW-34953</t>
  </si>
  <si>
    <t>MNY | Sky Tubes - PDP Update | TATACLIQ - Fashion | Seller Code 125928</t>
  </si>
  <si>
    <t>Colehaan</t>
  </si>
  <si>
    <t>Super You</t>
  </si>
  <si>
    <t>Date :08/01/2026  &lt;Ticket picked for pre processing SKU 1&gt; &lt;Tania&gt;  Date :08/01/2026 &lt;Ticket picked for Production and QC review SKU 1&gt; &lt;Tania&gt;</t>
  </si>
  <si>
    <t>Category Migration</t>
  </si>
  <si>
    <t>Calibar</t>
  </si>
  <si>
    <t>Netscribes</t>
  </si>
  <si>
    <t xml:space="preserve">PFA the SUmmary &amp; Post-Uploaded Sheet[^Summary.zip] [^UCW-34572 Post Upload Status_V.2 (1).xlsx] </t>
  </si>
  <si>
    <t>Date :08/01/2026 &lt;Ticket picked for pre processing Option 12 Sku 67&gt; &lt;Ankita&gt;;Date :08/01/2026 &lt;Ticket picked for Production and QC review Option 12 Sku 67&gt; &lt;Ankita&gt;;[^LIBERTY_MEN &amp; WOMAN SIZE CHART.csv]
Please create the size chart</t>
  </si>
  <si>
    <t>Trove Label</t>
  </si>
  <si>
    <t>Date :07/31/2026  &lt;Ticket picked for pre processing SKU 1&gt; &lt;Tania&gt;  Date :07/31/2026 &lt;Ticket picked for Production and QC review SKU 1 &lt;Tania&gt;  Date :07/31/2026 &lt;Ticket has been successfully uploaded in our system SKU 1&gt; &lt;Tania&gt;;[^ProductBulkUpload_125928_Beauty__Grooming(MPH22)_Fragrances_and_Perfumes(MPH2211)_Fragrances(MPH2211100)_Perfumes(MPH2211100104)_33887_1785507283041_20260731_074528_439_summary.csv]
[^UCW-35356_Post Upload Status.xlsx]
We have successfully uploaded this batch. Please find the attached summary sheet and summary report.;[^UCW-35356.xlsx]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88291bef-010b-4ec2-9153-f96bd60d5dde"},"content":[{"type":"tableRow","attrs":{"localId":"cbc1136e62b1"},"content":[{"type":"tableCell","attrs":{"localId":"44a88605966d","background":"#44b3e1"},"content":[{"type":"paragraph","content":[{"type":"text","text":"Ticket ID","marks":[{"type":"strong"}]}],"attrs":{"localId":"3ffa0e279901"}}]},{"type":"tableCell","attrs":{"localId":"992634fea3e5","colspan":2,"background":"#44b3e1"},"content":[{"type":"paragraph","content":[{"type":"text","text":"UCW-35356","marks":[{"type":"strong"}]}],"attrs":{"localId":"9b1a5faf6ed3"}}]}]},{"type":"tableRow","attrs":{"localId":"0a9f8349a71d"},"content":[{"type":"tableCell","attrs":{"localId":"a6a8b621c2d8","background":"#44b3e1"},"content":[{"type":"paragraph","content":[{"type":"text","text":"Brand Name","marks":[{"type":"strong"}]}],"attrs":{"localId":"be1c9bc2b807"}}]},{"type":"tableCell","attrs":{"localId":"5c3ec6ddcfb7","colspan":2,"background":"#44b3e1"},"content":[{"type":"paragraph","content":[{"type":"text","text":"Dolce&amp;Gabbana","marks":[{"type":"strong"}]}],"attrs":{"localId":"22712cb745a4"}}]}]},{"type":"tableRow","attrs":{"localId":"f18d2a2560a1"},"content":[{"type":"tableCell","attrs":{"localId":"3ad4ac2f7d20","background":"#ace5fe"},"content":[{"type":"paragraph","content":[{"type":"text","text":"Platform","marks":[{"type":"strong"}]}],"attrs":{"localId":"6fca6cdd5090"}}]},{"type":"tableCell","attrs":{"localId":"acd3e036f6f3","colspan":2,"background":"#ace5fe"},"content":[{"type":"paragraph","content":[{"type":"text","text":"Luxury","marks":[{"type":"strong"}]}],"attrs":{"localId":"fe59f843753e"}}]}]},{"type":"tableRow","attrs":{"localId":"21aa73b54c58"},"content":[{"type":"tableCell","attrs":{"localId":"196a23df1845","background":"#ace5fe"},"content":[{"type":"paragraph","content":[{"type":"text","text":"Particulars","marks":[{"type":"strong"}]}],"attrs":{"localId":"7f275bd459f0"}}]},{"type":"tableCell","attrs":{"localId":"86c07591a6f5","background":"#ace5fe"},"content":[{"type":"paragraph","content":[{"type":"text","text":"SKU Count","marks":[{"type":"strong"}]}],"attrs":{"localId":"a6d2f6cab00c"}}]},{"type":"tableCell","attrs":{"localId":"daf79e513050","background":"#ace5fe"},"content":[{"type":"paragraph","content":[{"type":"text","text":"Option Count","marks":[{"type":"strong"}]}],"attrs":{"localId":"45dde5127ffb"}}]}]},{"type":"tableRow","attrs":{"localId":"f5ab8acca3f4"},"content":[{"type":"tableCell","attrs":{"localId":"b098af9a6d0d","background":"white"},"content":[{"type":"paragraph","content":[{"type":"text","text":"Received"}],"attrs":{"localId":"961e733ee386"}}]},{"type":"tableCell","attrs":{"localId":"2ffe9719bb29"},"content":[{"type":"paragraph","content":[{"type":"text","text":"1"}],"attrs":{"localId":"308ade674465"}}]},{"type":"tableCell","attrs":{"localId":"e2b586db0c81"},"content":[{"type":"paragraph","content":[{"type":"text","text":"1"}],"attrs":{"localId":"003f86bb5afe"}}]}]},{"type":"tableRow","attrs":{"localId":"51764bd86618"},"content":[{"type":"tableCell","attrs":{"localId":"fb1c91a71113","background":"white"},"content":[{"type":"paragraph","content":[{"type":"text","text":"Uploaded"}],"attrs":{"localId":"84ae3f283364"}}]},{"type":"tableCell","attrs":{"localId":"1414ad8b714a"},"content":[{"type":"paragraph","content":[{"type":"text","text":"1"}],"attrs":{"localId":"6a92d83f6336"}}]},{"type":"tableCell","attrs":{"localId":"3dffa4e81266"},"content":[{"type":"paragraph","content":[{"type":"text","text":"1"}],"attrs":{"localId":"9b57dca7ae9d"}}]}]},{"type":"tableRow","attrs":{"localId":"16dc0e3730c3"},"content":[{"type":"tableCell","attrs":{"localId":"53066e7da646","background":"white"},"content":[{"type":"paragraph","content":[{"type":"text","text":"LIDs Shared"}],"attrs":{"localId":"02983f3a31e1"}}]},{"type":"tableCell","attrs":{"localId":"23f759981cba"},"content":[{"type":"paragraph","content":[{"type":"text","text":"1"}],"attrs":{"localId":"20cc276779b2"}}]},{"type":"tableCell","attrs":{"localId":"2803863b56c2"},"content":[{"type":"paragraph","content":[{"type":"text","text":"1"}],"attrs":{"localId":"0f1d6cc0df10"}}]}]},{"type":"tableRow","attrs":{"localId":"217f6ee0605a"},"content":[{"type":"tableCell","attrs":{"localId":"6b51b9675177","background":"white"},"content":[{"type":"paragraph","content":[{"type":"text","text":"LIDs Stuck in the System"}],"attrs":{"localId":"d2440e901a17"}}]},{"type":"tableCell","attrs":{"localId":"a8535bdafaef"},"content":[{"type":"paragraph","content":[{"type":"text","text":"0"}],"attrs":{"localId":"5b2e60fd1d18"}}]},{"type":"tableCell","attrs":{"localId":"9ebe70893347"},"content":[{"type":"paragraph","content":[{"type":"text","text":"0"}],"attrs":{"localId":"fcad373eb958"}}]}]}]}
{adf}
With this, we are closing this request from our end.
Thank you for your patience, support, and cooperation throughout the process. Your brand is important to us, and we look forward to assisting you again.</t>
  </si>
  <si>
    <t>MISH X</t>
  </si>
  <si>
    <t>Date :07/31/2026 &lt;Ticket has been successfully uploaded in our system (Marketplace) Option: 135 SKU: 879&gt; &lt;Sanjana Ghosh&gt;
PFA the post upload status and summary file: [^Summary MP.zip] [^UCW-35352 - UCW-33447 - MP - Post Upload Status .xlsx] ;[^UCW-35352 MP.xlsx]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884a75cd-3499-4ddb-9bd8-738e0f9226b7"},"content":[{"type":"tableRow","attrs":{"localId":"863d65522496"},"content":[{"type":"tableCell","attrs":{"localId":"fb21922f67fd","background":"#44b3e1"},"content":[{"type":"paragraph","content":[{"type":"text","text":"Ticket ID","marks":[{"type":"strong"}]}],"attrs":{"localId":"69c2ba5b77b1"}}]},{"type":"tableCell","attrs":{"localId":"614df195584a","colspan":2,"background":"#44b3e1"},"content":[{"type":"paragraph","content":[{"type":"text","text":"UCW-35352","marks":[{"type":"strong"}]}],"attrs":{"localId":"a9a131582698"}}]}]},{"type":"tableRow","attrs":{"localId":"e9c52d880e60"},"content":[{"type":"tableCell","attrs":{"localId":"c57614661174","background":"#44b3e1"},"content":[{"type":"paragraph","content":[{"type":"text","text":"Brand Name","marks":[{"type":"strong"}]}],"attrs":{"localId":"42d9daf1fa02"}}]},{"type":"tableCell","attrs":{"localId":"be844b320dbd","colspan":2,"background":"#44b3e1"},"content":[{"type":"paragraph","content":[{"type":"text","text":"Converse","marks":[{"type":"strong"}]}],"attrs":{"localId":"26cedfd1bdcb"}}]}]},{"type":"tableRow","attrs":{"localId":"b4a2e39df75d"},"content":[{"type":"tableCell","attrs":{"localId":"85fe0ad65ad5","background":"#ace5fe"},"content":[{"type":"paragraph","content":[{"type":"text","text":"Platform","marks":[{"type":"strong"}]}],"attrs":{"localId":"29af106febd4"}}]},{"type":"tableCell","attrs":{"localId":"803eb137834a","colspan":2,"background":"#ace5fe"},"content":[{"type":"paragraph","content":[{"type":"text","text":"Mall","marks":[{"type":"strong"}]}],"attrs":{"localId":"ef4d4e9b9b7d"}}]}]},{"type":"tableRow","attrs":{"localId":"088353ed768c"},"content":[{"type":"tableCell","attrs":{"localId":"2ab410261ee1","background":"#ace5fe"},"content":[{"type":"paragraph","content":[{"type":"text","text":"Particulars","marks":[{"type":"strong"}]}],"attrs":{"localId":"fdd87bba17b1"}}]},{"type":"tableCell","attrs":{"localId":"5183a9869af5","background":"#ace5fe"},"content":[{"type":"paragraph","content":[{"type":"text","text":"SKU Count","marks":[{"type":"strong"}]}],"attrs":{"localId":"cb3b29ea5e29"}}]},{"type":"tableCell","attrs":{"localId":"07ec0f99b735","background":"#ace5fe"},"content":[{"type":"paragraph","content":[{"type":"text","text":"Option Count","marks":[{"type":"strong"}]}],"attrs":{"localId":"f3de82dd5b71"}}]}]},{"type":"tableRow","attrs":{"localId":"890183607494"},"content":[{"type":"tableCell","attrs":{"localId":"58805c20af32","background":"white"},"content":[{"type":"paragraph","content":[{"type":"text","text":"Received"}],"attrs":{"localId":"34830994bf1b"}}]},{"type":"tableCell","attrs":{"localId":"4ec28b68005e"},"content":[{"type":"paragraph","content":[{"type":"text","text":"879"}],"attrs":{"localId":"0bbbf4981a7e"}}]},{"type":"tableCell","attrs":{"localId":"eff20ea46180"},"content":[{"type":"paragraph","content":[{"type":"text","text":"135"}],"attrs":{"localId":"e40f5e91b53e"}}]}]},{"type":"tableRow","attrs":{"localId":"7801b13b139e"},"content":[{"type":"tableCell","attrs":{"localId":"abae4a5a293e","background":"white"},"content":[{"type":"paragraph","content":[{"type":"text","text":"Uploaded"}],"attrs":{"localId":"bb2747e1c748"}}]},{"type":"tableCell","attrs":{"localId":"261715a5cadf"},"content":[{"type":"paragraph","content":[{"type":"text","text":"879"}],"attrs":{"localId":"e21048ddcdbb"}}]},{"type":"tableCell","attrs":{"localId":"981933fabbf5"},"content":[{"type":"paragraph","content":[{"type":"text","text":"135"}],"attrs":{"localId":"41a8a4236071"}}]}]},{"type":"tableRow","attrs":{"localId":"55c94762ade1"},"content":[{"type":"tableCell","attrs":{"localId":"9c3dfca1bb0c","background":"white"},"content":[{"type":"paragraph","content":[{"type":"text","text":"LIDs Shared"}],"attrs":{"localId":"116471904211"}}]},{"type":"tableCell","attrs":{"localId":"8d3e8a1c8867"},"content":[{"type":"paragraph","content":[{"type":"text","text":"878"}],"attrs":{"localId":"5677cc3a6b01"}}]},{"type":"tableCell","attrs":{"localId":"81f1ffd50e43"},"content":[{"type":"paragraph","content":[{"type":"text","text":"135"}],"attrs":{"localId":"5e48f84dffec"}}]}]},{"type":"tableRow","attrs":{"localId":"01f688086858"},"content":[{"type":"tableCell","attrs":{"localId":"e7d9a0cbee53","background":"white"},"content":[{"type":"paragraph","content":[{"type":"text","text":"LIDs Stuck in the System"}],"attrs":{"localId":"8e4bfd5b471e"}}]},{"type":"tableCell","attrs":{"localId":"cbb113703c46"},"content":[{"type":"paragraph","content":[{"type":"text","text":"1"}],"attrs":{"localId":"862adeec8bd7"}}]},{"type":"tableCell","attrs":{"localId":"a125b6fce0a4"},"content":[{"type":"paragraph","content":[{"type":"text","text":"0"}],"attrs":{"localId":"157c56dfacfc"}}]}]}]}
{adf}
1 SKU is currently stuck in SFA. We have already taken the necessary action from our end. Once the issue is resolved, we will inform you accordingly.
Thank you for your patience, support, and cooperation throughout the process. Your brand is important to us, and we look forward to assisting you again.</t>
  </si>
  <si>
    <t xml:space="preserve">Date :08/01/2026  &lt;Ticket picked for pre processing SKU 8&gt; &lt;Tania&gt;  Date :08/01/2026  &lt;Pre Processing query to Brand &lt;Image Missing&gt;&gt; &lt;Tania&gt; </t>
  </si>
  <si>
    <t xml:space="preserve">Bewakoof </t>
  </si>
  <si>
    <t>The Bear House</t>
  </si>
  <si>
    <t xml:space="preserve">Date :08/01/2026  &lt;Pre Processing query to Brand &lt;Image Issue&gt;&gt; &lt;Anwesha Mondal&gt; </t>
  </si>
  <si>
    <t>TRYME</t>
  </si>
  <si>
    <t xml:space="preserve">Date :07/31/2026 &lt;Ticket picked for pre processing Option 31 Sku 183&gt; &lt;Amandeep&gt;;Date :07/31/2026 &lt;Ticket picked for Production and QC review Option 31 Sku 183&gt; &lt;Ishani&gt;;Date :08/01/2026 &lt;Ticket has been successfully uploaded in our system. Option 31 Sku 183&gt; &lt;Ishani&gt;
[^Post Upload Status_V.2 (1) (1).xlsx] [^Summary.zip] </t>
  </si>
  <si>
    <t xml:space="preserve">Miduty </t>
  </si>
  <si>
    <t>Bvlgari</t>
  </si>
  <si>
    <t>Date :08/01/2026  &lt;Ticket picked for pre processing SKU 2&gt; &lt;Tania&gt;  Date :08/01/2026 &lt;Ticket picked for Production and QC review SKU 2&gt; &lt;Tania&gt;</t>
  </si>
  <si>
    <t xml:space="preserve">[^ProductBulkUpload_125928_Beauty__Grooming(MPH22)_Makeup(MPH2214)_Face(MPH2214101)_Foundation(MPH2214101112)_33887_1785488397634_20260731.csv]
[^UCW-35306_Post Upload Status (1).xlsx]
We have successfully uploaded this batch. Please find the attached summary sheet and summary report. Date :07/31/2026 &lt;Ticket has been successfully uploaded in our system. SKU 1&gt; &lt;Tania&gt;;We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c6e67b4-8c99-4573-b74c-199f4cff2455"},"content":[{"type":"tableRow","attrs":{"localId":"5b8bbc79f2e0"},"content":[{"type":"tableCell","attrs":{"localId":"8dd0b045063c","background":"#44b3e1"},"content":[{"type":"paragraph","content":[{"type":"text","text":"Ticket ID","marks":[{"type":"strong"}]}],"attrs":{"localId":"bc6eb1d870aa"}}]},{"type":"tableCell","attrs":{"localId":"de102d533552","colspan":2,"background":"#44b3e1"},"content":[{"type":"paragraph","content":[{"type":"text","text":"UCW-35306","marks":[{"type":"strong"}]}],"attrs":{"localId":"e1c85df8f0cd"}}]}]},{"type":"tableRow","attrs":{"localId":"fd0c5796c0bf"},"content":[{"type":"tableCell","attrs":{"localId":"cdac7af6abb7","background":"#44b3e1"},"content":[{"type":"paragraph","content":[{"type":"text","text":"Brand Name","marks":[{"type":"strong"}]}],"attrs":{"localId":"a76e6d6efbf2"}}]},{"type":"tableCell","attrs":{"localId":"fac144904588","colspan":2,"background":"#44b3e1"},"content":[{"type":"paragraph","content":[{"type":"text","text":"M.A.C","marks":[{"type":"strong"}]}],"attrs":{"localId":"f030d45c565e"}}]}]},{"type":"tableRow","attrs":{"localId":"eba7c1031964"},"content":[{"type":"tableCell","attrs":{"localId":"41d52d8e64d4","background":"#ace5fe"},"content":[{"type":"paragraph","content":[{"type":"text","text":"Platform","marks":[{"type":"strong"}]}],"attrs":{"localId":"2a420b87a6b6"}}]},{"type":"tableCell","attrs":{"localId":"748542486695","colspan":2,"background":"#ace5fe"},"content":[{"type":"paragraph","content":[{"type":"text","text":"Mall + Luxury","marks":[{"type":"strong"}]}],"attrs":{"localId":"979b9c36e316"}}]}]},{"type":"tableRow","attrs":{"localId":"9609a9f50b9f"},"content":[{"type":"tableCell","attrs":{"localId":"751260cbb8b1","background":"#ace5fe"},"content":[{"type":"paragraph","content":[{"type":"text","text":"Particulars","marks":[{"type":"strong"}]}],"attrs":{"localId":"5310d09ae45c"}}]},{"type":"tableCell","attrs":{"localId":"42a3c49216ca","background":"#ace5fe"},"content":[{"type":"paragraph","content":[{"type":"text","text":"SKU Count","marks":[{"type":"strong"}]}],"attrs":{"localId":"93db3550b0aa"}}]},{"type":"tableCell","attrs":{"localId":"4a3d3b2d1da7","background":"#ace5fe"},"content":[{"type":"paragraph","content":[{"type":"text","text":"Option Count","marks":[{"type":"strong"}]}],"attrs":{"localId":"b40f5bfb9de9"}}]}]},{"type":"tableRow","attrs":{"localId":"5862711486f1"},"content":[{"type":"tableCell","attrs":{"localId":"52879374ab52","background":"white"},"content":[{"type":"paragraph","content":[{"type":"text","text":"Received"}],"attrs":{"localId":"f2ae8cfbb133"}}]},{"type":"tableCell","attrs":{"localId":"3db89f37e484"},"content":[{"type":"paragraph","content":[{"type":"text","text":"1"}],"attrs":{"localId":"8c4f5529ae64"}}]},{"type":"tableCell","attrs":{"localId":"66110c83f576"},"content":[{"type":"paragraph","content":[{"type":"text","text":"1"}],"attrs":{"localId":"8eab4cf060ae"}}]}]},{"type":"tableRow","attrs":{"localId":"7f80ae27fac4"},"content":[{"type":"tableCell","attrs":{"localId":"5143ebea4c33","background":"white"},"content":[{"type":"paragraph","content":[{"type":"text","text":"Uploaded"}],"attrs":{"localId":"33703f09eba1"}}]},{"type":"tableCell","attrs":{"localId":"2a9bd7e9d6b8"},"content":[{"type":"paragraph","content":[{"type":"text","text":"1"}],"attrs":{"localId":"eb1c42d1bc61"}}]},{"type":"tableCell","attrs":{"localId":"df3c0ee698d9"},"content":[{"type":"paragraph","content":[{"type":"text","text":"1"}],"attrs":{"localId":"b1980bad5c12"}}]}]},{"type":"tableRow","attrs":{"localId":"1bd03e8853c6"},"content":[{"type":"tableCell","attrs":{"localId":"c3b03ed442e4","background":"white"},"content":[{"type":"paragraph","content":[{"type":"text","text":"LIDs Shared"}],"attrs":{"localId":"77db6cabfecb"}}]},{"type":"tableCell","attrs":{"localId":"11c8ce3e66bb"},"content":[{"type":"paragraph","content":[{"type":"text","text":"1"}],"attrs":{"localId":"102be1dd84e1"}}]},{"type":"tableCell","attrs":{"localId":"6e51bf759d65"},"content":[{"type":"paragraph","content":[{"type":"text","text":"1"}],"attrs":{"localId":"8517cbdd019e"}}]}]},{"type":"tableRow","attrs":{"localId":"80fcfc639e5a"},"content":[{"type":"tableCell","attrs":{"localId":"6957d0b6750b","background":"white"},"content":[{"type":"paragraph","content":[{"type":"text","text":"LIDs Stuck in the System"}],"attrs":{"localId":"4e74aef06c12"}}]},{"type":"tableCell","attrs":{"localId":"cea293d342de"},"content":[{"type":"paragraph","content":[{"type":"text","text":"0"}],"attrs":{"localId":"91143c95eb71"}}]},{"type":"tableCell","attrs":{"localId":"92096e3703ce"},"content":[{"type":"paragraph","content":[{"type":"text","text":"0"}],"attrs":{"localId":"aa68655d0932"}}]}]}]}
{adf}
With this, we are closing this request from our end.
Thank you for your patience, support, and cooperation throughout the process. Your brand is important to us, and we look forward to assisting you again.[^UCW-35306.xlsx] </t>
  </si>
  <si>
    <t>iUnik</t>
  </si>
  <si>
    <t xml:space="preserve">Benetton </t>
  </si>
  <si>
    <t>Date :07/30/2026 &lt;Ticket picked for pre processing Option: 49 SKU: 539&gt; &lt;Sanjana Ghosh&gt;</t>
  </si>
  <si>
    <t>MMTC-PAMP</t>
  </si>
  <si>
    <t>Date :07/30/2026 &lt;Ticket has been successfully uploaded in our system. SKU 1&gt; &lt;Tania&gt; [^Post Upload Status-UCW-34137.xlsx] [^ProductBulkUpload_129023_Beauty__Grooming(MPH22)_Skin_Care(MPH2216)_Moisturizers_and_Serums(MPH2216103)_Sunscreen(MPH2216103109)_48291_1785390474708_20260730_111754_879_summary.csv] We have successfully uploaded this batch. Please find the attached summary sheet and summary report.;[^Post Upload Status-UCW-34137 (6da0c909-da9f-4287-b797-f85fa73f9cbb).xlsx]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cc8e21d-027e-435b-b2f4-7922e8087bcc"},"content":[{"type":"tableRow","attrs":{"localId":"94c73ef026a2"},"content":[{"type":"tableCell","attrs":{"localId":"48478643e191","background":"#44b3e1"},"content":[{"type":"paragraph","content":[{"type":"text","text":"Ticket ID","marks":[{"type":"strong"}]}],"attrs":{"localId":"7ffcc9140949"}}]},{"type":"tableCell","attrs":{"localId":"90af4abbc530","colspan":2,"background":"#44b3e1"},"content":[{"type":"paragraph","content":[{"type":"text","text":"Cloned UCW-35245","marks":[{"type":"strong"}]}],"attrs":{"localId":"c9e2976e774d"}}]}]},{"type":"tableRow","attrs":{"localId":"784db9e357d9"},"content":[{"type":"tableCell","attrs":{"localId":"bf409b7ff2a7","background":"#44b3e1"},"content":[{"type":"paragraph","content":[{"type":"text","text":"Brand Name","marks":[{"type":"strong"}]}],"attrs":{"localId":"a4a22351979c"}}]},{"type":"tableCell","attrs":{"localId":"6597d553e049","colspan":2,"background":"#44b3e1"},"content":[{"type":"paragraph","content":[{"type":"text","text":"Coola","marks":[{"type":"strong"}]}],"attrs":{"localId":"c0e13e2b2a85"}}]}]},{"type":"tableRow","attrs":{"localId":"718bda9218c9"},"content":[{"type":"tableCell","attrs":{"localId":"feec8dad48cf","background":"#ace5fe"},"content":[{"type":"paragraph","content":[{"type":"text","text":"Platform","marks":[{"type":"strong"}]}],"attrs":{"localId":"9f650496542e"}}]},{"type":"tableCell","attrs":{"localId":"8533be03afc9","colspan":2,"background":"#ace5fe"},"content":[{"type":"paragraph","content":[{"type":"text","text":"Mall","marks":[{"type":"strong"}]}],"attrs":{"localId":"7ffa8690569d"}}]}]},{"type":"tableRow","attrs":{"localId":"12f6a7f926f3"},"content":[{"type":"tableCell","attrs":{"localId":"57bc8a1048d1","background":"#ace5fe"},"content":[{"type":"paragraph","content":[{"type":"text","text":"Particulars","marks":[{"type":"strong"}]}],"attrs":{"localId":"7eb624e5b6a8"}}]},{"type":"tableCell","attrs":{"localId":"fbc7f9ca33f6","background":"#ace5fe"},"content":[{"type":"paragraph","content":[{"type":"text","text":"SKU Count","marks":[{"type":"strong"}]}],"attrs":{"localId":"ae6eaeb7f3b2"}}]},{"type":"tableCell","attrs":{"localId":"71b710a6eab4","background":"#ace5fe"},"content":[{"type":"paragraph","content":[{"type":"text","text":"Option Count","marks":[{"type":"strong"}]}],"attrs":{"localId":"578feb363297"}}]}]},{"type":"tableRow","attrs":{"localId":"0a7f3265573e"},"content":[{"type":"tableCell","attrs":{"localId":"b215ddb045e0","background":"white"},"content":[{"type":"paragraph","content":[{"type":"text","text":"Received"}],"attrs":{"localId":"12eca53e546c"}}]},{"type":"tableCell","attrs":{"localId":"eb428bee15a7"},"content":[{"type":"paragraph","content":[{"type":"text","text":"1"}],"attrs":{"localId":"01fb22dca229"}}]},{"type":"tableCell","attrs":{"localId":"75e00dff11bd"},"content":[{"type":"paragraph","content":[{"type":"text","text":"1"}],"attrs":{"localId":"e5239551a140"}}]}]},{"type":"tableRow","attrs":{"localId":"a556b95e9ef5"},"content":[{"type":"tableCell","attrs":{"localId":"a33a84aeda42","background":"white"},"content":[{"type":"paragraph","content":[{"type":"text","text":"Uploaded"}],"attrs":{"localId":"c35558ce0491"}}]},{"type":"tableCell","attrs":{"localId":"7a62eb0063fc"},"content":[{"type":"paragraph","content":[{"type":"text","text":"1"}],"attrs":{"localId":"83ef8758b6d4"}}]},{"type":"tableCell","attrs":{"localId":"194d35eff982"},"content":[{"type":"paragraph","content":[{"type":"text","text":"1"}],"attrs":{"localId":"b27e33736501"}}]}]},{"type":"tableRow","attrs":{"localId":"745388c955d6"},"content":[{"type":"tableCell","attrs":{"localId":"5217b12bc0db","background":"white"},"content":[{"type":"paragraph","content":[{"type":"text","text":"LIDs Shared"}],"attrs":{"localId":"2774fe13307c"}}]},{"type":"tableCell","attrs":{"localId":"597fe04b483a"},"content":[{"type":"paragraph","content":[{"type":"text","text":"1"}],"attrs":{"localId":"1e547966fe77"}}]},{"type":"tableCell","attrs":{"localId":"704ae69b61d5"},"content":[{"type":"paragraph","content":[{"type":"text","text":"1"}],"attrs":{"localId":"8cedf8acfd6d"}}]}]},{"type":"tableRow","attrs":{"localId":"70af794a543d"},"content":[{"type":"tableCell","attrs":{"localId":"7ee653d2793d","background":"white"},"content":[{"type":"paragraph","content":[{"type":"text","text":"LIDs Stuck in the System"}],"attrs":{"localId":"251d542fb58a"}}]},{"type":"tableCell","attrs":{"localId":"04ccafcdd343"},"content":[{"type":"paragraph","content":[{"type":"text","text":"0"}],"attrs":{"localId":"d845383e2ac9"}}]},{"type":"tableCell","attrs":{"localId":"e1b3d407528f"},"content":[{"type":"paragraph","content":[{"type":"text","text":"0"}],"attrs":{"localId":"1288ad6db7c7"}}]}]}]}
{adf}
With this, we are closing this request from our end.
Thank you for your patience, support, and cooperation throughout the process. Your brand is important to us, and we look forward to assisting you again."</t>
  </si>
  <si>
    <t>Date :07/30/2026 &lt;Ticket picked for pre processing Option: 1 SKU: 1&gt; &lt;Sanjana Ghosh&gt;;Date :07/30/2026 &lt;Pre Processing query to Brand &lt;Best Before Date, Caffeine Content (Refer LOV List), Product Benefit (Refer LOV List), Safety Precaution, Recommended uses of product (Refer LOV List), Customer Care details, Certification (Refer LOV List), Age Group (Refer LOV List), MRP [INR] and Usage Instructions are missing&gt; &lt;Sanjana Ghosh&gt; ;Date :07/31/2026 &lt; Pre Processing query to Brand 1st Follow Up&gt; &lt;Sanjana Ghosh&gt;;Date :08/01/2026 &lt; Pre Processing query to Brand 2nd Follow Up&gt; &lt;Sanjana Ghosh&gt;</t>
  </si>
  <si>
    <t>Date :07/30/2026&lt;Ticket picked for pre processing Option 2 Sku 2 &gt; &lt;Rupa&gt;;Duplicate Ticket of UCW-33869</t>
  </si>
  <si>
    <t>Squintalk</t>
  </si>
  <si>
    <t>United Colors of Benetton</t>
  </si>
  <si>
    <t>Date :07/30/2026 &lt;Ticket picked for pre processing Option 4 Sku 24&gt; &lt;Ankita&gt;;Date :07/30/2026 &lt;Ticket picked for Production and QC review Option 4 Sku 24&gt; &lt;Ankita&gt;;Date :07/30/2026 &lt;Pre Processing query to Brand &lt;Season Query&gt;&gt; &lt;Ankita&gt;;Date :07/31/2026 &lt;Ticket has been successfully uploaded in our system. Option 4 Sku 24&gt; &lt;Ankita&gt;[^Post Upload Status_V.2 (1).xlsx] [^Summary.zip] ;[^UCW-35215.xlsx]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813edd75-26f5-4e7c-bb6a-100e82699b6b"},"content":[{"type":"tableRow","attrs":{"localId":"4b68508bb0c1"},"content":[{"type":"tableCell","attrs":{"localId":"65b4abbbde2c","background":"#44b3e1"},"content":[{"type":"paragraph","content":[{"type":"text","text":"Ticket ID","marks":[{"type":"strong"}]}],"attrs":{"localId":"6a1f29fc7a2e"}}]},{"type":"tableCell","attrs":{"localId":"c9ac7ffa11dd","colspan":2,"background":"#44b3e1"},"content":[{"type":"paragraph","content":[{"type":"text","text":"UCW-35215","marks":[{"type":"strong"}]}],"attrs":{"localId":"6be49b6be53a"}}]}]},{"type":"tableRow","attrs":{"localId":"765f60da5a2f"},"content":[{"type":"tableCell","attrs":{"localId":"59c4dc08c367","background":"#44b3e1"},"content":[{"type":"paragraph","content":[{"type":"text","text":"Brand Name","marks":[{"type":"strong"}]}],"attrs":{"localId":"067f65396be6"}}]},{"type":"tableCell","attrs":{"localId":"ad78c2e4cb29","colspan":2,"background":"#44b3e1"},"content":[{"type":"paragraph","content":[{"type":"text","text":"United Colors of Benetton","marks":[{"type":"strong"}]}],"attrs":{"localId":"1d646fa3f566"}}]}]},{"type":"tableRow","attrs":{"localId":"9c6d49a64107"},"content":[{"type":"tableCell","attrs":{"localId":"2d1245a8d7d3","background":"#ace5fe"},"content":[{"type":"paragraph","content":[{"type":"text","text":"Platform","marks":[{"type":"strong"}]}],"attrs":{"localId":"ce1fd1ea29b2"}}]},{"type":"tableCell","attrs":{"localId":"bb868f6cab5b","colspan":2,"background":"#ace5fe"},"content":[{"type":"paragraph","content":[{"type":"text","text":"Mall","marks":[{"type":"strong"}]}],"attrs":{"localId":"6705b91fdca8"}}]}]},{"type":"tableRow","attrs":{"localId":"9cbe9481e971"},"content":[{"type":"tableCell","attrs":{"localId":"008ab4226546","background":"#ace5fe"},"content":[{"type":"paragraph","content":[{"type":"text","text":"Particulars","marks":[{"type":"strong"}]}],"attrs":{"localId":"05878fea4da3"}}]},{"type":"tableCell","attrs":{"localId":"1b5b5d91b232","background":"#ace5fe"},"content":[{"type":"paragraph","content":[{"type":"text","text":"SKU Count","marks":[{"type":"strong"}]}],"attrs":{"localId":"89b18050950d"}}]},{"type":"tableCell","attrs":{"localId":"495fa4e2b6d5","background":"#ace5fe"},"content":[{"type":"paragraph","content":[{"type":"text","text":"Option Count","marks":[{"type":"strong"}]}],"attrs":{"localId":"e6ba4417db19"}}]}]},{"type":"tableRow","attrs":{"localId":"df3eba87500f"},"content":[{"type":"tableCell","attrs":{"localId":"a88b2956c5c6","background":"white"},"content":[{"type":"paragraph","content":[{"type":"text","text":"Received"}],"attrs":{"localId":"73743f3e8e8e"}}]},{"type":"tableCell","attrs":{"localId":"b5323b8ad149"},"content":[{"type":"paragraph","content":[{"type":"text","text":"24"}],"attrs":{"localId":"0267cda3551f"}}]},{"type":"tableCell","attrs":{"localId":"f32aadef58ce"},"content":[{"type":"paragraph","content":[{"type":"text","text":"4"}],"attrs":{"localId":"18474b43aa90"}}]}]},{"type":"tableRow","attrs":{"localId":"6a2bfdd4bc26"},"content":[{"type":"tableCell","attrs":{"localId":"93aedb1d2c2e","background":"white"},"content":[{"type":"paragraph","content":[{"type":"text","text":"Uploaded"}],"attrs":{"localId":"63d93414421a"}}]},{"type":"tableCell","attrs":{"localId":"7bf23d991c61"},"content":[{"type":"paragraph","content":[{"type":"text","text":"24"}],"attrs":{"localId":"09344ed21bf6"}}]},{"type":"tableCell","attrs":{"localId":"87b2ec14222a"},"content":[{"type":"paragraph","content":[{"type":"text","text":"4"}],"attrs":{"localId":"a5ad5a5f3ed6"}}]}]},{"type":"tableRow","attrs":{"localId":"d888bd16aaa2"},"content":[{"type":"tableCell","attrs":{"localId":"d03812535575","background":"white"},"content":[{"type":"paragraph","content":[{"type":"text","text":"LIDs Shared"}],"attrs":{"localId":"5b3c8e5a86e2"}}]},{"type":"tableCell","attrs":{"localId":"8463fac43a3d"},"content":[{"type":"paragraph","content":[{"type":"text","text":"24"}],"attrs":{"localId":"f82e79da6137"}}]},{"type":"tableCell","attrs":{"localId":"95115497690d"},"content":[{"type":"paragraph","content":[{"type":"text","text":"4"}],"attrs":{"localId":"e659b48264d3"}}]}]},{"type":"tableRow","attrs":{"localId":"331c10ff3ba3"},"content":[{"type":"tableCell","attrs":{"localId":"97ff8e5a9755","background":"white"},"content":[{"type":"paragraph","content":[{"type":"text","text":"LIDs Stuck in the System"}],"attrs":{"localId":"d747a0ecc38a"}}]},{"type":"tableCell","attrs":{"localId":"5ee612006875"},"content":[{"type":"paragraph","content":[{"type":"text","text":"0"}],"attrs":{"localId":"a53dce57b7bb"}}]},{"type":"tableCell","attrs":{"localId":"cc8cfb5bf4c3"},"content":[{"type":"paragraph","content":[{"type":"text","text":"0"}],"attrs":{"localId":"f0752cc5f672"}}]}]}]}
{adf}
With this, we are closing this request from our end.
Thank you for your patience, support, and cooperation throughout the process. Your brand is important to us, and we look forward to assisting you again.</t>
  </si>
  <si>
    <t xml:space="preserve">Date :07/30/2026  &lt;Query to CCMT &lt;Content sheet not available&gt;&gt; &lt;Ishani&gt; ;Date :07/30/2026 &lt;Cut Size has been successfully uploaded in our system. Option 0 Sku 11 &gt; &lt;Ankita&gt;[^SIZE ADDITION TATACLIQ 14-7-26.xlsx] [^Summary.zip] </t>
  </si>
  <si>
    <t>Date : 30th july ,2026 Pre-Processing Done-Mousumi
Date : 30th july ,2026 -Production Done-Mousumi.
Date : 30th july ,2026 QC &amp; Uploaded Done-Mousumi.
PFA the Summary &amp; Post Uploaded Sheet[^UCW-35209 Post Upload Status_V.2 (1).xlsx] [^Summary.zip] ;[^UCW-35209.xlsx]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77b0285f-412d-4cfc-ae63-ce1b40569497"},"content":[{"type":"tableRow","attrs":{"localId":"581b7be6973a"},"content":[{"type":"tableCell","attrs":{"localId":"67049adeb9b6","background":"#44b3e1"},"content":[{"type":"paragraph","content":[{"type":"text","text":"Ticket ID","marks":[{"type":"strong"}]}],"attrs":{"localId":"6214518ac713"}}]},{"type":"tableCell","attrs":{"localId":"a2c899792e98","colspan":2,"background":"#44b3e1"},"content":[{"type":"paragraph","content":[{"type":"text","text":"UCW-35209","marks":[{"type":"strong"}]}],"attrs":{"localId":"d63078bd136d"}}]}]},{"type":"tableRow","attrs":{"localId":"dba80d1db596"},"content":[{"type":"tableCell","attrs":{"localId":"0ab0c86fe373","background":"#44b3e1"},"content":[{"type":"paragraph","content":[{"type":"text","text":"Brand Name","marks":[{"type":"strong"}]}],"attrs":{"localId":"b82db062d062"}}]},{"type":"tableCell","attrs":{"localId":"3c96080641df","colspan":2,"background":"#44b3e1"},"content":[{"type":"paragraph","content":[{"type":"text","text":"AURAA TRENDS","marks":[{"type":"strong"}]}],"attrs":{"localId":"a6cf6e67765f"}}]}]},{"type":"tableRow","attrs":{"localId":"bf9ea986f8f2"},"content":[{"type":"tableCell","attrs":{"localId":"6bad66e223fe","background":"#ace5fe"},"content":[{"type":"paragraph","content":[{"type":"text","text":"Platform","marks":[{"type":"strong"}]}],"attrs":{"localId":"c0d19e90944a"}}]},{"type":"tableCell","attrs":{"localId":"bbf8e4c48520","colspan":2,"background":"#ace5fe"},"content":[{"type":"paragraph","content":[{"type":"text","text":"Luxury","marks":[{"type":"strong"}]}],"attrs":{"localId":"3c7ec6b2c0b8"}}]}]},{"type":"tableRow","attrs":{"localId":"5e70a191620b"},"content":[{"type":"tableCell","attrs":{"localId":"de1c061df794","background":"#ace5fe"},"content":[{"type":"paragraph","content":[{"type":"text","text":"Particulars","marks":[{"type":"strong"}]}],"attrs":{"localId":"89109d5b0600"}}]},{"type":"tableCell","attrs":{"localId":"6d3649c8378d","background":"#ace5fe"},"content":[{"type":"paragraph","content":[{"type":"text","text":"SKU Count","marks":[{"type":"strong"}]}],"attrs":{"localId":"680ab40e99f8"}}]},{"type":"tableCell","attrs":{"localId":"04c74fad0b24","background":"#ace5fe"},"content":[{"type":"paragraph","content":[{"type":"text","text":"Option Count","marks":[{"type":"strong"}]}],"attrs":{"localId":"df14cd001c03"}}]}]},{"type":"tableRow","attrs":{"localId":"ffafa6b93b51"},"content":[{"type":"tableCell","attrs":{"localId":"d9e34463cfe1","background":"white"},"content":[{"type":"paragraph","content":[{"type":"text","text":"Received"}],"attrs":{"localId":"1cbb3c50a833"}}]},{"type":"tableCell","attrs":{"localId":"3d65e4b11c02"},"content":[{"type":"paragraph","content":[{"type":"text","text":"35"}],"attrs":{"localId":"28172853108f"}}]},{"type":"tableCell","attrs":{"localId":"9ccedebd0dc9"},"content":[{"type":"paragraph","content":[{"type":"text","text":"35"}],"attrs":{"localId":"d2ec4226b56f"}}]}]},{"type":"tableRow","attrs":{"localId":"561bb9c4c572"},"content":[{"type":"tableCell","attrs":{"localId":"183b5845d90f","background":"white"},"content":[{"type":"paragraph","content":[{"type":"text","text":"Uploaded"}],"attrs":{"localId":"a64ac3c1fe25"}}]},{"type":"tableCell","attrs":{"localId":"42b0dbf8eb84"},"content":[{"type":"paragraph","content":[{"type":"text","text":"35"}],"attrs":{"localId":"deb523f09146"}}]},{"type":"tableCell","attrs":{"localId":"5dc9fb982809"},"content":[{"type":"paragraph","content":[{"type":"text","text":"35"}],"attrs":{"localId":"6a454ee7ac26"}}]}]},{"type":"tableRow","attrs":{"localId":"39b1e3660451"},"content":[{"type":"tableCell","attrs":{"localId":"3ce499bd3b90","background":"white"},"content":[{"type":"paragraph","content":[{"type":"text","text":"LIDs Shared"}],"attrs":{"localId":"86a77329ce7a"}}]},{"type":"tableCell","attrs":{"localId":"f3b60a3da724"},"content":[{"type":"paragraph","content":[{"type":"text","text":"35"}],"attrs":{"localId":"7678551fb64c"}}]},{"type":"tableCell","attrs":{"localId":"664b19c9c087"},"content":[{"type":"paragraph","content":[{"type":"text","text":"35"}],"attrs":{"localId":"00e3f4b536f8"}}]}]},{"type":"tableRow","attrs":{"localId":"a05b44bf6a8b"},"content":[{"type":"tableCell","attrs":{"localId":"ccf2c95da5e7","background":"white"},"content":[{"type":"paragraph","content":[{"type":"text","text":"LIDs Stuck in the System"}],"attrs":{"localId":"edd1396b296f"}}]},{"type":"tableCell","attrs":{"localId":"e77b20f1fac5"},"content":[{"type":"paragraph","content":[{"type":"text","text":"0"}],"attrs":{"localId":"73a5e9fa0d38"}}]},{"type":"tableCell","attrs":{"localId":"0066091e0d8c"},"content":[{"type":"paragraph","content":[{"type":"text","text":"0"}],"attrs":{"localId":"d16825950d69"}}]}]}]}
{adf}
With this, we are closing this request from our end.
Thank you for your patience, support, and cooperation throughout the process. Your brand is important to us, and we look forward to assisting you again.</t>
  </si>
  <si>
    <t>John Varvatos,Elizabeth Arden</t>
  </si>
  <si>
    <t>Date :07/29/2026 &lt;Ticket picked for pre processing SKU 2&gt; &lt;Tania&gt; Date :07/29/2026 &lt;Ticket picked for Production and QC review SKU 2&gt; &lt;Tania&gt; IMAGE WIP;We have successfully uploaded this batch. Please find the attached summary sheet and summary report.[^UCW-35199_Post Upload Status.xlsx] [^ProductBulkUpload_125928_Beauty__Grooming(MPH22)_Fragrances_and_Perfumes(MPH2211)_Fragrances(MPH2211100)_Perfumes(MPH22111.csv] Date :07/31/2026 &lt;Ticket has been successfully uploaded in our system. SKU 2&gt; &lt;Tania&gt;;[^UCW-35199.xlsx]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ab7f502-af83-4954-b569-5f46a3e96a79"},"content":[{"type":"tableRow","attrs":{"localId":"e6f8500f6158"},"content":[{"type":"tableCell","attrs":{"localId":"3cf72caba9bf","background":"#44b3e1"},"content":[{"type":"paragraph","content":[{"type":"text","text":"Ticket ID","marks":[{"type":"strong"}]}],"attrs":{"localId":"1a1c7509e942"}}]},{"type":"tableCell","attrs":{"localId":"053ed81e09f2","colspan":2,"background":"#44b3e1"},"content":[{"type":"paragraph","content":[{"type":"text","text":"UCW-35199","marks":[{"type":"strong"}]}],"attrs":{"localId":"5a7dbfab62c9"}}]}]},{"type":"tableRow","attrs":{"localId":"1aaad2857f9e"},"content":[{"type":"tableCell","attrs":{"localId":"760fdf23f810","background":"#44b3e1"},"content":[{"type":"paragraph","content":[{"type":"text","text":"Brand Name","marks":[{"type":"strong"}]}],"attrs":{"localId":"88ce1c0d823f"}}]},{"type":"tableCell","attrs":{"localId":"b1eacbb1185f","colspan":2,"background":"#44b3e1"},"content":[{"type":"paragraph","content":[{"type":"text","text":"John Varvatos,Elizabeth Arden","marks":[{"type":"strong"}]}],"attrs":{"localId":"475a39b0e5c9"}}]}]},{"type":"tableRow","attrs":{"localId":"2cdc7cbff49f"},"content":[{"type":"tableCell","attrs":{"localId":"d89113a3a7e0","background":"#ace5fe"},"content":[{"type":"paragraph","content":[{"type":"text","text":"Platform","marks":[{"type":"strong"}]}],"attrs":{"localId":"e424419b4c3c"}}]},{"type":"tableCell","attrs":{"localId":"d0b1d0885e18","colspan":2,"background":"#ace5fe"},"content":[{"type":"paragraph","content":[{"type":"text","text":"Mall + Luxury","marks":[{"type":"strong"}]}],"attrs":{"localId":"419c66fd4165"}}]}]},{"type":"tableRow","attrs":{"localId":"ce586387cf26"},"content":[{"type":"tableCell","attrs":{"localId":"2e75f3930d5a","background":"#ace5fe"},"content":[{"type":"paragraph","content":[{"type":"text","text":"Particulars","marks":[{"type":"strong"}]}],"attrs":{"localId":"ae56d7f45645"}}]},{"type":"tableCell","attrs":{"localId":"0c7bfc6af4f0","background":"#ace5fe"},"content":[{"type":"paragraph","content":[{"type":"text","text":"SKU Count","marks":[{"type":"strong"}]}],"attrs":{"localId":"4685b8de2db5"}}]},{"type":"tableCell","attrs":{"localId":"d2faa1e4f6b1","background":"#ace5fe"},"content":[{"type":"paragraph","content":[{"type":"text","text":"Option Count","marks":[{"type":"strong"}]}],"attrs":{"localId":"7c4613e4b46a"}}]}]},{"type":"tableRow","attrs":{"localId":"bd136651517a"},"content":[{"type":"tableCell","attrs":{"localId":"a5024ab3c5b1","background":"white"},"content":[{"type":"paragraph","content":[{"type":"text","text":"Received"}],"attrs":{"localId":"600e1e8209bb"}}]},{"type":"tableCell","attrs":{"localId":"a6a445b2d50e"},"content":[{"type":"paragraph","content":[{"type":"text","text":"2"}],"attrs":{"localId":"2b5178b80f42"}}]},{"type":"tableCell","attrs":{"localId":"3cad94729efc"},"content":[{"type":"paragraph","content":[{"type":"text","text":"2"}],"attrs":{"localId":"ae545670a9df"}}]}]},{"type":"tableRow","attrs":{"localId":"5d71aa846712"},"content":[{"type":"tableCell","attrs":{"localId":"8232044df8d6","background":"white"},"content":[{"type":"paragraph","content":[{"type":"text","text":"Uploaded"}],"attrs":{"localId":"b14605c07d56"}}]},{"type":"tableCell","attrs":{"localId":"17ca23342d59"},"content":[{"type":"paragraph","content":[{"type":"text","text":"2"}],"attrs":{"localId":"86296c783b6d"}}]},{"type":"tableCell","attrs":{"localId":"c19a5fe60127"},"content":[{"type":"paragraph","content":[{"type":"text","text":"2"}],"attrs":{"localId":"c80e283b52b0"}}]}]},{"type":"tableRow","attrs":{"localId":"d8ec3306b48f"},"content":[{"type":"tableCell","attrs":{"localId":"5f5cecd1b2c8","background":"white"},"content":[{"type":"paragraph","content":[{"type":"text","text":"LIDs Shared"}],"attrs":{"localId":"28e331362e6f"}}]},{"type":"tableCell","attrs":{"localId":"1970c4662d5c"},"content":[{"type":"paragraph","content":[{"type":"text","text":"2"}],"attrs":{"localId":"269624425302"}}]},{"type":"tableCell","attrs":{"localId":"da77cb5b5796"},"content":[{"type":"paragraph","content":[{"type":"text","text":"2"}],"attrs":{"localId":"25abbb664384"}}]}]},{"type":"tableRow","attrs":{"localId":"0da238841df0"},"content":[{"type":"tableCell","attrs":{"localId":"5fea2627fd32","background":"white"},"content":[{"type":"paragraph","content":[{"type":"text","text":"LIDs Stuck in the System"}],"attrs":{"localId":"b5f7a282fcec"}}]},{"type":"tableCell","attrs":{"localId":"9cc9578aecba"},"content":[{"type":"paragraph","content":[{"type":"text","text":"0"}],"attrs":{"localId":"2a5fa802dfc6"}}]},{"type":"tableCell","attrs":{"localId":"a6493cf3bca5"},"content":[{"type":"paragraph","content":[{"type":"text","text":"0"}],"attrs":{"localId":"bcee5be03eb2"}}]}]}]}
{adf}
With this, we are closing this request from our end.
Thank you for your patience, support, and cooperation throughout the process. Your brand is important to us, and we look forward to assisting you again.</t>
  </si>
  <si>
    <t>Date:08/01/2026&lt;Brand To Reslove Query&gt;&lt;SKU Code Mismatch&gt;&lt;Biplab Sarkar&gt;</t>
  </si>
  <si>
    <t xml:space="preserve">Klotthe </t>
  </si>
  <si>
    <t>Date :07/29/2026 &lt;Ticket picked for pre processing Option: 68 SKU: 286&gt; &lt;Sanjana Ghosh&gt;</t>
  </si>
  <si>
    <t>Date :07/29/2026 &lt;Ticket picked for pre processing Option: 25 SKU: 150&gt; &lt;Sanjana Ghosh&gt;</t>
  </si>
  <si>
    <t>E2E+Multiplaform</t>
  </si>
  <si>
    <t xml:space="preserve">Zabella </t>
  </si>
  <si>
    <t>Date :07/29/2026 &lt;Ticket picked for pre processing Option: 54 SKU: 270&gt; &lt;Sanjana Ghosh&gt;</t>
  </si>
  <si>
    <t>Date : 29th Jul, 2026 This ticket has been picked for Pre-Processing and Image Analysis -Mousumi. 
Date : 29th Jul, 2026 QC &amp; Uploaded Done-Mousumi
PFA the Summary &amp; Post-Uploaded Sheet[^Summary.zip] [^UCW-35175 Post Upload Status_V.2 (1).xlsx] 
;[^UCW-35175.xlsx]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4605313-d985-471b-bbe5-1b9ef228c70c"},"content":[{"type":"tableRow","attrs":{"localId":"fea98a051b02"},"content":[{"type":"tableCell","attrs":{"localId":"28c75464554e","background":"#44b3e1"},"content":[{"type":"paragraph","content":[{"type":"text","text":"Ticket ID","marks":[{"type":"strong"}]}],"attrs":{"localId":"01aad3bc6697"}}]},{"type":"tableCell","attrs":{"localId":"a39ecb3d563f","colspan":2,"background":"#44b3e1"},"content":[{"type":"paragraph","content":[{"type":"text","text":"UCW-35175","marks":[{"type":"strong"}]}],"attrs":{"localId":"7cf4ba9db2ef"}}]}]},{"type":"tableRow","attrs":{"localId":"849e685844d2"},"content":[{"type":"tableCell","attrs":{"localId":"fbb49254eaea","background":"#44b3e1"},"content":[{"type":"paragraph","content":[{"type":"text","text":"Brand Name","marks":[{"type":"strong"}]}],"attrs":{"localId":"76a501e9dc3d"}}]},{"type":"tableCell","attrs":{"localId":"1b667b9be9ef","colspan":2,"background":"#44b3e1"},"content":[{"type":"paragraph","content":[{"type":"text","text":"Ornate Jewels","marks":[{"type":"strong"}]}],"attrs":{"localId":"e3e6be1ad685"}}]}]},{"type":"tableRow","attrs":{"localId":"e76205654c67"},"content":[{"type":"tableCell","attrs":{"localId":"692f007a8a4a","background":"#ace5fe"},"content":[{"type":"paragraph","content":[{"type":"text","text":"Platform","marks":[{"type":"strong"}]}],"attrs":{"localId":"82cc12723657"}}]},{"type":"tableCell","attrs":{"localId":"8b60e73f2533","colspan":2,"background":"#ace5fe"},"content":[{"type":"paragraph","content":[{"type":"text","text":"Mall","marks":[{"type":"strong"}]}],"attrs":{"localId":"07084f8d0680"}}]}]},{"type":"tableRow","attrs":{"localId":"8b875305452f"},"content":[{"type":"tableCell","attrs":{"localId":"3c62fc88991d","background":"#ace5fe"},"content":[{"type":"paragraph","content":[{"type":"text","text":"Particulars","marks":[{"type":"strong"}]}],"attrs":{"localId":"9fc311989ed6"}}]},{"type":"tableCell","attrs":{"localId":"3b985d5a3455","background":"#ace5fe"},"content":[{"type":"paragraph","content":[{"type":"text","text":"SKU Count","marks":[{"type":"strong"}]}],"attrs":{"localId":"78b449c617b7"}}]},{"type":"tableCell","attrs":{"localId":"312036a11009","background":"#ace5fe"},"content":[{"type":"paragraph","content":[{"type":"text","text":"Option Count","marks":[{"type":"strong"}]}],"attrs":{"localId":"e3cdfba3dc8a"}}]}]},{"type":"tableRow","attrs":{"localId":"6240b0230dd5"},"content":[{"type":"tableCell","attrs":{"localId":"86494729502a","background":"white"},"content":[{"type":"paragraph","content":[{"type":"text","text":"Received"}],"attrs":{"localId":"4d7c236f1664"}}]},{"type":"tableCell","attrs":{"localId":"90b3eb420327"},"content":[{"type":"paragraph","content":[{"type":"text","text":"16"}],"attrs":{"localId":"060466cef0d7"}}]},{"type":"tableCell","attrs":{"localId":"63449cc4b792"},"content":[{"type":"paragraph","content":[{"type":"text","text":"16"}],"attrs":{"localId":"aa141683240c"}}]}]},{"type":"tableRow","attrs":{"localId":"c1146529b263"},"content":[{"type":"tableCell","attrs":{"localId":"f31a81ea699e","background":"white"},"content":[{"type":"paragraph","content":[{"type":"text","text":"Uploaded"}],"attrs":{"localId":"3dc2fb5cf3e7"}}]},{"type":"tableCell","attrs":{"localId":"e2562166ff14"},"content":[{"type":"paragraph","content":[{"type":"text","text":"16"}],"attrs":{"localId":"166be69c05bf"}}]},{"type":"tableCell","attrs":{"localId":"2e438b178f93"},"content":[{"type":"paragraph","content":[{"type":"text","text":"16"}],"attrs":{"localId":"de075175d7f0"}}]}]},{"type":"tableRow","attrs":{"localId":"648df0bf62ab"},"content":[{"type":"tableCell","attrs":{"localId":"c5ad0dfd6592","background":"white"},"content":[{"type":"paragraph","content":[{"type":"text","text":"LIDs Shared"}],"attrs":{"localId":"c6a235883bd1"}}]},{"type":"tableCell","attrs":{"localId":"d8ee5444489e"},"content":[{"type":"paragraph","content":[{"type":"text","text":"16"}],"attrs":{"localId":"e025ec46b2cc"}}]},{"type":"tableCell","attrs":{"localId":"803569320459"},"content":[{"type":"paragraph","content":[{"type":"text","text":"16"}],"attrs":{"localId":"dade78a9d60e"}}]}]},{"type":"tableRow","attrs":{"localId":"f89d7d754ac3"},"content":[{"type":"tableCell","attrs":{"localId":"d52dac776fd0","background":"white"},"content":[{"type":"paragraph","content":[{"type":"text","text":"LIDs Stuck in the System"}],"attrs":{"localId":"d22a4a73762a"}}]},{"type":"tableCell","attrs":{"localId":"7d823cc0ef98"},"content":[{"type":"paragraph","content":[{"type":"text","text":"0"}],"attrs":{"localId":"b06827f6f1e7"}}]},{"type":"tableCell","attrs":{"localId":"3372bdd9c8ff"},"content":[{"type":"paragraph","content":[{"type":"text","text":"0"}],"attrs":{"localId":"2d52aea78419"}}]}]}]}
{adf}
With this, we are closing this request from our end.
Thank you for your patience, support, and cooperation throughout the process. Your brand is important to us, and we look forward to assisting you again."</t>
  </si>
  <si>
    <t>Dr.Althea</t>
  </si>
  <si>
    <t>Date :07/31/2026&lt;Ticket picked for pre processing Option 3 (brand told us to drop 2 ) 1 Sku 1 &gt; &lt;Rupa&gt;;[^Status of ucw-35172.xlsx]
[^Summary.zip]
We have updated the changes. Please find the status file and summary; we will share the LID soon.;Date :07/31/2026&lt;Ticket has been successfully uploaded in our system. Option 1 Sku 1 (client told us to drope 2 sku)&gt; &lt;Rupa&gt;;!Screenshot 2026-08-01 124648.png|width=530,alt="Screenshot 2026-08-01 124648.png"!
[^Status of ucw-35172 (b09d6667-9413-42bd-ac62-7f4a68f780e4).xlsx]
The Changes have been successfully reflected. Please find the LID and attached screenshots for your reference. As of now, we are closing the ticket. If there are any further concerns, please let us know. </t>
  </si>
  <si>
    <t>O3</t>
  </si>
  <si>
    <t>Date :07/29/2026 &lt;Ticket picked for pre processing SKU 2&gt; &lt;Tania&gt; Date :07/29/2026 &lt;Ticket picked for Production and QC review SKU 2&gt; &lt;Tania&gt; IMAGE WIP;Date :07/30/2026 &lt;Ticket has been successfully uploaded in our system. SKU 2&gt; &lt;Tania&gt; [^UCW-35150_Post Upload Status.xlsx] [^Sum.zip] We have successfully uploaded this batch. Please find the attached summary sheet and summary report.;[^UCW-35150.xlsx]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324e5972-076b-40bc-8aad-750a241b7b98"},"content":[{"type":"tableRow","attrs":{"localId":"2f0487d9c780"},"content":[{"type":"tableCell","attrs":{"localId":"c1268a811e58","background":"#44b3e1"},"content":[{"type":"paragraph","content":[{"type":"text","text":"Ticket ID","marks":[{"type":"strong"}]}],"attrs":{"localId":"add25a1d2c51"}}]},{"type":"tableCell","attrs":{"localId":"9ed6e70232e0","colspan":2,"background":"#44b3e1"},"content":[{"type":"paragraph","content":[{"type":"text","text":"UCW-35150","marks":[{"type":"strong"}]}],"attrs":{"localId":"4ca21b4c3d11"}}]}]},{"type":"tableRow","attrs":{"localId":"68fbf258c777"},"content":[{"type":"tableCell","attrs":{"localId":"5ebf2633d570","background":"#44b3e1"},"content":[{"type":"paragraph","content":[{"type":"text","text":"Brand Name","marks":[{"type":"strong"}]}],"attrs":{"localId":"03f1074ac441"}}]},{"type":"tableCell","attrs":{"localId":"c010369a80dd","colspan":2,"background":"#44b3e1"},"content":[{"type":"paragraph","content":[{"type":"text","text":"O3+","marks":[{"type":"strong"}]}],"attrs":{"localId":"5188fa574b0e"}}]}]},{"type":"tableRow","attrs":{"localId":"3ab162e1fb35"},"content":[{"type":"tableCell","attrs":{"localId":"0b7e890f2f87","background":"#ace5fe"},"content":[{"type":"paragraph","content":[{"type":"text","text":"Platform","marks":[{"type":"strong"}]}],"attrs":{"localId":"a82f8b2e774e"}}]},{"type":"tableCell","attrs":{"localId":"28470220b3e9","colspan":2,"background":"#ace5fe"},"content":[{"type":"paragraph","content":[{"type":"text","text":"Mall","marks":[{"type":"strong"}]}],"attrs":{"localId":"23e103ef6230"}}]}]},{"type":"tableRow","attrs":{"localId":"ffe91db4470e"},"content":[{"type":"tableCell","attrs":{"localId":"06ced63a9f20","background":"#ace5fe"},"content":[{"type":"paragraph","content":[{"type":"text","text":"Particulars","marks":[{"type":"strong"}]}],"attrs":{"localId":"7ca14f67208e"}}]},{"type":"tableCell","attrs":{"localId":"50380dac7560","background":"#ace5fe"},"content":[{"type":"paragraph","content":[{"type":"text","text":"SKU Count","marks":[{"type":"strong"}]}],"attrs":{"localId":"e10f54a2f308"}}]},{"type":"tableCell","attrs":{"localId":"ae230ac8f439","background":"#ace5fe"},"content":[{"type":"paragraph","content":[{"type":"text","text":"Option Count","marks":[{"type":"strong"}]}],"attrs":{"localId":"fa6397f06150"}}]}]},{"type":"tableRow","attrs":{"localId":"6edbd04dc858"},"content":[{"type":"tableCell","attrs":{"localId":"74af37de66d8","background":"white"},"content":[{"type":"paragraph","content":[{"type":"text","text":"Received"}],"attrs":{"localId":"76a722d4b4cc"}}]},{"type":"tableCell","attrs":{"localId":"f4bcf5ecffb4"},"content":[{"type":"paragraph","content":[{"type":"text","text":"2"}],"attrs":{"localId":"ed4cca3bd931"}}]},{"type":"tableCell","attrs":{"localId":"6e5b75ffbba8"},"content":[{"type":"paragraph","content":[{"type":"text","text":"2"}],"attrs":{"localId":"e21e6d83f67f"}}]}]},{"type":"tableRow","attrs":{"localId":"43462fe19833"},"content":[{"type":"tableCell","attrs":{"localId":"b7d9163cb31c","background":"white"},"content":[{"type":"paragraph","content":[{"type":"text","text":"Uploaded"}],"attrs":{"localId":"0261446349dc"}}]},{"type":"tableCell","attrs":{"localId":"653cb53174a0"},"content":[{"type":"paragraph","content":[{"type":"text","text":"2"}],"attrs":{"localId":"a3755f13196a"}}]},{"type":"tableCell","attrs":{"localId":"9933b003993c"},"content":[{"type":"paragraph","content":[{"type":"text","text":"2"}],"attrs":{"localId":"82deac0bfca5"}}]}]},{"type":"tableRow","attrs":{"localId":"55c85c8d2710"},"content":[{"type":"tableCell","attrs":{"localId":"5ac5ba7eb5b4","background":"white"},"content":[{"type":"paragraph","content":[{"type":"text","text":"LIDs Shared"}],"attrs":{"localId":"3c848ccf3a1b"}}]},{"type":"tableCell","attrs":{"localId":"d4186a8c84f4"},"content":[{"type":"paragraph","content":[{"type":"text","text":"2"}],"attrs":{"localId":"fa11af6e08fd"}}]},{"type":"tableCell","attrs":{"localId":"81d0e3f75e3f"},"content":[{"type":"paragraph","content":[{"type":"text","text":"2"}],"attrs":{"localId":"5ac817e9a96d"}}]}]},{"type":"tableRow","attrs":{"localId":"151f47c9a714"},"content":[{"type":"tableCell","attrs":{"localId":"7a71f16e6dc9","background":"white"},"content":[{"type":"paragraph","content":[{"type":"text","text":"LIDs Stuck in the System"}],"attrs":{"localId":"8955569d032a"}}]},{"type":"tableCell","attrs":{"localId":"5bc43eb049da"},"content":[{"type":"paragraph","content":[{"type":"text","text":"0"}],"attrs":{"localId":"5f199e5ff950"}}]},{"type":"tableCell","attrs":{"localId":"4c2afb433d16"},"content":[{"type":"paragraph","content":[{"type":"text","text":"0"}],"attrs":{"localId":"5229157b32ea"}}]}]}]}
{adf}
With this, we are closing this request from our end.
Thank you for your patience, support, and cooperation throughout the process. Your brand is important to us, and we look forward to assisting you again.</t>
  </si>
  <si>
    <t>Date:07/30/2026&lt;Query to CCMT&gt;&lt;Required Seller code and L1-L4&gt;&lt;Biplab Sarkar&gt;</t>
  </si>
  <si>
    <t>Wrogn</t>
  </si>
  <si>
    <t>Date :07/29/2026&lt;Ticket picked for pre processing Option XXX  Sku 1113 &gt; &lt;Rupa&gt;;Date :07/29/2026&lt;Pre Processing query to CCMT&lt;L1 to L4&gt;&gt; &lt;Rupa&gt; ;Date :07/31/2026&lt;Ticket picked for pre processing Option 218 Sku 1113 &gt; &lt;Rupa&gt;;Date :09/01/2026&lt;Pre Processing query to Brand &lt;Image issue&gt;&gt; &lt;Rupa&gt;</t>
  </si>
  <si>
    <t>Date :07/30/2026  &lt;Ticket picked for pre processing Option 355  Sku 3343&gt; &lt;Ankita&gt;</t>
  </si>
  <si>
    <t>Date :07/29/2026 &lt;Ticket picked for pre processing Option 18 Sku 112&gt; &lt;Ishani&gt;;Date :07/30/2026 &lt;Ticket has been successfully uploaded in our system. Option 18 Sku 112&gt; &lt;Ankita &amp; Ishani&gt;[^Summary.zip] [^Post Upload Status_V.2 (1) (1).xlsx] ;[^UCW-35131.xlsx]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f4e22222-3571-44a7-9fc6-1074e081b400"},"content":[{"type":"tableRow","attrs":{"localId":"a13beec9e661"},"content":[{"type":"tableCell","attrs":{"localId":"92647b00f5e9","background":"#44b3e1"},"content":[{"type":"paragraph","content":[{"type":"text","text":"Ticket ID","marks":[{"type":"strong"}]}],"attrs":{"localId":"0f16611ce105"}}]},{"type":"tableCell","attrs":{"localId":"1d88dd9a1cfe","colspan":4,"background":"#44b3e1"},"content":[{"type":"paragraph","content":[{"type":"text","text":"UCW-35131","marks":[{"type":"strong"}]}],"attrs":{"localId":"c440ac0be04f"}}]}]},{"type":"tableRow","attrs":{"localId":"921851152089"},"content":[{"type":"tableCell","attrs":{"localId":"fd3288903346","background":"#44b3e1"},"content":[{"type":"paragraph","content":[{"type":"text","text":"Brand Name","marks":[{"type":"strong"}]}],"attrs":{"localId":"0a1f4df08bca"}}]},{"type":"tableCell","attrs":{"localId":"e00cb39723ab","colspan":4,"background":"#44b3e1"},"content":[{"type":"paragraph","content":[{"type":"text","text":"Converse","marks":[{"type":"strong"}]}],"attrs":{"localId":"db6950a0ad67"}}]}]},{"type":"tableRow","attrs":{"localId":"9283f9719f59"},"content":[{"type":"tableCell","attrs":{"localId":"0ab8288391b9","background":"#44b3e1"},"content":[{"type":"paragraph","content":[{"type":"text","text":"Platform","marks":[{"type":"strong"}]}],"attrs":{"localId":"bc55199bb97b"}}]},{"type":"tableCell","attrs":{"localId":"418eae223572","colspan":2,"background":"#44b3e1"},"content":[{"type":"paragraph","content":[{"type":"text","text":"Luxury","marks":[{"type":"strong"}]}],"attrs":{"localId":"299ddfec8223"}}]},{"type":"tableCell","attrs":{"localId":"86761d6ec47b","colspan":2,"background":"#44b3e1"},"content":[{"type":"paragraph","content":[{"type":"text","text":"Mall","marks":[{"type":"strong"}]}],"attrs":{"localId":"a66210103aae"}}]}]},{"type":"tableRow","attrs":{"localId":"e0acdcf1f6bc"},"content":[{"type":"tableCell","attrs":{"localId":"0068afc68f0e","background":"#ace5fe"},"content":[{"type":"paragraph","content":[{"type":"text","text":"Particulars","marks":[{"type":"strong"}]}],"attrs":{"localId":"a9d50bc63144"}}]},{"type":"tableCell","attrs":{"localId":"0d7041a70f29","background":"#ace5fe"},"content":[{"type":"paragraph","content":[{"type":"text","text":"SKU Count","marks":[{"type":"strong"}]}],"attrs":{"localId":"0e72942dfc11"}}]},{"type":"tableCell","attrs":{"localId":"568657fc3bfa","background":"#ace5fe"},"content":[{"type":"paragraph","content":[{"type":"text","text":"Option Count","marks":[{"type":"strong"}]}],"attrs":{"localId":"642a3a371ead"}}]},{"type":"tableCell","attrs":{"localId":"5f0479c21860","background":"#ace5fe"},"content":[{"type":"paragraph","content":[{"type":"text","text":"SKU Count","marks":[{"type":"strong"}]}],"attrs":{"localId":"547f0b52ac11"}}]},{"type":"tableCell","attrs":{"localId":"43c9e162b1be","background":"#ace5fe"},"content":[{"type":"paragraph","content":[{"type":"text","text":"Option Count","marks":[{"type":"strong"}]}],"attrs":{"localId":"e379e5530d40"}}]}]},{"type":"tableRow","attrs":{"localId":"b7d730190905"},"content":[{"type":"tableCell","attrs":{"localId":"9f341b8cf9d8","background":"white"},"content":[{"type":"paragraph","content":[{"type":"text","text":"Received"}],"attrs":{"localId":"c0cbe7d4a057"}}]},{"type":"tableCell","attrs":{"localId":"b696fe9ee8a3","background":"white"},"content":[{"type":"paragraph","content":[{"type":"text","text":"112"}],"attrs":{"localId":"59b1485deb56"}}]},{"type":"tableCell","attrs":{"localId":"e797bb4449da","background":"white"},"content":[{"type":"paragraph","content":[{"type":"text","text":"18"}],"attrs":{"localId":"e64bce322e99"}}]},{"type":"tableCell","attrs":{"localId":"f1fab5e47d55","background":"white"},"content":[{"type":"paragraph","content":[{"type":"text","text":"112"}],"attrs":{"localId":"9dfc0b3c844d"}}]},{"type":"tableCell","attrs":{"localId":"d94f6ca80cf9","background":"white"},"content":[{"type":"paragraph","content":[{"type":"text","text":"18"}],"attrs":{"localId":"d2de9655fd9a"}}]}]},{"type":"tableRow","attrs":{"localId":"b1734163c219"},"content":[{"type":"tableCell","attrs":{"localId":"f9102e6e9fe0","background":"white"},"content":[{"type":"paragraph","content":[{"type":"text","text":"Uploaded"}],"attrs":{"localId":"358aa07e4844"}}]},{"type":"tableCell","attrs":{"localId":"9e77cfb40c6e","background":"white"},"content":[{"type":"paragraph","content":[{"type":"text","text":"112"}],"attrs":{"localId":"df620cf88990"}}]},{"type":"tableCell","attrs":{"localId":"002017e13ac3","background":"white"},"content":[{"type":"paragraph","content":[{"type":"text","text":"18"}],"attrs":{"localId":"164906ee9173"}}]},{"type":"tableCell","attrs":{"localId":"affd5bbcbf96","background":"white"},"content":[{"type":"paragraph","content":[{"type":"text","text":"112"}],"attrs":{"localId":"b812d17d016e"}}]},{"type":"tableCell","attrs":{"localId":"2f4634723ce1","background":"white"},"content":[{"type":"paragraph","content":[{"type":"text","text":"18"}],"attrs":{"localId":"ad84f5f3ad8c"}}]}]},{"type":"tableRow","attrs":{"localId":"16c05a74845f"},"content":[{"type":"tableCell","attrs":{"localId":"e3c73ffa7665","background":"white"},"content":[{"type":"paragraph","content":[{"type":"text","text":"SKUs Not Uploaded"}],"attrs":{"localId":"f140b907c3d6"}}]},{"type":"tableCell","attrs":{"localId":"55ca503837e4","background":"white"},"content":[{"type":"paragraph","content":[{"type":"text","text":"0"}],"attrs":{"localId":"488266240ef9"}}]},{"type":"tableCell","attrs":{"localId":"4bcc0a5d0780","background":"white"},"content":[{"type":"paragraph","content":[{"type":"text","text":"0"}],"attrs":{"localId":"0cfcc10714d9"}}]},{"type":"tableCell","attrs":{"localId":"b787c841f9eb","background":"white"},"content":[{"type":"paragraph","content":[{"type":"text","text":"0"}],"attrs":{"localId":"eea77c107e3a"}}]},{"type":"tableCell","attrs":{"localId":"88279dc2fd93","background":"white"},"content":[{"type":"paragraph","content":[{"type":"text","text":"0"}],"attrs":{"localId":"be79381db584"}}]}]},{"type":"tableRow","attrs":{"localId":"b6c06e5749f6"},"content":[{"type":"tableCell","attrs":{"localId":"1a0f4a7633a1","background":"white"},"content":[{"type":"paragraph","content":[{"type":"text","text":"LIDs Shared"}],"attrs":{"localId":"a31b032540d4"}}]},{"type":"tableCell","attrs":{"localId":"25d98b3b784b","background":"white"},"content":[{"type":"paragraph","content":[{"type":"text","text":"112"}],"attrs":{"localId":"af663a6b683e"}}]},{"type":"tableCell","attrs":{"localId":"9cddad10e3a9","background":"white"},"content":[{"type":"paragraph","content":[{"type":"text","text":"18"}],"attrs":{"localId":"0a146b52634f"}}]},{"type":"tableCell","attrs":{"localId":"6bd42878a539","background":"white"},"content":[{"type":"paragraph","content":[{"type":"text","text":"112"}],"attrs":{"localId":"b248f5da1388"}}]},{"type":"tableCell","attrs":{"localId":"d0d39ce02df2","background":"white"},"content":[{"type":"paragraph","content":[{"type":"text","text":"18"}],"attrs":{"localId":"299467b4873d"}}]}]},{"type":"tableRow","attrs":{"localId":"047067dc83b2"},"content":[{"type":"tableCell","attrs":{"localId":"d6bc44d302f8","background":"white"},"content":[{"type":"paragraph","content":[{"type":"text","text":"LIDs Stuck in the System"}],"attrs":{"localId":"3bedbba2d925"}}]},{"type":"tableCell","attrs":{"localId":"9995e74b9d73"},"content":[{"type":"paragraph","content":[{"type":"text","text":"0"}],"attrs":{"localId":"58ee1a3045a9"}}]},{"type":"tableCell","attrs":{"localId":"741a8399ee80","background":"white"},"content":[{"type":"paragraph","content":[{"type":"text","text":"0"}],"attrs":{"localId":"0b163f3aef80"}}]},{"type":"tableCell","attrs":{"localId":"a24a0d834b34"},"content":[{"type":"paragraph","content":[{"type":"text","text":"0"}],"attrs":{"localId":"0d5880448d42"}}]},{"type":"tableCell","attrs":{"localId":"5ef1a61e37af","background":"white"},"content":[{"type":"paragraph","content":[{"type":"text","text":"0"}],"attrs":{"localId":"521d83fa25a8"}}]}]}]}
{adf}
With this, we are closing this request from our end.
Thank you for your patience, support, and cooperation throughout the process. Your brand is important to us, and we look forward to assisting you again."</t>
  </si>
  <si>
    <t xml:space="preserve">Under Armour </t>
  </si>
  <si>
    <t xml:space="preserve">Date :07/29/2026 &lt;Ticket picked for pre processing Option 17 Sku 70&gt; &lt;Amandeep&gt;;Date :07/31/2026 &lt;Pre Processing query to Brand &lt;*LESS THAN 3 SKUS IN CLUSTER, SIZES ARE NOT CONTINUOUS*&gt;&gt; &lt;Ishani&gt;;Date :07/31/2026 &lt;Ticket picked for Production and QC review Option 17 Sku 70&gt; &lt;Ishani&gt;;Date :07/31/2026 &lt;Pre Processing query to Brand &lt;*Cut size addition details&gt;*&gt; &lt;Ankita&gt;;Date :07/31/2026 &lt;Ticket has been successfully uploaded in our system. Option 16 Sku 65 (Marketplace)
Option 14 Sku 62(Luxury) &lt;Ishani &amp; Ankita&gt;
[^Summary of Cut Size.zip] [^Summary LUX.zip] [^Summary MP.zip] [^Post Upload Status_V.2 (1) (7).xlsx]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bc25838-2182-4779-9b5a-d22c7d30bc73"},"content":[{"type":"tableRow","attrs":{"localId":"c4f3833d3f09"},"content":[{"type":"tableCell","attrs":{"localId":"b0bbc84a0a1b","background":"#44b3e1"},"content":[{"type":"paragraph","content":[{"type":"text","text":"Ticket ID","marks":[{"type":"strong"}]}],"attrs":{"localId":"4059c85b851d"}}]},{"type":"tableCell","attrs":{"localId":"5ad4e15389fb","colspan":4,"background":"#44b3e1"},"content":[{"type":"paragraph","content":[{"type":"text","text":"UCW-35130","marks":[{"type":"strong"}]}],"attrs":{"localId":"93eadd5df8d7"}}]}]},{"type":"tableRow","attrs":{"localId":"5192a3364821"},"content":[{"type":"tableCell","attrs":{"localId":"11ee9c13b6b7","background":"#44b3e1"},"content":[{"type":"paragraph","content":[{"type":"text","text":"Brand Name","marks":[{"type":"strong"}]}],"attrs":{"localId":"0982fcf6c10d"}}]},{"type":"tableCell","attrs":{"localId":"f28d07fdd318","colspan":4,"background":"#44b3e1"},"content":[{"type":"paragraph","content":[{"type":"text","text":"Under Armour","marks":[{"type":"strong"}]}],"attrs":{"localId":"cc7a0c25be9d"}}]}]},{"type":"tableRow","attrs":{"localId":"b50bdc93f188"},"content":[{"type":"tableCell","attrs":{"localId":"29a174c1dace","background":"#44b3e1"},"content":[{"type":"paragraph","content":[{"type":"text","text":"Platform","marks":[{"type":"strong"}]}],"attrs":{"localId":"2ae469abb962"}}]},{"type":"tableCell","attrs":{"localId":"dfbee28c6b6e","colspan":2,"background":"#44b3e1"},"content":[{"type":"paragraph","content":[{"type":"text","text":"Luxury","marks":[{"type":"strong"}]}],"attrs":{"localId":"4038c6b9c341"}}]},{"type":"tableCell","attrs":{"localId":"dd713d5f2373","colspan":2,"background":"#44b3e1"},"content":[{"type":"paragraph","content":[{"type":"text","text":"Mall","marks":[{"type":"strong"}]}],"attrs":{"localId":"6a28a2862f89"}}]}]},{"type":"tableRow","attrs":{"localId":"ed70ca1bd505"},"content":[{"type":"tableCell","attrs":{"localId":"727c5571f6fa","background":"#ace5fe"},"content":[{"type":"paragraph","content":[{"type":"text","text":"Particulars","marks":[{"type":"strong"}]}],"attrs":{"localId":"7e65c67fbfac"}}]},{"type":"tableCell","attrs":{"localId":"7282f08fe5ef","background":"#ace5fe"},"content":[{"type":"paragraph","content":[{"type":"text","text":"SKU Count","marks":[{"type":"strong"}]}],"attrs":{"localId":"825459f10c29"}}]},{"type":"tableCell","attrs":{"localId":"b1fc32bd0ed8","background":"#ace5fe"},"content":[{"type":"paragraph","content":[{"type":"text","text":"Option Count","marks":[{"type":"strong"}]}],"attrs":{"localId":"e64ccf637692"}}]},{"type":"tableCell","attrs":{"localId":"fd545ab3db38","background":"#ace5fe"},"content":[{"type":"paragraph","content":[{"type":"text","text":"SKU Count","marks":[{"type":"strong"}]}],"attrs":{"localId":"922512c1a966"}}]},{"type":"tableCell","attrs":{"localId":"7341c68b9650","background":"#ace5fe"},"content":[{"type":"paragraph","content":[{"type":"text","text":"Option Count","marks":[{"type":"strong"}]}],"attrs":{"localId":"42e4f6f6efe6"}}]}]},{"type":"tableRow","attrs":{"localId":"add3a556b066"},"content":[{"type":"tableCell","attrs":{"localId":"09c2b022f9d3","background":"white"},"content":[{"type":"paragraph","content":[{"type":"text","text":"Received"}],"attrs":{"localId":"ea05978bc426"}}]},{"type":"tableCell","attrs":{"localId":"1465e32657ea","background":"white"},"content":[{"type":"paragraph","content":[{"type":"text","text":"70"}],"attrs":{"localId":"ef5995860926"}}]},{"type":"tableCell","attrs":{"localId":"88af18df0a3e","background":"white"},"content":[{"type":"paragraph","content":[{"type":"text","text":"17"}],"attrs":{"localId":"f20e4a9c4785"}}]},{"type":"tableCell","attrs":{"localId":"7f898148b9d1","background":"white"},"content":[{"type":"paragraph","content":[{"type":"text","text":"70"}],"attrs":{"localId":"6aea3047e48b"}}]},{"type":"tableCell","attrs":{"localId":"f2825d7a87ab","background":"white"},"content":[{"type":"paragraph","content":[{"type":"text","text":"17"}],"attrs":{"localId":"0509f055180d"}}]}]},{"type":"tableRow","attrs":{"localId":"24665aabdd2b"},"content":[{"type":"tableCell","attrs":{"localId":"91d6134539d2","background":"white"},"content":[{"type":"paragraph","content":[{"type":"text","text":"Uploaded"}],"attrs":{"localId":"fbae6eb4878d"}}]},{"type":"tableCell","attrs":{"localId":"0df662d8e9eb","background":"white"},"content":[{"type":"paragraph","content":[{"type":"text","text":"62"}],"attrs":{"localId":"56aa4aeab2b2"}}]},{"type":"tableCell","attrs":{"localId":"e228857320ef","background":"white"},"content":[{"type":"paragraph","content":[{"type":"text","text":"14"}],"attrs":{"localId":"280ff77e8ee9"}}]},{"type":"tableCell","attrs":{"localId":"b0534b603ccc","background":"white"},"content":[{"type":"paragraph","content":[{"type":"text","text":"65"}],"attrs":{"localId":"ca4abb0ef324"}}]},{"type":"tableCell","attrs":{"localId":"7eea15336f81","background":"white"},"content":[{"type":"paragraph","content":[{"type":"text","text":"16"}],"attrs":{"localId":"810d297a362f"}}]}]},{"type":"tableRow","attrs":{"localId":"d1d813a57d07"},"content":[{"type":"tableCell","attrs":{"localId":"d09c258fdf54","background":"white"},"content":[{"type":"paragraph","content":[{"type":"text","text":"Already Listed"}],"attrs":{"localId":"11a6a36dd4e2"}}]},{"type":"tableCell","attrs":{"localId":"35cca47e3763","background":"white"},"content":[{"type":"paragraph","content":[{"type":"text","text":"8"}],"attrs":{"localId":"a534af21c85f"}}]},{"type":"tableCell","attrs":{"localId":"0c68e5dda703","background":"white"},"content":[{"type":"paragraph","content":[{"type":"text","text":"3"}],"attrs":{"localId":"1c208747c3bd"}}]},{"type":"tableCell","attrs":{"localId":"d8b90ab94800","background":"white"},"content":[{"type":"paragraph","content":[{"type":"text","text":"5"}],"attrs":{"localId":"dd5e066f462c"}}]},{"type":"tableCell","attrs":{"localId":"db351cb9c88b","background":"white"},"content":[{"type":"paragraph","content":[{"type":"text","text":"1"}],"attrs":{"localId":"2bd410690d60"}}]}]},{"type":"tableRow","attrs":{"localId":"c1b2710a730e"},"content":[{"type":"tableCell","attrs":{"localId":"0d58a731b6e7","background":"white"},"content":[{"type":"paragraph","content":[{"type":"text","text":"LIDs Shared"}],"attrs":{"localId":"74e6b9fcf779"}}]},{"type":"tableCell","attrs":{"localId":"96b5fad2b0ec"},"content":[{"type":"paragraph","content":[{"type":"text","text":"62"}],"attrs":{"localId":"af573555bf51"}}]},{"type":"tableCell","attrs":{"localId":"e461354b6a71"},"content":[{"type":"paragraph","content":[{"type":"text","text":"14"}],"attrs":{"localId":"4fdd78a1cd5a"}}]},{"type":"tableCell","attrs":{"localId":"fb1bfc9680c9","background":"white"},"content":[{"type":"paragraph","content":[{"type":"text","text":"65"}],"attrs":{"localId":"49d6782e44ce"}}]},{"type":"tableCell","attrs":{"localId":"17066dd9636a","background":"white"},"content":[{"type":"paragraph","content":[{"type":"text","text":"16"}],"attrs":{"localId":"f7bdd7002f46"}}]}]},{"type":"tableRow","attrs":{"localId":"632eb6bdf311"},"content":[{"type":"tableCell","attrs":{"localId":"95b6a403488c","background":"white"},"content":[{"type":"paragraph","content":[{"type":"text","text":"LIDs Stuck in the System"}],"attrs":{"localId":"6de4344279ed"}}]},{"type":"tableCell","attrs":{"localId":"19df3bc99838"},"content":[{"type":"paragraph","content":[{"type":"text","text":"0"}],"attrs":{"localId":"021a75a89997"}}]},{"type":"tableCell","attrs":{"localId":"9075b4a80fa0","background":"white"},"content":[{"type":"paragraph","content":[{"type":"text","text":"0"}],"attrs":{"localId":"fd267176130e"}}]},{"type":"tableCell","attrs":{"localId":"40fa06bfa5d7"},"content":[{"type":"paragraph","content":[{"type":"text","text":"0"}],"attrs":{"localId":"d056d4de1d6c"}}]},{"type":"tableCell","attrs":{"localId":"6d77063c22ba","background":"white"},"content":[{"type":"paragraph","content":[{"type":"text","text":"0"}],"attrs":{"localId":"3ced3658e378"}}]}]}]}
{adf}
With this, we are closing this request from our end.
Thank you for your patience, support, and cooperation throughout the process. Your brand is important to us, and we look forward to assisting you again.[^UCW-35130.xlsx] </t>
  </si>
  <si>
    <t>Onitsuka Tiger</t>
  </si>
  <si>
    <t>Date :07/29/2026 &lt;Ticket picked for pre processing Option 25 Sku 350&gt; &lt;Ankita&gt;;Date :07/30/2026 &lt;Pre Processing query to Brand &lt;Size Chart Query&gt;&gt; &lt;Ankita&gt;;Date :07/31/2026 &lt; Pre Processing query to Brand 1st Follow Up&gt; &lt;Ishani&gt;;Date :08/01/2026 &lt; Pre Processing query to Brand 2nd Follow Up&gt; &lt;Ishani&gt;;[^Onitsuka Tiger Kids.csv]
Please create the size chart</t>
  </si>
  <si>
    <t>Cotton culture</t>
  </si>
  <si>
    <t>Date :07/29/2026 &lt;Ticket picked for pre processing Option: 33 SKU: 170&gt; &lt;Sanjana Ghosh&gt;</t>
  </si>
  <si>
    <t>Date :07/28/2026&lt;Ticket picked for pre processing Option 1 Sku 1&gt; &lt;Rupa&gt;;[^Summary 2.zip]
[^Status of UCW-34757.xlsx]
We have updated the images, once reflect in PDP will let you know. Please check the summary sheet and post upload sheet for your reference;Date :07/30/2026&lt;Ticket has been successfully uploaded in our system. Option 1 Sku 1&gt; &lt;Rupa&gt;;!Screenshot 2026-07-31 184600.png|width=530,alt="Screenshot 2026-07-31 184600.png"!
!Screenshot 2026-07-31 184613.png|width=530,alt="Screenshot 2026-07-31 184613.png"!
!Screenshot 2026-07-31 184623.png|width=530,alt="Screenshot 2026-07-31 184623.png"!
!Screenshot 2026-07-31 184552.png|width=530,alt="Screenshot 2026-07-31 184552.png"!
!Screenshot 2026-07-31 184446.png|width=530,alt="Screenshot 2026-07-31 184446.png"!
The images have been successfully reflected. Please find the attached screenshots for your reference. As of now, we are closing the ticket. If there are any further concerns, please let us know. ;Date :07/31/2026&lt;Images are reflecting successfully on PDP. Option 1 Sku 1 &gt; &lt;Rupa&gt;</t>
  </si>
  <si>
    <t xml:space="preserve">Varnika Arora </t>
  </si>
  <si>
    <t>Date : 29th Jul ,2026 Images Query;Date : 31st Jul,2026 Production Done-Mousumi
Date : 31st Jul,2026 Images Done-Saswati
Date : 31st Jul,2026 resolution has been received from the brand- Mousumi.
PFA the Summary &amp; Post-Uploaded Sheet[^Summary.zip] [^UCW-35124 Post Upload Status_V.2 (1).xlsx] 
;[^UCW-35124.xlsx]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e18b1a8-3c54-42c0-8619-56bf6c64136c"},"content":[{"type":"tableRow","attrs":{"localId":"01c027a52f93"},"content":[{"type":"tableCell","attrs":{"localId":"ed5c91c7348e","background":"#44b3e1"},"content":[{"type":"paragraph","content":[{"type":"text","text":"Ticket ID","marks":[{"type":"strong"}]}],"attrs":{"localId":"81463cea7832"}}]},{"type":"tableCell","attrs":{"localId":"638575749fe3","colspan":2,"background":"#44b3e1"},"content":[{"type":"paragraph","content":[{"type":"text","text":"UCW-35124","marks":[{"type":"strong"}]}],"attrs":{"localId":"d253ff8abcaa"}}]}]},{"type":"tableRow","attrs":{"localId":"59302ebea047"},"content":[{"type":"tableCell","attrs":{"localId":"5b42e2e96c05","background":"#44b3e1"},"content":[{"type":"paragraph","content":[{"type":"text","text":"Brand Name","marks":[{"type":"strong"}]}],"attrs":{"localId":"0e1f97c42662"}}]},{"type":"tableCell","attrs":{"localId":"362d2e985d44","colspan":2,"background":"#44b3e1"},"content":[{"type":"paragraph","content":[{"type":"text","text":"Varnika Arora ","marks":[{"type":"strong"}]}],"attrs":{"localId":"ae9fee116f11"}}]}]},{"type":"tableRow","attrs":{"localId":"5ce85e4232c9"},"content":[{"type":"tableCell","attrs":{"localId":"a02e53c31e6c","background":"#ace5fe"},"content":[{"type":"paragraph","content":[{"type":"text","text":"Platform","marks":[{"type":"strong"}]}],"attrs":{"localId":"29c4b47224dd"}}]},{"type":"tableCell","attrs":{"localId":"5afa7c36a45b","colspan":2,"background":"#ace5fe"},"content":[{"type":"paragraph","content":[{"type":"text","text":"Luxury","marks":[{"type":"strong"}]}],"attrs":{"localId":"fc4edc5cefec"}}]}]},{"type":"tableRow","attrs":{"localId":"030395446f37"},"content":[{"type":"tableCell","attrs":{"localId":"cd2b225a0be0","background":"#ace5fe"},"content":[{"type":"paragraph","content":[{"type":"text","text":"Particulars","marks":[{"type":"strong"}]}],"attrs":{"localId":"0202b38c6e87"}}]},{"type":"tableCell","attrs":{"localId":"806dc5158c5e","background":"#ace5fe"},"content":[{"type":"paragraph","content":[{"type":"text","text":"SKU Count","marks":[{"type":"strong"}]}],"attrs":{"localId":"3ea5bd354ebf"}}]},{"type":"tableCell","attrs":{"localId":"50424c0837da","background":"#ace5fe"},"content":[{"type":"paragraph","content":[{"type":"text","text":"Option Count","marks":[{"type":"strong"}]}],"attrs":{"localId":"fc4c22d51ae9"}}]}]},{"type":"tableRow","attrs":{"localId":"4d93a14ec2da"},"content":[{"type":"tableCell","attrs":{"localId":"ea0354decc95","background":"white"},"content":[{"type":"paragraph","content":[{"type":"text","text":"Received"}],"attrs":{"localId":"49e62ed74f4c"}}]},{"type":"tableCell","attrs":{"localId":"8d28f8ecd746"},"content":[{"type":"paragraph","content":[{"type":"text","text":"35"}],"attrs":{"localId":"a9ef7794da8a"}}]},{"type":"tableCell","attrs":{"localId":"20321ae0f5ae"},"content":[{"type":"paragraph","content":[{"type":"text","text":"35"}],"attrs":{"localId":"0e7370c28b07"}}]}]},{"type":"tableRow","attrs":{"localId":"2c2bc987f175"},"content":[{"type":"tableCell","attrs":{"localId":"435f5061dc9b","background":"white"},"content":[{"type":"paragraph","content":[{"type":"text","text":"Uploaded"}],"attrs":{"localId":"392d655d3ac9"}}]},{"type":"tableCell","attrs":{"localId":"7243233b48c5"},"content":[{"type":"paragraph","content":[{"type":"text","text":"35"}],"attrs":{"localId":"920c01074fcb"}}]},{"type":"tableCell","attrs":{"localId":"63a7b2a9ca25"},"content":[{"type":"paragraph","content":[{"type":"text","text":"35"}],"attrs":{"localId":"042c2da6eff5"}}]}]},{"type":"tableRow","attrs":{"localId":"68ffdd366fa2"},"content":[{"type":"tableCell","attrs":{"localId":"736cf7737742","background":"white"},"content":[{"type":"paragraph","content":[{"type":"text","text":"LIDs Shared"}],"attrs":{"localId":"973324fdfe0d"}}]},{"type":"tableCell","attrs":{"localId":"b8832ecd7058"},"content":[{"type":"paragraph","content":[{"type":"text","text":"35"}],"attrs":{"localId":"154b0707a375"}}]},{"type":"tableCell","attrs":{"localId":"3f2b00be81e0"},"content":[{"type":"paragraph","content":[{"type":"text","text":"35"}],"attrs":{"localId":"1130cba0e258"}}]}]},{"type":"tableRow","attrs":{"localId":"3353c4ce06ee"},"content":[{"type":"tableCell","attrs":{"localId":"d214707bd798","background":"white"},"content":[{"type":"paragraph","content":[{"type":"text","text":"LIDs Stuck in the System"}],"attrs":{"localId":"6b2fc6a7df78"}}]},{"type":"tableCell","attrs":{"localId":"917dab8831b7"},"content":[{"type":"paragraph","content":[{"type":"text","text":"0"}],"attrs":{"localId":"f099304cfeec"}}]},{"type":"tableCell","attrs":{"localId":"64f0d810146b"},"content":[{"type":"paragraph","content":[{"type":"text","text":"0"}],"attrs":{"localId":"ef0d91a551af"}}]}]}]}
{adf}
With this, we are closing this request from our end.
Thank you for your patience, support, and cooperation throughout the process. Your brand is important to us, and we look forward to assisting you again."</t>
  </si>
  <si>
    <t>Date : 28th Jul, 2026 This ticket has been picked for Pre-Processing and Image Analysis -Mousumi. ;Date : 29th Jul, 2026 Pre-Processing Done( bRand to Query for Bracelet Sie)-Mousumi;Date : 30th Jul, 2026 Size Chart Creation [^GIVA New Bracelets.csv] ;!image-20260731-051326.png|width=820,alt="image-20260731-051326.png"!;Date : 31st Jul, 2026 QC &amp; Uploaded Done-Mousumi
PFA the SUmmary &amp; Post-Uploaded Sheet[^Summary.zip] [^UCW-35123 Post Upload Status_V.2 (1).xlsx] ;[^UCW-35123.xlsx]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0764c319-5a95-4ea3-87c3-e52a60508724"},"content":[{"type":"tableRow","attrs":{"localId":"91b751a04acb"},"content":[{"type":"tableCell","attrs":{"localId":"0a9021e29f87","background":"#44b3e1"},"content":[{"type":"paragraph","content":[{"type":"text","text":"Ticket ID","marks":[{"type":"strong"}]}],"attrs":{"localId":"652de7ab6c66"}}]},{"type":"tableCell","attrs":{"localId":"9cd9b0120673","colspan":2,"background":"#44b3e1"},"content":[{"type":"paragraph","content":[{"type":"text","text":"UCW-35123","marks":[{"type":"strong"}]}],"attrs":{"localId":"f4b9b7a57773"}}]}]},{"type":"tableRow","attrs":{"localId":"7ccc5568ee9d"},"content":[{"type":"tableCell","attrs":{"localId":"94ac0c33eb0e","background":"#44b3e1"},"content":[{"type":"paragraph","content":[{"type":"text","text":"Brand Name","marks":[{"type":"strong"}]}],"attrs":{"localId":"c4e85e6a5200"}}]},{"type":"tableCell","attrs":{"localId":"24d62426c60e","colspan":2,"background":"#44b3e1"},"content":[{"type":"paragraph","content":[{"type":"text","text":"GIVA","marks":[{"type":"strong"}]}],"attrs":{"localId":"fb0821a7f1e6"}}]}]},{"type":"tableRow","attrs":{"localId":"3e176a858a36"},"content":[{"type":"tableCell","attrs":{"localId":"d5e556449df0","background":"#ace5fe"},"content":[{"type":"paragraph","content":[{"type":"text","text":"Platform","marks":[{"type":"strong"}]}],"attrs":{"localId":"11376a65f1cc"}}]},{"type":"tableCell","attrs":{"localId":"fc3adbe55735","colspan":2,"background":"#ace5fe"},"content":[{"type":"paragraph","content":[{"type":"text","text":"Mall","marks":[{"type":"strong"}]}],"attrs":{"localId":"20a0428abb28"}}]}]},{"type":"tableRow","attrs":{"localId":"72e857f3f4d8"},"content":[{"type":"tableCell","attrs":{"localId":"e6e313a24f60","background":"#ace5fe"},"content":[{"type":"paragraph","content":[{"type":"text","text":"Particulars","marks":[{"type":"strong"}]}],"attrs":{"localId":"45086586ebac"}}]},{"type":"tableCell","attrs":{"localId":"63d28530ed80","background":"#ace5fe"},"content":[{"type":"paragraph","content":[{"type":"text","text":"SKU Count","marks":[{"type":"strong"}]}],"attrs":{"localId":"08ce11567554"}}]},{"type":"tableCell","attrs":{"localId":"db4d008410ba","background":"#ace5fe"},"content":[{"type":"paragraph","content":[{"type":"text","text":"Option Count","marks":[{"type":"strong"}]}],"attrs":{"localId":"5a888a9c9ca9"}}]}]},{"type":"tableRow","attrs":{"localId":"86e52991a9e0"},"content":[{"type":"tableCell","attrs":{"localId":"84b689010bda","background":"white"},"content":[{"type":"paragraph","content":[{"type":"text","text":"Received"}],"attrs":{"localId":"daae3f02864f"}}]},{"type":"tableCell","attrs":{"localId":"288a5139ea01"},"content":[{"type":"paragraph","content":[{"type":"text","text":"27"}],"attrs":{"localId":"357e2b0a67f3"}}]},{"type":"tableCell","attrs":{"localId":"b799423cfc17"},"content":[{"type":"paragraph","content":[{"type":"text","text":"27"}],"attrs":{"localId":"e2b0c005135a"}}]}]},{"type":"tableRow","attrs":{"localId":"c7ee45f227c7"},"content":[{"type":"tableCell","attrs":{"localId":"4ff08098f05a","background":"white"},"content":[{"type":"paragraph","content":[{"type":"text","text":"Uploaded"}],"attrs":{"localId":"f6fd682e48b2"}}]},{"type":"tableCell","attrs":{"localId":"eba7f26f5c61"},"content":[{"type":"paragraph","content":[{"type":"text","text":"27"}],"attrs":{"localId":"339210f3cd0c"}}]},{"type":"tableCell","attrs":{"localId":"e2f738c094be"},"content":[{"type":"paragraph","content":[{"type":"text","text":"27"}],"attrs":{"localId":"e28e250f4d08"}}]}]},{"type":"tableRow","attrs":{"localId":"c0fd2635cf90"},"content":[{"type":"tableCell","attrs":{"localId":"097ed1e8b22a","background":"white"},"content":[{"type":"paragraph","content":[{"type":"text","text":"LIDs Shared"}],"attrs":{"localId":"eb04130751e1"}}]},{"type":"tableCell","attrs":{"localId":"0d873d6582a0"},"content":[{"type":"paragraph","content":[{"type":"text","text":"27"}],"attrs":{"localId":"b054a4337ff3"}}]},{"type":"tableCell","attrs":{"localId":"a155d6e116eb"},"content":[{"type":"paragraph","content":[{"type":"text","text":"27"}],"attrs":{"localId":"574416d85efa"}}]}]},{"type":"tableRow","attrs":{"localId":"bd4d2900d3c9"},"content":[{"type":"tableCell","attrs":{"localId":"5333719c15ed","background":"white"},"content":[{"type":"paragraph","content":[{"type":"text","text":"LIDs Stuck in the System"}],"attrs":{"localId":"14de7ae4f1e7"}}]},{"type":"tableCell","attrs":{"localId":"443a9483c7b4"},"content":[{"type":"paragraph","content":[{"type":"text","text":"0"}],"attrs":{"localId":"d8e6a8f70462"}}]},{"type":"tableCell","attrs":{"localId":"5c10569399c2"},"content":[{"type":"paragraph","content":[{"type":"text","text":"0"}],"attrs":{"localId":"1b1e458ca05b"}}]}]}]}
{adf}
With this, we are closing this request from our end.
Thank you for your patience, support, and cooperation throughout the process. Your brand is important to us, and we look forward to assisting you again.</t>
  </si>
  <si>
    <t>Date :07/29/2026 &lt;Ticket picked for pre processing Option: 145 SKU: 482&gt; &lt;Sanjana Ghosh&gt;</t>
  </si>
  <si>
    <t xml:space="preserve">Date :07/28/2026 &lt;Ticket picked for pre processing Option: 10 SKU: 174&gt; &lt;Sanjana Ghosh&gt;;Date :07/28/2026 &lt;Ticket has been successfully uploaded in our system. Option: 1 SKU: 117, Already Listed - Option: 9 SKU: 57&gt; &lt;Sanjana Ghosh&gt;
PFA the post upload status and summary file: [^Summary.zip] [^UCW-35114 - Post Upload Status .xlsx]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c2d8444-587f-416b-bf63-0d22ac80b0a0"},"content":[{"type":"tableRow","attrs":{"localId":"594aaf574e68"},"content":[{"type":"tableCell","attrs":{"localId":"abdca924ed34","background":"#44b3e1"},"content":[{"type":"paragraph","content":[{"type":"text","text":"Ticket ID","marks":[{"type":"strong"}]}],"attrs":{"localId":"c49e14bcf447"}}]},{"type":"tableCell","attrs":{"localId":"40a8e817f660","colspan":2,"background":"#44b3e1"},"content":[{"type":"paragraph","content":[{"type":"text","text":"UCW-35114","marks":[{"type":"strong"}]}],"attrs":{"localId":"808e6f7571c1"}}]}]},{"type":"tableRow","attrs":{"localId":"ff8a5ed42a30"},"content":[{"type":"tableCell","attrs":{"localId":"43ff6292e227","background":"#44b3e1"},"content":[{"type":"paragraph","content":[{"type":"text","text":"Brand Name","marks":[{"type":"strong"}]}],"attrs":{"localId":"7525359bb677"}}]},{"type":"tableCell","attrs":{"localId":"b43ce41e1cb0","colspan":2,"background":"#44b3e1"},"content":[{"type":"paragraph","content":[{"type":"text","text":"Adidas","marks":[{"type":"strong"}]}],"attrs":{"localId":"96f344971266"}}]}]},{"type":"tableRow","attrs":{"localId":"4f49e517bc2c"},"content":[{"type":"tableCell","attrs":{"localId":"77b33544b2a1","background":"#ace5fe"},"content":[{"type":"paragraph","content":[{"type":"text","text":"Platform","marks":[{"type":"strong"}]}],"attrs":{"localId":"35930a955cd6"}}]},{"type":"tableCell","attrs":{"localId":"cd30bf170ea3","colspan":2,"background":"#ace5fe"},"content":[{"type":"paragraph","content":[{"type":"text","text":"Mall","marks":[{"type":"strong"}]}],"attrs":{"localId":"4057d4493afa"}}]}]},{"type":"tableRow","attrs":{"localId":"290ac7c7e5b8"},"content":[{"type":"tableCell","attrs":{"localId":"8ac715a3a1bd","background":"#ace5fe"},"content":[{"type":"paragraph","content":[{"type":"text","text":"Particulars","marks":[{"type":"strong"}]}],"attrs":{"localId":"09eddb5af741"}}]},{"type":"tableCell","attrs":{"localId":"e847aa596dab","background":"#ace5fe"},"content":[{"type":"paragraph","content":[{"type":"text","text":"SKU Count","marks":[{"type":"strong"}]}],"attrs":{"localId":"dee5c86e2d1c"}}]},{"type":"tableCell","attrs":{"localId":"45e1a087c146","background":"#ace5fe"},"content":[{"type":"paragraph","content":[{"type":"text","text":"Option Count","marks":[{"type":"strong"}]}],"attrs":{"localId":"66f074c7a688"}}]}]},{"type":"tableRow","attrs":{"localId":"63be533dc3d3"},"content":[{"type":"tableCell","attrs":{"localId":"0dadc70886fb","background":"white"},"content":[{"type":"paragraph","content":[{"type":"text","text":"Received"}],"attrs":{"localId":"3677674195ac"}}]},{"type":"tableCell","attrs":{"localId":"e13bb79c2b85"},"content":[{"type":"paragraph","content":[{"type":"text","text":"174"}],"attrs":{"localId":"d75ce777d8ae"}}]},{"type":"tableCell","attrs":{"localId":"68a4305b37af"},"content":[{"type":"paragraph","content":[{"type":"text","text":"10"}],"attrs":{"localId":"1c879a23fd3f"}}]}]},{"type":"tableRow","attrs":{"localId":"c596abc09832"},"content":[{"type":"tableCell","attrs":{"localId":"0774496a60e0","background":"white"},"content":[{"type":"paragraph","content":[{"type":"text","text":"Uploaded"}],"attrs":{"localId":"2253c36759b2"}}]},{"type":"tableCell","attrs":{"localId":"22f2ac77bf4b"},"content":[{"type":"paragraph","content":[{"type":"text","text":"174"}],"attrs":{"localId":"54c3fa2e68a5"}}]},{"type":"tableCell","attrs":{"localId":"302ae6cb0d49"},"content":[{"type":"paragraph","content":[{"type":"text","text":"10"}],"attrs":{"localId":"df8c9aff5c44"}}]}]},{"type":"tableRow","attrs":{"localId":"6f391c325ca6"},"content":[{"type":"tableCell","attrs":{"localId":"1a1dbe77a012","background":"white"},"content":[{"type":"paragraph","content":[{"type":"text","text":"LIDs Shared"}],"attrs":{"localId":"436020afaada"}}]},{"type":"tableCell","attrs":{"localId":"41aae6c3ba53"},"content":[{"type":"paragraph","content":[{"type":"text","text":"174"}],"attrs":{"localId":"88e1595cae18"}}]},{"type":"tableCell","attrs":{"localId":"9cb84fa1d8b4"},"content":[{"type":"paragraph","content":[{"type":"text","text":"10"}],"attrs":{"localId":"7546d867a297"}}]}]},{"type":"tableRow","attrs":{"localId":"3342ef66c34b"},"content":[{"type":"tableCell","attrs":{"localId":"2ecb9a4af3a2","background":"white"},"content":[{"type":"paragraph","content":[{"type":"text","text":"LIDs Stuck in the System"}],"attrs":{"localId":"59bdee65f1c3"}}]},{"type":"tableCell","attrs":{"localId":"85be810e5a51"},"content":[{"type":"paragraph","content":[{"type":"text","text":"0"}],"attrs":{"localId":"d57ea6c16439"}}]},{"type":"tableCell","attrs":{"localId":"2a2c08f51d83"},"content":[{"type":"paragraph","content":[{"type":"text","text":"0"}],"attrs":{"localId":"49dd3e935faf"}}]}]}]}
{adf}
With this, we are closing this request from our end.
Thank you for your patience, support, and cooperation throughout the process. Your brand is important to us, and we look forward to assisting you again.[^UCW-35114 - Post Upload Status.xlsx] </t>
  </si>
  <si>
    <t>Date :07/28/2026  &lt;Ticket picked for pre processing SKU 5&gt; &lt;Tania&gt; Date :07/28/2026 &lt;Ticket picked for Production and QC review SKU 5&gt; &lt;Tania&gt;;Date :07/29/2026&lt; Pre Processing query to Brand 1st Follow Up&gt; &lt;Tania&gt;;Date :07/29/2026&lt; Resolution Received from Brand &lt;IMAGES WIP&gt;&gt; &lt;Tania&gt;;Date :07/30/2026 &lt;Ticket has been successfully uploaded in our system. SKU 5&gt; &lt;Tania&gt; [^Sum.zip] [^UCW-35112_Post Upload Status.xlsx]  We have successfully uploaded this batch. Please find the attached summary sheet and summary report.;[^UCW-35112.xlsx]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76947efd-8ea2-4e67-abc6-aecd89c8ccf8"},"content":[{"type":"tableRow","attrs":{"localId":"41f48e23d94e"},"content":[{"type":"tableCell","attrs":{"localId":"6d220698210e","background":"#44b3e1"},"content":[{"type":"paragraph","content":[{"type":"text","text":"Ticket ID","marks":[{"type":"strong"}]}],"attrs":{"localId":"53a6f153ee56"}}]},{"type":"tableCell","attrs":{"localId":"ad1376e6557f","colspan":2,"background":"#44b3e1"},"content":[{"type":"paragraph","content":[{"type":"text","text":"UCW-35112","marks":[{"type":"strong"}]}],"attrs":{"localId":"3628869a659c"}}]}]},{"type":"tableRow","attrs":{"localId":"4e125a7c0542"},"content":[{"type":"tableCell","attrs":{"localId":"1b05906072b2","background":"#44b3e1"},"content":[{"type":"paragraph","content":[{"type":"text","text":"Brand Name","marks":[{"type":"strong"}]}],"attrs":{"localId":"15273e35a783"}}]},{"type":"tableCell","attrs":{"localId":"1defdef6ac4c","colspan":2,"background":"#44b3e1"},"content":[{"type":"paragraph","content":[{"type":"text","text":"Davidoff","marks":[{"type":"strong"}]}],"attrs":{"localId":"25560e7c95ed"}}]}]},{"type":"tableRow","attrs":{"localId":"6838ce04a145"},"content":[{"type":"tableCell","attrs":{"localId":"a8e942e4968e","background":"#ace5fe"},"content":[{"type":"paragraph","content":[{"type":"text","text":"Platform","marks":[{"type":"strong"}]}],"attrs":{"localId":"501d395ab011"}}]},{"type":"tableCell","attrs":{"localId":"fbd612bc2725","colspan":2,"background":"#ace5fe"},"content":[{"type":"paragraph","content":[{"type":"text","text":"Mall + Luxury","marks":[{"type":"strong"}]}],"attrs":{"localId":"8f5259edeb30"}}]}]},{"type":"tableRow","attrs":{"localId":"1b78282a86f0"},"content":[{"type":"tableCell","attrs":{"localId":"5c28ce0b9d91","background":"#ace5fe"},"content":[{"type":"paragraph","content":[{"type":"text","text":"Particulars","marks":[{"type":"strong"}]}],"attrs":{"localId":"8e8edc6efb4c"}}]},{"type":"tableCell","attrs":{"localId":"e12ed968d77c","background":"#ace5fe"},"content":[{"type":"paragraph","content":[{"type":"text","text":"SKU Count","marks":[{"type":"strong"}]}],"attrs":{"localId":"991532afdc06"}}]},{"type":"tableCell","attrs":{"localId":"e8ded3cfffbd","background":"#ace5fe"},"content":[{"type":"paragraph","content":[{"type":"text","text":"Option Count","marks":[{"type":"strong"}]}],"attrs":{"localId":"1407802a1e1d"}}]}]},{"type":"tableRow","attrs":{"localId":"21e544b892d6"},"content":[{"type":"tableCell","attrs":{"localId":"04d01757c811","background":"white"},"content":[{"type":"paragraph","content":[{"type":"text","text":"Received"}],"attrs":{"localId":"854f4cded068"}}]},{"type":"tableCell","attrs":{"localId":"acab9e29f8cf"},"content":[{"type":"paragraph","content":[{"type":"text","text":"5"}],"attrs":{"localId":"e5ad36fbe953"}}]},{"type":"tableCell","attrs":{"localId":"ee3bf4c93484"},"content":[{"type":"paragraph","content":[{"type":"text","text":"5"}],"attrs":{"localId":"46a1bbb77ef1"}}]}]},{"type":"tableRow","attrs":{"localId":"6cf3ff85dd68"},"content":[{"type":"tableCell","attrs":{"localId":"be0a900f2434","background":"white"},"content":[{"type":"paragraph","content":[{"type":"text","text":"Uploaded"}],"attrs":{"localId":"326be6f5abbe"}}]},{"type":"tableCell","attrs":{"localId":"1bbff26c32c1"},"content":[{"type":"paragraph","content":[{"type":"text","text":"5"}],"attrs":{"localId":"dde9d3b195d0"}}]},{"type":"tableCell","attrs":{"localId":"f15bbceb8749"},"content":[{"type":"paragraph","content":[{"type":"text","text":"5"}],"attrs":{"localId":"c837459e61d7"}}]}]},{"type":"tableRow","attrs":{"localId":"2f6eb9c4003d"},"content":[{"type":"tableCell","attrs":{"localId":"aca67c894cf2","background":"white"},"content":[{"type":"paragraph","content":[{"type":"text","text":"LIDs Shared"}],"attrs":{"localId":"24b70cae6034"}}]},{"type":"tableCell","attrs":{"localId":"c75a1bc5b329"},"content":[{"type":"paragraph","content":[{"type":"text","text":"5"}],"attrs":{"localId":"88a013f855e2"}}]},{"type":"tableCell","attrs":{"localId":"e6288a7fe1f6"},"content":[{"type":"paragraph","content":[{"type":"text","text":"5"}],"attrs":{"localId":"84b80d5f9511"}}]}]},{"type":"tableRow","attrs":{"localId":"ca906fa432a9"},"content":[{"type":"tableCell","attrs":{"localId":"5cac7c718f5f","background":"white"},"content":[{"type":"paragraph","content":[{"type":"text","text":"LIDs Stuck in the System"}],"attrs":{"localId":"94b93e4e9283"}}]},{"type":"tableCell","attrs":{"localId":"691394d0d19e"},"content":[{"type":"paragraph","content":[{"type":"text","text":"0"}],"attrs":{"localId":"99e6a2de49f0"}}]},{"type":"tableCell","attrs":{"localId":"66c98a820966"},"content":[{"type":"paragraph","content":[{"type":"text","text":"0"}],"attrs":{"localId":"8ac2f4baef23"}}]}]}]}
{adf}
With this, we are closing this request from our end.
Thank you for your patience, support, and cooperation throughout the process. Your brand is important to us, and we look forward to assisting you again."</t>
  </si>
  <si>
    <t>Date :07/28/2026 &lt;Ticket picked for pre processing Option 11 Sku 69&gt; &lt;Ishani&gt;;Date :07/28/2026 &lt;Ticket picked for Production and QC review Option 11 Sku 69&gt; &lt;Ishani&gt;;Date :07/28/2026 &lt;Pre Processing query to Brand &lt;Size Chart&gt;&gt; &lt;Ishani&gt;;Date :07/29/2026 &lt;Pre Processing query to Brand &lt;Image Query&gt;&gt; &lt;Ankita&gt;;Date :07/30/2026 &lt; Pre Processing query to Brand 1st Follow Up&gt; &lt;Ishani&gt;;Date :07/31/2026 &lt;Ticket has been successfully uploaded in our system. Option 11 Sku 69&gt; &lt;Ishani&gt;
[^Summary.zip] [^Post Upload Status_V.2 (1) (1).xlsx] ;[^UCW-35110.xlsx]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5acf5bcc-1c20-47bd-902c-ddb7c2a1863b"},"content":[{"type":"tableRow","attrs":{"localId":"57db60a2a580"},"content":[{"type":"tableCell","attrs":{"localId":"f22e4f74e21b","background":"#44b3e1"},"content":[{"type":"paragraph","content":[{"type":"text","text":"Ticket ID","marks":[{"type":"strong"}]}],"attrs":{"localId":"a985c40acc62"}}]},{"type":"tableCell","attrs":{"localId":"1c364be6d539","colspan":2,"background":"#44b3e1"},"content":[{"type":"paragraph","content":[{"type":"text","text":"UCW-35110","marks":[{"type":"strong"}]}],"attrs":{"localId":"6354d2ee1cce"}}]}]},{"type":"tableRow","attrs":{"localId":"58e4998873e0"},"content":[{"type":"tableCell","attrs":{"localId":"38c90605beda","background":"#44b3e1"},"content":[{"type":"paragraph","content":[{"type":"text","text":"Brand Name","marks":[{"type":"strong"}]}],"attrs":{"localId":"f9feef759460"}}]},{"type":"tableCell","attrs":{"localId":"91a0648e814e","colspan":2,"background":"#44b3e1"},"content":[{"type":"paragraph","content":[{"type":"text","text":"Monkstory","marks":[{"type":"strong"}]}],"attrs":{"localId":"5da1125d6f33"}}]}]},{"type":"tableRow","attrs":{"localId":"5451d8152999"},"content":[{"type":"tableCell","attrs":{"localId":"bb315bbf6458","background":"#ace5fe"},"content":[{"type":"paragraph","content":[{"type":"text","text":"Platform","marks":[{"type":"strong"}]}],"attrs":{"localId":"8a6b2654363c"}}]},{"type":"tableCell","attrs":{"localId":"6a7435038579","colspan":2,"background":"#ace5fe"},"content":[{"type":"paragraph","content":[{"type":"text","text":"Luxury","marks":[{"type":"strong"}]}],"attrs":{"localId":"598d762c27a5"}}]}]},{"type":"tableRow","attrs":{"localId":"6311dda8e3fd"},"content":[{"type":"tableCell","attrs":{"localId":"053d8c1d3c79","background":"#ace5fe"},"content":[{"type":"paragraph","content":[{"type":"text","text":"Particulars","marks":[{"type":"strong"}]}],"attrs":{"localId":"c72774abb334"}}]},{"type":"tableCell","attrs":{"localId":"872982f80111","background":"#ace5fe"},"content":[{"type":"paragraph","content":[{"type":"text","text":"SKU Count","marks":[{"type":"strong"}]}],"attrs":{"localId":"61a3bd6fc63c"}}]},{"type":"tableCell","attrs":{"localId":"4c790eddd301","background":"#ace5fe"},"content":[{"type":"paragraph","content":[{"type":"text","text":"Option Count","marks":[{"type":"strong"}]}],"attrs":{"localId":"e13525a44d6a"}}]}]},{"type":"tableRow","attrs":{"localId":"155ee0f2c227"},"content":[{"type":"tableCell","attrs":{"localId":"d57bd4718e6f","background":"white"},"content":[{"type":"paragraph","content":[{"type":"text","text":"Received"}],"attrs":{"localId":"861900e1bc2e"}}]},{"type":"tableCell","attrs":{"localId":"f2f860f1e75f"},"content":[{"type":"paragraph","content":[{"type":"text","text":"69"}],"attrs":{"localId":"0230b0ef140d"}}]},{"type":"tableCell","attrs":{"localId":"6a48f0688b7e"},"content":[{"type":"paragraph","content":[{"type":"text","text":"11"}],"attrs":{"localId":"8b19a065579e"}}]}]},{"type":"tableRow","attrs":{"localId":"e4198581fdee"},"content":[{"type":"tableCell","attrs":{"localId":"1d34bbae0c70","background":"white"},"content":[{"type":"paragraph","content":[{"type":"text","text":"Uploaded"}],"attrs":{"localId":"8401f684a1ec"}}]},{"type":"tableCell","attrs":{"localId":"f1b86043fc13"},"content":[{"type":"paragraph","content":[{"type":"text","text":"69"}],"attrs":{"localId":"cfb628c4188b"}}]},{"type":"tableCell","attrs":{"localId":"246555451cb4"},"content":[{"type":"paragraph","content":[{"type":"text","text":"11"}],"attrs":{"localId":"a9d3df40c264"}}]}]},{"type":"tableRow","attrs":{"localId":"c22227c496f9"},"content":[{"type":"tableCell","attrs":{"localId":"8bfefa4296a6","background":"white"},"content":[{"type":"paragraph","content":[{"type":"text","text":"LIDs Shared"}],"attrs":{"localId":"d6473fc58cc4"}}]},{"type":"tableCell","attrs":{"localId":"d08576b54c41"},"content":[{"type":"paragraph","content":[{"type":"text","text":"69"}],"attrs":{"localId":"8b75c30edca6"}}]},{"type":"tableCell","attrs":{"localId":"9741e5f24f3f"},"content":[{"type":"paragraph","content":[{"type":"text","text":"11"}],"attrs":{"localId":"b359076880bd"}}]}]},{"type":"tableRow","attrs":{"localId":"d7138760977d"},"content":[{"type":"tableCell","attrs":{"localId":"de289596b118","background":"white"},"content":[{"type":"paragraph","content":[{"type":"text","text":"LIDs Stuck in the System"}],"attrs":{"localId":"225d541b0808"}}]},{"type":"tableCell","attrs":{"localId":"32ab157f4eea"},"content":[{"type":"paragraph","content":[{"type":"text","text":"0"}],"attrs":{"localId":"140d468cd3b7"}}]},{"type":"tableCell","attrs":{"localId":"522a00fd879f"},"content":[{"type":"paragraph","content":[{"type":"text","text":"0"}],"attrs":{"localId":"978883e6c236"}}]}]}]}
{adf}
With this, we are closing this request from our end.
Thank you for your patience, support, and cooperation throughout the process. Your brand is important to us, and we look forward to assisting you again.</t>
  </si>
  <si>
    <t xml:space="preserve">Just Cavalli </t>
  </si>
  <si>
    <t>Date : 28th Jul, 2026 This ticket has been picked for Pre-Processing and Image Analysis -Mousumi. ;Date : 29th Jul, 2026 Pre-Processing Done( Brand to Query for Weight , Chain Length)-Mousumi
Date : 29th Jul, 2026  QC &amp; Uploaded Done-Mousumi.
PFA the Summary &amp; Post-Uploaded Sheet[^UCW-35106 Post Upload Status_V.2 (1).xlsx] [^Summary.zip] ;[^UCW-35106.xlsx]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565c222-6b7c-4920-b135-a85f2913d261"},"content":[{"type":"tableRow","attrs":{"localId":"3748c3ee2751"},"content":[{"type":"tableCell","attrs":{"localId":"87830d5dd42f","background":"#44b3e1"},"content":[{"type":"paragraph","content":[{"type":"text","text":"Ticket ID","marks":[{"type":"strong"}]}],"attrs":{"localId":"04d7d7dcea43"}}]},{"type":"tableCell","attrs":{"localId":"dee6eeb46ea9","colspan":2,"background":"#44b3e1"},"content":[{"type":"paragraph","content":[{"type":"text","text":"UCW-35106","marks":[{"type":"strong"}]}],"attrs":{"localId":"45c88861de9d"}}]}]},{"type":"tableRow","attrs":{"localId":"3acc5b8ac7bd"},"content":[{"type":"tableCell","attrs":{"localId":"1a9729c847a1","background":"#44b3e1"},"content":[{"type":"paragraph","content":[{"type":"text","text":"Brand Name","marks":[{"type":"strong"}]}],"attrs":{"localId":"26d13195e391"}}]},{"type":"tableCell","attrs":{"localId":"fed2487deb0c","colspan":2,"background":"#44b3e1"},"content":[{"type":"paragraph","content":[{"type":"text","text":"Just Cavalli","marks":[{"type":"strong"}]}],"attrs":{"localId":"a7402c381c03"}}]}]},{"type":"tableRow","attrs":{"localId":"531e5bf00393"},"content":[{"type":"tableCell","attrs":{"localId":"6fc1d7701075","background":"#ace5fe"},"content":[{"type":"paragraph","content":[{"type":"text","text":"Platform","marks":[{"type":"strong"}]}],"attrs":{"localId":"efafdc527a81"}}]},{"type":"tableCell","attrs":{"localId":"6250de2b4c56","colspan":2,"background":"#ace5fe"},"content":[{"type":"paragraph","content":[{"type":"text","text":"Luxury","marks":[{"type":"strong"}]}],"attrs":{"localId":"19896a94048d"}}]}]},{"type":"tableRow","attrs":{"localId":"53435cc8a30a"},"content":[{"type":"tableCell","attrs":{"localId":"c55ea7c58e37","background":"#ace5fe"},"content":[{"type":"paragraph","content":[{"type":"text","text":"Particulars","marks":[{"type":"strong"}]}],"attrs":{"localId":"5df4719db264"}}]},{"type":"tableCell","attrs":{"localId":"cf92c0b0a3fe","background":"#ace5fe"},"content":[{"type":"paragraph","content":[{"type":"text","text":"SKU Count","marks":[{"type":"strong"}]}],"attrs":{"localId":"82f54f168224"}}]},{"type":"tableCell","attrs":{"localId":"1e0f06b7b6b0","background":"#ace5fe"},"content":[{"type":"paragraph","content":[{"type":"text","text":"Option Count","marks":[{"type":"strong"}]}],"attrs":{"localId":"366c4366f671"}}]}]},{"type":"tableRow","attrs":{"localId":"8ea4b5231074"},"content":[{"type":"tableCell","attrs":{"localId":"0b493f8e5e2f","background":"white"},"content":[{"type":"paragraph","content":[{"type":"text","text":"Received"}],"attrs":{"localId":"0bb214739cc0"}}]},{"type":"tableCell","attrs":{"localId":"3e970d59b0f1"},"content":[{"type":"paragraph","content":[{"type":"text","text":"115"}],"attrs":{"localId":"9eae87017587"}}]},{"type":"tableCell","attrs":{"localId":"02c520db36dc"},"content":[{"type":"paragraph","content":[{"type":"text","text":"115"}],"attrs":{"localId":"52ad193dda2b"}}]}]},{"type":"tableRow","attrs":{"localId":"013a469b9f0a"},"content":[{"type":"tableCell","attrs":{"localId":"4f4ba1e1685e","background":"white"},"content":[{"type":"paragraph","content":[{"type":"text","text":"Uploaded"}],"attrs":{"localId":"a185d0957077"}}]},{"type":"tableCell","attrs":{"localId":"119edeece4e6"},"content":[{"type":"paragraph","content":[{"type":"text","text":"115"}],"attrs":{"localId":"77728f84ea92"}}]},{"type":"tableCell","attrs":{"localId":"cb9f0733bb87"},"content":[{"type":"paragraph","content":[{"type":"text","text":"115"}],"attrs":{"localId":"47a71c8f04e3"}}]}]},{"type":"tableRow","attrs":{"localId":"5302d046a38d"},"content":[{"type":"tableCell","attrs":{"localId":"d19c6e3346cb","background":"white"},"content":[{"type":"paragraph","content":[{"type":"text","text":"LIDs Shared"}],"attrs":{"localId":"33d560c53430"}}]},{"type":"tableCell","attrs":{"localId":"28bec8bfab2b"},"content":[{"type":"paragraph","content":[{"type":"text","text":"115"}],"attrs":{"localId":"065113f2b9b3"}}]},{"type":"tableCell","attrs":{"localId":"e72965fec7f2"},"content":[{"type":"paragraph","content":[{"type":"text","text":"115"}],"attrs":{"localId":"fa7eb0d68228"}}]}]},{"type":"tableRow","attrs":{"localId":"561859dce99d"},"content":[{"type":"tableCell","attrs":{"localId":"7d8e305e4b26","background":"white"},"content":[{"type":"paragraph","content":[{"type":"text","text":"LIDs Stuck in the System"}],"attrs":{"localId":"8e1b64fce7b1"}}]},{"type":"tableCell","attrs":{"localId":"dbc765075291"},"content":[{"type":"paragraph","content":[{"type":"text","text":"0"}],"attrs":{"localId":"184600cd45ce"}}]},{"type":"tableCell","attrs":{"localId":"56d3b24f44e2"},"content":[{"type":"paragraph","content":[{"type":"text","text":"0"}],"attrs":{"localId":"1cd5d6ca67ea"}}]}]}]}
{adf}
With this, we are closing this request from our end.
Thank you for your patience, support, and cooperation throughout the process. Your brand is important to us, and we look forward to assisting you again."</t>
  </si>
  <si>
    <t>Date :07/29/2026  &lt;Ticket picked for pre processing Option 296 Sku 1843&gt; &lt;Anwesha Mondal&gt;;Date :07/29/2026  &lt;Pre Processing query to Brand &lt;Image , MRP, Fit, Fabric, Country of Manufacturer &amp; Size Issue&gt;&gt; &lt;Anwesha Mondal&gt; ;Date :08/01/2026&lt;Ticket has been successfully uploaded in our system. Mp Option 272 Sku 1673,Lux Option 235 Sku 1453&gt; &lt;Anwesha Mondal&gt;
[^Post Upload Status_UCW-35105 MP.xlsx]
[^Post Upload Status_UCW-35105 LUX.xlsx]
[^Summary.zip]
;[^UCW-35105 MP.xlsx]
[^UCW-35105 LUX.xlsx]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75bca810-98e4-4ce6-aa23-2c2b734248d8"},"content":[{"type":"tableRow","attrs":{"localId":"32db8b632c6e"},"content":[{"type":"tableCell","attrs":{"localId":"7fc2175d5a3e","background":"#44b3e1"},"content":[{"type":"paragraph","content":[{"type":"text","text":"Ticket ID","marks":[{"type":"strong"}]}],"attrs":{"localId":"9e198d3717bf"}}]},{"type":"tableCell","attrs":{"localId":"109ef739f823","colspan":4,"background":"#44b3e1"},"content":[{"type":"paragraph","content":[{"type":"text","text":"UCW-35105","marks":[{"type":"strong"}]}],"attrs":{"localId":"7cb64e51c218"}}]}]},{"type":"tableRow","attrs":{"localId":"08f81533604b"},"content":[{"type":"tableCell","attrs":{"localId":"9c424b9f076d","background":"#44b3e1"},"content":[{"type":"paragraph","content":[{"type":"text","text":"Brand Name","marks":[{"type":"strong"}]}],"attrs":{"localId":"478bad659eff"}}]},{"type":"tableCell","attrs":{"localId":"4a89a5910517","colspan":4,"background":"#44b3e1"},"content":[{"type":"paragraph","content":[{"type":"text","text":"Adidas","marks":[{"type":"strong"}]}],"attrs":{"localId":"b8a6123c557f"}}]}]},{"type":"tableRow","attrs":{"localId":"6397e33250af"},"content":[{"type":"tableCell","attrs":{"localId":"2160ac4b5fd4","background":"#44b3e1"},"content":[{"type":"paragraph","content":[{"type":"text","text":"Platform","marks":[{"type":"strong"}]}],"attrs":{"localId":"f85b5b7c5ca6"}}]},{"type":"tableCell","attrs":{"localId":"5305c4c99ce7","colspan":2,"background":"#44b3e1"},"content":[{"type":"paragraph","content":[{"type":"text","text":"Luxury","marks":[{"type":"strong"}]}],"attrs":{"localId":"ac0b12c1ce46"}}]},{"type":"tableCell","attrs":{"localId":"50e9ac2e18e0","colspan":2,"background":"#44b3e1"},"content":[{"type":"paragraph","content":[{"type":"text","text":"Mall","marks":[{"type":"strong"}]}],"attrs":{"localId":"04539b761376"}}]}]},{"type":"tableRow","attrs":{"localId":"2dd1f9b52e19"},"content":[{"type":"tableCell","attrs":{"localId":"4d720d4aa2f5","background":"#ace5fe"},"content":[{"type":"paragraph","content":[{"type":"text","text":"Particulars","marks":[{"type":"strong"}]}],"attrs":{"localId":"043337bc7155"}}]},{"type":"tableCell","attrs":{"localId":"9f360abf70c3","background":"#ace5fe"},"content":[{"type":"paragraph","content":[{"type":"text","text":"SKU Count","marks":[{"type":"strong"}]}],"attrs":{"localId":"82787050b13f"}}]},{"type":"tableCell","attrs":{"localId":"57b5b8b8ddb7","background":"#ace5fe"},"content":[{"type":"paragraph","content":[{"type":"text","text":"Option Count","marks":[{"type":"strong"}]}],"attrs":{"localId":"3e22e9bfe60e"}}]},{"type":"tableCell","attrs":{"localId":"dbf743440a64","background":"#ace5fe"},"content":[{"type":"paragraph","content":[{"type":"text","text":"SKU Count","marks":[{"type":"strong"}]}],"attrs":{"localId":"dd80fefe0a3e"}}]},{"type":"tableCell","attrs":{"localId":"1a0705c868e9","background":"#ace5fe"},"content":[{"type":"paragraph","content":[{"type":"text","text":"Option Count","marks":[{"type":"strong"}]}],"attrs":{"localId":"89124ac8586d"}}]}]},{"type":"tableRow","attrs":{"localId":"95ed83ce7a8c"},"content":[{"type":"tableCell","attrs":{"localId":"441f7fa84504","background":"white"},"content":[{"type":"paragraph","content":[{"type":"text","text":"Received"}],"attrs":{"localId":"7a2d0a8ac249"}}]},{"type":"tableCell","attrs":{"localId":"63ac4ec568a6","background":"white"},"content":[{"type":"paragraph","content":[{"type":"text","text":"1595"}],"attrs":{"localId":"7b3e373f5fc3"}}]},{"type":"tableCell","attrs":{"localId":"c1d67cbe9bb9","background":"white"},"content":[{"type":"paragraph","content":[{"type":"text","text":"254"}],"attrs":{"localId":"a818f484b1af"}}]},{"type":"tableCell","attrs":{"localId":"3f8d767cb957","background":"white"},"content":[{"type":"paragraph","content":[{"type":"text","text":"1843"}],"attrs":{"localId":"cbb9f86d0f92"}}]},{"type":"tableCell","attrs":{"localId":"e51b99b2ee10","background":"white"},"content":[{"type":"paragraph","content":[{"type":"text","text":"296"}],"attrs":{"localId":"7e291aaa477e"}}]}]},{"type":"tableRow","attrs":{"localId":"15382428bd21"},"content":[{"type":"tableCell","attrs":{"localId":"7d0b869c3060","background":"white"},"content":[{"type":"paragraph","content":[{"type":"text","text":"Uploaded"}],"attrs":{"localId":"9d991bff1dc0"}}]},{"type":"tableCell","attrs":{"localId":"b2c4cf73411d","background":"white"},"content":[{"type":"paragraph","content":[{"type":"text","text":"1453"}],"attrs":{"localId":"e0906e6f3462"}}]},{"type":"tableCell","attrs":{"localId":"64727fa2775d","background":"white"},"content":[{"type":"paragraph","content":[{"type":"text","text":"235"}],"attrs":{"localId":"824c9adc9370"}}]},{"type":"tableCell","attrs":{"localId":"6223eab7fd13","background":"white"},"content":[{"type":"paragraph","content":[{"type":"text","text":"1673"}],"attrs":{"localId":"f82c5ca7cec9"}}]},{"type":"tableCell","attrs":{"localId":"b03d337d6e4d","background":"white"},"content":[{"type":"paragraph","content":[{"type":"text","text":"272"}],"attrs":{"localId":"fb2052e97857"}}]}]},{"type":"tableRow","attrs":{"localId":"1570a2b71353"},"content":[{"type":"tableCell","attrs":{"localId":"322075e77a4b","background":"white"},"content":[{"type":"paragraph","content":[{"type":"text","text":"SKUs Not Uploaded"}],"attrs":{"localId":"aa95705d8491"}}]},{"type":"tableCell","attrs":{"localId":"f3ba0894b206","background":"white"},"content":[{"type":"paragraph","content":[{"type":"text","text":"50"}],"attrs":{"localId":"c348e49b0b13"}}]},{"type":"tableCell","attrs":{"localId":"63f4db525e85","background":"white"},"content":[{"type":"paragraph","content":[{"type":"text","text":"3"}],"attrs":{"localId":"30f3a3259946"}}]},{"type":"tableCell","attrs":{"localId":"7b097bda0882","background":"white"},"content":[{"type":"paragraph","content":[{"type":"text","text":"60"}],"attrs":{"localId":"c68d8e2ece8b"}}]},{"type":"tableCell","attrs":{"localId":"b7556c870a88","background":"white"},"content":[{"type":"paragraph","content":[{"type":"text","text":"5"}],"attrs":{"localId":"25d88c11b585"}}]}]},{"type":"tableRow","attrs":{"localId":"8dfd5ac9f533"},"content":[{"type":"tableCell","attrs":{"localId":"6a5412f72402","background":"white"},"content":[{"type":"paragraph","content":[{"type":"text","text":"Already Listed"}],"attrs":{"localId":"62868cb4b93b"}}]},{"type":"tableCell","attrs":{"localId":"9ae03b18bea9","background":"white"},"content":[{"type":"paragraph","content":[{"type":"text","text":"92"}],"attrs":{"localId":"e4b12e55d0fd"}}]},{"type":"tableCell","attrs":{"localId":"f6e8eff9bb18","background":"white"},"content":[{"type":"paragraph","content":[{"type":"text","text":"16"}],"attrs":{"localId":"d39d10d29f1c"}}]},{"type":"tableCell","attrs":{"localId":"012d83d9d22e","background":"white"},"content":[{"type":"paragraph","content":[{"type":"text","text":"110"}],"attrs":{"localId":"14062e6fa97e"}}]},{"type":"tableCell","attrs":{"localId":"ec8eb0ea12e8","background":"white"},"content":[{"type":"paragraph","content":[{"type":"text","text":"19"}],"attrs":{"localId":"d50f2f5d8bc1"}}]}]},{"type":"tableRow","attrs":{"localId":"1498fb505624"},"content":[{"type":"tableCell","attrs":{"localId":"a0ce959a36c9","background":"white"},"content":[{"type":"paragraph","content":[{"type":"text","text":"LIDs Shared"}],"attrs":{"localId":"e2bf382a21dc"}}]},{"type":"tableCell","attrs":{"localId":"12a01dbe603b"},"content":[{"type":"paragraph","content":[{"type":"text","text":"1449"}],"attrs":{"localId":"c1d52b8b46ca"}}]},{"type":"tableCell","attrs":{"localId":"b967944ee543"},"content":[{"type":"paragraph","content":[{"type":"text","text":"235"}],"attrs":{"localId":"e2066abcdc12"}}]},{"type":"tableCell","attrs":{"localId":"289822780a9e","background":"white"},"content":[{"type":"paragraph","content":[{"type":"text","text":"1667"}],"attrs":{"localId":"01309c401e6c"}}]},{"type":"tableCell","attrs":{"localId":"8976c4bb6ab0","background":"white"},"content":[{"type":"paragraph","content":[{"type":"text","text":"272"}],"attrs":{"localId":"979181a137ad"}}]}]},{"type":"tableRow","attrs":{"localId":"3437a25681a0"},"content":[{"type":"tableCell","attrs":{"localId":"f78d4828f175","background":"white"},"content":[{"type":"paragraph","content":[{"type":"text","text":"LIDs Stuck in the System"}],"attrs":{"localId":"9e9273071bbc"}}]},{"type":"tableCell","attrs":{"localId":"9a375e5ec46f"},"content":[{"type":"paragraph","content":[{"type":"text","text":"4"}],"attrs":{"localId":"e722c371f946"}}]},{"type":"tableCell","attrs":{"localId":"ed19586c3841","background":"white"},"content":[{"type":"paragraph","content":[{"type":"text","text":"0"}],"attrs":{"localId":"a7942e90bd8a"}}]},{"type":"tableCell","attrs":{"localId":"6280de8ca680"},"content":[{"type":"paragraph","content":[{"type":"text","text":"6"}],"attrs":{"localId":"f412af5b35f4"}}]},{"type":"tableCell","attrs":{"localId":"7ded0dcdc372","background":"white"},"content":[{"type":"paragraph","content":[{"type":"text","text":"0"}],"attrs":{"localId":"c9c729e9f1f3"}}]}]}]}
{adf}
Thank you for your patience, support, and cooperation throughout the process. Your brand is important to us, and we look forward to assisting you again.</t>
  </si>
  <si>
    <t>Latin Quarters</t>
  </si>
  <si>
    <t>Date :07/28/2026  &lt;Ticket picked for pre processing Option 40 Sku 189&gt; &lt;Anwesha Mondal&gt;</t>
  </si>
  <si>
    <t>Date :07/28/2026 &lt;Ticket picked for pre processing Option 22 Sku 178&gt; &lt;Ankita&gt;;Date :07/28/2026 &lt;Ticket picked for Production and QC review Option 22 Sku 176&gt; &lt;Ishani&gt;;Date :07/28/2026 &lt;Ticket has been successfully uploaded in our system. Option 5 Sku 60 &gt; &lt;Ankita&gt;[^Post Upload Status_V.2 (1).xlsx] [^Summary.zip] ;[^UCW-35098.xlsx]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cba7de0-8cbd-4b12-983a-91dba41e566a"},"content":[{"type":"tableRow","attrs":{"localId":"4280b4279dcb"},"content":[{"type":"tableCell","attrs":{"localId":"21f3201983a4","background":"#44b3e1"},"content":[{"type":"paragraph","content":[{"type":"text","text":"Ticket ID","marks":[{"type":"strong"}]}],"attrs":{"localId":"1a5f93617946"}}]},{"type":"tableCell","attrs":{"localId":"a2dd427b6eef","colspan":2,"background":"#44b3e1"},"content":[{"type":"paragraph","content":[{"type":"text","text":"UCW-35098","marks":[{"type":"strong"}]}],"attrs":{"localId":"e21c6e4d3dc0"}}]}]},{"type":"tableRow","attrs":{"localId":"046d3a96a51f"},"content":[{"type":"tableCell","attrs":{"localId":"e4d0ed4dc264","background":"#44b3e1"},"content":[{"type":"paragraph","content":[{"type":"text","text":"Brand Name","marks":[{"type":"strong"}]}],"attrs":{"localId":"f357267c2282"}}]},{"type":"tableCell","attrs":{"localId":"94336f2f0e40","colspan":2,"background":"#44b3e1"},"content":[{"type":"paragraph","content":[{"type":"text","text":"Charles &amp; Keith","marks":[{"type":"strong"}]}],"attrs":{"localId":"8884b8a9045b"}}]}]},{"type":"tableRow","attrs":{"localId":"53f27930619f"},"content":[{"type":"tableCell","attrs":{"localId":"760fcd2349b9","background":"#ace5fe"},"content":[{"type":"paragraph","content":[{"type":"text","text":"Platform","marks":[{"type":"strong"}]}],"attrs":{"localId":"2beb3ba5bc73"}}]},{"type":"tableCell","attrs":{"localId":"79e1c2dd8aa8","colspan":2,"background":"#ace5fe"},"content":[{"type":"paragraph","content":[{"type":"text","text":"Luxury","marks":[{"type":"strong"}]}],"attrs":{"localId":"c69016168411"}}]}]},{"type":"tableRow","attrs":{"localId":"7f409ad1c023"},"content":[{"type":"tableCell","attrs":{"localId":"7d31f2bf9b03","background":"#ace5fe"},"content":[{"type":"paragraph","content":[{"type":"text","text":"Particulars","marks":[{"type":"strong"}]}],"attrs":{"localId":"518c4ae084c4"}}]},{"type":"tableCell","attrs":{"localId":"dfc7a813e501","background":"#ace5fe"},"content":[{"type":"paragraph","content":[{"type":"text","text":"SKU Count","marks":[{"type":"strong"}]}],"attrs":{"localId":"e6ead48199c4"}}]},{"type":"tableCell","attrs":{"localId":"a2cd6968fad9","background":"#ace5fe"},"content":[{"type":"paragraph","content":[{"type":"text","text":"Option Count","marks":[{"type":"strong"}]}],"attrs":{"localId":"cde0af2d2cdd"}}]}]},{"type":"tableRow","attrs":{"localId":"8939f8909f8c"},"content":[{"type":"tableCell","attrs":{"localId":"4ee2c7325072","background":"white"},"content":[{"type":"paragraph","content":[{"type":"text","text":"Received"}],"attrs":{"localId":"d6816285cfd9"}}]},{"type":"tableCell","attrs":{"localId":"2359783613be"},"content":[{"type":"paragraph","content":[{"type":"text","text":"176"}],"attrs":{"localId":"8c6f7586a5ab"}}]},{"type":"tableCell","attrs":{"localId":"8f4eb83b39fb"},"content":[{"type":"paragraph","content":[{"type":"text","text":"22"}],"attrs":{"localId":"f3bdd98b0de0"}}]}]},{"type":"tableRow","attrs":{"localId":"580192283e85"},"content":[{"type":"tableCell","attrs":{"localId":"cdc0be8e14d3","background":"white"},"content":[{"type":"paragraph","content":[{"type":"text","text":"Uploaded"}],"attrs":{"localId":"3f5fab2ea407"}}]},{"type":"tableCell","attrs":{"localId":"8fa92f881b9a"},"content":[{"type":"paragraph","content":[{"type":"text","text":"60"}],"attrs":{"localId":"f6148df1b778"}}]},{"type":"tableCell","attrs":{"localId":"3c81d2bde301"},"content":[{"type":"paragraph","content":[{"type":"text","text":"5"}],"attrs":{"localId":"f90b237dea2d"}}]}]},{"type":"tableRow","attrs":{"localId":"5b8d1803be05"},"content":[{"type":"tableCell","attrs":{"localId":"d3c51a1b6329","background":"white"},"content":[{"type":"paragraph","content":[{"type":"text","text":"Already Listed"}],"attrs":{"localId":"1c55e9ef59e6"}}]},{"type":"tableCell","attrs":{"localId":"134da8a77a68"},"content":[{"type":"paragraph","content":[{"type":"text","text":"116"}],"attrs":{"localId":"ed14788c724a"}}]},{"type":"tableCell","attrs":{"localId":"c07b101d89d5"},"content":[{"type":"paragraph","content":[{"type":"text","text":"17"}],"attrs":{"localId":"c43911f1e26a"}}]}]},{"type":"tableRow","attrs":{"localId":"9a7c56236027"},"content":[{"type":"tableCell","attrs":{"localId":"3fbb5c4267cf","background":"white"},"content":[{"type":"paragraph","content":[{"type":"text","text":"LIDs Shared"}],"attrs":{"localId":"c344e324cd01"}}]},{"type":"tableCell","attrs":{"localId":"322e19d9b93c"},"content":[{"type":"paragraph","content":[{"type":"text","text":"60"}],"attrs":{"localId":"f2e9b9bd16fe"}}]},{"type":"tableCell","attrs":{"localId":"47d257e8f71b"},"content":[{"type":"paragraph","content":[{"type":"text","text":"5"}],"attrs":{"localId":"ad5ed9fc22df"}}]}]},{"type":"tableRow","attrs":{"localId":"a302eabf7c1e"},"content":[{"type":"tableCell","attrs":{"localId":"7f8049255586","background":"white"},"content":[{"type":"paragraph","content":[{"type":"text","text":"LIDs Stuck in the System"}],"attrs":{"localId":"9d31f1737539"}}]},{"type":"tableCell","attrs":{"localId":"ac814178eb4a"},"content":[{"type":"paragraph","content":[{"type":"text","text":"0"}],"attrs":{"localId":"87dd7ed53587"}}]},{"type":"tableCell","attrs":{"localId":"ee0b1ab85aa0"},"content":[{"type":"paragraph","content":[{"type":"text","text":"0"}],"attrs":{"localId":"9f4f00ba6bfe"}}]}]}]}
{adf}
With this, we are closing this request from our end.
Thank you for your patience, support, and cooperation throughout the process. Your brand is important to us, and we look forward to assisting you again."</t>
  </si>
  <si>
    <t xml:space="preserve">Autumnlane </t>
  </si>
  <si>
    <t>Date :07/28/2026  &lt;Ticket picked for pre processing Option 79 Sku 474&gt; &lt;Anwesha Mondal&gt;;Date :07/28/2026 &lt;Pre Processing query to Brand &lt;Fabric ,EAN, Image &amp; Size measurement Missing&gt;&gt; &lt;Anwesha Mondal&gt; ;Date :07/29/2026 &lt; Pre Processing query to Brand 1st Follow Up&gt; &lt;Anwesha Mondal&gt;;Date :07/31/2026 &lt; Size Chart Code Creation&gt; &lt;Anwesha Mondal&gt;
[^UCW-35093 Autumnlane LUX.csv]
[^UCW-35093 Autumnlane MP.csv]
;!image-20260731-053131.png|width=691,alt="image-20260731-053131.png"!
!image-20260731-053739.png|width=670,alt="image-20260731-053739.png"!;Date :07/31/2026 &lt;Ticket has been successfully uploaded in our system. Option 78  Sku 468&gt; &lt;Anwesha Mondal&gt;
[^Post Upload Status_UCW-35093.xlsx]
[^Summary.zip]
;[^UCW-35093.xlsx]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e59ed5b-2762-4751-8795-56ad61b4ce70"},"content":[{"type":"tableRow","attrs":{"localId":"2d18670ce60a"},"content":[{"type":"tableCell","attrs":{"localId":"047ce6935172","background":"#44b3e1"},"content":[{"type":"paragraph","content":[{"type":"text","text":"Ticket ID","marks":[{"type":"strong"}]}],"attrs":{"localId":"4b91342b78cf"}}]},{"type":"tableCell","attrs":{"localId":"078661e2f401","colspan":2,"background":"#44b3e1"},"content":[{"type":"paragraph","content":[{"type":"text","text":"UCW-35093","marks":[{"type":"strong"}]}],"attrs":{"localId":"a895caeada22"}}]}]},{"type":"tableRow","attrs":{"localId":"b187ddd9cc2a"},"content":[{"type":"tableCell","attrs":{"localId":"14bf128fb8e4","background":"#44b3e1"},"content":[{"type":"paragraph","content":[{"type":"text","text":"Brand Name","marks":[{"type":"strong"}]}],"attrs":{"localId":"372f82792dea"}}]},{"type":"tableCell","attrs":{"localId":"7053793be865","colspan":2,"background":"#44b3e1"},"content":[{"type":"paragraph","content":[{"type":"text","text":"Autumnlane ","marks":[{"type":"strong"}]}],"attrs":{"localId":"e1225100a1d9"}}]}]},{"type":"tableRow","attrs":{"localId":"ef9f9e1a1be9"},"content":[{"type":"tableCell","attrs":{"localId":"e4878ccfde07","background":"#ace5fe"},"content":[{"type":"paragraph","content":[{"type":"text","text":"Platform","marks":[{"type":"strong"}]}],"attrs":{"localId":"9cd9c1d0008c"}}]},{"type":"tableCell","attrs":{"localId":"c4b4d44618dc","colspan":2,"background":"#ace5fe"},"content":[{"type":"paragraph","content":[{"type":"text","text":"Mall + Luxury","marks":[{"type":"strong"}]}],"attrs":{"localId":"a72c94909750"}}]}]},{"type":"tableRow","attrs":{"localId":"6a9c9b1d2c53"},"content":[{"type":"tableCell","attrs":{"localId":"91e9565da282","background":"#ace5fe"},"content":[{"type":"paragraph","content":[{"type":"text","text":"Particulars","marks":[{"type":"strong"}]}],"attrs":{"localId":"7ecdf295ffdf"}}]},{"type":"tableCell","attrs":{"localId":"d78cb82f214c","background":"#ace5fe"},"content":[{"type":"paragraph","content":[{"type":"text","text":"SKU Count","marks":[{"type":"strong"}]}],"attrs":{"localId":"ef3b4d8ce948"}}]},{"type":"tableCell","attrs":{"localId":"2f795e40572d","background":"#ace5fe"},"content":[{"type":"paragraph","content":[{"type":"text","text":"Option Count","marks":[{"type":"strong"}]}],"attrs":{"localId":"ef29df42c909"}}]}]},{"type":"tableRow","attrs":{"localId":"4ee37b22eb33"},"content":[{"type":"tableCell","attrs":{"localId":"9b953acc1256","background":"white"},"content":[{"type":"paragraph","content":[{"type":"text","text":"Received"}],"attrs":{"localId":"da36f935e70f"}}]},{"type":"tableCell","attrs":{"localId":"784df255210e"},"content":[{"type":"paragraph","content":[{"type":"text","text":"474"}],"attrs":{"localId":"c583250a1d4a"}}]},{"type":"tableCell","attrs":{"localId":"4b1da6bb18cf"},"content":[{"type":"paragraph","content":[{"type":"text","text":"79"}],"attrs":{"localId":"f7dd9b01471e"}}]}]},{"type":"tableRow","attrs":{"localId":"ad01249a4f76"},"content":[{"type":"tableCell","attrs":{"localId":"5c2531b720db","background":"white"},"content":[{"type":"paragraph","content":[{"type":"text","text":"Uploaded"}],"attrs":{"localId":"cdeccc8a4508"}}]},{"type":"tableCell","attrs":{"localId":"093418457630"},"content":[{"type":"paragraph","content":[{"type":"text","text":"468"}],"attrs":{"localId":"0117c8c4de2f"}}]},{"type":"tableCell","attrs":{"localId":"dd3254452143"},"content":[{"type":"paragraph","content":[{"type":"text","text":"78"}],"attrs":{"localId":"ec66970bf1db"}}]}]},{"type":"tableRow","attrs":{"localId":"89c30b11fcc1"},"content":[{"type":"tableCell","attrs":{"localId":"f8d85d246161","background":"white"},"content":[{"type":"paragraph","content":[{"type":"text","text":"SKUs Not Uploaded"}],"attrs":{"localId":"a2e083437741"}}]},{"type":"tableCell","attrs":{"localId":"a254c35d620a"},"content":[{"type":"paragraph","content":[{"type":"text","text":"6"}],"attrs":{"localId":"1855de14f0d8"}}]},{"type":"tableCell","attrs":{"localId":"8877d81d419e"},"content":[{"type":"paragraph","content":[{"type":"text","text":"1"}],"attrs":{"localId":"214609ec6ab6"}}]}]},{"type":"tableRow","attrs":{"localId":"a7fe950347f4"},"content":[{"type":"tableCell","attrs":{"localId":"c2274d241aef","background":"white"},"content":[{"type":"paragraph","content":[{"type":"text","text":"LIDs Shared"}],"attrs":{"localId":"6492687812cf"}}]},{"type":"tableCell","attrs":{"localId":"307cf8c5ee70"},"content":[{"type":"paragraph","content":[{"type":"text","text":"468"}],"attrs":{"localId":"15aa85348a72"}}]},{"type":"tableCell","attrs":{"localId":"1d4491537cd0"},"content":[{"type":"paragraph","content":[{"type":"text","text":"78"}],"attrs":{"localId":"66497f841a75"}}]}]},{"type":"tableRow","attrs":{"localId":"ccd5052f7a9f"},"content":[{"type":"tableCell","attrs":{"localId":"0946aeaa3222","background":"white"},"content":[{"type":"paragraph","content":[{"type":"text","text":"LIDs Stuck in the System"}],"attrs":{"localId":"ad1834e2d88b"}}]},{"type":"tableCell","attrs":{"localId":"a33dbd7dfc70"},"content":[{"type":"paragraph","content":[{"type":"text","text":"0"}],"attrs":{"localId":"800bdfba2970"}}]},{"type":"tableCell","attrs":{"localId":"657afd11f607"},"content":[{"type":"paragraph","content":[{"type":"text","text":"0"}],"attrs":{"localId":"8e9cf5c7f642"}}]}]}]}
{adf}
With this, we are closing this request from our end.
Thank you for your patience, support, and cooperation throughout the process. Your brand is important to us, and we look forward to assisting you again.</t>
  </si>
  <si>
    <t>Date : 28th Jul, 2026 This ticket has been picked for Pre-Processing and Image Analysis -Mousumi. ;Date : 29th Jul, 2026 Pre-Processing Done (Brand to QUery)-Mousumi
Date : 29th Jul, 2026 QC &amp; Uploaded Done-Mousumi
PFA the Post-Uploaded Sheet[^UCW-35088 Post Upload Status_V.2 (1).xlsx] ;[^UCW-35088 Post Upload Status_V.2 (1) (59539980-11fe-406e-a006-9a99921b7133).xlsx]
*We checked and found that both SKUs were already listed earlier.*
With this, we are closing this request from our end.
Thank you for your patience, support, and cooperation throughout the process. Your brand is important to us, and we look forward to assisting you again.</t>
  </si>
  <si>
    <t>Date :07/28/2026 &lt;Ticket picked for pre processing Option 25 Sku 173&gt; &lt;Ankita&gt;;Date :07/28/2026 &lt;Ticket picked for Production and QC review Option 25 Sku 173&gt; &lt;Ankita&gt;;Date :07/29/2026 &lt;Ticket has been successfully uploaded in our system. Option 25 Sku 173&gt; &lt;Ankita&gt;[^Summary.zip] [^Post Upload Status_V.2 (1).xlsx] ;[^UCW-35082.xlsx]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4812534d-c29b-41f5-9d1f-0f92ee9b7d11"},"content":[{"type":"tableRow","attrs":{"localId":"290e47affa50"},"content":[{"type":"tableCell","attrs":{"localId":"c08c64c67b27","background":"#44b3e1"},"content":[{"type":"paragraph","content":[{"type":"text","text":"Ticket ID","marks":[{"type":"strong"}]}],"attrs":{"localId":"a8f74f196eb9"}}]},{"type":"tableCell","attrs":{"localId":"183a24efcd95","colspan":2,"background":"#44b3e1"},"content":[{"type":"paragraph","content":[{"type":"text","text":"UCW-35082","marks":[{"type":"strong"}]}],"attrs":{"localId":"1e6160d74f4c"}}]}]},{"type":"tableRow","attrs":{"localId":"1eec6122c351"},"content":[{"type":"tableCell","attrs":{"localId":"6bf83d0e66e3","background":"#44b3e1"},"content":[{"type":"paragraph","content":[{"type":"text","text":"Brand Name","marks":[{"type":"strong"}]}],"attrs":{"localId":"f5600f862bc1"}}]},{"type":"tableCell","attrs":{"localId":"7accd54442e5","colspan":2,"background":"#44b3e1"},"content":[{"type":"paragraph","content":[{"type":"text","text":"Neemans","marks":[{"type":"strong"}]}],"attrs":{"localId":"59c696dcc0d3"}}]}]},{"type":"tableRow","attrs":{"localId":"6484434b2d51"},"content":[{"type":"tableCell","attrs":{"localId":"31d871125132","background":"#ace5fe"},"content":[{"type":"paragraph","content":[{"type":"text","text":"Platform","marks":[{"type":"strong"}]}],"attrs":{"localId":"c2b36fb3070b"}}]},{"type":"tableCell","attrs":{"localId":"b162e4489516","colspan":2,"background":"#ace5fe"},"content":[{"type":"paragraph","content":[{"type":"text","text":"Mall","marks":[{"type":"strong"}]}],"attrs":{"localId":"f6c8dfbc9d5a"}}]}]},{"type":"tableRow","attrs":{"localId":"c0ec0d2742fe"},"content":[{"type":"tableCell","attrs":{"localId":"ad1c67ca9cd4","background":"#ace5fe"},"content":[{"type":"paragraph","content":[{"type":"text","text":"Particulars","marks":[{"type":"strong"}]}],"attrs":{"localId":"4d532ac601d8"}}]},{"type":"tableCell","attrs":{"localId":"92551f72ed53","background":"#ace5fe"},"content":[{"type":"paragraph","content":[{"type":"text","text":"SKU Count","marks":[{"type":"strong"}]}],"attrs":{"localId":"0dae82abdab2"}}]},{"type":"tableCell","attrs":{"localId":"7e0180b36f4c","background":"#ace5fe"},"content":[{"type":"paragraph","content":[{"type":"text","text":"Option Count","marks":[{"type":"strong"}]}],"attrs":{"localId":"a22466b342b6"}}]}]},{"type":"tableRow","attrs":{"localId":"e62b6afcb2f4"},"content":[{"type":"tableCell","attrs":{"localId":"bef660de3f05","background":"white"},"content":[{"type":"paragraph","content":[{"type":"text","text":"Received"}],"attrs":{"localId":"710330243314"}}]},{"type":"tableCell","attrs":{"localId":"46125114e531"},"content":[{"type":"paragraph","content":[{"type":"text","text":"173"}],"attrs":{"localId":"32b18d83fb9e"}}]},{"type":"tableCell","attrs":{"localId":"7be13b6f9d0f"},"content":[{"type":"paragraph","content":[{"type":"text","text":"25"}],"attrs":{"localId":"cef6b1d3e918"}}]}]},{"type":"tableRow","attrs":{"localId":"53a55df9daff"},"content":[{"type":"tableCell","attrs":{"localId":"ab4e352ffaa1","background":"white"},"content":[{"type":"paragraph","content":[{"type":"text","text":"Uploaded"}],"attrs":{"localId":"12c192b29de6"}}]},{"type":"tableCell","attrs":{"localId":"220db2e824f0"},"content":[{"type":"paragraph","content":[{"type":"text","text":"173"}],"attrs":{"localId":"ce89cab522e7"}}]},{"type":"tableCell","attrs":{"localId":"7104673391df"},"content":[{"type":"paragraph","content":[{"type":"text","text":"25"}],"attrs":{"localId":"1de592cdf477"}}]}]},{"type":"tableRow","attrs":{"localId":"6739402ac561"},"content":[{"type":"tableCell","attrs":{"localId":"08c9cb3372be","background":"white"},"content":[{"type":"paragraph","content":[{"type":"text","text":"LIDs Shared"}],"attrs":{"localId":"a54c2acd6fdc"}}]},{"type":"tableCell","attrs":{"localId":"49b2fd645ef0"},"content":[{"type":"paragraph","content":[{"type":"text","text":"83"}],"attrs":{"localId":"d8a7ae778484"}}]},{"type":"tableCell","attrs":{"localId":"e27d240dfd18"},"content":[{"type":"paragraph","content":[{"type":"text","text":"13"}],"attrs":{"localId":"7b4e2fd26aea"}}]}]},{"type":"tableRow","attrs":{"localId":"909a6df1feda"},"content":[{"type":"tableCell","attrs":{"localId":"b08007c589c1","background":"white"},"content":[{"type":"paragraph","content":[{"type":"text","text":"LIDs Stuck in the System"}],"attrs":{"localId":"e7f05baa96f3"}}]},{"type":"tableCell","attrs":{"localId":"ba3f4a7e1f16"},"content":[{"type":"paragraph","content":[{"type":"text","text":"90"}],"attrs":{"localId":"fe629676285c"}}]},{"type":"tableCell","attrs":{"localId":"3666d18b1854"},"content":[{"type":"paragraph","content":[{"type":"text","text":"12"}],"attrs":{"localId":"fb6a181a775c"}}]}]}]}
{adf}
12 Options are stuck in SFA. We have already taken the necessary action from our end, but the issue still persists. Therefore, we have highlighted the issue to the Tech Team. Once we receive an update or resolution, we will inform you accordingly.
Tech Ticket: [https://tatacliqhelpdesk.freshservice.com/support/tickets/224924|https://tatacliqhelpdesk.freshservice.com/support/tickets/224924]
Thank you for your patience, support, and cooperation throughout the process. Your brand is important to us, and we look forward to assisting you again.</t>
  </si>
  <si>
    <t>Red tape</t>
  </si>
  <si>
    <t>Date :07/28/2026 &lt;Ticket picked for pre processing Option: 25 SKU: 150&gt; &lt;Sanjana Ghosh&gt;;Date :07/28/2026 &lt;Pre Processing query to Brand &lt;Size Duplicate&gt; &lt;Sanjana Ghosh&gt; ;Date :07/29/2026 &lt;Pre Processing query to Brand &lt;Image Link Issue&gt; &lt;Sanjana Ghosh&gt; ;Date :07/31/2026 &lt; Closing ticket for Brand not Responding 1st Follow Up 28th, 2nd  Follow Up 29th&gt; &lt;Sanjana&gt;</t>
  </si>
  <si>
    <t>On</t>
  </si>
  <si>
    <t>[^Status Of UCW-35073.xlsx]
[^Summary.zip]
We have Updated the changes and also attached the summary file. Once the Updates are successfully reflected, we will let you know
CL43654 for this we have raise L1 for style code update
[https://tatacliqhelpdesk.freshservice.com/support/tickets/224386|https://tatacliqhelpdesk.freshservice.com/support/tickets/224386];Date :07/28/2026&lt;Ticket has been successfully uploaded in our system. Option 6 Sku 26&gt; &lt;Rupa&gt;;!Screenshot 2026-07-30 123222.png|width=530,alt="Screenshot 2026-07-30 123222.png"!
!Screenshot 2026-07-30 123033.png|width=530,alt="Screenshot 2026-07-30 123033.png"!
!Screenshot 2026-07-30 115559.png|width=530,alt="Screenshot 2026-07-30 115559.png"!
!Screenshot 2026-07-30 115933.png|width=530,alt="Screenshot 2026-07-30 115933.png"!
!Screenshot 2026-07-30 115441.png|width=530,alt="Screenshot 2026-07-30 115441.png"!
The images, style code and size update have been successfully reflected. Please find the attached screenshots for your reference. As of now, we are closing the ticket. If there are any further concerns, please let us know.</t>
  </si>
  <si>
    <t>Date : 28th Jul, 2026 This ticket has been picked for Pre-Processing and Image Analysis -Mousumi. ;Date : 29th Jul, 2026 Pre-processing Done-(Brand to Query) Mousumi
Date : 29th Jul, 2026 QC &amp; Uplaode Done-Mousumi
PFA the Summary &amp; Post-Uploaded Sheet[^Summary.zip] [^UCW-35068 Post Upload Status_V.2 (1).xlsx] ;[^UCW-35068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808b0e1-9736-4861-81dc-3b0e56c78fba"},"content":[{"type":"tableRow","attrs":{"localId":"6f70429225e3"},"content":[{"type":"tableCell","attrs":{"localId":"d6957c1c311b","background":"#44b3e1"},"content":[{"type":"paragraph","content":[{"type":"text","text":"Ticket ID","marks":[{"type":"strong"}]}],"attrs":{"localId":"ec180a4e5889"}}]},{"type":"tableCell","attrs":{"localId":"db8d8053f6d3","colspan":2,"background":"#44b3e1"},"content":[{"type":"paragraph","content":[{"type":"text","text":"UCW-35068","marks":[{"type":"strong"}]}],"attrs":{"localId":"3290bea2b3a8"}}]}]},{"type":"tableRow","attrs":{"localId":"f85a04ffbb82"},"content":[{"type":"tableCell","attrs":{"localId":"1330b6be2fe5","background":"#44b3e1"},"content":[{"type":"paragraph","content":[{"type":"text","text":"Brand Name","marks":[{"type":"strong"}]}],"attrs":{"localId":"f02645a51a8b"}}]},{"type":"tableCell","attrs":{"localId":"6222b1ddcc11","colspan":2,"background":"#44b3e1"},"content":[{"type":"paragraph","content":[{"type":"text","text":"MMTC-PAMP","marks":[{"type":"strong"}]}],"attrs":{"localId":"460314a56cf9"}}]}]},{"type":"tableRow","attrs":{"localId":"2a71aebb8545"},"content":[{"type":"tableCell","attrs":{"localId":"ee01a5e8ad20","background":"#ace5fe"},"content":[{"type":"paragraph","content":[{"type":"text","text":"Platform","marks":[{"type":"strong"}]}],"attrs":{"localId":"bcc6afbcc265"}}]},{"type":"tableCell","attrs":{"localId":"238d0626ad8b","colspan":2,"background":"#ace5fe"},"content":[{"type":"paragraph","content":[{"type":"text","text":"Mall","marks":[{"type":"strong"}]}],"attrs":{"localId":"e66bcc0a508f"}}]}]},{"type":"tableRow","attrs":{"localId":"fc1f9e8537a4"},"content":[{"type":"tableCell","attrs":{"localId":"b8dae09ad394","background":"#ace5fe"},"content":[{"type":"paragraph","content":[{"type":"text","text":"Particulars","marks":[{"type":"strong"}]}],"attrs":{"localId":"2ee6017db160"}}]},{"type":"tableCell","attrs":{"localId":"b405ae57f700","background":"#ace5fe"},"content":[{"type":"paragraph","content":[{"type":"text","text":"SKU Count","marks":[{"type":"strong"}]}],"attrs":{"localId":"205aa90ae625"}}]},{"type":"tableCell","attrs":{"localId":"9f5463840ba2","background":"#ace5fe"},"content":[{"type":"paragraph","content":[{"type":"text","text":"Option Count","marks":[{"type":"strong"}]}],"attrs":{"localId":"cb495a60b4d4"}}]}]},{"type":"tableRow","attrs":{"localId":"b335aab1e47b"},"content":[{"type":"tableCell","attrs":{"localId":"07241301dc26","background":"white"},"content":[{"type":"paragraph","content":[{"type":"text","text":"Received"}],"attrs":{"localId":"440efc05e476"}}]},{"type":"tableCell","attrs":{"localId":"e32d1b603309"},"content":[{"type":"paragraph","content":[{"type":"text","text":"1"}],"attrs":{"localId":"1937970e3318"}}]},{"type":"tableCell","attrs":{"localId":"d83ddf1fb83c"},"content":[{"type":"paragraph","content":[{"type":"text","text":"1"}],"attrs":{"localId":"25f2ae46567c"}}]}]},{"type":"tableRow","attrs":{"localId":"faf9a098b62e"},"content":[{"type":"tableCell","attrs":{"localId":"a5474885d055","background":"white"},"content":[{"type":"paragraph","content":[{"type":"text","text":"Uploaded"}],"attrs":{"localId":"6d7a99f84c6d"}}]},{"type":"tableCell","attrs":{"localId":"99676f56a583"},"content":[{"type":"paragraph","content":[{"type":"text","text":"1"}],"attrs":{"localId":"84c6c15fa7bf"}}]},{"type":"tableCell","attrs":{"localId":"cb4b8ab7cca3"},"content":[{"type":"paragraph","content":[{"type":"text","text":"1"}],"attrs":{"localId":"eb873e1cdf25"}}]}]},{"type":"tableRow","attrs":{"localId":"85defbc59ae0"},"content":[{"type":"tableCell","attrs":{"localId":"d31633eeb592","background":"white"},"content":[{"type":"paragraph","content":[{"type":"text","text":"LIDs Shared"}],"attrs":{"localId":"2f06437084b8"}}]},{"type":"tableCell","attrs":{"localId":"6571e5c2675d"},"content":[{"type":"paragraph","content":[{"type":"text","text":"1"}],"attrs":{"localId":"8c3d4ff32e0e"}}]},{"type":"tableCell","attrs":{"localId":"e2da020b3a95"},"content":[{"type":"paragraph","content":[{"type":"text","text":"1"}],"attrs":{"localId":"b9b0fd805f09"}}]}]},{"type":"tableRow","attrs":{"localId":"17b62fb2bc7a"},"content":[{"type":"tableCell","attrs":{"localId":"f9ffd2ebe27e","background":"white"},"content":[{"type":"paragraph","content":[{"type":"text","text":"LIDs Stuck in the System"}],"attrs":{"localId":"d0d3474905f3"}}]},{"type":"tableCell","attrs":{"localId":"26589a28135f"},"content":[{"type":"paragraph","content":[{"type":"text","text":"0"}],"attrs":{"localId":"eb7169db05d7"}}]},{"type":"tableCell","attrs":{"localId":"b10e5c2b6fc2"},"content":[{"type":"paragraph","content":[{"type":"text","text":"0"}],"attrs":{"localId":"fddd681d3b5f"}}]}]}]}
{adf}
With this, we are closing this request from our end.
Thank you for your patience, support, and cooperation throughout the process. Your brand is important to us, and we look forward to assisting you again."</t>
  </si>
  <si>
    <t>Date : 28th Jul, 2026 We observed that all the SKUs in *UCW-35065* are the same as those in *UCW-34815*. Therefore, to avoid duplicate processing, we have closed *UCW-35065*. - Mousumi</t>
  </si>
  <si>
    <t>Date :07/27/2026 &lt;Ticket picked for pre processing Option 18 Sku 107&gt; &lt;Ankita&gt;;Date :07/28/2026 &lt;Ticket picked for Production and QC review Option 18 Sku 107&gt; &lt;Ankita&gt;;Date :07/28/2026 &lt;Ticket has been successfully uploaded in our system. Option 18 Sku 107&gt; &lt;Ankita&gt;[^Post Upload Status_V.2 (1).xlsx] [^Summary.zip] ;[^UCW-35063.xlsx]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f515800-c768-4001-9285-9bcb99757e14"},"content":[{"type":"tableRow","attrs":{"localId":"8602107f2d3a"},"content":[{"type":"tableCell","attrs":{"localId":"aab91cd92f5a","background":"#44b3e1"},"content":[{"type":"paragraph","content":[{"type":"text","text":"Ticket ID","marks":[{"type":"strong"}]}],"attrs":{"localId":"48c95eef53b1"}}]},{"type":"tableCell","attrs":{"localId":"0df5a5605cf1","colspan":2,"background":"#44b3e1"},"content":[{"type":"paragraph","content":[{"type":"text","text":"UCW-35063","marks":[{"type":"strong"}]}],"attrs":{"localId":"184b833d262d"}}]}]},{"type":"tableRow","attrs":{"localId":"a3801abf0090"},"content":[{"type":"tableCell","attrs":{"localId":"e53687ec0657","background":"#44b3e1"},"content":[{"type":"paragraph","content":[{"type":"text","text":"Brand Name","marks":[{"type":"strong"}]}],"attrs":{"localId":"933b636d1cb7"}}]},{"type":"tableCell","attrs":{"localId":"d5ea7f75bb38","colspan":2,"background":"#44b3e1"},"content":[{"type":"paragraph","content":[{"type":"text","text":"Pelle Albero","marks":[{"type":"strong"}]}],"attrs":{"localId":"420cf886af6e"}}]}]},{"type":"tableRow","attrs":{"localId":"4b2e2095074a"},"content":[{"type":"tableCell","attrs":{"localId":"7310c5382992","background":"#ace5fe"},"content":[{"type":"paragraph","content":[{"type":"text","text":"Platform","marks":[{"type":"strong"}]}],"attrs":{"localId":"8302eed6dad9"}}]},{"type":"tableCell","attrs":{"localId":"49e2802d4a60","colspan":2,"background":"#ace5fe"},"content":[{"type":"paragraph","content":[{"type":"text","text":"Mall","marks":[{"type":"strong"}]}],"attrs":{"localId":"a455fcf3ee5c"}}]}]},{"type":"tableRow","attrs":{"localId":"4cda6eeaee2c"},"content":[{"type":"tableCell","attrs":{"localId":"b49a217d7274","background":"#ace5fe"},"content":[{"type":"paragraph","content":[{"type":"text","text":"Particulars","marks":[{"type":"strong"}]}],"attrs":{"localId":"873c6ea1f096"}}]},{"type":"tableCell","attrs":{"localId":"65b108c57c93","background":"#ace5fe"},"content":[{"type":"paragraph","content":[{"type":"text","text":"SKU Count","marks":[{"type":"strong"}]}],"attrs":{"localId":"133d2425ce8b"}}]},{"type":"tableCell","attrs":{"localId":"afe09136cbbd","background":"#ace5fe"},"content":[{"type":"paragraph","content":[{"type":"text","text":"Option Count","marks":[{"type":"strong"}]}],"attrs":{"localId":"06b4365619c5"}}]}]},{"type":"tableRow","attrs":{"localId":"28a4051c774c"},"content":[{"type":"tableCell","attrs":{"localId":"95402389aee9","background":"white"},"content":[{"type":"paragraph","content":[{"type":"text","text":"Received"}],"attrs":{"localId":"9e33feaa7731"}}]},{"type":"tableCell","attrs":{"localId":"3cf6664ab7c3"},"content":[{"type":"paragraph","content":[{"type":"text","text":"107"}],"attrs":{"localId":"7f0b23a20b9b"}}]},{"type":"tableCell","attrs":{"localId":"b8049451981c"},"content":[{"type":"paragraph","content":[{"type":"text","text":"18"}],"attrs":{"localId":"fa78fb782958"}}]}]},{"type":"tableRow","attrs":{"localId":"fdfdb9bd8cb7"},"content":[{"type":"tableCell","attrs":{"localId":"4efba23c17f6","background":"white"},"content":[{"type":"paragraph","content":[{"type":"text","text":"Uploaded"}],"attrs":{"localId":"4c2a1b8ae9e2"}}]},{"type":"tableCell","attrs":{"localId":"27723a53dd21"},"content":[{"type":"paragraph","content":[{"type":"text","text":"107"}],"attrs":{"localId":"55872bd5d47b"}}]},{"type":"tableCell","attrs":{"localId":"f96651e53da2"},"content":[{"type":"paragraph","content":[{"type":"text","text":"18"}],"attrs":{"localId":"448473bc62cc"}}]}]},{"type":"tableRow","attrs":{"localId":"f300b4588fd8"},"content":[{"type":"tableCell","attrs":{"localId":"cb908065a9eb","background":"white"},"content":[{"type":"paragraph","content":[{"type":"text","text":"LIDs Shared"}],"attrs":{"localId":"0e50e12727dc"}}]},{"type":"tableCell","attrs":{"localId":"14e11f20cfd9"},"content":[{"type":"paragraph","content":[{"type":"text","text":"12"}],"attrs":{"localId":"86030bebee67"}}]},{"type":"tableCell","attrs":{"localId":"bb3d49e41850"},"content":[{"type":"paragraph","content":[{"type":"text","text":"3"}],"attrs":{"localId":"b76b501cf911"}}]}]},{"type":"tableRow","attrs":{"localId":"a89847f14473"},"content":[{"type":"tableCell","attrs":{"localId":"0485e518a5df","background":"white"},"content":[{"type":"paragraph","content":[{"type":"text","text":"LIDs Stuck in the System"}],"attrs":{"localId":"354db7ec5d8a"}}]},{"type":"tableCell","attrs":{"localId":"63f01f0ef42b"},"content":[{"type":"paragraph","content":[{"type":"text","text":"95"}],"attrs":{"localId":"479a6399611c"}}]},{"type":"tableCell","attrs":{"localId":"fcc78d4fa6b2"},"content":[{"type":"paragraph","content":[{"type":"text","text":"15"}],"attrs":{"localId":"4224f4170ff0"}}]}]}]}
{adf}
15 Options are stuck in System. We have already taken the necessary action from our end, but the issue still persists. Therefore, we have highlighted the issue to the Tech Team. Once we receive an update or resolution, we will inform you accordingly.
Tech Ticket: [https://tatacliqhelpdesk.freshservice.com/support/tickets/224921|https://tatacliqhelpdesk.freshservice.com/support/tickets/224921]
Thank you for your patience, support, and cooperation throughout the process. Your brand is important to us, and we look forward to assisting you again.</t>
  </si>
  <si>
    <t>Date :07/27/2026 &lt;Ticket picked for pre processing Option 113 Sku 617&gt; &lt;Ankita&gt;;Date :07/28/2026 &lt;Ticket picked for Production and QC review Option 113 Sku 617&gt; &lt;Ishani &amp; Ankita&gt;;Date :07/28/2026 &lt;Pre Processing query to Brand &lt;SKU length Exceed&gt;&gt; &lt;Ishani&gt;;Date :07/29/2026 &lt; Pre Processing query to Brand 1st Follow Up&gt; &lt;Ishani&gt;;Date :07/30/2026 &lt; Pre Processing query to Brand 2nd Follow Up&gt; &lt;Ishani&gt;;Date :07/31/2026 &lt; Pre Processing query to Brand 3rd Follow Up&gt; &lt;Ishani&gt;;Date :07/31/2026 &lt; Closing ticket for Brand not Responding 1st Follow Up 07/29/2026 , 2nd Follow Up 07/30/2026, 3rd Follow up 07/31/2026&gt; &lt;Ishani&gt;</t>
  </si>
  <si>
    <t>Sentra</t>
  </si>
  <si>
    <t>Date :07/27/2026 &lt;Ticket picked for pre processing Option 32 Sku 192&gt; &lt;Ankita&gt;;Date :07/28/2026 &lt;Ticket picked for Production and QC review Option 32 Sku 192&gt; &lt;Ishani&gt;;Date :07/28/2026 &lt;Pre Processing query to Brand &lt;Size Chart&gt;&gt; &lt;Ishani&gt;;Date :07/29/2026 &lt; Pre Processing query to Brand 1st Follow Up&gt; &lt;Ishani&gt;;Date :07/29/2026 &lt;Pre Processing query to Category&gt;&lt;Image Query&gt; &lt;Ishani&gt;;Date :07/29/2026 &lt;Ticket has been successfully uploaded in our system. Option 32 Sku 192&gt; &lt;Ankita&gt;[^Post Upload Status_V.2 (1).xlsx] [^Summary.zip] ;[^UCW-35058.xlsx]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b2068a0-9395-49de-87fe-26515120b24d"},"content":[{"type":"tableRow","attrs":{"localId":"31d6986185f3"},"content":[{"type":"tableCell","attrs":{"localId":"2ec8b707209f","background":"#44b3e1"},"content":[{"type":"paragraph","content":[{"type":"text","text":"Ticket ID","marks":[{"type":"strong"}]}],"attrs":{"localId":"e0394b5e3d76"}}]},{"type":"tableCell","attrs":{"localId":"e6975a7c5431","colspan":2,"background":"#44b3e1"},"content":[{"type":"paragraph","content":[{"type":"text","text":"UCW-35058","marks":[{"type":"strong"}]}],"attrs":{"localId":"a8ef10f2393e"}}]}]},{"type":"tableRow","attrs":{"localId":"b16ef0af4ace"},"content":[{"type":"tableCell","attrs":{"localId":"503aa9434b83","background":"#44b3e1"},"content":[{"type":"paragraph","content":[{"type":"text","text":"Brand Name","marks":[{"type":"strong"}]}],"attrs":{"localId":"5338acdc4737"}}]},{"type":"tableCell","attrs":{"localId":"3eac62cafbca","colspan":2,"background":"#44b3e1"},"content":[{"type":"paragraph","content":[{"type":"text","text":"SCENTRA","marks":[{"type":"strong"}]}],"attrs":{"localId":"9dedf6a2704c"}}]}]},{"type":"tableRow","attrs":{"localId":"9582385e6b1e"},"content":[{"type":"tableCell","attrs":{"localId":"a6f779cc4990","background":"#ace5fe"},"content":[{"type":"paragraph","content":[{"type":"text","text":"Platform","marks":[{"type":"strong"}]}],"attrs":{"localId":"e6fd0402f1a0"}}]},{"type":"tableCell","attrs":{"localId":"d6211570ccec","colspan":2,"background":"#ace5fe"},"content":[{"type":"paragraph","content":[{"type":"text","text":"Mall","marks":[{"type":"strong"}]}],"attrs":{"localId":"28ba20808acf"}}]}]},{"type":"tableRow","attrs":{"localId":"67315a9d836e"},"content":[{"type":"tableCell","attrs":{"localId":"830c69e460cd","background":"#ace5fe"},"content":[{"type":"paragraph","content":[{"type":"text","text":"Particulars","marks":[{"type":"strong"}]}],"attrs":{"localId":"8aa1a15136ed"}}]},{"type":"tableCell","attrs":{"localId":"51f08eec752e","background":"#ace5fe"},"content":[{"type":"paragraph","content":[{"type":"text","text":"SKU Count","marks":[{"type":"strong"}]}],"attrs":{"localId":"05e7fdb9baae"}}]},{"type":"tableCell","attrs":{"localId":"a992172dadb1","background":"#ace5fe"},"content":[{"type":"paragraph","content":[{"type":"text","text":"Option Count","marks":[{"type":"strong"}]}],"attrs":{"localId":"dbbfa7b962bf"}}]}]},{"type":"tableRow","attrs":{"localId":"66fc6aa1f114"},"content":[{"type":"tableCell","attrs":{"localId":"8b69576c5306","background":"white"},"content":[{"type":"paragraph","content":[{"type":"text","text":"Received"}],"attrs":{"localId":"617c83d43a06"}}]},{"type":"tableCell","attrs":{"localId":"ae92d3d8a66f"},"content":[{"type":"paragraph","content":[{"type":"text","text":"192"}],"attrs":{"localId":"d6aceed86267"}}]},{"type":"tableCell","attrs":{"localId":"e901ca8b0bda"},"content":[{"type":"paragraph","content":[{"type":"text","text":"32"}],"attrs":{"localId":"e9c1745ccd27"}}]}]},{"type":"tableRow","attrs":{"localId":"c2e333df5d39"},"content":[{"type":"tableCell","attrs":{"localId":"c80b781ffc0f","background":"white"},"content":[{"type":"paragraph","content":[{"type":"text","text":"Uploaded"}],"attrs":{"localId":"38c359aeb8ec"}}]},{"type":"tableCell","attrs":{"localId":"c3dd11f43f61"},"content":[{"type":"paragraph","content":[{"type":"text","text":"192"}],"attrs":{"localId":"74ef45db50c4"}}]},{"type":"tableCell","attrs":{"localId":"bc03904617ec"},"content":[{"type":"paragraph","content":[{"type":"text","text":"32"}],"attrs":{"localId":"8e164dd17b78"}}]}]},{"type":"tableRow","attrs":{"localId":"959e2a935460"},"content":[{"type":"tableCell","attrs":{"localId":"21c0239f45cc","background":"white"},"content":[{"type":"paragraph","content":[{"type":"text","text":"LIDs Shared"}],"attrs":{"localId":"9825cab0bdcc"}}]},{"type":"tableCell","attrs":{"localId":"d9b07c4210bb"},"content":[{"type":"paragraph","content":[{"type":"text","text":"192"}],"attrs":{"localId":"32abeea9db54"}}]},{"type":"tableCell","attrs":{"localId":"1300eff68c0f"},"content":[{"type":"paragraph","content":[{"type":"text","text":"32"}],"attrs":{"localId":"f8f531c0ae6c"}}]}]},{"type":"tableRow","attrs":{"localId":"f92b2dee09d6"},"content":[{"type":"tableCell","attrs":{"localId":"28cc1609e420","background":"white"},"content":[{"type":"paragraph","content":[{"type":"text","text":"LIDs Stuck in the System"}],"attrs":{"localId":"09e43bf85d17"}}]},{"type":"tableCell","attrs":{"localId":"a1e99a88b19a"},"content":[{"type":"paragraph","content":[{"type":"text","text":"0"}],"attrs":{"localId":"ecd044eade2d"}}]},{"type":"tableCell","attrs":{"localId":"2379543177ab"},"content":[{"type":"paragraph","content":[{"type":"text","text":"0"}],"attrs":{"localId":"f7a3dc951006"}}]}]}]}
{adf}
With this, we are closing this request from our end.
Thank you for your patience, support, and cooperation throughout the process. Your brand is important to us, and we look forward to assisting you again.</t>
  </si>
  <si>
    <t>We have successfully uploaded this batch. Please find the attached summary sheet and summary report.
[^ProductBulkUpload_126349_Beauty__Grooming(MPH22)_Fragrances_and_Perfumes(MPH2211)_Fragrances(MPH2211100)_Perfumes(MPH2211100104)_35212_1785300828307_20260729_102348_488_summary.csv] [^UCW-35054_Upload Status.xlsx]  Date :07/29/2026 &lt;Ticket has been successfully uploaded in our system. SKU 2&gt; &lt;Tania&gt;;[^UCW-35054_Upload Status (f50ba736-1294-4e05-9821-6ad7b7b115da).xlsx]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efb463a-8623-4c34-9bec-c2b946069022"},"content":[{"type":"tableRow","attrs":{"localId":"1b32f40de668"},"content":[{"type":"tableCell","attrs":{"localId":"8d2417c4a285","background":"#44b3e1"},"content":[{"type":"paragraph","content":[{"type":"text","text":"Ticket ID","marks":[{"type":"strong"}]}],"attrs":{"localId":"28f99dd255e3"}}]},{"type":"tableCell","attrs":{"localId":"0c9f33587548","colspan":2,"background":"#44b3e1"},"content":[{"type":"paragraph","content":[{"type":"text","text":"UCW-35054","marks":[{"type":"strong"}]}],"attrs":{"localId":"236c7be61b50"}}]}]},{"type":"tableRow","attrs":{"localId":"8bc815a02e06"},"content":[{"type":"tableCell","attrs":{"localId":"b1b801491811","background":"#44b3e1"},"content":[{"type":"paragraph","content":[{"type":"text","text":"Brand Name","marks":[{"type":"strong"}]}],"attrs":{"localId":"8dd0036a88bd"}}]},{"type":"tableCell","attrs":{"localId":"23716729cba8","colspan":2,"background":"#44b3e1"},"content":[{"type":"paragraph","content":[{"type":"text","text":"Rasasi","marks":[{"type":"strong"}]}],"attrs":{"localId":"4daeb04dc6bd"}}]}]},{"type":"tableRow","attrs":{"localId":"e134c6139271"},"content":[{"type":"tableCell","attrs":{"localId":"fa956fb8407d","background":"#ace5fe"},"content":[{"type":"paragraph","content":[{"type":"text","text":"Platform","marks":[{"type":"strong"}]}],"attrs":{"localId":"6f2840fa5f65"}}]},{"type":"tableCell","attrs":{"localId":"e24c3e9d76cd","colspan":2,"background":"#ace5fe"},"content":[{"type":"paragraph","content":[{"type":"text","text":"Mall","marks":[{"type":"strong"}]}],"attrs":{"localId":"a5ffe9fbdb31"}}]}]},{"type":"tableRow","attrs":{"localId":"1287c0c0a682"},"content":[{"type":"tableCell","attrs":{"localId":"df3c20300bfd","background":"#ace5fe"},"content":[{"type":"paragraph","content":[{"type":"text","text":"Particulars","marks":[{"type":"strong"}]}],"attrs":{"localId":"7ad339173178"}}]},{"type":"tableCell","attrs":{"localId":"5a6e3d52bed0","background":"#ace5fe"},"content":[{"type":"paragraph","content":[{"type":"text","text":"SKU Count","marks":[{"type":"strong"}]}],"attrs":{"localId":"8bd959abac5f"}}]},{"type":"tableCell","attrs":{"localId":"48ec3c1e1298","background":"#ace5fe"},"content":[{"type":"paragraph","content":[{"type":"text","text":"Option Count","marks":[{"type":"strong"}]}],"attrs":{"localId":"84a4bdd1cd35"}}]}]},{"type":"tableRow","attrs":{"localId":"9ec23142f54c"},"content":[{"type":"tableCell","attrs":{"localId":"f48ccb7efecc","background":"white"},"content":[{"type":"paragraph","content":[{"type":"text","text":"Received"}],"attrs":{"localId":"54e3787040dd"}}]},{"type":"tableCell","attrs":{"localId":"0ba4b1ce0e06"},"content":[{"type":"paragraph","content":[{"type":"text","text":"2"}],"attrs":{"localId":"7495444c8e06"}}]},{"type":"tableCell","attrs":{"localId":"10fde283d165"},"content":[{"type":"paragraph","content":[{"type":"text","text":"2"}],"attrs":{"localId":"37e7582aa4fd"}}]}]},{"type":"tableRow","attrs":{"localId":"2a806deda2a9"},"content":[{"type":"tableCell","attrs":{"localId":"ef851c16c3e1","background":"white"},"content":[{"type":"paragraph","content":[{"type":"text","text":"Uploaded"}],"attrs":{"localId":"9a4e9a61394c"}}]},{"type":"tableCell","attrs":{"localId":"521f22f060af"},"content":[{"type":"paragraph","content":[{"type":"text","text":"2"}],"attrs":{"localId":"3e2ea4844c7d"}}]},{"type":"tableCell","attrs":{"localId":"1e71feaf648a"},"content":[{"type":"paragraph","content":[{"type":"text","text":"2"}],"attrs":{"localId":"02afc6c5f8d4"}}]}]},{"type":"tableRow","attrs":{"localId":"dddf379e2ce5"},"content":[{"type":"tableCell","attrs":{"localId":"9b9e003d7670","background":"white"},"content":[{"type":"paragraph","content":[{"type":"text","text":"LIDs Shared"}],"attrs":{"localId":"c812b2cb8d98"}}]},{"type":"tableCell","attrs":{"localId":"6d00fb1897f4"},"content":[{"type":"paragraph","content":[{"type":"text","text":"2"}],"attrs":{"localId":"0a5fa01e54d5"}}]},{"type":"tableCell","attrs":{"localId":"19b1fd57f70a"},"content":[{"type":"paragraph","content":[{"type":"text","text":"2"}],"attrs":{"localId":"5f701bd92b1b"}}]}]},{"type":"tableRow","attrs":{"localId":"52fc4c0992c2"},"content":[{"type":"tableCell","attrs":{"localId":"89c4585b5cb8","background":"white"},"content":[{"type":"paragraph","content":[{"type":"text","text":"LIDs Stuck in the System"}],"attrs":{"localId":"fb8e1793a817"}}]},{"type":"tableCell","attrs":{"localId":"650682a814b9"},"content":[{"type":"paragraph","content":[{"type":"text","text":"0"}],"attrs":{"localId":"86edd997127e"}}]},{"type":"tableCell","attrs":{"localId":"356e700f6d45"},"content":[{"type":"paragraph","content":[{"type":"text","text":"0"}],"attrs":{"localId":"fcc65f70585d"}}]}]}]}
{adf}
With this, we are closing this request from our end.
Thank you for your patience, support, and cooperation throughout the process. Your brand is important to us, and we look forward to assisting you again.</t>
  </si>
  <si>
    <t>Afnan</t>
  </si>
  <si>
    <t>We have successfully uploaded this batch. Please find the attached summary sheet and summary report.[^ProductBulkUpload_126349_Beauty__Grooming(MPH22)_Fragrances_and_Perfumes(MPH2211)_Fragrances(MPH2211100)_Perfumes(MPH2211100104)_35212_1785236342778_20260728_042902_985_summary.csv] [^UCW-35052_Post Upload Status.xlsx] Date :07/28/2026 &lt;Ticket has been successfully uploaded in our system. SKU 1&gt; &lt;Tania&gt;;[^UCW-35052_Post Upload Status (0f20d03c-cc0c-4552-9057-48c14d5b71fb).xlsx]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a95a230-ac88-4a23-bc1a-befff0d1cc92"},"content":[{"type":"tableRow","attrs":{"localId":"139324869365"},"content":[{"type":"tableCell","attrs":{"localId":"cfe146f03f1e","background":"#44b3e1"},"content":[{"type":"paragraph","content":[{"type":"text","text":"Ticket ID","marks":[{"type":"strong"}]}],"attrs":{"localId":"25a8ae8012f4"}}]},{"type":"tableCell","attrs":{"localId":"b93a2b48e569","colspan":2,"background":"#44b3e1"},"content":[{"type":"paragraph","content":[{"type":"text","text":"UCW-35052","marks":[{"type":"strong"}]}],"attrs":{"localId":"b817efde897a"}}]}]},{"type":"tableRow","attrs":{"localId":"e156cb6475df"},"content":[{"type":"tableCell","attrs":{"localId":"a0b64c83e383","background":"#44b3e1"},"content":[{"type":"paragraph","content":[{"type":"text","text":"Brand Name","marks":[{"type":"strong"}]}],"attrs":{"localId":"cadaa87ea293"}}]},{"type":"tableCell","attrs":{"localId":"1a1435ba87c3","colspan":2,"background":"#44b3e1"},"content":[{"type":"paragraph","content":[{"type":"text","text":"Afnan","marks":[{"type":"strong"}]}],"attrs":{"localId":"f764b528e688"}}]}]},{"type":"tableRow","attrs":{"localId":"7c974c5feee9"},"content":[{"type":"tableCell","attrs":{"localId":"f091f3b700c0","background":"#ace5fe"},"content":[{"type":"paragraph","content":[{"type":"text","text":"Platform","marks":[{"type":"strong"}]}],"attrs":{"localId":"844a76618b4d"}}]},{"type":"tableCell","attrs":{"localId":"33963766b50c","colspan":2,"background":"#ace5fe"},"content":[{"type":"paragraph","content":[{"type":"text","text":"Mall","marks":[{"type":"strong"}]}],"attrs":{"localId":"ad7594045c30"}}]}]},{"type":"tableRow","attrs":{"localId":"d480d697efae"},"content":[{"type":"tableCell","attrs":{"localId":"857a5d286f9b","background":"#ace5fe"},"content":[{"type":"paragraph","content":[{"type":"text","text":"Particulars","marks":[{"type":"strong"}]}],"attrs":{"localId":"09c463fd2340"}}]},{"type":"tableCell","attrs":{"localId":"9d8ae897077c","background":"#ace5fe"},"content":[{"type":"paragraph","content":[{"type":"text","text":"SKU Count","marks":[{"type":"strong"}]}],"attrs":{"localId":"8ffc76aa49eb"}}]},{"type":"tableCell","attrs":{"localId":"18449d675344","background":"#ace5fe"},"content":[{"type":"paragraph","content":[{"type":"text","text":"Option Count","marks":[{"type":"strong"}]}],"attrs":{"localId":"348ff28f0b05"}}]}]},{"type":"tableRow","attrs":{"localId":"642329d8f57f"},"content":[{"type":"tableCell","attrs":{"localId":"c70cc516955f","background":"white"},"content":[{"type":"paragraph","content":[{"type":"text","text":"Received"}],"attrs":{"localId":"11a5d483f819"}}]},{"type":"tableCell","attrs":{"localId":"c50f6fc30d91"},"content":[{"type":"paragraph","content":[{"type":"text","text":"1"}],"attrs":{"localId":"781e46d5bdd5"}}]},{"type":"tableCell","attrs":{"localId":"747d1a692af7"},"content":[{"type":"paragraph","content":[{"type":"text","text":"1"}],"attrs":{"localId":"1d1144394356"}}]}]},{"type":"tableRow","attrs":{"localId":"e3c5181a3953"},"content":[{"type":"tableCell","attrs":{"localId":"c7cab3277f3a","background":"white"},"content":[{"type":"paragraph","content":[{"type":"text","text":"Uploaded"}],"attrs":{"localId":"240ecccede62"}}]},{"type":"tableCell","attrs":{"localId":"ea8cca8f3553"},"content":[{"type":"paragraph","content":[{"type":"text","text":"1"}],"attrs":{"localId":"8dda185fde3d"}}]},{"type":"tableCell","attrs":{"localId":"8d24b30e7843"},"content":[{"type":"paragraph","content":[{"type":"text","text":"1"}],"attrs":{"localId":"00a2261f5a32"}}]}]},{"type":"tableRow","attrs":{"localId":"81aee46c84fa"},"content":[{"type":"tableCell","attrs":{"localId":"ca92b5ae9c01","background":"white"},"content":[{"type":"paragraph","content":[{"type":"text","text":"LIDs Shared"}],"attrs":{"localId":"8e341302f401"}}]},{"type":"tableCell","attrs":{"localId":"acc60be35a35"},"content":[{"type":"paragraph","content":[{"type":"text","text":"1"}],"attrs":{"localId":"358376956c05"}}]},{"type":"tableCell","attrs":{"localId":"6f334b0cc815"},"content":[{"type":"paragraph","content":[{"type":"text","text":"1"}],"attrs":{"localId":"b7fe79bad822"}}]}]},{"type":"tableRow","attrs":{"localId":"6f76cd677c0e"},"content":[{"type":"tableCell","attrs":{"localId":"875929657929","background":"white"},"content":[{"type":"paragraph","content":[{"type":"text","text":"LIDs Stuck in the System"}],"attrs":{"localId":"22235547ae8d"}}]},{"type":"tableCell","attrs":{"localId":"5507e8721b18"},"content":[{"type":"paragraph","content":[{"type":"text","text":"0"}],"attrs":{"localId":"e53ebdb3e30b"}}]},{"type":"tableCell","attrs":{"localId":"dd82ca715b6a"},"content":[{"type":"paragraph","content":[{"type":"text","text":"0"}],"attrs":{"localId":"aa9255fe3aa1"}}]}]}]}
{adf}
With this, we are closing this request from our end.
Thank you for your patience, support, and cooperation throughout the process. Your brand is important to us, and we look forward to assisting you again.</t>
  </si>
  <si>
    <t>Thalgo</t>
  </si>
  <si>
    <t xml:space="preserve">As per the guidelines, we are unable to proceed with the SKU change request. If you have any further concerns or questions, please feel free to reach out to us.;[^Status of ucw-35050.xlsx]
[^Summary.zip]
We have updated the changes. Please find the status file and summary; we will share the LID soon.
{adf:display=block}
{"type":"table","attrs":{"isNumberColumnEnabled":false,"layout":"center","localId":"1026968c-aeea-43be-b921-c8058c6ce2cd"},"content":[{"type":"tableRow","attrs":{"localId":"740971914a39"},"content":[{"type":"tableCell","attrs":{"localId":"95269b27afb0"},"content":[{"type":"paragraph","content":[{"type":"text","text":"Ticket ID"}],"attrs":{"localId":"858a94ce0112"}}]},{"type":"tableCell","attrs":{"localId":"8ae83c84b64b","colspan":2},"content":[{"type":"paragraph","content":[{"type":"text","text":"UCW-35050"}],"attrs":{"localId":"784741b56c01"}}]}]},{"type":"tableRow","attrs":{"localId":"7540629a72b1"},"content":[{"type":"tableCell","attrs":{"localId":"edf11af7a6d0"},"content":[{"type":"paragraph","content":[{"type":"text","text":"Brand Name"}],"attrs":{"localId":"1d4b73b350dd"}}]},{"type":"tableCell","attrs":{"localId":"ec873ba39654","colspan":2},"content":[{"type":"paragraph","content":[{"type":"text","text":"Thalgo"}],"attrs":{"localId":"1a222113cfa4"}}]}]},{"type":"tableRow","attrs":{"localId":"e3a6b6862b97"},"content":[{"type":"tableCell","attrs":{"localId":"314c784e2b88"},"content":[{"type":"paragraph","content":[{"type":"text","text":"Platform"}],"attrs":{"localId":"67f6b4d3a7ec"}}]},{"type":"tableCell","attrs":{"localId":"63324cb13c9b","colspan":2},"content":[{"type":"paragraph","content":[{"type":"text","text":"Marketplace+LUX"}],"attrs":{"localId":"92b82b290e90"}}]}]},{"type":"tableRow","attrs":{"localId":"f627e4e234cd"},"content":[{"type":"tableCell","attrs":{"localId":"70caabc49497"},"content":[{"type":"paragraph","content":[{"type":"text","text":"Particulars"}],"attrs":{"localId":"54c78737a9e3"}}]},{"type":"tableCell","attrs":{"localId":"e8c450ae31f0"},"content":[{"type":"paragraph","content":[{"type":"text","text":"SKU Count"}],"attrs":{"localId":"f5c50257636a"}}]},{"type":"tableCell","attrs":{"localId":"895132f1c7bf"},"content":[{"type":"paragraph","content":[{"type":"text","text":"Option Count"}],"attrs":{"localId":"16dfc8af3743"}}]}]},{"type":"tableRow","attrs":{"localId":"1041d180f192"},"content":[{"type":"tableCell","attrs":{"localId":"6e4e2fe0552a"},"content":[{"type":"paragraph","content":[{"type":"text","text":"Received"}],"attrs":{"localId":"908486423c96"}}]},{"type":"tableCell","attrs":{"localId":"d566c782c7a1"},"content":[{"type":"paragraph","content":[{"type":"text","text":"13"}],"attrs":{"localId":"ceb9a7ef6e95"}}]},{"type":"tableCell","attrs":{"localId":"155a51fdb5a5"},"content":[{"type":"paragraph","content":[{"type":"text","text":"13"}],"attrs":{"localId":"a15414ac79f5"}}]}]},{"type":"tableRow","attrs":{"localId":"9644f12f74c2"},"content":[{"type":"tableCell","attrs":{"localId":"a246e2462cf1"},"content":[{"type":"paragraph","content":[{"type":"text","text":"Uploaded"}],"attrs":{"localId":"597828b41bd8"}}]},{"type":"tableCell","attrs":{"localId":"d040155cf7c4"},"content":[{"type":"paragraph","content":[{"type":"text","text":"9"}],"attrs":{"localId":"8e3c11e3a73b"}}]},{"type":"tableCell","attrs":{"localId":"283080d53b40"},"content":[{"type":"paragraph","content":[{"type":"text","text":"9"}],"attrs":{"localId":"a602f405e801"}}]}]},{"type":"tableRow","attrs":{"localId":"8e6aa08a9792"},"content":[{"type":"tableCell","attrs":{"localId":"089315d70178"},"content":[{"type":"paragraph","content":[{"type":"text","text":"Not Upload ( Already listed)"}],"attrs":{"localId":"508fe197f3f4"}}]},{"type":"tableCell","attrs":{"localId":"61c213308568"},"content":[{"type":"paragraph","content":[{"type":"text","text":"4"}],"attrs":{"localId":"a465dd59a50e"}}]},{"type":"tableCell","attrs":{"localId":"5129f8c67353"},"content":[{"type":"paragraph","content":[{"type":"text","text":"4"}],"attrs":{"localId":"8554a62ccce1"}}]}]}]}
{adf};Date :07/31/2026&lt;Ticket has been successfully uploaded in our system. Option 9 Sku 9 &gt; &lt;Rupa&gt;;[^Status of ucw-35050 (8a15b5ab-b0e1-4f00-8cd9-a22b2ce6d2e5).xlsx]
The Changes have been successfully reflected. Please find the attached Sheet for LID. As of now, we are closing the ticket. If there are any further concerns, please let us know. </t>
  </si>
  <si>
    <t>Elca</t>
  </si>
  <si>
    <t>Date :07/27/2026 &lt;Pre Processing query to Brand &lt;Query Deatils- Images access&gt;&gt; &lt;Amandeep&gt;;Date :07/28/2026 &lt;Ticket picked for Production and QC review Option 3 Sku 3&gt; &lt;Amandeep&gt;;We have successfully uploaded this batch. Please find the attached summary sheet and summary report. [^ProductBulkUpload_125928_Beauty__Grooming(MPH22)_Fragrances_and_Perfumes(MPH2211)_Fragrances(MPH2211100)_Perfumes(MPH2211100104)_33887_1785303132546_20260729_110212_697_summary.csv] [^UCW-35034_Post Upload Status.xlsx] Date :07/29/2026 &lt;Ticket has been successfully uploaded in our system. SKU 3&gt; &lt;Tania&gt;;[^UCW-35034_Post Upload Status (0df50aa2-31ac-4901-bc7c-ecdbc18f2412).xlsx]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d0fad89-d27a-4930-a06d-ce0eaaf1f1c1"},"content":[{"type":"tableRow","attrs":{"localId":"751b272b6485"},"content":[{"type":"tableCell","attrs":{"localId":"3ee49550771f","background":"#44b3e1"},"content":[{"type":"paragraph","content":[{"type":"text","text":"Ticket ID","marks":[{"type":"strong"}]}],"attrs":{"localId":"3ee3d672fbeb"}}]},{"type":"tableCell","attrs":{"localId":"99d281f8293a","colspan":2,"background":"#44b3e1"},"content":[{"type":"paragraph","content":[{"type":"text","text":"UCW-35034","marks":[{"type":"strong"}]}],"attrs":{"localId":"eb61d0da7b6e"}}]}]},{"type":"tableRow","attrs":{"localId":"879a6d79344f"},"content":[{"type":"tableCell","attrs":{"localId":"d2bd30fb5471","background":"#44b3e1"},"content":[{"type":"paragraph","content":[{"type":"text","text":"Brand Name","marks":[{"type":"strong"}]}],"attrs":{"localId":"f38ec04d951d"}}]},{"type":"tableCell","attrs":{"localId":"5a594812ce31","colspan":2,"background":"#44b3e1"},"content":[{"type":"paragraph","content":[{"type":"text","text":"Elca","marks":[{"type":"strong"}]}],"attrs":{"localId":"9553cf8842cf"}}]}]},{"type":"tableRow","attrs":{"localId":"cc8ba0015590"},"content":[{"type":"tableCell","attrs":{"localId":"5b822bd7cd46","background":"#ace5fe"},"content":[{"type":"paragraph","content":[{"type":"text","text":"Platform","marks":[{"type":"strong"}]}],"attrs":{"localId":"90c5fa2a9fb6"}}]},{"type":"tableCell","attrs":{"localId":"354785b04c8f","colspan":2,"background":"#ace5fe"},"content":[{"type":"paragraph","content":[{"type":"text","text":"Luxury","marks":[{"type":"strong"}]}],"attrs":{"localId":"cd7c5f5f88be"}}]}]},{"type":"tableRow","attrs":{"localId":"5b456bde8770"},"content":[{"type":"tableCell","attrs":{"localId":"899048fc49a7","background":"#ace5fe"},"content":[{"type":"paragraph","content":[{"type":"text","text":"Particulars","marks":[{"type":"strong"}]}],"attrs":{"localId":"36a3b1ad7290"}}]},{"type":"tableCell","attrs":{"localId":"824cc36b89a6","background":"#ace5fe"},"content":[{"type":"paragraph","content":[{"type":"text","text":"SKU Count","marks":[{"type":"strong"}]}],"attrs":{"localId":"a43cde47d0b3"}}]},{"type":"tableCell","attrs":{"localId":"80e491e56f3b","background":"#ace5fe"},"content":[{"type":"paragraph","content":[{"type":"text","text":"Option Count","marks":[{"type":"strong"}]}],"attrs":{"localId":"b1e09984745c"}}]}]},{"type":"tableRow","attrs":{"localId":"8ac60e35c466"},"content":[{"type":"tableCell","attrs":{"localId":"37bcd7e8d0a8","background":"white"},"content":[{"type":"paragraph","content":[{"type":"text","text":"Received"}],"attrs":{"localId":"b41126276df5"}}]},{"type":"tableCell","attrs":{"localId":"69189acec37d"},"content":[{"type":"paragraph","content":[{"type":"text","text":"3"}],"attrs":{"localId":"ce1f7c64f0cf"}}]},{"type":"tableCell","attrs":{"localId":"69b185cac989"},"content":[{"type":"paragraph","content":[{"type":"text","text":"3"}],"attrs":{"localId":"4a5b3e664733"}}]}]},{"type":"tableRow","attrs":{"localId":"48db4abaefb7"},"content":[{"type":"tableCell","attrs":{"localId":"3e4dc219af78","background":"white"},"content":[{"type":"paragraph","content":[{"type":"text","text":"Uploaded"}],"attrs":{"localId":"82e2d2f7d5e2"}}]},{"type":"tableCell","attrs":{"localId":"14f582da3f24"},"content":[{"type":"paragraph","content":[{"type":"text","text":"3"}],"attrs":{"localId":"c6fdeb574c38"}}]},{"type":"tableCell","attrs":{"localId":"44378620dcb2"},"content":[{"type":"paragraph","content":[{"type":"text","text":"3"}],"attrs":{"localId":"2105fb2e5620"}}]}]},{"type":"tableRow","attrs":{"localId":"18304107c149"},"content":[{"type":"tableCell","attrs":{"localId":"e2b94264bac8","background":"white"},"content":[{"type":"paragraph","content":[{"type":"text","text":"LIDs Shared"}],"attrs":{"localId":"996532cc83a6"}}]},{"type":"tableCell","attrs":{"localId":"3e3769e8b754"},"content":[{"type":"paragraph","content":[{"type":"text","text":"3"}],"attrs":{"localId":"2fcb584b5bd6"}}]},{"type":"tableCell","attrs":{"localId":"a8375742a318"},"content":[{"type":"paragraph","content":[{"type":"text","text":"3"}],"attrs":{"localId":"c226f933c08d"}}]}]},{"type":"tableRow","attrs":{"localId":"040e964ac5cf"},"content":[{"type":"tableCell","attrs":{"localId":"714eb2e92744","background":"white"},"content":[{"type":"paragraph","content":[{"type":"text","text":"LIDs Stuck in the System"}],"attrs":{"localId":"0f73d169e30c"}}]},{"type":"tableCell","attrs":{"localId":"97d0d0182f33"},"content":[{"type":"paragraph","content":[{"type":"text","text":"0"}],"attrs":{"localId":"e3947075ec42"}}]},{"type":"tableCell","attrs":{"localId":"270854055370"},"content":[{"type":"paragraph","content":[{"type":"text","text":"0"}],"attrs":{"localId":"d7ce7c55c3f3"}}]}]}]}
{adf}
With this, we are closing this request from our end.
Thank you for your patience, support, and cooperation throughout the process. Your brand is important to us, and we look forward to assisting you again.</t>
  </si>
  <si>
    <t>Bvlgari,Hermes</t>
  </si>
  <si>
    <t>[^UCW-35033 Summary (e59ca945-a1d5-4759-9103-ca98a9881e31).zip]
;We have successfully uploaded this batch. Please find the attached summary sheet and summary report.[^UCW-35033_Post Upload Status.xlsx] Date :07/28/2026 &lt;Ticket has been successfully uploaded in our system. SKU 2&gt; &lt;Tania&gt;;[^UCW-35033_Post Upload Status (3f43e01f-8cf1-43bb-9a82-4f974bbb3248).xlsx]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04f06ec8-b3b1-4fed-886a-21f651adb3f6"},"content":[{"type":"tableRow","attrs":{"localId":"1b3504a4484b"},"content":[{"type":"tableCell","attrs":{"localId":"237857ee803c","background":"#44b3e1"},"content":[{"type":"paragraph","content":[{"type":"text","text":"Ticket ID","marks":[{"type":"strong"}]}],"attrs":{"localId":"63366df870c5"}}]},{"type":"tableCell","attrs":{"localId":"057a8fc73e1c","colspan":2,"background":"#44b3e1"},"content":[{"type":"paragraph","content":[{"type":"text","text":"UCW-35033","marks":[{"type":"strong"}]}],"attrs":{"localId":"dad2534b4c90"}}]}]},{"type":"tableRow","attrs":{"localId":"70cbbe2a0684"},"content":[{"type":"tableCell","attrs":{"localId":"1ed0dd9a56fb","background":"#44b3e1"},"content":[{"type":"paragraph","content":[{"type":"text","text":"Brand Name","marks":[{"type":"strong"}]}],"attrs":{"localId":"6988b62fd98f"}}]},{"type":"tableCell","attrs":{"localId":"c80473eedfca","colspan":2,"background":"#44b3e1"},"content":[{"type":"paragraph","content":[{"type":"text","text":"Bvlgari,Hermes","marks":[{"type":"strong"}]}],"attrs":{"localId":"ce90913eb141"}}]}]},{"type":"tableRow","attrs":{"localId":"bf7c3523cf81"},"content":[{"type":"tableCell","attrs":{"localId":"d9d0d502cd33","background":"#ace5fe"},"content":[{"type":"paragraph","content":[{"type":"text","text":"Platform","marks":[{"type":"strong"}]}],"attrs":{"localId":"6d4d3d759801"}}]},{"type":"tableCell","attrs":{"localId":"543adf1dd99c","colspan":2,"background":"#ace5fe"},"content":[{"type":"paragraph","content":[{"type":"text","text":"Luxury","marks":[{"type":"strong"}]}],"attrs":{"localId":"6e427bd897c3"}}]}]},{"type":"tableRow","attrs":{"localId":"4d857e3398cc"},"content":[{"type":"tableCell","attrs":{"localId":"2ecf0154a672","background":"#ace5fe"},"content":[{"type":"paragraph","content":[{"type":"text","text":"Particulars","marks":[{"type":"strong"}]}],"attrs":{"localId":"09a40efcd54f"}}]},{"type":"tableCell","attrs":{"localId":"dba5dfd59746","background":"#ace5fe"},"content":[{"type":"paragraph","content":[{"type":"text","text":"SKU Count","marks":[{"type":"strong"}]}],"attrs":{"localId":"247999ba58da"}}]},{"type":"tableCell","attrs":{"localId":"2a0e34e6ce01","background":"#ace5fe"},"content":[{"type":"paragraph","content":[{"type":"text","text":"Option Count","marks":[{"type":"strong"}]}],"attrs":{"localId":"85e036ba1bd9"}}]}]},{"type":"tableRow","attrs":{"localId":"a658c5745bca"},"content":[{"type":"tableCell","attrs":{"localId":"11f06adc74a9","background":"white"},"content":[{"type":"paragraph","content":[{"type":"text","text":"Received"}],"attrs":{"localId":"8e2414152d10"}}]},{"type":"tableCell","attrs":{"localId":"658d6b61978e"},"content":[{"type":"paragraph","content":[{"type":"text","text":"2"}],"attrs":{"localId":"bf0dbbcaefab"}}]},{"type":"tableCell","attrs":{"localId":"46d24697cde6"},"content":[{"type":"paragraph","content":[{"type":"text","text":"2"}],"attrs":{"localId":"d0e2f8af471a"}}]}]},{"type":"tableRow","attrs":{"localId":"2625c23872ad"},"content":[{"type":"tableCell","attrs":{"localId":"4f9425530698","background":"white"},"content":[{"type":"paragraph","content":[{"type":"text","text":"Uploaded"}],"attrs":{"localId":"a3263b63cc4a"}}]},{"type":"tableCell","attrs":{"localId":"bc5b21aaaebe"},"content":[{"type":"paragraph","content":[{"type":"text","text":"2"}],"attrs":{"localId":"5dc6fa964085"}}]},{"type":"tableCell","attrs":{"localId":"58984632ca54"},"content":[{"type":"paragraph","content":[{"type":"text","text":"2"}],"attrs":{"localId":"aafd5d1512c8"}}]}]},{"type":"tableRow","attrs":{"localId":"661e24b5d2a0"},"content":[{"type":"tableCell","attrs":{"localId":"e978118cc45a","background":"white"},"content":[{"type":"paragraph","content":[{"type":"text","text":"LIDs Shared"}],"attrs":{"localId":"cb5e9e83ccbb"}}]},{"type":"tableCell","attrs":{"localId":"242fe5243831"},"content":[{"type":"paragraph","content":[{"type":"text","text":"2"}],"attrs":{"localId":"99e837a595e3"}}]},{"type":"tableCell","attrs":{"localId":"2503b6a5a289"},"content":[{"type":"paragraph","content":[{"type":"text","text":"2"}],"attrs":{"localId":"713959dd818c"}}]}]},{"type":"tableRow","attrs":{"localId":"329272e0a3b1"},"content":[{"type":"tableCell","attrs":{"localId":"9a4b564902df","background":"white"},"content":[{"type":"paragraph","content":[{"type":"text","text":"LIDs Stuck in the System"}],"attrs":{"localId":"03af4b908fd1"}}]},{"type":"tableCell","attrs":{"localId":"8dc98a66d2a1"},"content":[{"type":"paragraph","content":[{"type":"text","text":"0"}],"attrs":{"localId":"03e2724c7bcd"}}]},{"type":"tableCell","attrs":{"localId":"cab91970910e"},"content":[{"type":"paragraph","content":[{"type":"text","text":"0"}],"attrs":{"localId":"51092a38d4cb"}}]}]}]}
{adf}
With this, we are closing this request from our end.
Thank you for your patience, support, and cooperation throughout the process. Your brand is important to us, and we look forward to assisting you again."</t>
  </si>
  <si>
    <t>Date :07/27/2026 &lt;Ticket picked for pre processing Option 28 Sku 168&gt; &lt;Ankita&gt;;Date :07/27/2026 &lt;Pre Processing query to Brand &lt;Size chart Query&gt;&gt; &lt;Ankita&gt;;Date :07/27/2026 &lt;Ticket picked for Production and QC review Option 28 Sku 168&gt; &lt;Ankita&gt;;Date :07/28/2026 &lt; Pre Processing query to Brand 1st Follow Up&gt; &lt;Ishani&gt;;[^Colehaan Men Size Chart.csv]
Size Chart Creation;!image-20260728-103852.png|width=820,alt="image-20260728-103852.png"!;Date :07/28/2026 &lt;Ticket has been successfully uploaded in our system. Option 28 Sku 168&gt; &lt;Ankita&gt;;[^UCW-35030.xlsx]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30c4dd74-89b9-44cf-8d63-0f56cc2b3d39"},"content":[{"type":"tableRow","attrs":{"localId":"864ee7c8669d"},"content":[{"type":"tableCell","attrs":{"localId":"c493523d5f96","background":"#44b3e1"},"content":[{"type":"paragraph","content":[{"type":"text","text":"Ticket ID","marks":[{"type":"strong"}]}],"attrs":{"localId":"c0099a928b74"}}]},{"type":"tableCell","attrs":{"localId":"75083cf90625","colspan":2,"background":"#44b3e1"},"content":[{"type":"paragraph","content":[{"type":"text","text":"UCW-35030","marks":[{"type":"strong"}]}],"attrs":{"localId":"b0b30cc61faa"}}]}]},{"type":"tableRow","attrs":{"localId":"3ecb907fa0e8"},"content":[{"type":"tableCell","attrs":{"localId":"9a4ef6724791","background":"#44b3e1"},"content":[{"type":"paragraph","content":[{"type":"text","text":"Brand Name","marks":[{"type":"strong"}]}],"attrs":{"localId":"d03b341798cd"}}]},{"type":"tableCell","attrs":{"localId":"dd715de1a3b2","colspan":2,"background":"#44b3e1"},"content":[{"type":"paragraph","content":[{"type":"text","text":"Colehaan","marks":[{"type":"strong"}]}],"attrs":{"localId":"1603f93cd1c8"}}]}]},{"type":"tableRow","attrs":{"localId":"12d30bd089cd"},"content":[{"type":"tableCell","attrs":{"localId":"17bc691b81da","background":"#ace5fe"},"content":[{"type":"paragraph","content":[{"type":"text","text":"Platform","marks":[{"type":"strong"}]}],"attrs":{"localId":"5edf42af04ac"}}]},{"type":"tableCell","attrs":{"localId":"d0f7b112d404","colspan":2,"background":"#ace5fe"},"content":[{"type":"paragraph","content":[{"type":"text","text":"Luxury","marks":[{"type":"strong"}]}],"attrs":{"localId":"cd862a0f6fc8"}}]}]},{"type":"tableRow","attrs":{"localId":"f140aebc3b07"},"content":[{"type":"tableCell","attrs":{"localId":"377a0b8c3f80","background":"#ace5fe"},"content":[{"type":"paragraph","content":[{"type":"text","text":"Particulars","marks":[{"type":"strong"}]}],"attrs":{"localId":"c7401b4f1c5d"}}]},{"type":"tableCell","attrs":{"localId":"4a7a4e2e1296","background":"#ace5fe"},"content":[{"type":"paragraph","content":[{"type":"text","text":"SKU Count","marks":[{"type":"strong"}]}],"attrs":{"localId":"1ab90f740273"}}]},{"type":"tableCell","attrs":{"localId":"e42d606cd1ca","background":"#ace5fe"},"content":[{"type":"paragraph","content":[{"type":"text","text":"Option Count","marks":[{"type":"strong"}]}],"attrs":{"localId":"59159fae342a"}}]}]},{"type":"tableRow","attrs":{"localId":"c03a90b6a173"},"content":[{"type":"tableCell","attrs":{"localId":"08e6bd0bdb41","background":"white"},"content":[{"type":"paragraph","content":[{"type":"text","text":"Received"}],"attrs":{"localId":"29ad02f3895d"}}]},{"type":"tableCell","attrs":{"localId":"fc8146736a24"},"content":[{"type":"paragraph","content":[{"type":"text","text":"168"}],"attrs":{"localId":"e2e9a4e75b43"}}]},{"type":"tableCell","attrs":{"localId":"0e4e22de0c50"},"content":[{"type":"paragraph","content":[{"type":"text","text":"28"}],"attrs":{"localId":"892df4f1c290"}}]}]},{"type":"tableRow","attrs":{"localId":"61e50c40a56b"},"content":[{"type":"tableCell","attrs":{"localId":"c44160e37407","background":"white"},"content":[{"type":"paragraph","content":[{"type":"text","text":"Uploaded"}],"attrs":{"localId":"3d8a50470c93"}}]},{"type":"tableCell","attrs":{"localId":"cff4ea72559c"},"content":[{"type":"paragraph","content":[{"type":"text","text":"168"}],"attrs":{"localId":"9b1591206ebd"}}]},{"type":"tableCell","attrs":{"localId":"d8c52b933cea"},"content":[{"type":"paragraph","content":[{"type":"text","text":"28"}],"attrs":{"localId":"ae84bce8559d"}}]}]},{"type":"tableRow","attrs":{"localId":"cf4d82477e6e"},"content":[{"type":"tableCell","attrs":{"localId":"880dcb20aae3","background":"white"},"content":[{"type":"paragraph","content":[{"type":"text","text":"LIDs Shared"}],"attrs":{"localId":"c48a01f667d0"}}]},{"type":"tableCell","attrs":{"localId":"586093f83419"},"content":[{"type":"paragraph","content":[{"type":"text","text":"168"}],"attrs":{"localId":"7e7d66cff572"}}]},{"type":"tableCell","attrs":{"localId":"390d5ce4f8ef"},"content":[{"type":"paragraph","content":[{"type":"text","text":"28"}],"attrs":{"localId":"c70fcb31a65e"}}]}]},{"type":"tableRow","attrs":{"localId":"d6e4378ef2ce"},"content":[{"type":"tableCell","attrs":{"localId":"f2ace5d24737","background":"white"},"content":[{"type":"paragraph","content":[{"type":"text","text":"LIDs Stuck in the System"}],"attrs":{"localId":"e55f1bc344f6"}}]},{"type":"tableCell","attrs":{"localId":"8784d8b71862"},"content":[{"type":"paragraph","content":[{"type":"text","text":"0"}],"attrs":{"localId":"fed73a738985"}}]},{"type":"tableCell","attrs":{"localId":"87950548862c"},"content":[{"type":"paragraph","content":[{"type":"text","text":"0"}],"attrs":{"localId":"05d1a70fb694"}}]}]}]}
{adf}
With this, we are closing this request from our end.
Thank you for your patience, support, and cooperation throughout the process. Your brand is important to us, and we look forward to assisting you again."</t>
  </si>
  <si>
    <t>Ben Sherman</t>
  </si>
  <si>
    <t>Date :07/27/2026  &lt;Ticket picked for pre processing Option 33 Sku 173&gt; &lt;Anwesha Mondal&gt;;Date :07/27/2026  &lt;Size Chart Code Creation&gt; &lt;Anwesha Mondal&gt;
[^UCW-35018 Ben Sherman.csv]
;!image-20260728-052810.png|width=820,alt="image-20260728-052810.png"!;Date :07/28/2026 &lt;Ticket has been successfully uploaded in our system. Option 33 Sku 173&gt; &lt;Anwesha Mondal&gt;
[^Summary.zip]
[^Post Upload Status_UCW-35018.xlsx]
;[^Post Upload Status_UCW-35018 (52321ee8-2851-4864-bf07-a1c11368e876).xlsx]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ce03d8e-1a05-45a8-b38c-db759f97fc0b"},"content":[{"type":"tableRow","attrs":{"localId":"27d08c2c8f44"},"content":[{"type":"tableCell","attrs":{"localId":"4a1cfdb527cf","background":"#44b3e1"},"content":[{"type":"paragraph","content":[{"type":"text","text":"Ticket ID","marks":[{"type":"strong"}]}],"attrs":{"localId":"d06eeee0fad2"}}]},{"type":"tableCell","attrs":{"localId":"aeff906ce8f7","colspan":2,"background":"#44b3e1"},"content":[{"type":"paragraph","content":[{"type":"text","text":"UCW-35018","marks":[{"type":"strong"}]}],"attrs":{"localId":"31e29bed2e4c"}}]}]},{"type":"tableRow","attrs":{"localId":"36b80dc1d892"},"content":[{"type":"tableCell","attrs":{"localId":"3606c453e5fa","background":"#44b3e1"},"content":[{"type":"paragraph","content":[{"type":"text","text":"Brand Name","marks":[{"type":"strong"}]}],"attrs":{"localId":"bcb6537dafd9"}}]},{"type":"tableCell","attrs":{"localId":"87cb1c23a4b6","colspan":2,"background":"#44b3e1"},"content":[{"type":"paragraph","content":[{"type":"text","text":"Ben Sherman","marks":[{"type":"strong"}]}],"attrs":{"localId":"a5288a05f2c4"}}]}]},{"type":"tableRow","attrs":{"localId":"b615970c747a"},"content":[{"type":"tableCell","attrs":{"localId":"7c882e1ecedd","background":"#ace5fe"},"content":[{"type":"paragraph","content":[{"type":"text","text":"Platform","marks":[{"type":"strong"}]}],"attrs":{"localId":"6b41f71ca930"}}]},{"type":"tableCell","attrs":{"localId":"f0d5a08e90d8","colspan":2,"background":"#ace5fe"},"content":[{"type":"paragraph","content":[{"type":"text","text":"Mall","marks":[{"type":"strong"}]}],"attrs":{"localId":"deea1f054432"}}]}]},{"type":"tableRow","attrs":{"localId":"bf0e6d828c6b"},"content":[{"type":"tableCell","attrs":{"localId":"f2e8882e62df","background":"#ace5fe"},"content":[{"type":"paragraph","content":[{"type":"text","text":"Particulars","marks":[{"type":"strong"}]}],"attrs":{"localId":"ae22486d4fe4"}}]},{"type":"tableCell","attrs":{"localId":"e58cc9490576","background":"#ace5fe"},"content":[{"type":"paragraph","content":[{"type":"text","text":"SKU Count","marks":[{"type":"strong"}]}],"attrs":{"localId":"aecf5884c6b6"}}]},{"type":"tableCell","attrs":{"localId":"4722420bf992","background":"#ace5fe"},"content":[{"type":"paragraph","content":[{"type":"text","text":"Option Count","marks":[{"type":"strong"}]}],"attrs":{"localId":"268a236a4356"}}]}]},{"type":"tableRow","attrs":{"localId":"3ac4e5e53a90"},"content":[{"type":"tableCell","attrs":{"localId":"b81870c5c695","background":"white"},"content":[{"type":"paragraph","content":[{"type":"text","text":"Received"}],"attrs":{"localId":"e181fa86b899"}}]},{"type":"tableCell","attrs":{"localId":"583c48bdacf3"},"content":[{"type":"paragraph","content":[{"type":"text","text":"173"}],"attrs":{"localId":"ae3ebcbbe574"}}]},{"type":"tableCell","attrs":{"localId":"0b7d14a06106"},"content":[{"type":"paragraph","content":[{"type":"text","text":"33"}],"attrs":{"localId":"32deca29757d"}}]}]},{"type":"tableRow","attrs":{"localId":"03664e1a503a"},"content":[{"type":"tableCell","attrs":{"localId":"e37bbb9ad2fb","background":"white"},"content":[{"type":"paragraph","content":[{"type":"text","text":"Uploaded"}],"attrs":{"localId":"6296cef2427f"}}]},{"type":"tableCell","attrs":{"localId":"bdb7c87d0d8d"},"content":[{"type":"paragraph","content":[{"type":"text","text":"173"}],"attrs":{"localId":"905441f13411"}}]},{"type":"tableCell","attrs":{"localId":"b0b4d1684ff1"},"content":[{"type":"paragraph","content":[{"type":"text","text":"33"}],"attrs":{"localId":"74ca1b5fc8ca"}}]}]},{"type":"tableRow","attrs":{"localId":"8204262d3cc6"},"content":[{"type":"tableCell","attrs":{"localId":"76f5650ed3b7","background":"white"},"content":[{"type":"paragraph","content":[{"type":"text","text":"LIDs Shared"}],"attrs":{"localId":"4d54ae94d6ca"}}]},{"type":"tableCell","attrs":{"localId":"df52b2d3dd40"},"content":[{"type":"paragraph","content":[{"type":"text","text":"173"}],"attrs":{"localId":"f148dd1914f8"}}]},{"type":"tableCell","attrs":{"localId":"4c2b92d56706"},"content":[{"type":"paragraph","content":[{"type":"text","text":"33"}],"attrs":{"localId":"3878a25c5bc5"}}]}]},{"type":"tableRow","attrs":{"localId":"237456950cfd"},"content":[{"type":"tableCell","attrs":{"localId":"eedcea0a3de3","background":"white"},"content":[{"type":"paragraph","content":[{"type":"text","text":"LIDs Stuck in the System"}],"attrs":{"localId":"462cbe6891bb"}}]},{"type":"tableCell","attrs":{"localId":"d9266eeff1a6"},"content":[{"type":"paragraph","content":[{"type":"text","text":"0"}],"attrs":{"localId":"070d945ce801"}}]},{"type":"tableCell","attrs":{"localId":"33523280b221"},"content":[{"type":"paragraph","content":[{"type":"text","text":"0"}],"attrs":{"localId":"bff140304754"}}]}]}]}
{adf}
With this, we are closing this request from our end.
Thank you for your patience, support, and cooperation throughout the process. Your brand is important to us, and we look forward to assisting you again.</t>
  </si>
  <si>
    <t>Date :07/27/2026  &lt;Ticket picked for pre processing Option 68Sku 408&gt; &lt;Anwesha Mondal&gt;;Date :07/28/2026  &lt;Pre Processing query to Brand &lt;Fit Missing&gt;&gt; &lt;Anwesha Mondal&gt; ;Date :07/30/2026  &lt;Size Chart code Creation&gt; &lt;Anwesha Mondal&gt; 
[^UCW-35017 UCB Size Chart (027359a1-c928-4055-8528-133c23dd3fa3).csv]
;!image-20260730-103006.png|width=820,alt="image-20260730-103006.png"!;Date :07/31/2026 &lt;Ticket has been successfully uploaded in our system. Option 68 Sku 408&gt; &lt;Anwesha Mondal&gt;
[^Post Upload Status_UCW-35017.xlsx]
[^Summary.zip]
;[^UCW-35017.xlsx]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808774f2-981d-487c-9e8c-73ac2f11bdbe"},"content":[{"type":"tableRow","attrs":{"localId":"4cda23a08907"},"content":[{"type":"tableCell","attrs":{"localId":"fe843ea3408a","background":"#44b3e1"},"content":[{"type":"paragraph","content":[{"type":"text","text":"Ticket ID","marks":[{"type":"strong"}]}],"attrs":{"localId":"26a13d616714"}}]},{"type":"tableCell","attrs":{"localId":"7ce10238df1d","colspan":2,"background":"#44b3e1"},"content":[{"type":"paragraph","content":[{"type":"text","text":"UCW-35017","marks":[{"type":"strong"}]}],"attrs":{"localId":"2d64a3018953"}}]}]},{"type":"tableRow","attrs":{"localId":"ef6fe82deffc"},"content":[{"type":"tableCell","attrs":{"localId":"cce1d9c5cee7","background":"#44b3e1"},"content":[{"type":"paragraph","content":[{"type":"text","text":"Brand Name","marks":[{"type":"strong"}]}],"attrs":{"localId":"c2a72c499cb8"}}]},{"type":"tableCell","attrs":{"localId":"5601594adc1c","colspan":2,"background":"#44b3e1"},"content":[{"type":"paragraph","content":[{"type":"text","text":"Benetton ","marks":[{"type":"strong"}]}],"attrs":{"localId":"91f5981dc759"}}]}]},{"type":"tableRow","attrs":{"localId":"70b19802756a"},"content":[{"type":"tableCell","attrs":{"localId":"8c4d24424394","background":"#ace5fe"},"content":[{"type":"paragraph","content":[{"type":"text","text":"Platform","marks":[{"type":"strong"}]}],"attrs":{"localId":"7bc9cead2a37"}}]},{"type":"tableCell","attrs":{"localId":"280e73030693","colspan":2,"background":"#ace5fe"},"content":[{"type":"paragraph","content":[{"type":"text","text":"Mall","marks":[{"type":"strong"}]}],"attrs":{"localId":"51be28e0259f"}}]}]},{"type":"tableRow","attrs":{"localId":"95e0409dce09"},"content":[{"type":"tableCell","attrs":{"localId":"57e8240072f1","background":"#ace5fe"},"content":[{"type":"paragraph","content":[{"type":"text","text":"Particulars","marks":[{"type":"strong"}]}],"attrs":{"localId":"fa107699562b"}}]},{"type":"tableCell","attrs":{"localId":"b48c38da017d","background":"#ace5fe"},"content":[{"type":"paragraph","content":[{"type":"text","text":"SKU Count","marks":[{"type":"strong"}]}],"attrs":{"localId":"6e012ab8448f"}}]},{"type":"tableCell","attrs":{"localId":"ee9db0741ea2","background":"#ace5fe"},"content":[{"type":"paragraph","content":[{"type":"text","text":"Option Count","marks":[{"type":"strong"}]}],"attrs":{"localId":"dd238743e95b"}}]}]},{"type":"tableRow","attrs":{"localId":"c844f0a1913c"},"content":[{"type":"tableCell","attrs":{"localId":"ebfae228759f","background":"white"},"content":[{"type":"paragraph","content":[{"type":"text","text":"Received"}],"attrs":{"localId":"01de1ec5f519"}}]},{"type":"tableCell","attrs":{"localId":"5b6c999e0d07"},"content":[{"type":"paragraph","content":[{"type":"text","text":"408"}],"attrs":{"localId":"cf93b6ffb886"}}]},{"type":"tableCell","attrs":{"localId":"ab9e79ded18a"},"content":[{"type":"paragraph","content":[{"type":"text","text":"68"}],"attrs":{"localId":"b58bd8d9dff9"}}]}]},{"type":"tableRow","attrs":{"localId":"29a75c937a07"},"content":[{"type":"tableCell","attrs":{"localId":"2db4cbd3ffcc","background":"white"},"content":[{"type":"paragraph","content":[{"type":"text","text":"Uploaded"}],"attrs":{"localId":"e8e956bfa281"}}]},{"type":"tableCell","attrs":{"localId":"6d7ecc1b29b9"},"content":[{"type":"paragraph","content":[{"type":"text","text":"408"}],"attrs":{"localId":"75ea32099fee"}}]},{"type":"tableCell","attrs":{"localId":"d8c5533b6711"},"content":[{"type":"paragraph","content":[{"type":"text","text":"68"}],"attrs":{"localId":"6405912bf431"}}]}]},{"type":"tableRow","attrs":{"localId":"9a9a0f448149"},"content":[{"type":"tableCell","attrs":{"localId":"2a5e609f66fc","background":"white"},"content":[{"type":"paragraph","content":[{"type":"text","text":"LIDs Shared"}],"attrs":{"localId":"28a038f3a59f"}}]},{"type":"tableCell","attrs":{"localId":"ea089763b5a9"},"content":[{"type":"paragraph","content":[{"type":"text","text":"408"}],"attrs":{"localId":"7d7984cca179"}}]},{"type":"tableCell","attrs":{"localId":"6a67e4a55a01"},"content":[{"type":"paragraph","content":[{"type":"text","text":"68"}],"attrs":{"localId":"a284666e2862"}}]}]},{"type":"tableRow","attrs":{"localId":"07a0fbde80a7"},"content":[{"type":"tableCell","attrs":{"localId":"13cefd8c43c5","background":"white"},"content":[{"type":"paragraph","content":[{"type":"text","text":"LIDs Stuck in the System"}],"attrs":{"localId":"166b5f5b2753"}}]},{"type":"tableCell","attrs":{"localId":"87f232de4413"},"content":[{"type":"paragraph","content":[{"type":"text","text":"0"}],"attrs":{"localId":"6100a009e8ca"}}]},{"type":"tableCell","attrs":{"localId":"6ce0daeff56c"},"content":[{"type":"paragraph","content":[{"type":"text","text":"0"}],"attrs":{"localId":"73d595901bb1"}}]}]}]}
{adf}
With this, we are closing this request from our end.
Thank you for your patience, support, and cooperation throughout the process. Your brand is important to us, and we look forward to assisting you again.</t>
  </si>
  <si>
    <t>Date :07/27/2026 &lt;Ticket picked for pre processing Option 6 Sku 35&gt; &lt;Ankita&gt;;Date :07/27/2026 &lt;Ticket picked for Production and QC review Option 6 Sku 35&gt; &lt;Ankita&gt;;Date :07/27/2026 &lt;Pre Processing query to Brand &lt;Size chart query, image query&gt;&gt; &lt;Ankita&gt;;Date :07/28/2026 &lt; Pre Processing query to Brand 1st Follow Up&gt; &lt;Ishani&gt;;Date :07/29/2026 &lt;Ticket has been successfully uploaded in our system. Option 5 Sku 35&gt; &lt;Ankita&gt;[^Summary.zip] [^Post Upload Status_V.2 (1).xlsx] ;[^UCW-35013.xlsx]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67887350-302a-4ad7-a247-42d099f490ab"},"content":[{"type":"tableRow","attrs":{"localId":"86f4c85dbdbc"},"content":[{"type":"tableCell","attrs":{"localId":"2414d372ff95","background":"#44b3e1"},"content":[{"type":"paragraph","content":[{"type":"text","text":"Ticket ID","marks":[{"type":"strong"}]}],"attrs":{"localId":"def72e0b7926"}}]},{"type":"tableCell","attrs":{"localId":"9a4cf3380913","colspan":2,"background":"#44b3e1"},"content":[{"type":"paragraph","content":[{"type":"text","text":"UCW-35013","marks":[{"type":"strong"}]}],"attrs":{"localId":"3a82b0d4ed63"}}]}]},{"type":"tableRow","attrs":{"localId":"76d5cbf03af4"},"content":[{"type":"tableCell","attrs":{"localId":"151a6edee496","background":"#44b3e1"},"content":[{"type":"paragraph","content":[{"type":"text","text":"Brand Name","marks":[{"type":"strong"}]}],"attrs":{"localId":"060c57014186"}}]},{"type":"tableCell","attrs":{"localId":"54c39dce66ca","colspan":2,"background":"#44b3e1"},"content":[{"type":"paragraph","content":[{"type":"text","text":"Ben Sherman","marks":[{"type":"strong"}]}],"attrs":{"localId":"dbdbaa546f49"}}]}]},{"type":"tableRow","attrs":{"localId":"4b7604d89a94"},"content":[{"type":"tableCell","attrs":{"localId":"8f7cde64dbee","background":"#ace5fe"},"content":[{"type":"paragraph","content":[{"type":"text","text":"Platform","marks":[{"type":"strong"}]}],"attrs":{"localId":"3faf115ff407"}}]},{"type":"tableCell","attrs":{"localId":"22808430a2c4","colspan":2,"background":"#ace5fe"},"content":[{"type":"paragraph","content":[{"type":"text","text":"Mall","marks":[{"type":"strong"}]}],"attrs":{"localId":"58f047db1384"}}]}]},{"type":"tableRow","attrs":{"localId":"c04cb68bcd33"},"content":[{"type":"tableCell","attrs":{"localId":"8c0635bf767d","background":"#ace5fe"},"content":[{"type":"paragraph","content":[{"type":"text","text":"Particulars","marks":[{"type":"strong"}]}],"attrs":{"localId":"652f47518f98"}}]},{"type":"tableCell","attrs":{"localId":"0be050e59363","background":"#ace5fe"},"content":[{"type":"paragraph","content":[{"type":"text","text":"SKU Count","marks":[{"type":"strong"}]}],"attrs":{"localId":"4e92afb38546"}}]},{"type":"tableCell","attrs":{"localId":"d956a92b27b0","background":"#ace5fe"},"content":[{"type":"paragraph","content":[{"type":"text","text":"Option Count","marks":[{"type":"strong"}]}],"attrs":{"localId":"c485c581ba4c"}}]}]},{"type":"tableRow","attrs":{"localId":"d2b7db169027"},"content":[{"type":"tableCell","attrs":{"localId":"3c59e89adcb8","background":"white"},"content":[{"type":"paragraph","content":[{"type":"text","text":"Received"}],"attrs":{"localId":"18e9d6014d0e"}}]},{"type":"tableCell","attrs":{"localId":"788ff13fd821"},"content":[{"type":"paragraph","content":[{"type":"text","text":"35"}],"attrs":{"localId":"f295c80f7ebd"}}]},{"type":"tableCell","attrs":{"localId":"f8ec9650a892"},"content":[{"type":"paragraph","content":[{"type":"text","text":"6"}],"attrs":{"localId":"f422c52c089a"}}]}]},{"type":"tableRow","attrs":{"localId":"c0f70f66b321"},"content":[{"type":"tableCell","attrs":{"localId":"90ac255c7736","background":"white"},"content":[{"type":"paragraph","content":[{"type":"text","text":"Uploaded"}],"attrs":{"localId":"b583d6ed53d3"}}]},{"type":"tableCell","attrs":{"localId":"260917ba30f4"},"content":[{"type":"paragraph","content":[{"type":"text","text":"35"}],"attrs":{"localId":"f1fce1a06b69"}}]},{"type":"tableCell","attrs":{"localId":"f3a4e23a1c6e"},"content":[{"type":"paragraph","content":[{"type":"text","text":"6"}],"attrs":{"localId":"d37a6b81d896"}}]}]},{"type":"tableRow","attrs":{"localId":"11bd414d5b60"},"content":[{"type":"tableCell","attrs":{"localId":"1933886ab9e5","background":"white"},"content":[{"type":"paragraph","content":[{"type":"text","text":"LIDs Shared"}],"attrs":{"localId":"2d6d0391a32f"}}]},{"type":"tableCell","attrs":{"localId":"a280d833f13e"},"content":[{"type":"paragraph","content":[{"type":"text","text":"35"}],"attrs":{"localId":"7582dc9850ec"}}]},{"type":"tableCell","attrs":{"localId":"20eed7bdcc58"},"content":[{"type":"paragraph","content":[{"type":"text","text":"6"}],"attrs":{"localId":"994b12deb745"}}]}]},{"type":"tableRow","attrs":{"localId":"2c8933d0dbef"},"content":[{"type":"tableCell","attrs":{"localId":"d3a9f02651e8","background":"white"},"content":[{"type":"paragraph","content":[{"type":"text","text":"LIDs Stuck in the System"}],"attrs":{"localId":"3cf34abaae50"}}]},{"type":"tableCell","attrs":{"localId":"8568313b6ba8"},"content":[{"type":"paragraph","content":[{"type":"text","text":"0"}],"attrs":{"localId":"8209fea3baad"}}]},{"type":"tableCell","attrs":{"localId":"7f32d37f5432"},"content":[{"type":"paragraph","content":[{"type":"text","text":"0"}],"attrs":{"localId":"1cd411dac870"}}]}]}]}
{adf}
With this, we are closing this request from our end.
Thank you for your patience, support, and cooperation throughout the process. Your brand is important to us, and we look forward to assisting you again."</t>
  </si>
  <si>
    <t>L'Occitane</t>
  </si>
  <si>
    <t xml:space="preserve">The new SKU codes, EANs, and images mapped to the new SKU codes have been successfully updated for *Seller Code 127939*. However, for *Seller Code 125772*, we were unable to assign the *L1–L4* categories. Please find the attached screenshot for your reference.
Once the updates are successfully reflected, we will inform you accordingly.
{adf:display=block}
{"type":"table","attrs":{"isNumberColumnEnabled":false,"layout":"center","localId":"791a88fe-2626-4320-b9a6-8b8a49fcd2e6"},"content":[{"type":"tableRow","attrs":{"localId":"2e3597e792f3"},"content":[{"type":"tableCell","attrs":{"localId":"378673e7c534"},"content":[{"type":"paragraph","content":[{"type":"text","text":"Ticket ID"}],"attrs":{"localId":"e78d85054e43"}}]},{"type":"tableCell","attrs":{"localId":"22a9472495c6","colspan":2},"content":[{"type":"paragraph","content":[{"type":"text","text":"UCW-35012"}],"attrs":{"localId":"3d6bb71d4ba3"}}]}]},{"type":"tableRow","attrs":{"localId":"e915a089dbc2"},"content":[{"type":"tableCell","attrs":{"localId":"f45762309a0f"},"content":[{"type":"paragraph","content":[{"type":"text","text":"Brand Name"}],"attrs":{"localId":"32baa3200460"}}]},{"type":"tableCell","attrs":{"localId":"706a0c8507a5","colspan":2},"content":[{"type":"paragraph","content":[{"type":"text","text":"L'Occitane"}],"attrs":{"localId":"4b0d5e5c68c6"}}]}]},{"type":"tableRow","attrs":{"localId":"06f486ddc0a1"},"content":[{"type":"tableCell","attrs":{"localId":"a48b5c58dc53"},"content":[{"type":"paragraph","content":[{"type":"text","text":"Platform"}],"attrs":{"localId":"26b5c62661b5"}}]},{"type":"tableCell","attrs":{"localId":"5884a33cb451","colspan":2},"content":[{"type":"paragraph","content":[{"type":"text","text":"Marketplace &amp; Luxury"}],"attrs":{"localId":"4d334c83f62a"}}]}]},{"type":"tableRow","attrs":{"localId":"7ef85f24ee74"},"content":[{"type":"tableCell","attrs":{"localId":"54ff62324108"},"content":[{"type":"paragraph","content":[{"type":"text","text":"Particulars"}],"attrs":{"localId":"c8928a74e7a5"}}]},{"type":"tableCell","attrs":{"localId":"93feb0032e78"},"content":[{"type":"paragraph","content":[{"type":"text","text":"SKU Count"}],"attrs":{"localId":"91f033655f0e"}}]},{"type":"tableCell","attrs":{"localId":"e8e889f17b96"},"content":[{"type":"paragraph","content":[{"type":"text","text":"Option Count"}],"attrs":{"localId":"cf9b10b5117d"}}]}]},{"type":"tableRow","attrs":{"localId":"ce5666062de8"},"content":[{"type":"tableCell","attrs":{"localId":"8e7b6cadad97"},"content":[{"type":"paragraph","content":[{"type":"text","text":"Received"}],"attrs":{"localId":"528b65f6d4fa"}}]},{"type":"tableCell","attrs":{"localId":"eb39bf1c714c"},"content":[{"type":"paragraph","content":[{"type":"text","text":"27"}],"attrs":{"localId":"37a6d0e925d8"}}]},{"type":"tableCell","attrs":{"localId":"876c5d562a4e"},"content":[{"type":"paragraph","content":[{"type":"text","text":"27"}],"attrs":{"localId":"e8c263fb34a4"}}]}]},{"type":"tableRow","attrs":{"localId":"0620339960cc"},"content":[{"type":"tableCell","attrs":{"localId":"062041b87be1"},"content":[{"type":"paragraph","content":[{"type":"text","text":"Not Uploaded"}],"attrs":{"localId":"7f9b11806efd"}}]},{"type":"tableCell","attrs":{"localId":"5429f46121a7"},"content":[{"type":"paragraph","content":[{"type":"text","text":"9"}],"attrs":{"localId":"481e40fbe0e2"}}]},{"type":"tableCell","attrs":{"localId":"39f8a6fb9680"},"content":[{"type":"paragraph","content":[{"type":"text","text":"9"}],"attrs":{"localId":"ee0e42a6aab1"}}]}]},{"type":"tableRow","attrs":{"localId":"835dcade7103"},"content":[{"type":"tableCell","attrs":{"localId":"fa7364e76092"},"content":[{"type":"paragraph","content":[{"type":"text","text":"Uploaded"}],"attrs":{"localId":"afa16f7eb158"}}]},{"type":"tableCell","attrs":{"localId":"e0f8d95e64c4"},"content":[{"type":"paragraph","content":[{"type":"text","text":"18"}],"attrs":{"localId":"b4d82b5ef55a"}}]},{"type":"tableCell","attrs":{"localId":"4615c59eee05"},"content":[{"type":"paragraph","content":[{"type":"text","text":"18"}],"attrs":{"localId":"cac8c4ff833d"}}]}]}]}
{adf}
[^Summery.zip]
[^Status of UCW-35012.xlsx]
!image-20260730-112142.png|width=515,alt="image-20260730-112142.png"!;The SKU, EAN, and images have been successfully reflected. Therefore, we will proceed with closing this ticket for now. If you encounter any further issues, please feel free to reach out to us.[^LID Sheet.xlsx] </t>
  </si>
  <si>
    <t>Swarvski</t>
  </si>
  <si>
    <t>Date :07/29/2029&lt;Ticket picked for pre processing Option 48 Sku 48&gt; &lt;Rupa&gt;</t>
  </si>
  <si>
    <t>OLAPLEX</t>
  </si>
  <si>
    <t xml:space="preserve">Date: 07/27/2026 &lt; Pre-process Query to Brand Resolve &lt;Images Access Needed&gt;&gt; &lt;Tania&gt;;Date :07/28/2026 &lt; Closing ticket for Already Listed SKU’s&gt; &lt;Tania&gt;[^UCW-35005-Already Listed Products Name (c67c6057-27f9-4d4b-b7ac-56b040fc5fe3).xlsx] </t>
  </si>
  <si>
    <t xml:space="preserve">Tom Ford </t>
  </si>
  <si>
    <t>Date :07/27/2026  &lt;Ticket picked for pre processing SKU 1&gt; &lt;Tania&gt; Date :07/27/2026 &lt;Ticket picked for Production and QC review SKU 1&gt; &lt;Tania&gt;
IMAGE WIP;[^UCW-35004 Summary.zip]
;We have successfully uploaded this batch. Please find the attached summary sheet and summary report.[^UCW-35004_Post Upload Status.xlsx] Date :07/28/2026 &lt;Ticket has been successfully uploaded in our system. SKU 1&gt; &lt;Tania&gt;;[^UCW-35004_Post Upload Status (6ed87757-6584-4c56-9cc5-60a7902a38ab).xlsx]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987f270a-e790-4c3d-bb0e-3995d932c36a"},"content":[{"type":"tableRow","attrs":{"localId":"c7b3a9b031e2"},"content":[{"type":"tableCell","attrs":{"localId":"bcef7f53b186","background":"#44b3e1"},"content":[{"type":"paragraph","content":[{"type":"text","text":"Ticket ID","marks":[{"type":"strong"}]}],"attrs":{"localId":"3da0f0fc4c82"}}]},{"type":"tableCell","attrs":{"localId":"180be434cdcb","colspan":2,"background":"#44b3e1"},"content":[{"type":"paragraph","content":[{"type":"text","text":"UCW-35004","marks":[{"type":"strong"}]}],"attrs":{"localId":"73e00d73f9d4"}}]}]},{"type":"tableRow","attrs":{"localId":"7457920484fe"},"content":[{"type":"tableCell","attrs":{"localId":"520bcfefb2eb","background":"#44b3e1"},"content":[{"type":"paragraph","content":[{"type":"text","text":"Brand Name","marks":[{"type":"strong"}]}],"attrs":{"localId":"aa988b210881"}}]},{"type":"tableCell","attrs":{"localId":"1a8888d3c3cf","colspan":2,"background":"#44b3e1"},"content":[{"type":"paragraph","content":[{"type":"text","text":"Tom Ford","marks":[{"type":"strong"}]}],"attrs":{"localId":"9440a4bc6407"}}]}]},{"type":"tableRow","attrs":{"localId":"2a29e4ac9485"},"content":[{"type":"tableCell","attrs":{"localId":"6e510f37ca6b","background":"#ace5fe"},"content":[{"type":"paragraph","content":[{"type":"text","text":"Platform","marks":[{"type":"strong"}]}],"attrs":{"localId":"27b59779941c"}}]},{"type":"tableCell","attrs":{"localId":"45afbf47572d","colspan":2,"background":"#ace5fe"},"content":[{"type":"paragraph","content":[{"type":"text","text":"Luxury","marks":[{"type":"strong"}]}],"attrs":{"localId":"326486645fb8"}}]}]},{"type":"tableRow","attrs":{"localId":"9f81eb078034"},"content":[{"type":"tableCell","attrs":{"localId":"f5f329aa5abc","background":"#ace5fe"},"content":[{"type":"paragraph","content":[{"type":"text","text":"Particulars","marks":[{"type":"strong"}]}],"attrs":{"localId":"4ea028fb2893"}}]},{"type":"tableCell","attrs":{"localId":"ed5859e1d52c","background":"#ace5fe"},"content":[{"type":"paragraph","content":[{"type":"text","text":"SKU Count","marks":[{"type":"strong"}]}],"attrs":{"localId":"6329845e7b47"}}]},{"type":"tableCell","attrs":{"localId":"ec93ded45a63","background":"#ace5fe"},"content":[{"type":"paragraph","content":[{"type":"text","text":"Option Count","marks":[{"type":"strong"}]}],"attrs":{"localId":"0dcda8209210"}}]}]},{"type":"tableRow","attrs":{"localId":"5e6d67055d30"},"content":[{"type":"tableCell","attrs":{"localId":"fb0942cf0029","background":"white"},"content":[{"type":"paragraph","content":[{"type":"text","text":"Received"}],"attrs":{"localId":"d97fa5a2fdb8"}}]},{"type":"tableCell","attrs":{"localId":"1294c93e143d"},"content":[{"type":"paragraph","content":[{"type":"text","text":"1"}],"attrs":{"localId":"084b2e2bd95c"}}]},{"type":"tableCell","attrs":{"localId":"0d3bb56ccc7f"},"content":[{"type":"paragraph","content":[{"type":"text","text":"1"}],"attrs":{"localId":"9ff641fdd9e3"}}]}]},{"type":"tableRow","attrs":{"localId":"f7f468508c97"},"content":[{"type":"tableCell","attrs":{"localId":"7c806d23fb5e","background":"white"},"content":[{"type":"paragraph","content":[{"type":"text","text":"Uploaded"}],"attrs":{"localId":"50cd45088099"}}]},{"type":"tableCell","attrs":{"localId":"4d627bb67d15"},"content":[{"type":"paragraph","content":[{"type":"text","text":"1"}],"attrs":{"localId":"d8ca91d35cb0"}}]},{"type":"tableCell","attrs":{"localId":"1d2656783fc7"},"content":[{"type":"paragraph","content":[{"type":"text","text":"1"}],"attrs":{"localId":"40fc73d56d81"}}]}]},{"type":"tableRow","attrs":{"localId":"85ed3bb6e856"},"content":[{"type":"tableCell","attrs":{"localId":"81184251beae","background":"white"},"content":[{"type":"paragraph","content":[{"type":"text","text":"LIDs Shared"}],"attrs":{"localId":"83eefcd7abef"}}]},{"type":"tableCell","attrs":{"localId":"fa43955cf59a"},"content":[{"type":"paragraph","content":[{"type":"text","text":"1"}],"attrs":{"localId":"047ba8e97211"}}]},{"type":"tableCell","attrs":{"localId":"0efbc641f19b"},"content":[{"type":"paragraph","content":[{"type":"text","text":"1"}],"attrs":{"localId":"fbc675c3eb4f"}}]}]},{"type":"tableRow","attrs":{"localId":"2d448f34225b"},"content":[{"type":"tableCell","attrs":{"localId":"db0835a27a88","background":"white"},"content":[{"type":"paragraph","content":[{"type":"text","text":"LIDs Stuck in the System"}],"attrs":{"localId":"b7f772414f22"}}]},{"type":"tableCell","attrs":{"localId":"b5cc9ff26b46"},"content":[{"type":"paragraph","content":[{"type":"text","text":"0"}],"attrs":{"localId":"020fbbc9a637"}}]},{"type":"tableCell","attrs":{"localId":"e8f3ab27bb36"},"content":[{"type":"paragraph","content":[{"type":"text","text":"0"}],"attrs":{"localId":"b42a10887752"}}]}]}]}
{adf}
With this, we are closing this request from our end.
Thank you for your patience, support, and cooperation throughout the process. Your brand is important to us, and we look forward to assisting you again."</t>
  </si>
  <si>
    <t>Date :07/21/2026 &lt; Closing ticket for Brand not Responding &gt;;Date :31st Jul, 2026 As there is no resolution shared to this, we have to close the ticket. Once the resolution is received we will reopen the ticket and proceed accordingly.</t>
  </si>
  <si>
    <t xml:space="preserve">The images have been successfully updated. Please find the attached summary sheet for your reference. Once the images are successfully reflected, we will let you know.
[^125955_SKUEDITRETRIGGER__Lipstick(MPH2214102108)_20260728_125414_766_summary.csv]
[^125955_SKUEDITRETRIGGER__Shampoo(MPH2213103102)_20260728_125042_890_summary.csv]
[^125955_SKUEDITRETRIGGER__Sunscreen(MPH2216103109)_20260728_125748_817_summary.csv]
;The images are currently not reflecting. Therefore, we have re-uploaded them. Once the images are successfully reflected, we will inform you. If the issue still persists, we will raise an L1 ticket and keep you updated accordingly.
[^Summery.zip]
</t>
  </si>
  <si>
    <t>Ikonic Professional</t>
  </si>
  <si>
    <t>Date :07/27/2026 &lt;Ticket picked for pre processing Option 45 Sku 45&gt; &lt;Amandeep&gt;;Date :07/27/2026&lt;Ticket picked for Production and QC review Option 45 Sku 45&gt; &lt;Amandeep&gt;;Date :07/28/2026 &lt;Ticket has been successfully uploaded in our system. Option 45 Sku 45&gt; &lt;Amandeep&gt;[^ProductBulkUpload_128656_Beauty__Grooming(MPH22)_Tools_and__Accessories(MPH2217)_Hair_Tools_and_Devices(MPH2217101)_Hair_Brushes_and_Combs(MPH2217101101)_45148_1785219406848_20260728_114646_984_summ (2eb6ae7d-c65d-43e2-bef7-1695412bf622).csv] [^Post Upload Status_V.2 (1).xlsx] ;[^UCW-34980.xlsx]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35148256-5d1b-4657-9e8a-2e012b8e776b"},"content":[{"type":"tableRow","attrs":{"localId":"9d8b35750cd2"},"content":[{"type":"tableCell","attrs":{"localId":"49221b04cfdf","background":"#44b3e1"},"content":[{"type":"paragraph","content":[{"type":"text","text":"Ticket ID","marks":[{"type":"strong"}]}],"attrs":{"localId":"ddbe8cb6c626"}}]},{"type":"tableCell","attrs":{"localId":"db9d3ef6e054","colspan":2,"background":"#44b3e1"},"content":[{"type":"paragraph","content":[{"type":"text","text":"UCW-34980","marks":[{"type":"strong"}]}],"attrs":{"localId":"cef0f0a536a2"}}]}]},{"type":"tableRow","attrs":{"localId":"e1a8383a8d9b"},"content":[{"type":"tableCell","attrs":{"localId":"5a15862d10a3","background":"#44b3e1"},"content":[{"type":"paragraph","content":[{"type":"text","text":"Brand Name","marks":[{"type":"strong"}]}],"attrs":{"localId":"cf29a323be1b"}}]},{"type":"tableCell","attrs":{"localId":"b70684414b8f","colspan":2,"background":"#44b3e1"},"content":[{"type":"paragraph","content":[{"type":"text","text":"Ikonic Professional","marks":[{"type":"strong"}]}],"attrs":{"localId":"f957f81fa267"}}]}]},{"type":"tableRow","attrs":{"localId":"822d83144556"},"content":[{"type":"tableCell","attrs":{"localId":"589c3633ecc8","background":"#ace5fe"},"content":[{"type":"paragraph","content":[{"type":"text","text":"Platform","marks":[{"type":"strong"}]}],"attrs":{"localId":"5bde2dfca8ad"}}]},{"type":"tableCell","attrs":{"localId":"f6b6c2f3a466","colspan":2,"background":"#ace5fe"},"content":[{"type":"paragraph","content":[{"type":"text","text":"Mall + Luxury","marks":[{"type":"strong"}]}],"attrs":{"localId":"7330de5492d7"}}]}]},{"type":"tableRow","attrs":{"localId":"4845cb95308f"},"content":[{"type":"tableCell","attrs":{"localId":"04663c88688a","background":"#ace5fe"},"content":[{"type":"paragraph","content":[{"type":"text","text":"Particulars","marks":[{"type":"strong"}]}],"attrs":{"localId":"5a17324adbbb"}}]},{"type":"tableCell","attrs":{"localId":"f0498e63afa1","background":"#ace5fe"},"content":[{"type":"paragraph","content":[{"type":"text","text":"SKU Count","marks":[{"type":"strong"}]}],"attrs":{"localId":"9f3e7ac0b68a"}}]},{"type":"tableCell","attrs":{"localId":"e6dbd6c61127","background":"#ace5fe"},"content":[{"type":"paragraph","content":[{"type":"text","text":"Option Count","marks":[{"type":"strong"}]}],"attrs":{"localId":"08a8d57d49e0"}}]}]},{"type":"tableRow","attrs":{"localId":"aed16cc79458"},"content":[{"type":"tableCell","attrs":{"localId":"0f1356d3cf32","background":"white"},"content":[{"type":"paragraph","content":[{"type":"text","text":"Received"}],"attrs":{"localId":"1ce0632379e2"}}]},{"type":"tableCell","attrs":{"localId":"cbbb2dcde71a"},"content":[{"type":"paragraph","content":[{"type":"text","text":"46"}],"attrs":{"localId":"d0eae28631d3"}}]},{"type":"tableCell","attrs":{"localId":"ae14d6f6d9bc"},"content":[{"type":"paragraph","content":[{"type":"text","text":"46"}],"attrs":{"localId":"2ff3ccb888c6"}}]}]},{"type":"tableRow","attrs":{"localId":"65817000023e"},"content":[{"type":"tableCell","attrs":{"localId":"c4f3ba429065","background":"white"},"content":[{"type":"paragraph","content":[{"type":"text","text":"Uploaded"}],"attrs":{"localId":"c9422b148d55"}}]},{"type":"tableCell","attrs":{"localId":"2063fc8ac40e"},"content":[{"type":"paragraph","content":[{"type":"text","text":"45"}],"attrs":{"localId":"db72335e22d4"}}]},{"type":"tableCell","attrs":{"localId":"6eec9ad808ed"},"content":[{"type":"paragraph","content":[{"type":"text","text":"45"}],"attrs":{"localId":"54ec3ba2ec19"}}]}]},{"type":"tableRow","attrs":{"localId":"b83066e93c47"},"content":[{"type":"tableCell","attrs":{"localId":"5d4fb1f66c6f","background":"white"},"content":[{"type":"paragraph","content":[{"type":"text","text":"LIDs Shared"}],"attrs":{"localId":"ad5e8eac6fff"}}]},{"type":"tableCell","attrs":{"localId":"55fd18b43c7e"},"content":[{"type":"paragraph","content":[{"type":"text","text":"45"}],"attrs":{"localId":"ec21d03b9950"}}]},{"type":"tableCell","attrs":{"localId":"717b778996bf"},"content":[{"type":"paragraph","content":[{"type":"text","text":"45"}],"attrs":{"localId":"fe242b111788"}}]}]},{"type":"tableRow","attrs":{"localId":"522c2a2114dd"},"content":[{"type":"tableCell","attrs":{"localId":"3351db5d6c8d","background":"white"},"content":[{"type":"paragraph","content":[{"type":"text","text":"Already Listed"}],"attrs":{"localId":"41c3be90104c"}}]},{"type":"tableCell","attrs":{"localId":"7fe742974061"},"content":[{"type":"paragraph","content":[{"type":"text","text":"1"}],"attrs":{"localId":"d5f1af08a0a7"}}]},{"type":"tableCell","attrs":{"localId":"60cecb6876eb"},"content":[{"type":"paragraph","content":[{"type":"text","text":"1"}],"attrs":{"localId":"93a6375b2a76"}}]}]},{"type":"tableRow","attrs":{"localId":"1bf380315f6c"},"content":[{"type":"tableCell","attrs":{"localId":"376d4136e9b3","background":"white"},"content":[{"type":"paragraph","content":[{"type":"text","text":"LIDs Stuck in the System"}],"attrs":{"localId":"a8bd77fe09cb"}}]},{"type":"tableCell","attrs":{"localId":"ec097192ea73"},"content":[{"type":"paragraph","content":[{"type":"text","text":"0"}],"attrs":{"localId":"bfab6a2abe38"}}]},{"type":"tableCell","attrs":{"localId":"f5aa192e33dc"},"content":[{"type":"paragraph","content":[{"type":"text","text":"0"}],"attrs":{"localId":"05b4bec996d1"}}]}]}]}
{adf}
With this, we are closing this request from our end.
Thank you for your patience, support, and cooperation throughout the process. Your brand is important to us, and we look forward to assisting you again."</t>
  </si>
  <si>
    <t>|Date :07/27/2026 &lt;Ticket picked for pre processing SKU 1&gt; &lt;Tania&gt;|
|Date :07/27/2026 &lt;Ticket picked for Production and QC review SKU 1&gt; &lt;Tania&gt;|;[^UCW-34976 Summary.zip]
;Date :07/28/2026&lt;Ticket has been successfully uploaded in our system SKU 1&gt; &lt;Tania&gt; [^UCW-34976_Post Upload Status.xlsx] ;[^UCW-34976_Post Upload Status (c9fa9fac-f5f7-44e0-9583-2c9bf1fec482).xlsx]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562ec4c-2876-42e3-8b66-464f0ca2ef23"},"content":[{"type":"tableRow","attrs":{"localId":"bfbf9d596954"},"content":[{"type":"tableCell","attrs":{"localId":"5ffa6f587609","background":"#44b3e1"},"content":[{"type":"paragraph","content":[{"type":"text","text":"Ticket ID","marks":[{"type":"strong"}]}],"attrs":{"localId":"ba90d2919b58"}}]},{"type":"tableCell","attrs":{"localId":"c0173c4db5b8","colspan":2,"background":"#44b3e1"},"content":[{"type":"paragraph","content":[{"type":"text","text":"UCW-34976","marks":[{"type":"strong"}]}],"attrs":{"localId":"6a678b7124cb"}}]}]},{"type":"tableRow","attrs":{"localId":"869faf127af7"},"content":[{"type":"tableCell","attrs":{"localId":"9f7854bf2006","background":"#44b3e1"},"content":[{"type":"paragraph","content":[{"type":"text","text":"Brand Name","marks":[{"type":"strong"}]}],"attrs":{"localId":"7c1ee61b492b"}}]},{"type":"tableCell","attrs":{"localId":"8777c35c96ab","colspan":2,"background":"#44b3e1"},"content":[{"type":"paragraph","content":[{"type":"text","text":"Jo Malone London","marks":[{"type":"strong"}]}],"attrs":{"localId":"0f216e0c0c39"}}]}]},{"type":"tableRow","attrs":{"localId":"b737c2dba64a"},"content":[{"type":"tableCell","attrs":{"localId":"d8012ac0ce4d","background":"#ace5fe"},"content":[{"type":"paragraph","content":[{"type":"text","text":"Platform","marks":[{"type":"strong"}]}],"attrs":{"localId":"1de47604868f"}}]},{"type":"tableCell","attrs":{"localId":"93541bec8339","colspan":2,"background":"#ace5fe"},"content":[{"type":"paragraph","content":[{"type":"text","text":"Luxury","marks":[{"type":"strong"}]}],"attrs":{"localId":"00ab9b6ace2f"}}]}]},{"type":"tableRow","attrs":{"localId":"8911a4887b07"},"content":[{"type":"tableCell","attrs":{"localId":"fb0f97cef6ef","background":"#ace5fe"},"content":[{"type":"paragraph","content":[{"type":"text","text":"Particulars","marks":[{"type":"strong"}]}],"attrs":{"localId":"4f06105a11da"}}]},{"type":"tableCell","attrs":{"localId":"bafbc5a27aee","background":"#ace5fe"},"content":[{"type":"paragraph","content":[{"type":"text","text":"SKU Count","marks":[{"type":"strong"}]}],"attrs":{"localId":"93f1c882c399"}}]},{"type":"tableCell","attrs":{"localId":"94cda5f00dd4","background":"#ace5fe"},"content":[{"type":"paragraph","content":[{"type":"text","text":"Option Count","marks":[{"type":"strong"}]}],"attrs":{"localId":"2750f69adc1a"}}]}]},{"type":"tableRow","attrs":{"localId":"f63bd08844bf"},"content":[{"type":"tableCell","attrs":{"localId":"cc7196e55e83","background":"white"},"content":[{"type":"paragraph","content":[{"type":"text","text":"Received"}],"attrs":{"localId":"cb7bc1ac8db0"}}]},{"type":"tableCell","attrs":{"localId":"3f170c663836"},"content":[{"type":"paragraph","content":[{"type":"text","text":"1"}],"attrs":{"localId":"b32b8c235d42"}}]},{"type":"tableCell","attrs":{"localId":"53878dd4c30f"},"content":[{"type":"paragraph","content":[{"type":"text","text":"1"}],"attrs":{"localId":"e1916717d055"}}]}]},{"type":"tableRow","attrs":{"localId":"923f8b5c7a23"},"content":[{"type":"tableCell","attrs":{"localId":"e5633888a6c4","background":"white"},"content":[{"type":"paragraph","content":[{"type":"text","text":"Uploaded"}],"attrs":{"localId":"c020962099cd"}}]},{"type":"tableCell","attrs":{"localId":"5f368a400cef"},"content":[{"type":"paragraph","content":[{"type":"text","text":"1"}],"attrs":{"localId":"71e22f29f3d6"}}]},{"type":"tableCell","attrs":{"localId":"30db5becf530"},"content":[{"type":"paragraph","content":[{"type":"text","text":"1"}],"attrs":{"localId":"c6f2d55641f3"}}]}]},{"type":"tableRow","attrs":{"localId":"d689aa19210b"},"content":[{"type":"tableCell","attrs":{"localId":"599f1f9dbd27","background":"white"},"content":[{"type":"paragraph","content":[{"type":"text","text":"LIDs Shared"}],"attrs":{"localId":"68d9a1ef67e5"}}]},{"type":"tableCell","attrs":{"localId":"c7d8b06cdc31"},"content":[{"type":"paragraph","content":[{"type":"text","text":"1"}],"attrs":{"localId":"82e816052299"}}]},{"type":"tableCell","attrs":{"localId":"b4711944b0d0"},"content":[{"type":"paragraph","content":[{"type":"text","text":"1"}],"attrs":{"localId":"265e1275f067"}}]}]},{"type":"tableRow","attrs":{"localId":"db9295cf0d1d"},"content":[{"type":"tableCell","attrs":{"localId":"a5997671b829","background":"white"},"content":[{"type":"paragraph","content":[{"type":"text","text":"LIDs Stuck in the System"}],"attrs":{"localId":"d3005f21998e"}}]},{"type":"tableCell","attrs":{"localId":"a0de05ef8898"},"content":[{"type":"paragraph","content":[{"type":"text","text":"0"}],"attrs":{"localId":"a2ae544cfd37"}}]},{"type":"tableCell","attrs":{"localId":"c8a600a0732d"},"content":[{"type":"paragraph","content":[{"type":"text","text":"0"}],"attrs":{"localId":"c4db173dd025"}}]}]}]}
{adf}
With this, we are closing this request from our end.
Thank you for your patience, support, and cooperation throughout the process. Your brand is important to us, and we look forward to assisting you again."</t>
  </si>
  <si>
    <t>3TenX</t>
  </si>
  <si>
    <t>|Date :07/27/2026 &lt;Ticket picked for pre processing SKU 6&gt; &lt;Tania&gt;|
|Date :07/27/2026 &lt;Ticket picked for Production and QC review SKU 6&gt; &lt;Tania&gt;|;[^UCW-34966 Summary.zip]
We have successfully uploaded this batch. Please find the attached summary sheet and summary report.;[^UCW-34966_Post Upload Status.xlsx]
Date :07/28/2026 &lt;Ticket has been successfully uploaded in our system. SKU 6&gt; &lt;Tania&gt;;[^UCW-34966_Post Upload Status (5119bbab-dfc6-46ec-a9dd-b3fc18e5709a).xlsx]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f0c8833-6475-4749-9961-e08662a2b492"},"content":[{"type":"tableRow","attrs":{"localId":"94c00000bb68"},"content":[{"type":"tableCell","attrs":{"localId":"72a090edca22","background":"#44b3e1"},"content":[{"type":"paragraph","content":[{"type":"text","text":"Ticket ID","marks":[{"type":"strong"}]}],"attrs":{"localId":"55b1fc5cbe6b"}}]},{"type":"tableCell","attrs":{"localId":"b8ec7ce757a2","colspan":2,"background":"#44b3e1"},"content":[{"type":"paragraph","content":[{"type":"text","text":"UCW-34966","marks":[{"type":"strong"}]}],"attrs":{"localId":"02886875a3c9"}}]}]},{"type":"tableRow","attrs":{"localId":"187e663b0210"},"content":[{"type":"tableCell","attrs":{"localId":"91197884f5e6","background":"#44b3e1"},"content":[{"type":"paragraph","content":[{"type":"text","text":"Brand Name","marks":[{"type":"strong"}]}],"attrs":{"localId":"75ce6bcf37f9"}}]},{"type":"tableCell","attrs":{"localId":"4f2cc6f3cafd","colspan":2,"background":"#44b3e1"},"content":[{"type":"paragraph","content":[{"type":"text","text":"3TenX","marks":[{"type":"strong"}]}],"attrs":{"localId":"8b1302d22877"}}]}]},{"type":"tableRow","attrs":{"localId":"dc701af1786b"},"content":[{"type":"tableCell","attrs":{"localId":"9b12163b10d0","background":"#ace5fe"},"content":[{"type":"paragraph","content":[{"type":"text","text":"Platform","marks":[{"type":"strong"}]}],"attrs":{"localId":"98f22e497e95"}}]},{"type":"tableCell","attrs":{"localId":"01d3bb66262f","colspan":2,"background":"#ace5fe"},"content":[{"type":"paragraph","content":[{"type":"text","text":"Mall + Luxury","marks":[{"type":"strong"}]}],"attrs":{"localId":"a87e1329693c"}}]}]},{"type":"tableRow","attrs":{"localId":"58c85a43d04f"},"content":[{"type":"tableCell","attrs":{"localId":"7d7687f87830","background":"#ace5fe"},"content":[{"type":"paragraph","content":[{"type":"text","text":"Particulars","marks":[{"type":"strong"}]}],"attrs":{"localId":"524dd33e0cc7"}}]},{"type":"tableCell","attrs":{"localId":"f798bc625866","background":"#ace5fe"},"content":[{"type":"paragraph","content":[{"type":"text","text":"SKU Count","marks":[{"type":"strong"}]}],"attrs":{"localId":"c856f6e1fcc5"}}]},{"type":"tableCell","attrs":{"localId":"3d0dea8ad834","background":"#ace5fe"},"content":[{"type":"paragraph","content":[{"type":"text","text":"Option Count","marks":[{"type":"strong"}]}],"attrs":{"localId":"f4bb15726d0b"}}]}]},{"type":"tableRow","attrs":{"localId":"24ebedc5126d"},"content":[{"type":"tableCell","attrs":{"localId":"33799c6a704a","background":"white"},"content":[{"type":"paragraph","content":[{"type":"text","text":"Received"}],"attrs":{"localId":"b04611286963"}}]},{"type":"tableCell","attrs":{"localId":"0e5405bef628"},"content":[{"type":"paragraph","content":[{"type":"text","text":"6"}],"attrs":{"localId":"c9152146a681"}}]},{"type":"tableCell","attrs":{"localId":"1c2112366938"},"content":[{"type":"paragraph","content":[{"type":"text","text":"6"}],"attrs":{"localId":"c9a2fdeb3fae"}}]}]},{"type":"tableRow","attrs":{"localId":"56e11347af6e"},"content":[{"type":"tableCell","attrs":{"localId":"7815596bfc57","background":"white"},"content":[{"type":"paragraph","content":[{"type":"text","text":"Uploaded"}],"attrs":{"localId":"81ee9bd29c61"}}]},{"type":"tableCell","attrs":{"localId":"8d720070f74c"},"content":[{"type":"paragraph","content":[{"type":"text","text":"6"}],"attrs":{"localId":"ce23cd2814a4"}}]},{"type":"tableCell","attrs":{"localId":"5a732f22f524"},"content":[{"type":"paragraph","content":[{"type":"text","text":"6"}],"attrs":{"localId":"5beaad090065"}}]}]},{"type":"tableRow","attrs":{"localId":"31f9c2c9af42"},"content":[{"type":"tableCell","attrs":{"localId":"304d12742c7e","background":"white"},"content":[{"type":"paragraph","content":[{"type":"text","text":"LIDs Shared"}],"attrs":{"localId":"867e0b9c7854"}}]},{"type":"tableCell","attrs":{"localId":"b7c5f0027c70"},"content":[{"type":"paragraph","content":[{"type":"text","text":"6"}],"attrs":{"localId":"7f3f6da0ef74"}}]},{"type":"tableCell","attrs":{"localId":"43272dbc1aa8"},"content":[{"type":"paragraph","content":[{"type":"text","text":"6"}],"attrs":{"localId":"3a41919dd327"}}]}]},{"type":"tableRow","attrs":{"localId":"a08efbc99cee"},"content":[{"type":"tableCell","attrs":{"localId":"15820e48a324","background":"white"},"content":[{"type":"paragraph","content":[{"type":"text","text":"LIDs Stuck in the System"}],"attrs":{"localId":"e20690885a48"}}]},{"type":"tableCell","attrs":{"localId":"bc236e30e02f"},"content":[{"type":"paragraph","content":[{"type":"text","text":"0"}],"attrs":{"localId":"722138c1790e"}}]},{"type":"tableCell","attrs":{"localId":"a202df172675"},"content":[{"type":"paragraph","content":[{"type":"text","text":"0"}],"attrs":{"localId":"9ac3e9425f75"}}]}]}]}
{adf}
With this, we are closing this request from our end.
Thank you for your patience, support, and cooperation throughout the process. Your brand is important to us, and we look forward to assisting you again."</t>
  </si>
  <si>
    <t>Dr. Odin</t>
  </si>
  <si>
    <t>Date :07/27/2026 &lt;Ticket picked for pre processing Option: 62 SKU: 62&gt; &lt;Sanjana Ghosh&gt;;Date :07/27/2026 &lt;Pre Processing query to Brand &lt;Style Code, Image Query and Mandatory Features&gt; &lt;Sanjana Ghosh&gt; ;Date :07/28/2026 &lt; Pre Processing query to Brand 1st Follow Up&gt; &lt;Sanjana Ghosh&gt;;Date :07/31/2026 &lt; Closing ticket for Brand not Responding 1st Follow Up Date :07/28/2026, 2nd  Follow Up Date:07/29/2026, 3rd Follow up Date:07/30/2026&gt; &lt;Sanjana Ghosh&gt;</t>
  </si>
  <si>
    <t>Max&amp;Co,BMW</t>
  </si>
  <si>
    <t>|Date :07/27/2026 &lt;Ticket picked for pre processing SKU 16&gt; &lt;Tania&gt;|
|Date :07/27/2026 &lt;Ticket picked for Production and QC review SKU 16&gt; &lt;Tania&gt;|;[^UCW-34964 Summary.zip]
;We have successfully uploaded this batch. Please find the attached summary sheet and summary report.[^UCW-34964_Post Upload Status.xlsx] Date :07/28/2026 &lt;Ticket has been successfully uploaded in our system. SKU 16&gt; &lt;Tania&gt;;[^UCW-34964_Post Upload Status (021a5d32-b8b4-4e5d-b147-6848276c7900).xlsx]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f079981-acab-4e51-ac56-2061054fedae"},"content":[{"type":"tableRow","attrs":{"localId":"46895f152a3c"},"content":[{"type":"tableCell","attrs":{"localId":"e64a5c672b12","background":"#44b3e1"},"content":[{"type":"paragraph","content":[{"type":"text","text":"Ticket ID","marks":[{"type":"strong"}]}],"attrs":{"localId":"8c393362d5be"}}]},{"type":"tableCell","attrs":{"localId":"955d72938a8b","colspan":2,"background":"#44b3e1"},"content":[{"type":"paragraph","content":[{"type":"text","text":"UCW-34964","marks":[{"type":"strong"}]}],"attrs":{"localId":"cbdebdea8bbc"}}]}]},{"type":"tableRow","attrs":{"localId":"62e526e0ea15"},"content":[{"type":"tableCell","attrs":{"localId":"bf7c80a42487","background":"#44b3e1"},"content":[{"type":"paragraph","content":[{"type":"text","text":"Brand Name","marks":[{"type":"strong"}]}],"attrs":{"localId":"9b5b3d212d0d"}}]},{"type":"tableCell","attrs":{"localId":"6618e183b379","colspan":2,"background":"#44b3e1"},"content":[{"type":"paragraph","content":[{"type":"text","text":"Max&amp;Co, BMW","marks":[{"type":"strong"}]}],"attrs":{"localId":"84bf8ab1a2d2"}}]}]},{"type":"tableRow","attrs":{"localId":"8c64c800d31b"},"content":[{"type":"tableCell","attrs":{"localId":"4ec7aa8e1046","background":"#ace5fe"},"content":[{"type":"paragraph","content":[{"type":"text","text":"Platform","marks":[{"type":"strong"}]}],"attrs":{"localId":"70dd5c906ad0"}}]},{"type":"tableCell","attrs":{"localId":"a26a9b172522","colspan":2,"background":"#ace5fe"},"content":[{"type":"paragraph","content":[{"type":"text","text":"Mall + Luxury","marks":[{"type":"strong"}]}],"attrs":{"localId":"8646c8230f68"}}]}]},{"type":"tableRow","attrs":{"localId":"3b980b18fa9a"},"content":[{"type":"tableCell","attrs":{"localId":"123b238bb687","background":"#ace5fe"},"content":[{"type":"paragraph","content":[{"type":"text","text":"Particulars","marks":[{"type":"strong"}]}],"attrs":{"localId":"e1f1c749434f"}}]},{"type":"tableCell","attrs":{"localId":"68a19a51796a","background":"#ace5fe"},"content":[{"type":"paragraph","content":[{"type":"text","text":"SKU Count","marks":[{"type":"strong"}]}],"attrs":{"localId":"deaa2823aa22"}}]},{"type":"tableCell","attrs":{"localId":"1e0fd8ce5ab1","background":"#ace5fe"},"content":[{"type":"paragraph","content":[{"type":"text","text":"Option Count","marks":[{"type":"strong"}]}],"attrs":{"localId":"a91320946ae3"}}]}]},{"type":"tableRow","attrs":{"localId":"19835d17ab4f"},"content":[{"type":"tableCell","attrs":{"localId":"1518ae0cafb2","background":"white"},"content":[{"type":"paragraph","content":[{"type":"text","text":"Received"}],"attrs":{"localId":"bf61c327f938"}}]},{"type":"tableCell","attrs":{"localId":"650990f14ff6"},"content":[{"type":"paragraph","content":[{"type":"text","text":"16"}],"attrs":{"localId":"15475ab09f98"}}]},{"type":"tableCell","attrs":{"localId":"4cc2599af93d"},"content":[{"type":"paragraph","content":[{"type":"text","text":"16"}],"attrs":{"localId":"4bdc73054643"}}]}]},{"type":"tableRow","attrs":{"localId":"b99c2b8cc04a"},"content":[{"type":"tableCell","attrs":{"localId":"d46f2dbd6bb4","background":"white"},"content":[{"type":"paragraph","content":[{"type":"text","text":"Uploaded"}],"attrs":{"localId":"977729130d47"}}]},{"type":"tableCell","attrs":{"localId":"f631a1c83913"},"content":[{"type":"paragraph","content":[{"type":"text","text":"16"}],"attrs":{"localId":"485a56187c58"}}]},{"type":"tableCell","attrs":{"localId":"c2ad2a337afc"},"content":[{"type":"paragraph","content":[{"type":"text","text":"16"}],"attrs":{"localId":"cad4233d2e23"}}]}]},{"type":"tableRow","attrs":{"localId":"072cf0603d75"},"content":[{"type":"tableCell","attrs":{"localId":"233b943136fc","background":"white"},"content":[{"type":"paragraph","content":[{"type":"text","text":"LIDs Shared"}],"attrs":{"localId":"d0dcb4998d78"}}]},{"type":"tableCell","attrs":{"localId":"100ee548a829"},"content":[{"type":"paragraph","content":[{"type":"text","text":"16"}],"attrs":{"localId":"80fa851972dd"}}]},{"type":"tableCell","attrs":{"localId":"cfdcba2c52b0"},"content":[{"type":"paragraph","content":[{"type":"text","text":"16"}],"attrs":{"localId":"79f3f924e63a"}}]}]},{"type":"tableRow","attrs":{"localId":"53de75c3c02c"},"content":[{"type":"tableCell","attrs":{"localId":"4bdfb3e86383","background":"white"},"content":[{"type":"paragraph","content":[{"type":"text","text":"LIDs Stuck in the System"}],"attrs":{"localId":"4f1ce367947f"}}]},{"type":"tableCell","attrs":{"localId":"ef0ed4e3132b"},"content":[{"type":"paragraph","content":[{"type":"text","text":"0"}],"attrs":{"localId":"630f154e6fcf"}}]},{"type":"tableCell","attrs":{"localId":"10a48d064f0e"},"content":[{"type":"paragraph","content":[{"type":"text","text":"0"}],"attrs":{"localId":"ec51e0de3bbb"}}]}]}]}
{adf}
With this, we are closing this request from our end.
Thank you for your patience, support, and cooperation throughout the process. Your brand is important to us, and we look forward to assisting you again."</t>
  </si>
  <si>
    <t>Duroflec</t>
  </si>
  <si>
    <t>Date:07/28/2026&lt;Brand to Resolve Query&gt;&lt;Image link is same for 192 sku;s , but 192 sku;s are unique&gt;&lt;Biplab Sarkar&gt;;We have updated the images. Please find the attached screenshot for your reference. Once the images are successfully reflected, we will inform you accordingly.
{adf:display=block}
{"type":"table","attrs":{"isNumberColumnEnabled":false,"layout":"center","localId":"e058ba04-6863-41dc-bfcb-f019a6bdba32"},"content":[{"type":"tableRow","attrs":{"localId":"8ac422ef872f"},"content":[{"type":"tableCell","attrs":{"localId":"03a0b993f085"},"content":[{"type":"paragraph","content":[{"type":"text","text":"Ticket ID"}],"attrs":{"localId":"6c73c4e1ab18"}}]},{"type":"tableCell","attrs":{"localId":"fb6ba6c1f73a","colspan":2},"content":[{"type":"paragraph","content":[{"type":"text","text":"UCW-34956"}],"attrs":{"localId":"78502c77928d"}}]}]},{"type":"tableRow","attrs":{"localId":"e18d2245c31e"},"content":[{"type":"tableCell","attrs":{"localId":"1b0379e63df4"},"content":[{"type":"paragraph","content":[{"type":"text","text":"Brand Name"}],"attrs":{"localId":"e67a94466a46"}}]},{"type":"tableCell","attrs":{"localId":"8c0989c98427","colspan":2},"content":[{"type":"paragraph","content":[{"type":"text","text":"Sleepyhead"}],"attrs":{"localId":"1d52ddb0109f"}}]}]},{"type":"tableRow","attrs":{"localId":"1e3b6973b5a0"},"content":[{"type":"tableCell","attrs":{"localId":"970caf9e9b65"},"content":[{"type":"paragraph","content":[{"type":"text","text":"Platform"}],"attrs":{"localId":"81b356169504"}}]},{"type":"tableCell","attrs":{"localId":"31f88626c61f","colspan":2},"content":[{"type":"paragraph","content":[{"type":"text","text":"Marketplace"}],"attrs":{"localId":"843163ed0e97"}}]}]},{"type":"tableRow","attrs":{"localId":"d6bee210883f"},"content":[{"type":"tableCell","attrs":{"localId":"70b723479c81"},"content":[{"type":"paragraph","content":[{"type":"text","text":"Particulars"}],"attrs":{"localId":"dbc2e57fb01f"}}]},{"type":"tableCell","attrs":{"localId":"7980ab5c34eb"},"content":[{"type":"paragraph","content":[{"type":"text","text":"SKU Count"}],"attrs":{"localId":"2b3621efbabb"}}]},{"type":"tableCell","attrs":{"localId":"ddfba98f3ed9"},"content":[{"type":"paragraph","content":[{"type":"text","text":"Option Count"}],"attrs":{"localId":"13c3f7f50adb"}}]}]},{"type":"tableRow","attrs":{"localId":"59113bfa2cb6"},"content":[{"type":"tableCell","attrs":{"localId":"e5b1e8005120"},"content":[{"type":"paragraph","content":[{"type":"text","text":"Received"}],"attrs":{"localId":"efa83746d7fd"}}]},{"type":"tableCell","attrs":{"localId":"a69ce58de40b"},"content":[{"type":"paragraph","content":[{"type":"text","text":"192"}],"attrs":{"localId":"3ffbd6eb53ba"}}]},{"type":"tableCell","attrs":{"localId":"673059d9e781"},"content":[{"type":"paragraph","content":[{"type":"text","text":"192"}],"attrs":{"localId":"9b19bdee1585"}}]}]},{"type":"tableRow","attrs":{"localId":"04efcefaa912"},"content":[{"type":"tableCell","attrs":{"localId":"047a42de32d9"},"content":[{"type":"paragraph","content":[{"type":"text","text":"Uploaded"}],"attrs":{"localId":"b4e6a61d9cae"}}]},{"type":"tableCell","attrs":{"localId":"a80d1b4c6396"},"content":[{"type":"paragraph","content":[{"type":"text","text":"192"}],"attrs":{"localId":"ce92451e6773"}}]},{"type":"tableCell","attrs":{"localId":"44739038c3b8"},"content":[{"type":"paragraph","content":[{"type":"text","text":"192"}],"attrs":{"localId":"2843770974e4"}}]}]}]}
{adf}
[^126136_SKUEDITRETRIGGER_DUROFLEX_LIMITED(126136)_MATTRESS(MPH2111103103)_20260729_025036_677_summary.csv]
;The images have been successfully reflected. Therefore, we will proceed with closing this ticket for now. If you encounter any further issues, please feel free to reach out to us.</t>
  </si>
  <si>
    <t>MNY</t>
  </si>
  <si>
    <t>Date:07/28/2026&lt;Brand to Relove&gt;&lt;Image name folder mismatch with shared LID&gt;&lt;Biplab Sarkar&gt;;The image is currently not reflecting. Therefore, we have re-uploaded it. Once the image is successfully reflected, we will inform you. If the issue still persists, we will raise an L1 ticket and keep you updated accordingly.
[^125928_product_retrigger_BULK_UPLOAD_summary.csv]
;The images have been successfully reflected. Therefore, we will proceed with closing this ticket for now. If you encounter any further issues, please feel free to reach out to us.</t>
  </si>
  <si>
    <t>Error of various tickets and various issues. Team has taken necessary action and awaiting validation.</t>
  </si>
  <si>
    <t>UCW-35856</t>
  </si>
  <si>
    <t>R&amp;B - Apparel - Seller Code 123986 - New Listing - 07-08-2026 (Lot 12)</t>
  </si>
  <si>
    <t>UCW-35854</t>
  </si>
  <si>
    <t>Libas Apparel 127532 07-08-2026 (SIZE ADDITION)</t>
  </si>
  <si>
    <t>UCW-35853</t>
  </si>
  <si>
    <t>New Lot 2 2026 Slot 1 Listing Creation (Volar Fashion-127227-Footwear)</t>
  </si>
  <si>
    <t>UCW-35847</t>
  </si>
  <si>
    <t xml:space="preserve">Cin Cin - 07-08-2026 - 128398 - Daily Wear </t>
  </si>
  <si>
    <t>UCW-35845</t>
  </si>
  <si>
    <t xml:space="preserve">Andamen Rise collection - Dual listings </t>
  </si>
  <si>
    <t>UCW-35841</t>
  </si>
  <si>
    <t>Bioderma - EAN change</t>
  </si>
  <si>
    <t>UCW-35837</t>
  </si>
  <si>
    <t>Clinique Diwali Honey Local GWPs | TataCliq | Aug GWP</t>
  </si>
  <si>
    <t>UCW-35836</t>
  </si>
  <si>
    <t>New Catalogue Sheet- 7 Aug</t>
  </si>
  <si>
    <t>UCW-35834</t>
  </si>
  <si>
    <t>Cava Image updation</t>
  </si>
  <si>
    <t>UCW-35832</t>
  </si>
  <si>
    <t>Tata Cliq  - New listing - Images update</t>
  </si>
  <si>
    <t>UCW-35831</t>
  </si>
  <si>
    <t>New Airwrap Limited Edition- Ceramic Khaki</t>
  </si>
  <si>
    <t>UCW-35829</t>
  </si>
  <si>
    <t>Giva | Silver Jewellery | 125927 | 30-07-2026 (51SKUs)</t>
  </si>
  <si>
    <t>UCW-35827</t>
  </si>
  <si>
    <t>Joules by Radhika - Jewelry - 07/08/2026 - 177 SKUs</t>
  </si>
  <si>
    <t>UCW-35826</t>
  </si>
  <si>
    <t>CLONE - CLONE - CLONE - Beauty - New brand cataloguing - Forest Hill - 1 Aug</t>
  </si>
  <si>
    <t>UCW-35825</t>
  </si>
  <si>
    <t>color error rectify images for MP000000028489563</t>
  </si>
  <si>
    <t>UCW-35821</t>
  </si>
  <si>
    <t>Request to Review and Update New Product Listing Details</t>
  </si>
  <si>
    <t>UCW-35817</t>
  </si>
  <si>
    <t>Women Footwear New Styles For Tatacliq (SS'26) - (Styles-24) 03.08.2026</t>
  </si>
  <si>
    <t>UCW-35793</t>
  </si>
  <si>
    <t>UCW-35791</t>
  </si>
  <si>
    <t>FM_USPA_Arrow_MP_104_Batch-21, 22 &amp; Lot-80 (AW26)_124848_06-08-2026</t>
  </si>
  <si>
    <t>UCW-35788</t>
  </si>
  <si>
    <t>UCW-35786</t>
  </si>
  <si>
    <t>New Catalogue Sheet - 127573-4 August</t>
  </si>
  <si>
    <t>UCW-35784</t>
  </si>
  <si>
    <t>AW26 Lot 3 ||  Tata Cliq || (60 Style's) Prioritize Listing</t>
  </si>
  <si>
    <t>UCW-35778</t>
  </si>
  <si>
    <t>Products for listing - House Of CDC Fashion Pvt Ltd.</t>
  </si>
  <si>
    <t>UCW-35776</t>
  </si>
  <si>
    <t>To Update weight details</t>
  </si>
  <si>
    <t>UCW-35762</t>
  </si>
  <si>
    <t>Puig Giftsets Cataloguing 03.08.26</t>
  </si>
  <si>
    <t>UCW-35761</t>
  </si>
  <si>
    <t xml:space="preserve">New Listings - Contraband </t>
  </si>
  <si>
    <t>UCW-35760</t>
  </si>
  <si>
    <t>Kenzo Image updation.</t>
  </si>
  <si>
    <t>UCW-35758</t>
  </si>
  <si>
    <t>Request to Update MRP &amp; Size for Existing Products – LuxaDerme</t>
  </si>
  <si>
    <t>Shweta Phadtare</t>
  </si>
  <si>
    <t>UCW-35754</t>
  </si>
  <si>
    <t>CLONE - UPDATED Beauty New Listing Format Submission – Zoha / Correlation / Pepper Tree</t>
  </si>
  <si>
    <t>UCW-35751</t>
  </si>
  <si>
    <t>Limese X SOR - ANUA Listing sheet</t>
  </si>
  <si>
    <t>UCW-35748</t>
  </si>
  <si>
    <t>Sangeeta Boochra - Jewelry - 05/08/2026 - 37 SKUs</t>
  </si>
  <si>
    <t>UCW-35741</t>
  </si>
  <si>
    <t>New Toe Ring Collection Catalog for Upload 06.08.2026</t>
  </si>
  <si>
    <t>UCW-35731</t>
  </si>
  <si>
    <t>TCL | Under Armour | Image update</t>
  </si>
  <si>
    <t>UCW-35715</t>
  </si>
  <si>
    <t>New launch cataloguing details of Kenzo(LE ROUGE &amp; L'EAU AMBRÉE)_Fragrance for TCL _06_Aug_2026.</t>
  </si>
  <si>
    <t>UCW-35707</t>
  </si>
  <si>
    <t>Fabindia – Apparel | Jewellery &amp; Footwear– Seller Code-126453 – SKU Count-936 – Style Count-330 – 27-07-2026</t>
  </si>
  <si>
    <t>UCW-35705</t>
  </si>
  <si>
    <t>TFS new GWP listing details</t>
  </si>
  <si>
    <t>UCW-35704</t>
  </si>
  <si>
    <t>Isharya-Tata Cliq-Rakhi Linesheet</t>
  </si>
  <si>
    <t>UCW-35693</t>
  </si>
  <si>
    <t>Tata Cliq-Multi Brand-Footwear -129236 - 127776 - 20-07-2026</t>
  </si>
  <si>
    <t>UCW-35692</t>
  </si>
  <si>
    <t>Tata Cliq-Multi Brand-Footwear -129236 - 127776 - 04-08-2026</t>
  </si>
  <si>
    <t>UCW-35690</t>
  </si>
  <si>
    <t>Tata Cliq-Multi Brand-Footwear -129236,127776 - 06-08-2026</t>
  </si>
  <si>
    <t>UCW-35685</t>
  </si>
  <si>
    <t>NEEMANS+FOOTWEAR+ 125173+ 15-07-2026</t>
  </si>
  <si>
    <t>UCW-35682</t>
  </si>
  <si>
    <t>GWP &amp; Samples</t>
  </si>
  <si>
    <t>UCW-35681</t>
  </si>
  <si>
    <t>D&amp;G - PDP Content &amp; Hybrid Mock</t>
  </si>
  <si>
    <t>UCW-35680</t>
  </si>
  <si>
    <t xml:space="preserve"> Amouage Launch | TCL - Cataloguing Details | July 2026</t>
  </si>
  <si>
    <t>UCW-35676</t>
  </si>
  <si>
    <t>Update Listing | Tata Cliq | Miduty</t>
  </si>
  <si>
    <t>UCW-35675</t>
  </si>
  <si>
    <t>The Bear House - New Collection Details- 04-Aug 124388</t>
  </si>
  <si>
    <t>UCW-35670</t>
  </si>
  <si>
    <t>EAN Addition SPA X Tata</t>
  </si>
  <si>
    <t>UCW-35657</t>
  </si>
  <si>
    <t xml:space="preserve">Footwear Lot 1 AW26 Skechers -1189 SKUs - 179 Style - Marketplace and Luxury - Marketplace seller code - 126948 - Luxury seller code - 128174 - 3.8.2026 </t>
  </si>
  <si>
    <t>UCW-35653</t>
  </si>
  <si>
    <t>UCW-35641</t>
  </si>
  <si>
    <t>RE: GWP Listings - Aug'26 (P0 Priority)</t>
  </si>
  <si>
    <t>UCW-35634</t>
  </si>
  <si>
    <t>New Rakhi Collection Catalog for Upload Lot 1 01.08.2026</t>
  </si>
  <si>
    <t>UCW-35631</t>
  </si>
  <si>
    <t>Tatacliq Footwear Batch 26 (July) _Colehaan_28-07-2026</t>
  </si>
  <si>
    <t>UCW-35621</t>
  </si>
  <si>
    <t>Colors Queen || Makeup || 129094 || 04-08-2026</t>
  </si>
  <si>
    <t>UCW-35615</t>
  </si>
  <si>
    <t>Calvin Klein Mist Ext - 4 STD - New Listing - TATA - 04/08/26</t>
  </si>
  <si>
    <t>UCW-35614</t>
  </si>
  <si>
    <t>UCW-35606</t>
  </si>
  <si>
    <t>MNY | Vinyl Ink Mithai Listing | Tata Cliq Fashion | 125928  (2767246)</t>
  </si>
  <si>
    <t>UCW-35593</t>
  </si>
  <si>
    <t>add the new listing | foto care | Gadgets | 4th aug</t>
  </si>
  <si>
    <t>UCW-35583</t>
  </si>
  <si>
    <t>Tata CLiQ Product image change thalgo</t>
  </si>
  <si>
    <t>UCW-35574</t>
  </si>
  <si>
    <t>StyloBug Kidswear 129303 New Listing 30 SKus 03-Aug-2026</t>
  </si>
  <si>
    <t>UCW-35570</t>
  </si>
  <si>
    <t>CLONE - L’Oréal Paris | GB Serum Update | TataCliq Fashion  |125928</t>
  </si>
  <si>
    <t>UCW-35566</t>
  </si>
  <si>
    <t>Kaftanize - 128340 - 03-08-2026 - Daily Wear</t>
  </si>
  <si>
    <t>UCW-35565</t>
  </si>
  <si>
    <t xml:space="preserve">Smriti Gupta - 03-08-2026 - 128248 - Festive Collection </t>
  </si>
  <si>
    <t>UCW-35563</t>
  </si>
  <si>
    <t>Rosso Brunello - Footwear - 16/07/2026 - 352 SKUs</t>
  </si>
  <si>
    <t>UCW-35562</t>
  </si>
  <si>
    <t>Tata Cliq Footwear Catalogue | 05-08-2026</t>
  </si>
  <si>
    <t>UCW-35560</t>
  </si>
  <si>
    <t>Under Armour Listing (128047)-04/08/2026</t>
  </si>
  <si>
    <t>UCW-35556</t>
  </si>
  <si>
    <t>Malabar Weight Updating On Tata Cliq | Adhoc |124274</t>
  </si>
  <si>
    <t>UCW-35549</t>
  </si>
  <si>
    <t>Pantaloons/Kid's/New Listing/SKU 565/Options 114| 4th Aug'2026</t>
  </si>
  <si>
    <t>UCW-35548</t>
  </si>
  <si>
    <t>Lot 1 AW26 Skechers Apparels 123 SKUs - 22 Style -3.8.2026</t>
  </si>
  <si>
    <t>UCW-35543</t>
  </si>
  <si>
    <t>bareMinerals x TCL – Cataloguing July'26</t>
  </si>
  <si>
    <t>UCW-35540</t>
  </si>
  <si>
    <t>Accessorize London X Tata Cliq _Jewellery Catalogue_03-08-2026</t>
  </si>
  <si>
    <t>UCW-35539</t>
  </si>
  <si>
    <t>L’Oréal Paris | Festive Shade Hair Colour Listing | TataCliq Fashion  |125928</t>
  </si>
  <si>
    <t>UCW-35538</t>
  </si>
  <si>
    <t>Libas Apparel 127532 31-07-2026 ( IMAGE REPLACE )</t>
  </si>
  <si>
    <t>UCW-35534</t>
  </si>
  <si>
    <t>Katalysst New Listing TATA CLIQ</t>
  </si>
  <si>
    <t>UCW-35531</t>
  </si>
  <si>
    <t>New Catalogue For Rakhi: 03-08-2026</t>
  </si>
  <si>
    <t>UCW-35527</t>
  </si>
  <si>
    <t>Lotto/Footwear UPTO Lot-38/Seller code- 129247/ 17-07-2026</t>
  </si>
  <si>
    <t>UCW-35524</t>
  </si>
  <si>
    <t>Palmonas | Fashion Jwellery | 128366 | 03-08-2026, 40 SKUs RAKHI</t>
  </si>
  <si>
    <t>UCW-35523</t>
  </si>
  <si>
    <t>Tatacliq x Mini Stitch wedding Catalog-(129146-WH)-03-08-26</t>
  </si>
  <si>
    <t>UCW-35520</t>
  </si>
  <si>
    <t>Ben Sherman Apparel Listing</t>
  </si>
  <si>
    <t>UCW-35517</t>
  </si>
  <si>
    <t>Image Update for Rakhi Product: 29.07.2026</t>
  </si>
  <si>
    <t>UCW-35515</t>
  </si>
  <si>
    <t>listing to add ANIK (124849) 29-07-2026</t>
  </si>
  <si>
    <t>UCW-35493</t>
  </si>
  <si>
    <t>BB Skin Enhancer July'26</t>
  </si>
  <si>
    <t>UCW-35492</t>
  </si>
  <si>
    <t xml:space="preserve"> Pantaloons/Men/Women/Kids/Non Apparel Footwear/Specimen/New Listing/SKU 523/Options 120| 28th July'2026</t>
  </si>
  <si>
    <t>UCW-35491</t>
  </si>
  <si>
    <t>New Listings+Khadlaj+Perfumes+126349+TCF+28th July 2026</t>
  </si>
  <si>
    <t>UCW-35489</t>
  </si>
  <si>
    <t>Davidoff EAN &amp; MRP Update - TATA</t>
  </si>
  <si>
    <t>UCW-35488</t>
  </si>
  <si>
    <t>Lip tints PDP images update</t>
  </si>
  <si>
    <t>UCW-35487</t>
  </si>
  <si>
    <t>PUMA FOOTWEAR, APPARREL &amp; ACCESSORIES 124130 &amp; 125381 New Listings 31-07-2026</t>
  </si>
  <si>
    <t>UCW-35485</t>
  </si>
  <si>
    <t>64 Request to Expedite Catalog Listing</t>
  </si>
  <si>
    <t>UCW-35481</t>
  </si>
  <si>
    <t>80 Articles || Handbag Articles Listing For INC.5 || TataCliq</t>
  </si>
  <si>
    <t>UCW-35474</t>
  </si>
  <si>
    <t>Tata Cliq X Wella Ultimate Repair Listings</t>
  </si>
  <si>
    <t>UCW-35470</t>
  </si>
  <si>
    <t>Laa Polki Stories - Jewellery - 29th July - 25 SKUs</t>
  </si>
  <si>
    <t>UCW-35468</t>
  </si>
  <si>
    <t xml:space="preserve"> Isharya - Jewelry - 30/07/2026 - 41 SKUs</t>
  </si>
  <si>
    <t>UCW-35463</t>
  </si>
  <si>
    <t>Update Cataloge (127167 | 03-08-2026 | INVHOME)</t>
  </si>
  <si>
    <t>UCW-35461</t>
  </si>
  <si>
    <t>FM_USPA_Arrow_MP_163_Batch-18,19 (AW26) &amp; Lot-79__124848_03-08-2026</t>
  </si>
  <si>
    <t>UCW-35458</t>
  </si>
  <si>
    <t>Tata Cliq Fashion - New Listing - Eze Perfume ( Saffron Valley &amp; Himalayan Echo )</t>
  </si>
  <si>
    <t>UCW-35457</t>
  </si>
  <si>
    <t xml:space="preserve">Need to update images 30th July </t>
  </si>
  <si>
    <t>UCW-35450</t>
  </si>
  <si>
    <t>L'Occi X TataCliQ_New Listings (Gift Sets)</t>
  </si>
  <si>
    <t>UCW-35447</t>
  </si>
  <si>
    <t>L'Occi X TataCliQ_New Listings (GWPs)</t>
  </si>
  <si>
    <t>UCW-35439</t>
  </si>
  <si>
    <t>CLONE-CLONE - Tangerine Jewelry</t>
  </si>
  <si>
    <t>UCW-35438</t>
  </si>
  <si>
    <t>Foxtale X Tata Cliq Dewy sunscreen PDP and title update</t>
  </si>
  <si>
    <t>UCW-35435</t>
  </si>
  <si>
    <t>Foxtale X Maccaron Matte Sunscreen PDP and title update</t>
  </si>
  <si>
    <t>UCW-35432</t>
  </si>
  <si>
    <t>Woodland / Footwear / 1220 SKU's / 169 Options / 17-07-26</t>
  </si>
  <si>
    <t>UCW-35431</t>
  </si>
  <si>
    <t xml:space="preserve"> Foxtale X Tata Cliq Matte Sunscreen PDP and title update</t>
  </si>
  <si>
    <t>UCW-35429</t>
  </si>
  <si>
    <t>UCW-35427</t>
  </si>
  <si>
    <t>Fabindia – Apparel | Jewellery – Seller Code-126453 – SKU Count-892 – Style Count-320 – 01-08-2026</t>
  </si>
  <si>
    <t>UCW-35421</t>
  </si>
  <si>
    <t>Product To List - Seller (129561) House Of CDC Fashion Pvt Ltd</t>
  </si>
  <si>
    <t>UCW-35419</t>
  </si>
  <si>
    <t>Silvostyle by PNG | New (739) Products SilvoStyle | Code - 129576 | Total SKUs - 739</t>
  </si>
  <si>
    <t>UCW-35410</t>
  </si>
  <si>
    <t>New Catalogue Sheet 31 July 2026</t>
  </si>
  <si>
    <t>London Rag</t>
  </si>
  <si>
    <t>Cin Cin</t>
  </si>
  <si>
    <t>Cava</t>
  </si>
  <si>
    <t>Forest Hill</t>
  </si>
  <si>
    <t>Boat</t>
  </si>
  <si>
    <t>Club York</t>
  </si>
  <si>
    <t>Date :08/08/2026 &lt;Ticket picked for pre processing Option 24 Sku 150&gt; &lt;Ishani&gt;;Date :08/08/2026 &lt;Pre Processing query to Brand &lt;HSN Value Missing&gt;&gt; &lt;Ishani&gt;</t>
  </si>
  <si>
    <t>USPA, Arrow</t>
  </si>
  <si>
    <t>Date :08/08/2026 &lt;Ticket picked for pre processing Option: 104 SKU: 444&gt; &lt;Sanjana Ghosh&gt;</t>
  </si>
  <si>
    <t>TryMe</t>
  </si>
  <si>
    <t>Date :08/08/2026 &lt;Ticket picked for pre processing Option 69 Sku 411&gt; &lt;Ishani&gt;</t>
  </si>
  <si>
    <t>kazo</t>
  </si>
  <si>
    <t>Date :08/08/2026 &lt;Ticket picked for pre processing Option: 60 SKU: 348&gt; &lt;Sanjana Ghosh&gt;</t>
  </si>
  <si>
    <t>Joyallukas</t>
  </si>
  <si>
    <t>Puig</t>
  </si>
  <si>
    <t xml:space="preserve">Date :08/08/2026  &lt;Ticket picked for pre processing SKU 22&gt; &lt;Tania&gt; Date :08/08/2026  &lt;Pre Processing query to Brand &lt;Manufacturer &amp; Coo Details are mismatched, Image &amp; Certificate Analysis&gt;&gt; &lt;Tania&gt; </t>
  </si>
  <si>
    <t>Contraband</t>
  </si>
  <si>
    <t>Date :08/08/2026  &lt;Ticket picked for pre processing SKU 20&gt; &lt;Tania&gt; Date :08/08/2026  &lt;Pre Processing query to Brand &lt;Packer Details &amp; Longevity Missing, Certificate not available&gt;&gt; &lt;Tania&gt; 
BRAND NAME IS NOT LISTED</t>
  </si>
  <si>
    <t>Kenzo</t>
  </si>
  <si>
    <t>Date :08/09/2026&lt;Ticket picked for pre processing Option 2 Sku 2 &gt; &lt;Rupa&gt;</t>
  </si>
  <si>
    <t>LuxaDerme</t>
  </si>
  <si>
    <t xml:space="preserve">Date :08/09/2026&lt;Ticket picked for pre processing Option 2 Sku 2 &gt; &lt;Rupa&gt;;Date :08/09/2026&lt;Pre Processing query to Brand &lt;Image link not accessible&gt;&gt; &lt;Rupa&gt; </t>
  </si>
  <si>
    <t>pepper tree</t>
  </si>
  <si>
    <t xml:space="preserve">Date :08/08/2026  &lt;Ticket picked for pre processing SKU 17&gt; &lt;Tania&gt; Date :08/08/2026  &lt;Pre Processing query to Brand &lt;MRP &amp; Product Weight Details, Image&amp; Certificate&gt;&gt; &lt;Tania&gt; </t>
  </si>
  <si>
    <t>Anua</t>
  </si>
  <si>
    <t xml:space="preserve">Date :08/08/2026 &lt;Ticket picked for pre processing SKU 40&gt; &lt;Tania&gt; Date :08/08/2026  &lt;Pre Processing query to Brand &lt;Images Link Not Available &amp; Brand name is not available in LOV&gt;&gt; &lt;Tania&gt; </t>
  </si>
  <si>
    <t>Sangeeta Boochra</t>
  </si>
  <si>
    <t xml:space="preserve">Date : 8th Aug, 2026 This ticket has been picked for Pre-Processing and Image Analysis -Mousumi. 
Date : 8th Aug, 2026 Pre-Processing Done ( Brand to Query Weight, Warrnaty TYpe, Association COde,Metal &amp; Weight, Fine or Fashion)
</t>
  </si>
  <si>
    <t>Taraash 925</t>
  </si>
  <si>
    <t xml:space="preserve">Date : 8th Aug, 2026 This ticket has been picked for Pre-Processing and Image Analysis -Mousumi. 
Date : 8th Aug, 2026 Pre-Processing Done( Brand </t>
  </si>
  <si>
    <t>UNDER ARMOUR</t>
  </si>
  <si>
    <t>Date :08/09/2026&lt;Ticket picked for pre processing Option 258Sku 1085&gt; &lt;Rupa&gt;</t>
  </si>
  <si>
    <t>Date :08/07/2026 &lt;Ticket picked for pre processing SKU 4&gt; &lt;Tania&gt; Date :08/07/2026 &lt;Ticket picked for Production and QC review SKU 4&gt; &lt;Tania&gt;</t>
  </si>
  <si>
    <t>[^UCW-35705 Summary.zip]
[^UCW-35705_Post Upload Status.xlsx]
Date :08/07/2026 &lt;Ticket has been successfully uploaded in our system. Option 2 Sku 2 &gt; &lt;Tania&gt;;[^UCW-35705_Post Upload Status (1e731845-52bc-4008-9d1e-4ccc87c85ba7).xlsx]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057a8236-6ddc-4e61-b230-08afaa2d0285"},"content":[{"type":"tableRow","attrs":{"localId":"b94d972026bb"},"content":[{"type":"tableCell","attrs":{"localId":"c6c47f83f865","background":"#44b3e1"},"content":[{"type":"paragraph","content":[{"type":"text","text":"Ticket ID","marks":[{"type":"strong"}]}],"attrs":{"localId":"63d15f7e4c77"}}]},{"type":"tableCell","attrs":{"localId":"5b537517b30a","colspan":2,"background":"#44b3e1"},"content":[{"type":"paragraph","content":[{"type":"text","text":"The Face Shop","marks":[{"type":"strong"}]}],"attrs":{"localId":"d7fe299bdd48"}}]}]},{"type":"tableRow","attrs":{"localId":"81002f1b0aea"},"content":[{"type":"tableCell","attrs":{"localId":"2dbfc23b8bad","background":"#44b3e1"},"content":[{"type":"paragraph","content":[{"type":"text","text":"Brand Name","marks":[{"type":"strong"}]}],"attrs":{"localId":"2ea6f301ce9a"}}]},{"type":"tableCell","attrs":{"localId":"6a81421dbafb","colspan":2,"background":"#44b3e1"},"content":[{"type":"paragraph","content":[{"type":"text","text":"UCW-35705","marks":[{"type":"strong"}]}],"attrs":{"localId":"8175c06ca8a6"}}]}]},{"type":"tableRow","attrs":{"localId":"c84bb855d685"},"content":[{"type":"tableCell","attrs":{"localId":"472c36263ddb","background":"#ace5fe"},"content":[{"type":"paragraph","content":[{"type":"text","text":"Platform","marks":[{"type":"strong"}]}],"attrs":{"localId":"ecdb9b9ec1fd"}}]},{"type":"tableCell","attrs":{"localId":"68f13eca0363","colspan":2,"background":"#ace5fe"},"content":[{"type":"paragraph","content":[{"type":"text","text":"Mall + Luxury","marks":[{"type":"strong"}]}],"attrs":{"localId":"d65e91a4d36b"}}]}]},{"type":"tableRow","attrs":{"localId":"ffe9454fac43"},"content":[{"type":"tableCell","attrs":{"localId":"e8ac8ab4d3cd","background":"#ace5fe"},"content":[{"type":"paragraph","content":[{"type":"text","text":"Particulars","marks":[{"type":"strong"}]}],"attrs":{"localId":"56b626c5e947"}}]},{"type":"tableCell","attrs":{"localId":"b082d12758cd","background":"#ace5fe"},"content":[{"type":"paragraph","content":[{"type":"text","text":"SKU Count","marks":[{"type":"strong"}]}],"attrs":{"localId":"acd1e46fb31e"}}]},{"type":"tableCell","attrs":{"localId":"8326910e5d0b","background":"#ace5fe"},"content":[{"type":"paragraph","content":[{"type":"text","text":"Option Count","marks":[{"type":"strong"}]}],"attrs":{"localId":"f9d9bef311e4"}}]}]},{"type":"tableRow","attrs":{"localId":"2b92ebb9e9a5"},"content":[{"type":"tableCell","attrs":{"localId":"114efca00f39","background":"white"},"content":[{"type":"paragraph","content":[{"type":"text","text":"Received"}],"attrs":{"localId":"5a9a5afd269e"}}]},{"type":"tableCell","attrs":{"localId":"2f1ed8bac49a"},"content":[{"type":"paragraph","content":[{"type":"text","text":"2"}],"attrs":{"localId":"466a68e171da"}}]},{"type":"tableCell","attrs":{"localId":"c1c8f1956b9b"},"content":[{"type":"paragraph","content":[{"type":"text","text":"2"}],"attrs":{"localId":"ac2ec042a8a2"}}]}]},{"type":"tableRow","attrs":{"localId":"bad4bda1cd4d"},"content":[{"type":"tableCell","attrs":{"localId":"1aa0749ccca9","background":"white"},"content":[{"type":"paragraph","content":[{"type":"text","text":"Uploaded"}],"attrs":{"localId":"6f65a22539cf"}}]},{"type":"tableCell","attrs":{"localId":"ce15b40c11a1"},"content":[{"type":"paragraph","content":[{"type":"text","text":"2"}],"attrs":{"localId":"ae962ba76bc8"}}]},{"type":"tableCell","attrs":{"localId":"a8b663054d21"},"content":[{"type":"paragraph","content":[{"type":"text","text":"2"}],"attrs":{"localId":"ecca13f1a5ad"}}]}]},{"type":"tableRow","attrs":{"localId":"b6813864e0d6"},"content":[{"type":"tableCell","attrs":{"localId":"9bb11f53f910","background":"white"},"content":[{"type":"paragraph","content":[{"type":"text","text":"LIDs Shared"}],"attrs":{"localId":"bf51b9e8627b"}}]},{"type":"tableCell","attrs":{"localId":"76dacb389d0a"},"content":[{"type":"paragraph","content":[{"type":"text","text":"2"}],"attrs":{"localId":"d0824ea1cc57"}}]},{"type":"tableCell","attrs":{"localId":"8907833ee2f4"},"content":[{"type":"paragraph","content":[{"type":"text","text":"2"}],"attrs":{"localId":"0badc318b657"}}]}]},{"type":"tableRow","attrs":{"localId":"f1e8ca9bed5b"},"content":[{"type":"tableCell","attrs":{"localId":"e476c247cd13","background":"white"},"content":[{"type":"paragraph","content":[{"type":"text","text":"LIDs Stuck in the System"}],"attrs":{"localId":"674df6aa2374"}}]},{"type":"tableCell","attrs":{"localId":"b85c54a7c660"},"content":[{"type":"paragraph","content":[{"type":"text","text":"0"}],"attrs":{"localId":"66860bf2a073"}}]},{"type":"tableCell","attrs":{"localId":"929bd4e352a2"},"content":[{"type":"paragraph","content":[{"type":"text","text":"0"}],"attrs":{"localId":"a0ecdd462da5"}}]}]}]}
{adf}
With this, we are closing this request from our end.
Thank you for your patience, support, and cooperation throughout the process. Your brand is important to us, and we look forward to assisting you again."</t>
  </si>
  <si>
    <t>Date : 7th Aug, 2026 This ticket has been picked for Pre-Processing and Image Analysis -Mousumi. 
Date : 7th Aug, 2026 Pre-Processing Done- (brand tioQuery Gender, Warrnty Type)-Mousumi
;Date : 8th Aug, 2026 1st Followup Done-Mousumi</t>
  </si>
  <si>
    <t>Allen Solly, Louis Phillpe</t>
  </si>
  <si>
    <t>Date :08/08/2026 &lt;Ticket picked for pre processing Option 56 Sku 325&gt; &lt;Ishani&gt;;Date :08/08/2026 &lt;Ticket picked for Production and QC review Option 55 Sku 325&gt; &lt;Ishani&gt;;Date :08/08/2026 &lt;Pre Processing query to Brand &lt;Less than 3 Sku in Cluster&gt;&gt; &lt;Ishani&gt;</t>
  </si>
  <si>
    <t>Aditya Birla Multi</t>
  </si>
  <si>
    <t>Date :08/08/2026 &lt;Ticket picked for pre processing Option 47 Sku 247&gt; &lt;Ishani&gt;;Date :08/08/2026 &lt;Pre Processing query to Brand &lt;*Less Than 3 SKUs in Cluster*
* *Sizes Are Not Continuous*
* *Sole View Missing* in the product images&gt;&gt; &lt;Ishani&gt;;Date :08/08/2026 &lt;Ticket picked for Production and QC review Option 47 Sku 242&gt; &lt;Ishani&gt;</t>
  </si>
  <si>
    <t xml:space="preserve">Date :08/08/2026 &lt;Ticket picked for pre processing Option 33 Sku 173&gt; &lt;Ishani&gt;;Date :08/08/2026 &lt;&lt;We have checked the input sheet and found that the provided SKUs are *Already listed*. For your reference, we have attached a reference sheet containing the respective *LIDs for each SKU along with the corresponding date stamps.*
*With this, we are closing this request from our end.*
Thank you for your patience, support, and cooperation throughout the process. Your brand is important to us, and we look forward to assisting you again.&gt;&gt; &lt;&lt;Ishani&gt;&gt;
[^Post Upload Status_V.2 (1) (1).xlsx] </t>
  </si>
  <si>
    <t>Date :08/07/2026  &lt;Ticket picked for pre processing SKU 1&gt; &lt;Tania&gt; Date :08/07/2026 &lt;Ticket picked for Production and QC review SKU 1&gt; &lt;Tania&gt;;Date :08/07/2026 &lt;Ticket has been successfully uploaded in our system. SKU 1&gt; &lt;Tania&gt;[^ProductBulkUpload_125928_Beauty__Grooming(MPH22)_Fragrances_and_Perfumes(MPH2211)_Fragrances(MPH2211100)_Perfumes(MPH2211100104)_33887_1786111133423_20260807_07285.csv] [^UCW-35682_Post Upload Status.xlsx] We have successfully uploaded this batch. Please find the attached summary sheet and summary report.;[^UCW-35682_LIDs.xlsx]
{adf:display=block}
{"type":"table","attrs":{"isNumberColumnEnabled":false,"layout":"center","localId":"fe8737a7-42d1-4d13-9de4-c04654178708"},"content":[{"type":"tableRow","attrs":{"localId":"86c1370265cf"},"content":[{"type":"tableCell","attrs":{"localId":"610ac481c9e8","background":"#44b3e1"},"content":[{"type":"paragraph","content":[{"type":"text","text":"Ticket ID","marks":[{"type":"strong"}]}],"attrs":{"localId":"7f955afb2bf4"}}]},{"type":"tableCell","attrs":{"localId":"e5ddeb2438dd","colspan":2,"background":"#44b3e1"},"content":[{"type":"paragraph","content":[{"type":"text","text":"UCW-35682","marks":[{"type":"strong"}]}],"attrs":{"localId":"a61aa7b5143d"}}]}]},{"type":"tableRow","attrs":{"localId":"3fc840ad20ac"},"content":[{"type":"tableCell","attrs":{"localId":"66a80aa65481","background":"#44b3e1"},"content":[{"type":"paragraph","content":[{"type":"text","text":"Brand Name","marks":[{"type":"strong"}]}],"attrs":{"localId":"487eac89fb67"}}]},{"type":"tableCell","attrs":{"localId":"ea9a3580b412","colspan":2,"background":"#44b3e1"},"content":[{"type":"paragraph","content":[{"type":"text","text":"Amouage","marks":[{"type":"strong"}]}],"attrs":{"localId":"b290b227bebf"}}]}]},{"type":"tableRow","attrs":{"localId":"f2b31d89e0f6"},"content":[{"type":"tableCell","attrs":{"localId":"8f85bdcf0399","background":"#ace5fe"},"content":[{"type":"paragraph","content":[{"type":"text","text":"Platform","marks":[{"type":"strong"}]}],"attrs":{"localId":"e4fe667dac52"}}]},{"type":"tableCell","attrs":{"localId":"1c50245dee1e","colspan":2,"background":"#ace5fe"},"content":[{"type":"paragraph","content":[{"type":"text","text":"Lux","marks":[{"type":"strong"}]}],"attrs":{"localId":"efcff961446e"}}]}]},{"type":"tableRow","attrs":{"localId":"4c018db33148"},"content":[{"type":"tableCell","attrs":{"localId":"32eca51f346b","background":"#ace5fe"},"content":[{"type":"paragraph","content":[{"type":"text","text":"Particulars","marks":[{"type":"strong"}]}],"attrs":{"localId":"2f108d76a826"}}]},{"type":"tableCell","attrs":{"localId":"3a35e3458c21","background":"#ace5fe"},"content":[{"type":"paragraph","content":[{"type":"text","text":"SKU Count","marks":[{"type":"strong"}]}],"attrs":{"localId":"5c7d96ad7825"}}]},{"type":"tableCell","attrs":{"localId":"7f866efe0268","background":"#ace5fe"},"content":[{"type":"paragraph","content":[{"type":"text","text":"Option Count","marks":[{"type":"strong"}]}],"attrs":{"localId":"a03ae244e467"}}]}]},{"type":"tableRow","attrs":{"localId":"b41dcb7818e9"},"content":[{"type":"tableCell","attrs":{"localId":"64b966ca3e62","background":"white"},"content":[{"type":"paragraph","content":[{"type":"text","text":"Received"}],"attrs":{"localId":"8c97254315b1"}}]},{"type":"tableCell","attrs":{"localId":"a5e0a67950b1"},"content":[{"type":"paragraph","content":[{"type":"text","text":"1"}],"attrs":{"localId":"9a3728bfe1bd"}}]},{"type":"tableCell","attrs":{"localId":"4b09aceae96a"},"content":[{"type":"paragraph","content":[{"type":"text","text":"1"}],"attrs":{"localId":"466275db42cb"}}]}]},{"type":"tableRow","attrs":{"localId":"c2be6b44c971"},"content":[{"type":"tableCell","attrs":{"localId":"f49a3d536e20","background":"white"},"content":[{"type":"paragraph","content":[{"type":"text","text":"Uploaded"}],"attrs":{"localId":"ce1e229aaf62"}}]},{"type":"tableCell","attrs":{"localId":"6b3624c80a5d"},"content":[{"type":"paragraph","content":[{"type":"text","text":"1"}],"attrs":{"localId":"0e0319168862"}}]},{"type":"tableCell","attrs":{"localId":"660cb3cb09d6"},"content":[{"type":"paragraph","content":[{"type":"text","text":"1"}],"attrs":{"localId":"60eaf783039c"}}]}]},{"type":"tableRow","attrs":{"localId":"225b6798405c"},"content":[{"type":"tableCell","attrs":{"localId":"2d8b2c2ee69b","background":"white"},"content":[{"type":"paragraph","content":[{"type":"text","text":"LIDs Shared"}],"attrs":{"localId":"5f0fb1305413"}}]},{"type":"tableCell","attrs":{"localId":"5e2848fd0e55"},"content":[{"type":"paragraph","content":[{"type":"text","text":"1"}],"attrs":{"localId":"d71137dd7d19"}}]},{"type":"tableCell","attrs":{"localId":"996f95103e68"},"content":[{"type":"paragraph","content":[{"type":"text","text":"1"}],"attrs":{"localId":"4f13a87e9e4e"}}]}]}]}
{adf}</t>
  </si>
  <si>
    <t>D&amp;G</t>
  </si>
  <si>
    <t>[^UCW-35681_Post Upload Status.xlsx]
[^125928_product_retrigger_BULK_UPLOAD_summary.csv]
Retriggered 241 options, 32 options were already listed before it was assigned to us, we do not have the images hence we could not process it.;Kindly note that the PDP image re-sequencing is reflecting successfully for the retriggered SKUs. Please find the attached screenshots for your reference.</t>
  </si>
  <si>
    <t xml:space="preserve"> Amouage</t>
  </si>
  <si>
    <t>Date :08/07/2026 &lt;Ticket picked for pre processing SKU 12&gt; &lt;Tania&gt;;Date :08/07/2026 &lt;Ticket picked for Production and QC review SKU 10&gt; &lt;Tania&gt; Date :08/07/2026 &lt;Ticket has been successfully uploaded in our system SKU 10&gt; &lt;Tania&gt;;We have successfully uploaded this batch. Please find the attached summary sheet and summary report.[^ProductBulkUpload_125928_Beauty__Grooming(MPH22)_Fragrances_and_Perfumes(MPH2211)_Fragrances(MPH2211100)_Perfumes(MPH2211100104)_33887_1786110369526_20260807_071609_817_summary.csv] [^UCW-35680_Post Upload Status.xlsx]  ;[^UCW-35680_LIDs.xlsx]
{adf:display=block}
{"type":"table","attrs":{"isNumberColumnEnabled":false,"layout":"center","localId":"37b0cef0-d528-4abb-985a-c0c057dc580b"},"content":[{"type":"tableRow","attrs":{"localId":"ea121a44e6a5"},"content":[{"type":"tableCell","attrs":{"localId":"43cc4b183ee6"},"content":[{"type":"paragraph","content":[{"type":"text","text":"Ticket ID"}],"attrs":{"localId":"18c4e20370bc"}}]},{"type":"tableCell","attrs":{"localId":"975aa2f1561b","colspan":2},"content":[{"type":"paragraph","content":[{"type":"text","text":"UCW-35680"}],"attrs":{"localId":"54eb97ded00d"}}]}]},{"type":"tableRow","attrs":{"localId":"21285873de60"},"content":[{"type":"tableCell","attrs":{"localId":"b881ea24e03a"},"content":[{"type":"paragraph","content":[{"type":"text","text":"Brand Name"}],"attrs":{"localId":"94a9e33a89b3"}}]},{"type":"tableCell","attrs":{"localId":"b6a7011008ef","colspan":2},"content":[{"type":"paragraph","content":[{"type":"text","text":"Amouage"}],"attrs":{"localId":"4acab42232f8"}}]}]},{"type":"tableRow","attrs":{"localId":"c34690b4df47"},"content":[{"type":"tableCell","attrs":{"localId":"03a2fce9f05a"},"content":[{"type":"paragraph","content":[{"type":"text","text":"Platform"}],"attrs":{"localId":"370ecd4ada0f"}}]},{"type":"tableCell","attrs":{"localId":"be22582aadbd","colspan":2},"content":[{"type":"paragraph","content":[{"type":"text","text":"Lux"}],"attrs":{"localId":"5ecd30737e2e"}}]}]},{"type":"tableRow","attrs":{"localId":"a25ae62c7df2"},"content":[{"type":"tableCell","attrs":{"localId":"9a9d59e572f5"},"content":[{"type":"paragraph","content":[{"type":"text","text":"Particulars"}],"attrs":{"localId":"d1f4b164015b"}}]},{"type":"tableCell","attrs":{"localId":"6ca115bd3697"},"content":[{"type":"paragraph","content":[{"type":"text","text":"SKU Count"}],"attrs":{"localId":"2a99aea55efb"}}]},{"type":"tableCell","attrs":{"localId":"83a1402e5fd7"},"content":[{"type":"paragraph","content":[{"type":"text","text":"Option Count"}],"attrs":{"localId":"227906dbf869"}}]}]},{"type":"tableRow","attrs":{"localId":"fa8d541d9a14"},"content":[{"type":"tableCell","attrs":{"localId":"0a12a6ec6515"},"content":[{"type":"paragraph","content":[{"type":"text","text":"Received"}],"attrs":{"localId":"8fb1b400c67b"}}]},{"type":"tableCell","attrs":{"localId":"e68ebe0e187a"},"content":[{"type":"paragraph","content":[{"type":"text","text":"12"}],"attrs":{"localId":"181c1f5778fc"}}]},{"type":"tableCell","attrs":{"localId":"f9d1d1835737"},"content":[{"type":"paragraph","content":[{"type":"text","text":"12"}],"attrs":{"localId":"d5fe6f84ef33"}}]}]},{"type":"tableRow","attrs":{"localId":"983821b35857"},"content":[{"type":"tableCell","attrs":{"localId":"7052daee251c"},"content":[{"type":"paragraph","content":[{"type":"text","text":"Uploaded"}],"attrs":{"localId":"93c4f00c734a"}}]},{"type":"tableCell","attrs":{"localId":"5fc5a33becb8"},"content":[{"type":"paragraph","content":[{"type":"text","text":"10"}],"attrs":{"localId":"cf36d833ed4e"}}]},{"type":"tableCell","attrs":{"localId":"2cb3fe872be1"},"content":[{"type":"paragraph","content":[{"type":"text","text":"10"}],"attrs":{"localId":"a7cfbd637db9"}}]}]},{"type":"tableRow","attrs":{"localId":"f5d715aef0ea"},"content":[{"type":"tableCell","attrs":{"localId":"bd9563102c0c"},"content":[{"type":"paragraph","content":[{"type":"text","text":"LIDs Shared"}],"attrs":{"localId":"c584cf2c7405"}}]},{"type":"tableCell","attrs":{"localId":"e99a3af872f4"},"content":[{"type":"paragraph","content":[{"type":"text","text":"10"}],"attrs":{"localId":"4a4ce575752f"}}]},{"type":"tableCell","attrs":{"localId":"89d5ae35b593"},"content":[{"type":"paragraph","content":[{"type":"text","text":"10"}],"attrs":{"localId":"ef9e3e8fc861"}}]}]},{"type":"tableRow","attrs":{"localId":"a54b4b96dd5f"},"content":[{"type":"tableCell","attrs":{"localId":"58042278ad98"},"content":[{"type":"paragraph","content":[{"type":"text","text":"Not Uploaded - Image NA"}],"attrs":{"localId":"0ed8772a1946"}}]},{"type":"tableCell","attrs":{"localId":"262c595099f7"},"content":[{"type":"paragraph","content":[{"type":"text","text":"2"}],"attrs":{"localId":"35725c5c9dc9"}}]},{"type":"tableCell","attrs":{"localId":"f8b6b98de37b"},"content":[{"type":"paragraph","content":[{"type":"text","text":"2"}],"attrs":{"localId":"1d7730c6fe2b"}}]}]}]}
{adf}</t>
  </si>
  <si>
    <t>Date :08/08/2026  &lt;Given the SKUs for Image Process Option 2  Sku 2&gt; &lt;Debabrata&gt;</t>
  </si>
  <si>
    <t>Date :08/08/2026  &lt;Ticket picked for pre processing Option 209 Sku 1264&gt; &lt;Anwesha Mondal&gt;</t>
  </si>
  <si>
    <t>Mushio</t>
  </si>
  <si>
    <t>Date :08/08/2026 &lt;Pre Processing query to Brand &lt;Need New SKU Code&gt;&gt; &lt;Biplab Sarkar&gt;</t>
  </si>
  <si>
    <t xml:space="preserve">Date :08/08/2026 &lt;Ticket picked for pre processing Option 1189Sku 179&gt; &lt;Amandeep&gt;;Date :08/08/2026 &lt;Ticket picked for Production and QC review Option 1189Sku 179&gt; &lt;Amandeep&gt;;Date :08/09/2026 &lt;Ticket has been successfully uploaded in our system. Option 1189 Sku 179&gt; &lt;Amandeep&gt;[^Post Upload Status_V.2 (1).xlsx] [^Summary.zip] </t>
  </si>
  <si>
    <t>Date :08/06/2026 &lt;Ticket picked for pre processing Option 69 Sku 411&gt; &lt;Ankita&gt;;Date :08/08/2026 &lt;Ticket picked for Production and QC review Option 69 Sku 411&gt; &lt;Ishani&gt;;Date :08/08/2026 &lt;Pre Processing query to Brand &lt;Image Query&gt;&gt; &lt;Ishani&gt;;Date :08/08/2026 &lt;Ticket has been successfully uploaded in our system. Option 69 Sku 411&gt; &lt;Amandeep[^Summary.zip] [^Post Upload Status_V.2 (1).xlsx] &gt;</t>
  </si>
  <si>
    <t>Date :08/06/2026  &lt;Upload failed &lt;HSN invalid&gt;&gt; &lt;Tania&gt; [^ProductBulkUpload_125928_Beauty__Grooming(MPH22)_Fragrances_and_Perfumes(MPH2211)_Fragrances(MPH2211100)_Perfumes(MPH2211100104)_33887_1786025072512_20260806_073432_778_summary.csv] [^UCW-35641_Post Upload Status.xlsx] ;Date :08/07/2026 &lt; Pre Processing query to Brand 1st Follow Up&gt; &lt;Tania&gt;;Date :08/07/2026 &lt;Ticket has been successfully upl[^ProductBulkUpload_125928_Beauty__Grooming(MPH22)_Fragrances_and_Perfumes(MPH2211)_Fragrances(MPH2211100)_Perfumes(MPH2211100104)_33887_1786088771687_20260807_011611_841_summary.csv] [^UCW-35641_Post Upload Status (f8b5f549-3d56-4f27-bccd-89befc912eef).xlsx] oaded in our system. Option 8 Sku 8 &gt; &lt;Tania&gt;;[^UCW-35641_Post Upload Status (c5bb7cb2-94c0-44c8-be5c-901c3a1ace8f).xlsx]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056d765a-fc71-4fa9-b954-597ac63776a3"},"content":[{"type":"tableRow","attrs":{"localId":"1d42846c2bd1"},"content":[{"type":"tableCell","attrs":{"localId":"c39ae6283e63","background":"#44b3e1"},"content":[{"type":"paragraph","content":[{"type":"text","text":"Ticket ID","marks":[{"type":"strong"}]}],"attrs":{"localId":"b5f81c7b3219"}}]},{"type":"tableCell","attrs":{"localId":"d9e953bea9d8","colspan":2,"background":"#44b3e1"},"content":[{"type":"paragraph","content":[{"type":"text","text":"UCW-35641","marks":[{"type":"strong"}]}],"attrs":{"localId":"3140c499e333"}}]}]},{"type":"tableRow","attrs":{"localId":"0c519a1567b1"},"content":[{"type":"tableCell","attrs":{"localId":"e5884932cef6","background":"#44b3e1"},"content":[{"type":"paragraph","content":[{"type":"text","text":"Brand Name","marks":[{"type":"strong"}]}],"attrs":{"localId":"18f257c25a00"}}]},{"type":"tableCell","attrs":{"localId":"261b98b721c8","colspan":2,"background":"#44b3e1"},"content":[{"type":"paragraph","content":[{"type":"text","text":"Dolce&amp;Gabbana","marks":[{"type":"strong"}]}],"attrs":{"localId":"4855676027b6"}}]}]},{"type":"tableRow","attrs":{"localId":"e6d184fb1e99"},"content":[{"type":"tableCell","attrs":{"localId":"13a1faa847fe","background":"#ace5fe"},"content":[{"type":"paragraph","content":[{"type":"text","text":"Platform","marks":[{"type":"strong"}]}],"attrs":{"localId":"6cfd505bf42a"}}]},{"type":"tableCell","attrs":{"localId":"7aa21426d64e","colspan":2,"background":"#ace5fe"},"content":[{"type":"paragraph","content":[{"type":"text","text":"Luxury","marks":[{"type":"strong"}]}],"attrs":{"localId":"32e29b570b8f"}}]}]},{"type":"tableRow","attrs":{"localId":"35eeb105d1ee"},"content":[{"type":"tableCell","attrs":{"localId":"8fb6f731eb89","background":"#ace5fe"},"content":[{"type":"paragraph","content":[{"type":"text","text":"Particulars","marks":[{"type":"strong"}]}],"attrs":{"localId":"7dffa5f591f6"}}]},{"type":"tableCell","attrs":{"localId":"7988ade70c27","background":"#ace5fe"},"content":[{"type":"paragraph","content":[{"type":"text","text":"SKU Count","marks":[{"type":"strong"}]}],"attrs":{"localId":"f8453e992ec0"}}]},{"type":"tableCell","attrs":{"localId":"de4be534e060","background":"#ace5fe"},"content":[{"type":"paragraph","content":[{"type":"text","text":"Option Count","marks":[{"type":"strong"}]}],"attrs":{"localId":"a5b77878c788"}}]}]},{"type":"tableRow","attrs":{"localId":"00da394e2a9a"},"content":[{"type":"tableCell","attrs":{"localId":"a270eafa928a","background":"white"},"content":[{"type":"paragraph","content":[{"type":"text","text":"Received"}],"attrs":{"localId":"31cce011fd67"}}]},{"type":"tableCell","attrs":{"localId":"a4fd146c0353"},"content":[{"type":"paragraph","content":[{"type":"text","text":"8"}],"attrs":{"localId":"33b3e3263121"}}]},{"type":"tableCell","attrs":{"localId":"e4d39437e70b"},"content":[{"type":"paragraph","content":[{"type":"text","text":"8"}],"attrs":{"localId":"e09b6f57327e"}}]}]},{"type":"tableRow","attrs":{"localId":"fe2625ef3c81"},"content":[{"type":"tableCell","attrs":{"localId":"21438692f98e","background":"white"},"content":[{"type":"paragraph","content":[{"type":"text","text":"Uploaded"}],"attrs":{"localId":"01f6a902a553"}}]},{"type":"tableCell","attrs":{"localId":"ce9bc165c9dd"},"content":[{"type":"paragraph","content":[{"type":"text","text":"8"}],"attrs":{"localId":"1593b8d09233"}}]},{"type":"tableCell","attrs":{"localId":"28fd6eef7f63"},"content":[{"type":"paragraph","content":[{"type":"text","text":"8"}],"attrs":{"localId":"6d312d521186"}}]}]},{"type":"tableRow","attrs":{"localId":"1de19193179f"},"content":[{"type":"tableCell","attrs":{"localId":"0e1692bfb6b9","background":"white"},"content":[{"type":"paragraph","content":[{"type":"text","text":"LIDs Shared"}],"attrs":{"localId":"18210edbd44e"}}]},{"type":"tableCell","attrs":{"localId":"c6fd46fec490"},"content":[{"type":"paragraph","content":[{"type":"text","text":"8"}],"attrs":{"localId":"d685b4a216a0"}}]},{"type":"tableCell","attrs":{"localId":"33b9427bdeb9"},"content":[{"type":"paragraph","content":[{"type":"text","text":"8"}],"attrs":{"localId":"637457d378d3"}}]}]},{"type":"tableRow","attrs":{"localId":"7656babac726"},"content":[{"type":"tableCell","attrs":{"localId":"5fb4b9dd0177","background":"white"},"content":[{"type":"paragraph","content":[{"type":"text","text":"LIDs Stuck in the System"}],"attrs":{"localId":"6d1d6926060d"}}]},{"type":"tableCell","attrs":{"localId":"78a5a28ee5b2"},"content":[{"type":"paragraph","content":[{"type":"text","text":"0"}],"attrs":{"localId":"b4e7972a17e1"}}]},{"type":"tableCell","attrs":{"localId":"135cb49553f9"},"content":[{"type":"paragraph","content":[{"type":"text","text":"0"}],"attrs":{"localId":"e8bf8d170a8d"}}]}]}]}
{adf}
With this, we are closing this request from our end.
Thank you for your patience, support, and cooperation throughout the process. Your brand is important to us, and we look forward to assisting you again."</t>
  </si>
  <si>
    <t>Taraash</t>
  </si>
  <si>
    <t>Date : 6th Aug, 2026 This ticket has been picked for Pre-Processing and Image Analysis -Mousumi. 
Date : 6th Aug, 2026 Pre-Processing Done (Brand to Query for Purity , Warranty Type &amp; Warranty Time, Price Breakup On PDP &amp; Invoice,SIze,Coo Details, Certification, Gross &amp; Metal Weight)-Mousumi;Date : 7th Aug, 2026 1st Followup Done-Mousumi
Date : 7th Aug, 2026 QC &amp; Uploaded Done
PFA the Summary &amp; Post-Uploaded Sh[^SUmmary.zip] [^UCW-35634 Post Upload Status_V.2 (1).xlsx] eet;[^UCW-35634.xlsx]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ae965d1-8794-47f6-8f27-0e5f50d096ea"},"content":[{"type":"tableRow","attrs":{"localId":"032dc0abb40b"},"content":[{"type":"tableCell","attrs":{"localId":"490018dab47c","background":"#44b3e1"},"content":[{"type":"paragraph","content":[{"type":"text","text":"Ticket ID","marks":[{"type":"strong"}]}],"attrs":{"localId":"4feb2f8a0654"}}]},{"type":"tableCell","attrs":{"localId":"bcffa6adfaf4","colspan":2,"background":"#44b3e1"},"content":[{"type":"paragraph","content":[{"type":"text","text":"UCW-35634","marks":[{"type":"strong"}]}],"attrs":{"localId":"21c5e3b8ac26"}}]}]},{"type":"tableRow","attrs":{"localId":"94c033f1a8d3"},"content":[{"type":"tableCell","attrs":{"localId":"cd36032581d1","background":"#44b3e1"},"content":[{"type":"paragraph","content":[{"type":"text","text":"Brand Name","marks":[{"type":"strong"}]}],"attrs":{"localId":"143245d52b33"}}]},{"type":"tableCell","attrs":{"localId":"a5dbd906e934","colspan":2,"background":"#44b3e1"},"content":[{"type":"paragraph","content":[{"type":"text","text":"Taraash","marks":[{"type":"strong"}]}],"attrs":{"localId":"1c95d594336e"}}]}]},{"type":"tableRow","attrs":{"localId":"ff57c2d43d01"},"content":[{"type":"tableCell","attrs":{"localId":"38d1f548d7c2","background":"#ace5fe"},"content":[{"type":"paragraph","content":[{"type":"text","text":"Platform","marks":[{"type":"strong"}]}],"attrs":{"localId":"7bd042f0a2e3"}}]},{"type":"tableCell","attrs":{"localId":"d09a3e856276","colspan":2,"background":"#ace5fe"},"content":[{"type":"paragraph","content":[{"type":"text","text":"Mall","marks":[{"type":"strong"}]}],"attrs":{"localId":"6a8d3f435363"}}]}]},{"type":"tableRow","attrs":{"localId":"fafde24f4b64"},"content":[{"type":"tableCell","attrs":{"localId":"1df6cb478f27","background":"#ace5fe"},"content":[{"type":"paragraph","content":[{"type":"text","text":"Particulars","marks":[{"type":"strong"}]}],"attrs":{"localId":"4e7cde462be0"}}]},{"type":"tableCell","attrs":{"localId":"5a08a07f1eb1","background":"#ace5fe"},"content":[{"type":"paragraph","content":[{"type":"text","text":"SKU Count","marks":[{"type":"strong"}]}],"attrs":{"localId":"0b91486879b9"}}]},{"type":"tableCell","attrs":{"localId":"160108b73e60","background":"#ace5fe"},"content":[{"type":"paragraph","content":[{"type":"text","text":"Option Count","marks":[{"type":"strong"}]}],"attrs":{"localId":"aa80a3ad6ab2"}}]}]},{"type":"tableRow","attrs":{"localId":"a5a55cfab45a"},"content":[{"type":"tableCell","attrs":{"localId":"739fd5196ca2","background":"white"},"content":[{"type":"paragraph","content":[{"type":"text","text":"Received"}],"attrs":{"localId":"8cbd43153bf8"}}]},{"type":"tableCell","attrs":{"localId":"e3bb31721cdc"},"content":[{"type":"paragraph","content":[{"type":"text","text":"25"}],"attrs":{"localId":"40e4437d8ab8"}}]},{"type":"tableCell","attrs":{"localId":"33d841f7dfd4"},"content":[{"type":"paragraph","content":[{"type":"text","text":"25"}],"attrs":{"localId":"d6eca75d080d"}}]}]},{"type":"tableRow","attrs":{"localId":"2429feadf554"},"content":[{"type":"tableCell","attrs":{"localId":"d16b4f121e9a","background":"white"},"content":[{"type":"paragraph","content":[{"type":"text","text":"Uploaded"}],"attrs":{"localId":"3a3faffdb53d"}}]},{"type":"tableCell","attrs":{"localId":"5bbab804b914"},"content":[{"type":"paragraph","content":[{"type":"text","text":"25"}],"attrs":{"localId":"ee2e14f4967d"}}]},{"type":"tableCell","attrs":{"localId":"188ebc7dce9f"},"content":[{"type":"paragraph","content":[{"type":"text","text":"25"}],"attrs":{"localId":"bae5c122b13e"}}]}]},{"type":"tableRow","attrs":{"localId":"aa2192185fb9"},"content":[{"type":"tableCell","attrs":{"localId":"012efee3dd63","background":"white"},"content":[{"type":"paragraph","content":[{"type":"text","text":"LIDs Shared"}],"attrs":{"localId":"db0cd6e96f6d"}}]},{"type":"tableCell","attrs":{"localId":"89d7b3264c5a"},"content":[{"type":"paragraph","content":[{"type":"text","text":"25"}],"attrs":{"localId":"c35d93eae4af"}}]},{"type":"tableCell","attrs":{"localId":"043e58c9ec3a"},"content":[{"type":"paragraph","content":[{"type":"text","text":"25"}],"attrs":{"localId":"14143ab27d7a"}}]}]},{"type":"tableRow","attrs":{"localId":"5d71713a7ae2"},"content":[{"type":"tableCell","attrs":{"localId":"a627d60c4b79","background":"white"},"content":[{"type":"paragraph","content":[{"type":"text","text":"LIDs Stuck in the System"}],"attrs":{"localId":"1a7ebbe76438"}}]},{"type":"tableCell","attrs":{"localId":"2c3b9e77259b"},"content":[{"type":"paragraph","content":[{"type":"text","text":"0"}],"attrs":{"localId":"372b21fd5d0f"}}]},{"type":"tableCell","attrs":{"localId":"34f6a73597bf"},"content":[{"type":"paragraph","content":[{"type":"text","text":"0"}],"attrs":{"localId":"7b7e7b5e8bba"}}]}]}]}
{adf}
With this, we are closing this request from our end.
Thank you for your patience, support, and cooperation throughout the process. Your brand is important to us, and we look forward to assisting you again."</t>
  </si>
  <si>
    <t>COLE HAAN</t>
  </si>
  <si>
    <t xml:space="preserve">Date :08/06/2026 &lt;Ticket picked for pre processing Option 10 Sku 60&gt; &lt;Ankita&gt;;Date :08/06/2026  &lt;Pre Processing query to Brand &lt;Query Details -Image query&gt;&gt; &lt;Amandeep&gt; </t>
  </si>
  <si>
    <t>Date :08/07/2026&lt;Ticket picked for pre processing Option 6 Sku 6&gt; &lt;Rupa&gt;</t>
  </si>
  <si>
    <t>Calvin Klein</t>
  </si>
  <si>
    <t>Date :08/06/2026  &lt;Ticket picked for pre processing SKU 4&gt; &lt;Tania&gt; Date :08/06/2026 &lt;Ticket picked for Production and QC review SKU 4&gt; &lt;Tania&gt;;[^UCW-35615 Summary.zip]
[^UCW-35615_Post Upload Status.xlsx]
Date :08/06/2026 &lt;Ticket has been successfully uploaded in our system. Option 4 Sku 4&gt; &lt;Tania&gt;;[^UCW-35615_Post Upload Status (c66e6473-510a-41a5-a304-bf1029879cb7).xlsx]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665642a9-ba4d-453b-84eb-e908c7dbec5c"},"content":[{"type":"tableRow","attrs":{"localId":"6613e94d975e"},"content":[{"type":"tableCell","attrs":{"localId":"7165ab86d50b","background":"#44b3e1"},"content":[{"type":"paragraph","content":[{"type":"text","text":"Ticket ID","marks":[{"type":"strong"}]}],"attrs":{"localId":"bc27b3c9c38b"}}]},{"type":"tableCell","attrs":{"localId":"b5196a0bc196","colspan":2,"background":"#44b3e1"},"content":[{"type":"paragraph","content":[{"type":"text","text":"UCW-35615","marks":[{"type":"strong"}]}],"attrs":{"localId":"fcf2d26dc14f"}}]}]},{"type":"tableRow","attrs":{"localId":"30870165e2ca"},"content":[{"type":"tableCell","attrs":{"localId":"fbedaa6b207e","background":"#44b3e1"},"content":[{"type":"paragraph","content":[{"type":"text","text":"Brand Name","marks":[{"type":"strong"}]}],"attrs":{"localId":"b61437fae865"}}]},{"type":"tableCell","attrs":{"localId":"65ebc7c6c1a2","colspan":2,"background":"#44b3e1"},"content":[{"type":"paragraph","content":[{"type":"text","text":"CALVIN KLEIN","marks":[{"type":"strong"}]}],"attrs":{"localId":"137471b99ab2"}}]}]},{"type":"tableRow","attrs":{"localId":"228c88ea0c9f"},"content":[{"type":"tableCell","attrs":{"localId":"60d4cde0c690","background":"#ace5fe"},"content":[{"type":"paragraph","content":[{"type":"text","text":"Platform","marks":[{"type":"strong"}]}],"attrs":{"localId":"5f2d8857ace6"}}]},{"type":"tableCell","attrs":{"localId":"7c7b83aeeadb","colspan":2,"background":"#ace5fe"},"content":[{"type":"paragraph","content":[{"type":"text","text":"Mall + Luxury","marks":[{"type":"strong"}]}],"attrs":{"localId":"3d10f94a08c0"}}]}]},{"type":"tableRow","attrs":{"localId":"15d1718a6d15"},"content":[{"type":"tableCell","attrs":{"localId":"1f9277ec93fa","background":"#ace5fe"},"content":[{"type":"paragraph","content":[{"type":"text","text":"Particulars","marks":[{"type":"strong"}]}],"attrs":{"localId":"f4fa72fc9aa8"}}]},{"type":"tableCell","attrs":{"localId":"24a27f2d469f","background":"#ace5fe"},"content":[{"type":"paragraph","content":[{"type":"text","text":"SKU Count","marks":[{"type":"strong"}]}],"attrs":{"localId":"fd9a6fbe40a0"}}]},{"type":"tableCell","attrs":{"localId":"935305f00ab9","background":"#ace5fe"},"content":[{"type":"paragraph","content":[{"type":"text","text":"Option Count","marks":[{"type":"strong"}]}],"attrs":{"localId":"4dc8bc710361"}}]}]},{"type":"tableRow","attrs":{"localId":"2e880d511c0b"},"content":[{"type":"tableCell","attrs":{"localId":"1f5192ce0cf8","background":"white"},"content":[{"type":"paragraph","content":[{"type":"text","text":"Received"}],"attrs":{"localId":"838da1f9e870"}}]},{"type":"tableCell","attrs":{"localId":"6a159e2d283d"},"content":[{"type":"paragraph","content":[{"type":"text","text":"4"}],"attrs":{"localId":"71f7109698d3"}}]},{"type":"tableCell","attrs":{"localId":"d048464552ad"},"content":[{"type":"paragraph","content":[{"type":"text","text":"4"}],"attrs":{"localId":"ab7426895a22"}}]}]},{"type":"tableRow","attrs":{"localId":"efeff3dd150b"},"content":[{"type":"tableCell","attrs":{"localId":"167ec7ef4c8b","background":"white"},"content":[{"type":"paragraph","content":[{"type":"text","text":"Uploaded"}],"attrs":{"localId":"2cbf633afc56"}}]},{"type":"tableCell","attrs":{"localId":"7b10e7e20eaa"},"content":[{"type":"paragraph","content":[{"type":"text","text":"4"}],"attrs":{"localId":"afe470f90d97"}}]},{"type":"tableCell","attrs":{"localId":"b8aad4285d2f"},"content":[{"type":"paragraph","content":[{"type":"text","text":"4"}],"attrs":{"localId":"fa6d6bbaf453"}}]}]},{"type":"tableRow","attrs":{"localId":"1074d278e321"},"content":[{"type":"tableCell","attrs":{"localId":"50bcbd4c2c83","background":"white"},"content":[{"type":"paragraph","content":[{"type":"text","text":"LIDs Shared"}],"attrs":{"localId":"0cf57bd39f98"}}]},{"type":"tableCell","attrs":{"localId":"dda9c2e51197"},"content":[{"type":"paragraph","content":[{"type":"text","text":"4"}],"attrs":{"localId":"d636c02b9430"}}]},{"type":"tableCell","attrs":{"localId":"6049e22dae4e"},"content":[{"type":"paragraph","content":[{"type":"text","text":"4"}],"attrs":{"localId":"e0c6525f856c"}}]}]},{"type":"tableRow","attrs":{"localId":"65521a4f2209"},"content":[{"type":"tableCell","attrs":{"localId":"251290191481","background":"white"},"content":[{"type":"paragraph","content":[{"type":"text","text":"LIDs Stuck in the System"}],"attrs":{"localId":"d5d652ca32c2"}}]},{"type":"tableCell","attrs":{"localId":"845024b51154"},"content":[{"type":"paragraph","content":[{"type":"text","text":"0"}],"attrs":{"localId":"ded8c7ea10e0"}}]},{"type":"tableCell","attrs":{"localId":"f0fa8360bca8"},"content":[{"type":"paragraph","content":[{"type":"text","text":"0"}],"attrs":{"localId":"410ded63a9b3"}}]}]}]}
{adf}
With this, we are closing this request from our end.
Thank you for your patience, support, and cooperation throughout the process. Your brand is important to us, and we look forward to assisting you again."</t>
  </si>
  <si>
    <t>We have successfully uploaded this batch. Please find the attached summary sheet and summary report. [^ProductBulkUpload_125928_Beauty__Grooming(MPH22)_Makeup(MPH2214)_Face(MPH2214101)_Blush(MPH2214101101)_33887_1785993252760_20260806_104412_898_summary.csv] [^UCW-35614_Post Upload Status.xlsx] Date :08/06/2026 &lt;Ticket has been successfully uploaded in our system. SKU 1&gt; &lt;Tania&gt;;[^UCW-35614_Post Upload Status (b689ef11-fa08-4586-89b5-b8b0e1dad3e9).xlsx]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5150f68-fb84-4dda-b3e6-1dc521d15af0"},"content":[{"type":"tableRow","attrs":{"localId":"7874a2a4b41c"},"content":[{"type":"tableCell","attrs":{"localId":"06c449a815b7","background":"#44b3e1"},"content":[{"type":"paragraph","content":[{"type":"text","text":"Ticket ID","marks":[{"type":"strong"}]}],"attrs":{"localId":"716d20d25af9"}}]},{"type":"tableCell","attrs":{"localId":"840f49b056ba","colspan":2,"background":"#44b3e1"},"content":[{"type":"paragraph","content":[{"type":"text","text":"UCW-35614","marks":[{"type":"strong"}]}],"attrs":{"localId":"3ea3298da477"}}]}]},{"type":"tableRow","attrs":{"localId":"41a659cbed0f"},"content":[{"type":"tableCell","attrs":{"localId":"eb876d5fc0cd","background":"#44b3e1"},"content":[{"type":"paragraph","content":[{"type":"text","text":"Brand Name","marks":[{"type":"strong"}]}],"attrs":{"localId":"7ba871b0ad44"}}]},{"type":"tableCell","attrs":{"localId":"f9d5cc49dd94","colspan":2,"background":"#44b3e1"},"content":[{"type":"paragraph","content":[{"type":"text","text":"Dolce&amp;Gabbana","marks":[{"type":"strong"}]}],"attrs":{"localId":"3e5ae6019bc0"}}]}]},{"type":"tableRow","attrs":{"localId":"775e3034d3ad"},"content":[{"type":"tableCell","attrs":{"localId":"56b9f1eef35d","background":"#ace5fe"},"content":[{"type":"paragraph","content":[{"type":"text","text":"Platform","marks":[{"type":"strong"}]}],"attrs":{"localId":"f088447d976f"}}]},{"type":"tableCell","attrs":{"localId":"91e5b0a4b78b","colspan":2,"background":"#ace5fe"},"content":[{"type":"paragraph","content":[{"type":"text","text":"Luxury","marks":[{"type":"strong"}]}],"attrs":{"localId":"476d4ac70d7b"}}]}]},{"type":"tableRow","attrs":{"localId":"33fbe994105a"},"content":[{"type":"tableCell","attrs":{"localId":"eefdd5250cb2","background":"#ace5fe"},"content":[{"type":"paragraph","content":[{"type":"text","text":"Particulars","marks":[{"type":"strong"}]}],"attrs":{"localId":"bc0b9388dc0d"}}]},{"type":"tableCell","attrs":{"localId":"b102e01e7733","background":"#ace5fe"},"content":[{"type":"paragraph","content":[{"type":"text","text":"SKU Count","marks":[{"type":"strong"}]}],"attrs":{"localId":"c7be5c816fff"}}]},{"type":"tableCell","attrs":{"localId":"f5c454b979a8","background":"#ace5fe"},"content":[{"type":"paragraph","content":[{"type":"text","text":"Option Count","marks":[{"type":"strong"}]}],"attrs":{"localId":"ca3112e8a2c9"}}]}]},{"type":"tableRow","attrs":{"localId":"2a716de67578"},"content":[{"type":"tableCell","attrs":{"localId":"03a545eb8129","background":"white"},"content":[{"type":"paragraph","content":[{"type":"text","text":"Received"}],"attrs":{"localId":"3d8cdd32b299"}}]},{"type":"tableCell","attrs":{"localId":"fdae23147853"},"content":[{"type":"paragraph","content":[{"type":"text","text":"1"}],"attrs":{"localId":"db0c976b2944"}}]},{"type":"tableCell","attrs":{"localId":"0e44f5190ea2"},"content":[{"type":"paragraph","content":[{"type":"text","text":"1"}],"attrs":{"localId":"5758820125aa"}}]}]},{"type":"tableRow","attrs":{"localId":"bd1bec58e820"},"content":[{"type":"tableCell","attrs":{"localId":"fac044ba3b00","background":"white"},"content":[{"type":"paragraph","content":[{"type":"text","text":"Uploaded"}],"attrs":{"localId":"72081a3d43e7"}}]},{"type":"tableCell","attrs":{"localId":"51242ea03520"},"content":[{"type":"paragraph","content":[{"type":"text","text":"1"}],"attrs":{"localId":"bc2d1f786583"}}]},{"type":"tableCell","attrs":{"localId":"3ceac938c8d7"},"content":[{"type":"paragraph","content":[{"type":"text","text":"1"}],"attrs":{"localId":"af1ded3b1c5c"}}]}]},{"type":"tableRow","attrs":{"localId":"41abec9cdeeb"},"content":[{"type":"tableCell","attrs":{"localId":"439e700a4661","background":"white"},"content":[{"type":"paragraph","content":[{"type":"text","text":"LIDs Shared"}],"attrs":{"localId":"6f96f9cfb88a"}}]},{"type":"tableCell","attrs":{"localId":"40a625614f20"},"content":[{"type":"paragraph","content":[{"type":"text","text":"1"}],"attrs":{"localId":"eb3145012124"}}]},{"type":"tableCell","attrs":{"localId":"3d7d6d5c98cf"},"content":[{"type":"paragraph","content":[{"type":"text","text":"1"}],"attrs":{"localId":"1abb28923a53"}}]}]},{"type":"tableRow","attrs":{"localId":"93a410e99b7b"},"content":[{"type":"tableCell","attrs":{"localId":"5acfcc072394","background":"white"},"content":[{"type":"paragraph","content":[{"type":"text","text":"LIDs Stuck in the System"}],"attrs":{"localId":"af92538fe85a"}}]},{"type":"tableCell","attrs":{"localId":"b6f5c0b2da16"},"content":[{"type":"paragraph","content":[{"type":"text","text":"0"}],"attrs":{"localId":"59a4755cd96d"}}]},{"type":"tableCell","attrs":{"localId":"a68795eff659"},"content":[{"type":"paragraph","content":[{"type":"text","text":"0"}],"attrs":{"localId":"877ed0a0c54f"}}]}]}]}
{adf}
With this, we are closing this request from our end.
Thank you for your patience, support, and cooperation throughout the process. Your brand is important to us, and we look forward to assisting you again.</t>
  </si>
  <si>
    <t>Date :08/06/2026  &lt;Ticket picked for pre processing SKU 5&gt; &lt;Tania&gt; Date :08/06/2026 &lt;Ticket picked for Production and QC review SKU 5&gt; &lt;Tania&gt;;[^UCW-35606 Summary.zip]
[^UCW-35606_Post Upload Status.xlsx] Date :08/06/2026 &lt;Ticket has been successfully uploaded in our system. Option 5 Sku 5&gt; &lt;Tania&gt;;[^UCW-35606_Post Upload Status (a06a0bdf-1f30-4426-a47f-75612926359b).xlsx]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34aa7fd2-fe62-4da3-9aa4-f8ed92f7a30f"},"content":[{"type":"tableRow","attrs":{"localId":"85e94eaedec5"},"content":[{"type":"tableCell","attrs":{"localId":"13bfb954c7e9","background":"#44b3e1"},"content":[{"type":"paragraph","content":[{"type":"text","text":"Ticket ID","marks":[{"type":"strong"}]}],"attrs":{"localId":"840ddfeab790"}}]},{"type":"tableCell","attrs":{"localId":"19d3e506ed83","colspan":2,"background":"#44b3e1"},"content":[{"type":"paragraph","content":[{"type":"text","text":"UCW-35606","marks":[{"type":"strong"}]}],"attrs":{"localId":"7e72034b326e"}}]}]},{"type":"tableRow","attrs":{"localId":"0456cfed3429"},"content":[{"type":"tableCell","attrs":{"localId":"8e358602a542","background":"#44b3e1"},"content":[{"type":"paragraph","content":[{"type":"text","text":"Brand Name","marks":[{"type":"strong"}]}],"attrs":{"localId":"eaf168ff0aa4"}}]},{"type":"tableCell","attrs":{"localId":"6e3ed0e5b55f","colspan":2,"background":"#44b3e1"},"content":[{"type":"paragraph","content":[{"type":"text","text":"Maybelline New York","marks":[{"type":"strong"}]}],"attrs":{"localId":"8ea0355dfc60"}}]}]},{"type":"tableRow","attrs":{"localId":"a490f0938a43"},"content":[{"type":"tableCell","attrs":{"localId":"2fd0ca691904","background":"#ace5fe"},"content":[{"type":"paragraph","content":[{"type":"text","text":"Platform","marks":[{"type":"strong"}]}],"attrs":{"localId":"56e925ba6c17"}}]},{"type":"tableCell","attrs":{"localId":"388b608040b6","colspan":2,"background":"#ace5fe"},"content":[{"type":"paragraph","content":[{"type":"text","text":"Mall","marks":[{"type":"strong"}]}],"attrs":{"localId":"c316394ba270"}}]}]},{"type":"tableRow","attrs":{"localId":"94ac557e927e"},"content":[{"type":"tableCell","attrs":{"localId":"483cd7ed9271","background":"#ace5fe"},"content":[{"type":"paragraph","content":[{"type":"text","text":"Particulars","marks":[{"type":"strong"}]}],"attrs":{"localId":"5e14eda8185f"}}]},{"type":"tableCell","attrs":{"localId":"f5e92b7f2eb8","background":"#ace5fe"},"content":[{"type":"paragraph","content":[{"type":"text","text":"SKU Count","marks":[{"type":"strong"}]}],"attrs":{"localId":"5c9f594d2035"}}]},{"type":"tableCell","attrs":{"localId":"2e756bf71a09","background":"#ace5fe"},"content":[{"type":"paragraph","content":[{"type":"text","text":"Option Count","marks":[{"type":"strong"}]}],"attrs":{"localId":"764997d5adf0"}}]}]},{"type":"tableRow","attrs":{"localId":"6fd61bf19f25"},"content":[{"type":"tableCell","attrs":{"localId":"4b9f5855a831","background":"white"},"content":[{"type":"paragraph","content":[{"type":"text","text":"Received"}],"attrs":{"localId":"713f91d3abf2"}}]},{"type":"tableCell","attrs":{"localId":"355831ead6d8"},"content":[{"type":"paragraph","content":[{"type":"text","text":"5"}],"attrs":{"localId":"d2696227bcff"}}]},{"type":"tableCell","attrs":{"localId":"9345e082de29"},"content":[{"type":"paragraph","content":[{"type":"text","text":"5"}],"attrs":{"localId":"31744511093b"}}]}]},{"type":"tableRow","attrs":{"localId":"0588cf46bf8e"},"content":[{"type":"tableCell","attrs":{"localId":"113853522091","background":"white"},"content":[{"type":"paragraph","content":[{"type":"text","text":"Uploaded"}],"attrs":{"localId":"a7b7fa56dc59"}}]},{"type":"tableCell","attrs":{"localId":"58fa06e79a09"},"content":[{"type":"paragraph","content":[{"type":"text","text":"5"}],"attrs":{"localId":"1dd55a358fd1"}}]},{"type":"tableCell","attrs":{"localId":"6e328c7c74f1"},"content":[{"type":"paragraph","content":[{"type":"text","text":"5"}],"attrs":{"localId":"7f768a1de678"}}]}]},{"type":"tableRow","attrs":{"localId":"163fdc6da07b"},"content":[{"type":"tableCell","attrs":{"localId":"456f3f81004d","background":"white"},"content":[{"type":"paragraph","content":[{"type":"text","text":"LIDs Shared"}],"attrs":{"localId":"a668d729e7df"}}]},{"type":"tableCell","attrs":{"localId":"c7a425dd38f9"},"content":[{"type":"paragraph","content":[{"type":"text","text":"5"}],"attrs":{"localId":"ff7d8e0b6ab9"}}]},{"type":"tableCell","attrs":{"localId":"0e6401dce455"},"content":[{"type":"paragraph","content":[{"type":"text","text":"5"}],"attrs":{"localId":"2df21f85b25a"}}]}]},{"type":"tableRow","attrs":{"localId":"e6b6ba48333e"},"content":[{"type":"tableCell","attrs":{"localId":"e709f1ae30ab","background":"white"},"content":[{"type":"paragraph","content":[{"type":"text","text":"LIDs Stuck in the System"}],"attrs":{"localId":"128a964bfd90"}}]},{"type":"tableCell","attrs":{"localId":"db49950c5d16"},"content":[{"type":"paragraph","content":[{"type":"text","text":"0"}],"attrs":{"localId":"a5a28ff7f358"}}]},{"type":"tableCell","attrs":{"localId":"561ab66fbafd"},"content":[{"type":"paragraph","content":[{"type":"text","text":"0"}],"attrs":{"localId":"e9d28cc33177"}}]}]}]}
{adf}
With this, we are closing this request from our end.
Thank you for your patience, support, and cooperation throughout the process. Your brand is important to us, and we look forward to assisting you again."</t>
  </si>
  <si>
    <t>Fotocare</t>
  </si>
  <si>
    <t xml:space="preserve">Date :08/06/2026 &lt;Ticket picked for pre processing Option: 17 SKU: 17&gt; &lt;Sanjana Ghosh&gt;;Date :08/07/2026 &lt;Ticket picked for Data Scraping, Production and QC review Option: 17 SKU: 17&gt; &lt;Sanjana Ghosh&gt;;Date :08/08/2026 &lt;Post Processing query to Brand &lt;EAN missing &amp; Image issue&gt; &lt;Sanjana Ghosh&gt; ;Date :08/08/2026 &lt;Query to Category &lt;Brand Addition&gt; &lt;Sanjana Ghosh&gt; </t>
  </si>
  <si>
    <t>Date :08/07/2026&lt;Ticket picked for pre processing Option 1 Sku 1 &gt; &lt;Rupa&gt;</t>
  </si>
  <si>
    <t xml:space="preserve">StyloBug </t>
  </si>
  <si>
    <t>Date :08/06/2026 &lt;Pre Processing query to Brand &lt;Query Details- Image link query&gt;&gt; &lt;Amandeep&gt;</t>
  </si>
  <si>
    <t>As per the requirement, we have updated the image. The white border has been removed, and the actual image is now displayed in full.
[https://www.tatacliq.com/levis-mens-typographic-print-loose-fit-tshirt/p-MP000000014414104|https://www.tatacliq.com/levis-mens-typographic-print-loose-fit-tshirt/p-MP000000014414104|smart-link] 
[https://www.tatacliq.com/levis-mens-typographic-print-loose-fit-tshirt/p-MP000000014414105|https://www.tatacliq.com/levis-mens-typographic-print-loose-fit-tshirt/p-MP000000014414105|smart-link] 
          </t>
  </si>
  <si>
    <t xml:space="preserve">Kaftanize </t>
  </si>
  <si>
    <t>Smriti Gupta</t>
  </si>
  <si>
    <t>Date :08/05/2026 &lt;Ticket picked for pre processing Option 46 Sku 352&gt; &lt;Amandeep&gt;;Date :08/05/2026 &lt;Pre Processing query to Brand &lt;Query Deatils- Image query&gt;&gt; &lt;Amandeep&gt;;Date :08/06/2026 &lt;Ticket has been successfully uploaded in our system. Option 29 Sku 227&gt; &lt;Amandeep&gt;
[^Post Upload Status_V.2 (1).xlsx]
[^Summary.zip]
;[^UCW-35563.xlsx]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4461a9d3-59d1-42c1-8e25-dff66ef529bf"},"content":[{"type":"tableRow","attrs":{"localId":"dcca1e5a40ac"},"content":[{"type":"tableCell","attrs":{"localId":"de302ddaae9e","background":"#44b3e1"},"content":[{"type":"paragraph","content":[{"type":"text","text":"Ticket ID","marks":[{"type":"strong"}]}],"attrs":{"localId":"9b84792adaf9"}}]},{"type":"tableCell","attrs":{"localId":"4dccb9f3c557","colspan":2,"background":"#44b3e1"},"content":[{"type":"paragraph","content":[{"type":"text","text":"UCW-35563","marks":[{"type":"strong"}]}],"attrs":{"localId":"9afb5369b382"}}]}]},{"type":"tableRow","attrs":{"localId":"1e7f2b093077"},"content":[{"type":"tableCell","attrs":{"localId":"9664d743b72b","background":"#44b3e1"},"content":[{"type":"paragraph","content":[{"type":"text","text":"Brand Name","marks":[{"type":"strong"}]}],"attrs":{"localId":"6d8d4ee54d04"}}]},{"type":"tableCell","attrs":{"localId":"9c031bf0b72c","colspan":2,"background":"#44b3e1"},"content":[{"type":"paragraph","content":[{"type":"text","text":"Rosso Brunello","marks":[{"type":"strong"}]}],"attrs":{"localId":"c44d24a359c2"}}]}]},{"type":"tableRow","attrs":{"localId":"b0e1c1d104a1"},"content":[{"type":"tableCell","attrs":{"localId":"a5da834ee36f","background":"#ace5fe"},"content":[{"type":"paragraph","content":[{"type":"text","text":"Platform","marks":[{"type":"strong"}]}],"attrs":{"localId":"8e80702434d3"}}]},{"type":"tableCell","attrs":{"localId":"50e83d55371e","colspan":2,"background":"#ace5fe"},"content":[{"type":"paragraph","content":[{"type":"text","text":"Luxury","marks":[{"type":"strong"}]}],"attrs":{"localId":"8ad15aa94c2f"}}]}]},{"type":"tableRow","attrs":{"localId":"d58fde85da40"},"content":[{"type":"tableCell","attrs":{"localId":"fddf2fe49ea9","background":"#ace5fe"},"content":[{"type":"paragraph","content":[{"type":"text","text":"Particulars","marks":[{"type":"strong"}]}],"attrs":{"localId":"5d54a59f87e0"}}]},{"type":"tableCell","attrs":{"localId":"e84da0d0ff18","background":"#ace5fe"},"content":[{"type":"paragraph","content":[{"type":"text","text":"SKU Count","marks":[{"type":"strong"}]}],"attrs":{"localId":"c35917f53b03"}}]},{"type":"tableCell","attrs":{"localId":"2b08f474e223","background":"#ace5fe"},"content":[{"type":"paragraph","content":[{"type":"text","text":"Option Count","marks":[{"type":"strong"}]}],"attrs":{"localId":"246460300f87"}}]}]},{"type":"tableRow","attrs":{"localId":"5e2c9ce46626"},"content":[{"type":"tableCell","attrs":{"localId":"547108cf475c","background":"white"},"content":[{"type":"paragraph","content":[{"type":"text","text":"Received"}],"attrs":{"localId":"eec0319f04dd"}}]},{"type":"tableCell","attrs":{"localId":"64a066e8f683"},"content":[{"type":"paragraph","content":[{"type":"text","text":"352"}],"attrs":{"localId":"366ddec0cd00"}}]},{"type":"tableCell","attrs":{"localId":"50c6b145eb27"},"content":[{"type":"paragraph","content":[{"type":"text","text":"46"}],"attrs":{"localId":"72ea6d31fc0f"}}]}]},{"type":"tableRow","attrs":{"localId":"377ed0451244"},"content":[{"type":"tableCell","attrs":{"localId":"bed38f71642d","background":"white"},"content":[{"type":"paragraph","content":[{"type":"text","text":"Uploaded"}],"attrs":{"localId":"0c03c01d2f86"}}]},{"type":"tableCell","attrs":{"localId":"69fbd099432c"},"content":[{"type":"paragraph","content":[{"type":"text","text":"227"}],"attrs":{"localId":"89789ec26c68"}}]},{"type":"tableCell","attrs":{"localId":"4a57171ffd86"},"content":[{"type":"paragraph","content":[{"type":"text","text":"29"}],"attrs":{"localId":"e0f136461c1b"}}]}]},{"type":"tableRow","attrs":{"localId":"eeea100a3bc2"},"content":[{"type":"tableCell","attrs":{"localId":"a11fe29c62aa","background":"white"},"content":[{"type":"paragraph","content":[{"type":"text","text":"Already Listed"}],"attrs":{"localId":"0ca6293ad094"}}]},{"type":"tableCell","attrs":{"localId":"aa1502a7b942"},"content":[{"type":"paragraph","content":[{"type":"text","text":"93"}],"attrs":{"localId":"5cbf72625ee8"}}]},{"type":"tableCell","attrs":{"localId":"c59b5fa29694"},"content":[{"type":"paragraph","content":[{"type":"text","text":"13"}],"attrs":{"localId":"c91aae329114"}}]}]},{"type":"tableRow","attrs":{"localId":"28b78ab18677"},"content":[{"type":"tableCell","attrs":{"localId":"51a577be4aa7","background":"white"},"content":[{"type":"paragraph","content":[{"type":"text","text":"SKUs not Uploaded"}],"attrs":{"localId":"5ee34b859a43"}}]},{"type":"tableCell","attrs":{"localId":"aae620f1ab7e"},"content":[{"type":"paragraph","content":[{"type":"text","text":"32"}],"attrs":{"localId":"fcaeb4bd2299"}}]},{"type":"tableCell","attrs":{"localId":"ed3a90fc40a3"},"content":[{"type":"paragraph","content":[{"type":"text","text":"4"}],"attrs":{"localId":"c7e76bb0ce17"}}]}]},{"type":"tableRow","attrs":{"localId":"649203ebdf0f"},"content":[{"type":"tableCell","attrs":{"localId":"7caf0391cb3e","background":"white"},"content":[{"type":"paragraph","content":[{"type":"text","text":"LIDs Shared"}],"attrs":{"localId":"2e8b0fedfa2c"}}]},{"type":"tableCell","attrs":{"localId":"2d926f168b34"},"content":[{"type":"paragraph","content":[{"type":"text","text":"227"}],"attrs":{"localId":"66d015cdb38a"}}]},{"type":"tableCell","attrs":{"localId":"36b9ca136b2e"},"content":[{"type":"paragraph","content":[{"type":"text","text":"29"}],"attrs":{"localId":"c6ad1c126cff"}}]}]},{"type":"tableRow","attrs":{"localId":"c34e18e95200"},"content":[{"type":"tableCell","attrs":{"localId":"2d84d56a58fb","background":"white"},"content":[{"type":"paragraph","content":[{"type":"text","text":"LIDs Stuck in the System"}],"attrs":{"localId":"9f7cb65921cc"}}]},{"type":"tableCell","attrs":{"localId":"19e08d10b81c"},"content":[{"type":"paragraph","content":[{"type":"text","text":"0"}],"attrs":{"localId":"88a02f652df0"}}]},{"type":"tableCell","attrs":{"localId":"d151ccfc13e2"},"content":[{"type":"paragraph","content":[{"type":"text","text":"0"}],"attrs":{"localId":"5654d654d17b"}}]}]}]}
{adf}
With this, we are closing this request from our end.
Thank you for your patience, support, and cooperation throughout the process. Your brand is important to us, and we look forward to assisting you again."</t>
  </si>
  <si>
    <t>Date :08-05-2026 &lt;Ticket picked for pre processing Option 10 Sku 75&gt; &lt;Amandeep&gt;;Date :08-07-2026 &lt;Ticket picked for Production and QC review Option  10 Sku 75&gt; &lt;Amandeep&gt;;Date :08-08-2026 &lt;Ticket has been successfully uploaded in our system. Option 10Sku 75&gt; &lt;Amandeep[^Summary.zip] [^Post Upload Status_V.2 (1).xlsx] &gt;</t>
  </si>
  <si>
    <t>Date :08/05/2026 &lt;Ticket picked for pre processing Option 10 Sku 69&gt; &lt;Amandeep&gt;;Date :08/05/2026 &lt;Ticket picked for Production and QC review Option 10Sku 69&gt; &lt;Amandeep&gt;;Date :08/06/2026 &lt;Ticket has been successfully uploaded in our system. Option 10Sku 69&gt; &lt;Amandeep&gt;[^Post Upload Status_V.2 (1).xlsx] [^Summary.zip] ;[^UCW-35560.xlsx]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d0fec10-4486-43c1-be38-4d2ee49f07f1"},"content":[{"type":"tableRow","attrs":{"localId":"c89421d22b4d"},"content":[{"type":"tableCell","attrs":{"localId":"30769124696b","background":"#44b3e1"},"content":[{"type":"paragraph","content":[{"type":"text","text":"Ticket ID","marks":[{"type":"strong"}]}],"attrs":{"localId":"b0cca271a36d"}}]},{"type":"tableCell","attrs":{"localId":"54e63ec84f3b","colspan":4,"background":"#44b3e1"},"content":[{"type":"paragraph","content":[{"type":"text","text":"UCW-35560","marks":[{"type":"strong"}]}],"attrs":{"localId":"cf74065dab54"}}]}]},{"type":"tableRow","attrs":{"localId":"2b318f609523"},"content":[{"type":"tableCell","attrs":{"localId":"6e016c56a930","background":"#44b3e1"},"content":[{"type":"paragraph","content":[{"type":"text","text":"Brand Name","marks":[{"type":"strong"}]}],"attrs":{"localId":"92737ad76737"}}]},{"type":"tableCell","attrs":{"localId":"fe007336a804","colspan":4,"background":"#44b3e1"},"content":[{"type":"paragraph","content":[{"type":"text","text":"Under Armour","marks":[{"type":"strong"}]}],"attrs":{"localId":"f506646498eb"}}]}]},{"type":"tableRow","attrs":{"localId":"425d5f864df3"},"content":[{"type":"tableCell","attrs":{"localId":"e0e999d95ff8","background":"#44b3e1"},"content":[{"type":"paragraph","content":[{"type":"text","text":"Platform","marks":[{"type":"strong"}]}],"attrs":{"localId":"4e6216634021"}}]},{"type":"tableCell","attrs":{"localId":"cafcc299f46e","colspan":2,"background":"#44b3e1"},"content":[{"type":"paragraph","content":[{"type":"text","text":"Luxury","marks":[{"type":"strong"}]}],"attrs":{"localId":"db7b619177ca"}}]},{"type":"tableCell","attrs":{"localId":"68bae3c7ce5d","colspan":2,"background":"#44b3e1"},"content":[{"type":"paragraph","content":[{"type":"text","text":"Mall","marks":[{"type":"strong"}]}],"attrs":{"localId":"047a54ede298"}}]}]},{"type":"tableRow","attrs":{"localId":"7a5dc58bdf4c"},"content":[{"type":"tableCell","attrs":{"localId":"949592129a9b","background":"#ace5fe"},"content":[{"type":"paragraph","content":[{"type":"text","text":"Particulars","marks":[{"type":"strong"}]}],"attrs":{"localId":"e0564c08aa92"}}]},{"type":"tableCell","attrs":{"localId":"7a9a1acd544d","background":"#ace5fe"},"content":[{"type":"paragraph","content":[{"type":"text","text":"SKU Count","marks":[{"type":"strong"}]}],"attrs":{"localId":"cf409f817ba4"}}]},{"type":"tableCell","attrs":{"localId":"1e6dd0c4b3dd","background":"#ace5fe"},"content":[{"type":"paragraph","content":[{"type":"text","text":"Option Count","marks":[{"type":"strong"}]}],"attrs":{"localId":"bdf66a16f2e2"}}]},{"type":"tableCell","attrs":{"localId":"5095e332e9f5","background":"#ace5fe"},"content":[{"type":"paragraph","content":[{"type":"text","text":"SKU Count","marks":[{"type":"strong"}]}],"attrs":{"localId":"f5b7bd290f6c"}}]},{"type":"tableCell","attrs":{"localId":"6bfc3a889cc2","background":"#ace5fe"},"content":[{"type":"paragraph","content":[{"type":"text","text":"Option Count","marks":[{"type":"strong"}]}],"attrs":{"localId":"2bc67249a078"}}]}]},{"type":"tableRow","attrs":{"localId":"d4de81e25c1f"},"content":[{"type":"tableCell","attrs":{"localId":"4927843f0e0a","background":"white"},"content":[{"type":"paragraph","content":[{"type":"text","text":"Received"}],"attrs":{"localId":"7ad7889754f7"}}]},{"type":"tableCell","attrs":{"localId":"f8d099318dbb","background":"white"},"content":[{"type":"paragraph","content":[{"type":"text","text":"69"}],"attrs":{"localId":"d1e6368f24fd"}}]},{"type":"tableCell","attrs":{"localId":"8da6b49a8801","background":"white"},"content":[{"type":"paragraph","content":[{"type":"text","text":"10"}],"attrs":{"localId":"7d59065a51dc"}}]},{"type":"tableCell","attrs":{"localId":"09204ec6732e","background":"white"},"content":[{"type":"paragraph","content":[{"type":"text","text":"69"}],"attrs":{"localId":"60eb448f28ad"}}]},{"type":"tableCell","attrs":{"localId":"717736ef3bb1","background":"white"},"content":[{"type":"paragraph","content":[{"type":"text","text":"10"}],"attrs":{"localId":"7f43b1bab966"}}]}]},{"type":"tableRow","attrs":{"localId":"0cb3f04b97aa"},"content":[{"type":"tableCell","attrs":{"localId":"c94368713e19","background":"white"},"content":[{"type":"paragraph","content":[{"type":"text","text":"Uploaded"}],"attrs":{"localId":"c385e376db89"}}]},{"type":"tableCell","attrs":{"localId":"07eda3f764d4","background":"white"},"content":[{"type":"paragraph","content":[{"type":"text","text":"69"}],"attrs":{"localId":"039d1a2b4906"}}]},{"type":"tableCell","attrs":{"localId":"5f276ae15d58","background":"white"},"content":[{"type":"paragraph","content":[{"type":"text","text":"10"}],"attrs":{"localId":"acb0d351aa5e"}}]},{"type":"tableCell","attrs":{"localId":"28099e343418","background":"white"},"content":[{"type":"paragraph","content":[{"type":"text","text":"69"}],"attrs":{"localId":"a24578e81fa1"}}]},{"type":"tableCell","attrs":{"localId":"ca88ca90caaf","background":"white"},"content":[{"type":"paragraph","content":[{"type":"text","text":"10"}],"attrs":{"localId":"9228fadbe5fe"}}]}]},{"type":"tableRow","attrs":{"localId":"0297a6af2850"},"content":[{"type":"tableCell","attrs":{"localId":"a20f15cbd1fe","background":"white"},"content":[{"type":"paragraph","content":[{"type":"text","text":"LIDs Shared"}],"attrs":{"localId":"67ad526b3ee9"}}]},{"type":"tableCell","attrs":{"localId":"a03b080e5365","background":"white"},"content":[{"type":"paragraph","content":[{"type":"text","text":"69"}],"attrs":{"localId":"db34266e7763"}}]},{"type":"tableCell","attrs":{"localId":"b63fa551b6ca","background":"white"},"content":[{"type":"paragraph","content":[{"type":"text","text":"10"}],"attrs":{"localId":"2f6ae2cfac0a"}}]},{"type":"tableCell","attrs":{"localId":"4057fb013b69","background":"white"},"content":[{"type":"paragraph","content":[{"type":"text","text":"69"}],"attrs":{"localId":"5bc09eb6d125"}}]},{"type":"tableCell","attrs":{"localId":"e989c853ebea","background":"white"},"content":[{"type":"paragraph","content":[{"type":"text","text":"10"}],"attrs":{"localId":"2b13c92a71db"}}]}]},{"type":"tableRow","attrs":{"localId":"57eb161f1c08"},"content":[{"type":"tableCell","attrs":{"localId":"002d3fb6741c","background":"white"},"content":[{"type":"paragraph","content":[{"type":"text","text":"LIDs Stuck in the System"}],"attrs":{"localId":"919f82e2ebf9"}}]},{"type":"tableCell","attrs":{"localId":"971fc9c77e6c"},"content":[{"type":"paragraph","content":[{"type":"text","text":"0"}],"attrs":{"localId":"9f6091bcecbd"}}]},{"type":"tableCell","attrs":{"localId":"0709d4095ef2","background":"white"},"content":[{"type":"paragraph","content":[{"type":"text","text":"0"}],"attrs":{"localId":"9fe704572d96"}}]},{"type":"tableCell","attrs":{"localId":"aecdd7eb3e63"},"content":[{"type":"paragraph","content":[{"type":"text","text":"0"}],"attrs":{"localId":"2a144f894817"}}]},{"type":"tableCell","attrs":{"localId":"ba35dfab875f","background":"white"},"content":[{"type":"paragraph","content":[{"type":"text","text":"0"}],"attrs":{"localId":"36920ef008dd"}}]}]}]}
{adf}
With this, we are closing this request from our end.
Thank you for your patience, support, and cooperation throughout the process. Your brand is important to us, and we look forward to assisting you again.</t>
  </si>
  <si>
    <t>Malabar Gold and Diamonds</t>
  </si>
  <si>
    <t>L1 Ticket Link-[https://tatacliqhelpdesk.freshservice.com/support/tickets/225396|https://tatacliqhelpdesk.freshservice.com/support/tickets/225396];Date:08/06/2026&lt;L1 Ticket Link-[https://tatacliqhelpdesk.freshservice.com/support/tickets/225396|https://tatacliqhelpdesk.freshservice.com/support/tickets/225396]&gt;&lt;Pending from L1 reminder given&gt;&lt;Biplab Sarkar&gt;;Date:08/07/2026&lt;L1 Ticket Link-[+https://tatacliqhelpdesk.freshservice.com/support/tickets/225396+|https://tatacliqhelpdesk.freshservice.com/support/tickets/225396]&gt;&lt;Pending from L1 ,2nd reminder given&gt;&lt;Biplab Sarkar&gt;;Date:08/08/2026&lt;L1 Ticket Link-[+https://tatacliqhelpdesk.freshservice.com/support/tickets/225396+|https://tatacliqhelpdesk.freshservice.com/support/tickets/225396]&gt;&lt;Pending from L1 ,3rd reminder given&gt;&lt;Biplab Sarkar&gt;</t>
  </si>
  <si>
    <t>Date :08/06/2026 &lt;Ticket picked for pre processing Option 114 Sku 565&gt; &lt;Ankita&gt;;Date :08/06/2026 &lt;Ticket picked for Production and QC review Option 114 Sku 565&gt; &lt;Ankita&gt;</t>
  </si>
  <si>
    <t xml:space="preserve">Date :08/06/2026 &lt;Ticket picked for pre processing Option 22 Sku 123&gt; &lt;Ishani&gt;;Date :08/06/2026 &lt;Pre Processing query to Brand &lt;Image, Manufacturer, Importer, Packers Details Missing&gt;&gt; &lt;Ishani&gt;;Date :08/08/2026  &lt;Pre Processing query to Brand &lt;COO Details missing&gt;&gt; &lt;Anwesha Mondal&gt; </t>
  </si>
  <si>
    <t>bareMinerals</t>
  </si>
  <si>
    <t>Date :08/06/2026 &lt;Ticket picked for pre processing SKU 62&gt; &lt;Tania&gt; Date :08/06/2026  &lt;Pre Processing query to Brand &lt;Image &amp; Certificate Analysis&gt;&gt; &lt;Tania&gt; ;Date :08/07/2026 &lt; Pre Processing query to Brand 1st Follow Up&gt; &lt;Tania&gt;;Date :08/07/2026 &lt; Resolution Received&lt;Images WIP&gt;&gt; &lt;Tania&gt;;Date :08/07/2026 &lt;Ticket has been successfully uploaded in our system. Option 59 SKU 59&gt; &lt;Tania&gt;
[^UCW-35543 Summary.zip] [^UCW-35543_Post Upload Status.xlsx] ;[^UCW-35543_Post Upload Status (4ea63cc4-105e-4b1c-bee2-7745e989cb6b).xlsx]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d2ae58f-c4df-4cb6-bd95-695720fb9c82"},"content":[{"type":"tableRow","attrs":{"localId":"dfd8e12de55e"},"content":[{"type":"tableCell","attrs":{"localId":"9100d8e15959","background":"#44b3e1"},"content":[{"type":"paragraph","content":[{"type":"text","text":"Ticket ID","marks":[{"type":"strong"}]}],"attrs":{"localId":"b0ab3981429a"}}]},{"type":"tableCell","attrs":{"localId":"298ab32b1930","colspan":2,"background":"#44b3e1"},"content":[{"type":"paragraph","content":[{"type":"text","text":"bareMinerals","marks":[{"type":"strong"}]}],"attrs":{"localId":"91361a436950"}}]}]},{"type":"tableRow","attrs":{"localId":"adb98589f27d"},"content":[{"type":"tableCell","attrs":{"localId":"2393fdaacbb5","background":"#44b3e1"},"content":[{"type":"paragraph","content":[{"type":"text","text":"Brand Name","marks":[{"type":"strong"}]}],"attrs":{"localId":"50d43a10203f"}}]},{"type":"tableCell","attrs":{"localId":"b601aaf508c9","colspan":2,"background":"#44b3e1"},"content":[{"type":"paragraph","content":[{"type":"text","text":"UCW-35543","marks":[{"type":"strong"}]}],"attrs":{"localId":"ae1ada2769c4"}}]}]},{"type":"tableRow","attrs":{"localId":"3ede0685c95b"},"content":[{"type":"tableCell","attrs":{"localId":"9266ef523313","background":"#ace5fe"},"content":[{"type":"paragraph","content":[{"type":"text","text":"Platform","marks":[{"type":"strong"}]}],"attrs":{"localId":"fb195a72ff99"}}]},{"type":"tableCell","attrs":{"localId":"4a8e27d16369","colspan":2,"background":"#ace5fe"},"content":[{"type":"paragraph","content":[{"type":"text","text":"Mall + Luxury","marks":[{"type":"strong"}]}],"attrs":{"localId":"9e209e852922"}}]}]},{"type":"tableRow","attrs":{"localId":"ba9c6d0f90a3"},"content":[{"type":"tableCell","attrs":{"localId":"e392280cad73","background":"#ace5fe"},"content":[{"type":"paragraph","content":[{"type":"text","text":"Particulars","marks":[{"type":"strong"}]}],"attrs":{"localId":"bdf4ff62748b"}}]},{"type":"tableCell","attrs":{"localId":"6db7fc45b0a8","background":"#ace5fe"},"content":[{"type":"paragraph","content":[{"type":"text","text":"SKU Count","marks":[{"type":"strong"}]}],"attrs":{"localId":"464d55bf742a"}}]},{"type":"tableCell","attrs":{"localId":"6ddee7ed9442","background":"#ace5fe"},"content":[{"type":"paragraph","content":[{"type":"text","text":"Option Count","marks":[{"type":"strong"}]}],"attrs":{"localId":"3c3eb30824f8"}}]}]},{"type":"tableRow","attrs":{"localId":"31e54e1a2eac"},"content":[{"type":"tableCell","attrs":{"localId":"00618cb71d40","background":"white"},"content":[{"type":"paragraph","content":[{"type":"text","text":"Received"}],"attrs":{"localId":"3e092866a90a"}}]},{"type":"tableCell","attrs":{"localId":"b24a7d762585"},"content":[{"type":"paragraph","content":[{"type":"text","text":"62"}],"attrs":{"localId":"696a2a5ef670"}}]},{"type":"tableCell","attrs":{"localId":"04ec01da7416"},"content":[{"type":"paragraph","content":[{"type":"text","text":"62"}],"attrs":{"localId":"1f8f3b4af11c"}}]}]},{"type":"tableRow","attrs":{"localId":"f4f139185226"},"content":[{"type":"tableCell","attrs":{"localId":"ec33c8f24923","background":"white"},"content":[{"type":"paragraph","content":[{"type":"text","text":"Uploaded"}],"attrs":{"localId":"8913cdeca0f9"}}]},{"type":"tableCell","attrs":{"localId":"eaa87a97e7a8"},"content":[{"type":"paragraph","content":[{"type":"text","text":"58"}],"attrs":{"localId":"f23c4efcbe26"}}]},{"type":"tableCell","attrs":{"localId":"6a7af9705f3d"},"content":[{"type":"paragraph","content":[{"type":"text","text":"58"}],"attrs":{"localId":"c4cec7fa7fe8"}}]}]},{"type":"tableRow","attrs":{"localId":"294e7c0d31a1"},"content":[{"type":"tableCell","attrs":{"localId":"62bde1e8e51c","background":"white"},"content":[{"type":"paragraph","content":[{"type":"text","text":"SKUs Not Uploaded"}],"attrs":{"localId":"f53183257df9"}}]},{"type":"tableCell","attrs":{"localId":"76c238eaa574"},"content":[{"type":"paragraph","content":[{"type":"text","text":"4"}],"attrs":{"localId":"8bdbaf1239a6"}}]},{"type":"tableCell","attrs":{"localId":"64e5792ba30b"},"content":[{"type":"paragraph","content":[{"type":"text","text":"4"}],"attrs":{"localId":"64f1e58788e3"}}]}]},{"type":"tableRow","attrs":{"localId":"59f40680ffe3"},"content":[{"type":"tableCell","attrs":{"localId":"9e9079790c50","background":"white"},"content":[{"type":"paragraph","content":[{"type":"text","text":"LIDs Shared"}],"attrs":{"localId":"25a9b94002c6"}}]},{"type":"tableCell","attrs":{"localId":"ba6728816c8c"},"content":[{"type":"paragraph","content":[{"type":"text","text":"58"}],"attrs":{"localId":"bf44a8752f4b"}}]},{"type":"tableCell","attrs":{"localId":"1944bcf05aff"},"content":[{"type":"paragraph","content":[{"type":"text","text":"58"}],"attrs":{"localId":"dd6205d347c8"}}]}]},{"type":"tableRow","attrs":{"localId":"df9a8ddfdad9"},"content":[{"type":"tableCell","attrs":{"localId":"7020a9a08ddc","background":"white"},"content":[{"type":"paragraph","content":[{"type":"text","text":"LIDs Stuck in the System"}],"attrs":{"localId":"3f7adc323f2e"}}]},{"type":"tableCell","attrs":{"localId":"ffc522e82e8b"},"content":[{"type":"paragraph","content":[{"type":"text","text":"0"}],"attrs":{"localId":"114bb85c84a0"}}]},{"type":"tableCell","attrs":{"localId":"c3857ff9296d"},"content":[{"type":"paragraph","content":[{"type":"text","text":"0"}],"attrs":{"localId":"acf6fdf7f8dc"}}]}]}]}
{adf}
With this, we are closing this request from our end.
Thank you for your patience, support, and cooperation throughout the process. Your brand is important to us, and we look forward to assisting you again.</t>
  </si>
  <si>
    <t>Date : 5th Aug, 2026, Pre-Processing Done-Mousumi
Date : 5th Aug, 2026 QC &amp; Uploaded Done-Mousumi
PFA the Summary &amp; Post-Uploaded Sheet[^SUmmary.zip] [^UCW-35540 Post Upload Status_V.2 (1).xlsx] ;[^UCW-35540.xlsx]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e7a6cce-c5be-4b99-bc76-a6c849f5a073"},"content":[{"type":"tableRow","attrs":{"localId":"c733d5954b9b"},"content":[{"type":"tableCell","attrs":{"localId":"f6c30dfd149c","background":"#44b3e1"},"content":[{"type":"paragraph","content":[{"type":"text","text":"Ticket ID","marks":[{"type":"strong"}]}],"attrs":{"localId":"00b778e59d5f"}}]},{"type":"tableCell","attrs":{"localId":"8ceaf9675670","colspan":2,"background":"#44b3e1"},"content":[{"type":"paragraph","content":[{"type":"text","text":"UCW-35540","marks":[{"type":"strong"}]}],"attrs":{"localId":"f80a6351aa34"}}]}]},{"type":"tableRow","attrs":{"localId":"63a10986f848"},"content":[{"type":"tableCell","attrs":{"localId":"e9a85fa9e35b","background":"#44b3e1"},"content":[{"type":"paragraph","content":[{"type":"text","text":"Brand Name","marks":[{"type":"strong"}]}],"attrs":{"localId":"6eb80836918a"}}]},{"type":"tableCell","attrs":{"localId":"4253d1af6cf0","colspan":2,"background":"#44b3e1"},"content":[{"type":"paragraph","content":[{"type":"text","text":"Accessorize London","marks":[{"type":"strong"}]}],"attrs":{"localId":"0d7a73f0488a"}}]}]},{"type":"tableRow","attrs":{"localId":"0e381bce95bd"},"content":[{"type":"tableCell","attrs":{"localId":"5bf074ab6598","background":"#ace5fe"},"content":[{"type":"paragraph","content":[{"type":"text","text":"Platform","marks":[{"type":"strong"}]}],"attrs":{"localId":"c8bd1e2f9df1"}}]},{"type":"tableCell","attrs":{"localId":"a17d572706f4","colspan":2,"background":"#ace5fe"},"content":[{"type":"paragraph","content":[{"type":"text","text":"Mall","marks":[{"type":"strong"}]}],"attrs":{"localId":"0d7fdfd6f4af"}}]}]},{"type":"tableRow","attrs":{"localId":"4b9ddb040aab"},"content":[{"type":"tableCell","attrs":{"localId":"44ff3474db9a","background":"#ace5fe"},"content":[{"type":"paragraph","content":[{"type":"text","text":"Particulars","marks":[{"type":"strong"}]}],"attrs":{"localId":"ded42304b486"}}]},{"type":"tableCell","attrs":{"localId":"c5b725433a63","background":"#ace5fe"},"content":[{"type":"paragraph","content":[{"type":"text","text":"SKU Count","marks":[{"type":"strong"}]}],"attrs":{"localId":"3c654c910443"}}]},{"type":"tableCell","attrs":{"localId":"868a02e5d120","background":"#ace5fe"},"content":[{"type":"paragraph","content":[{"type":"text","text":"Option Count","marks":[{"type":"strong"}]}],"attrs":{"localId":"e81842359445"}}]}]},{"type":"tableRow","attrs":{"localId":"2d974428d791"},"content":[{"type":"tableCell","attrs":{"localId":"acfbab56023c","background":"white"},"content":[{"type":"paragraph","content":[{"type":"text","text":"Received"}],"attrs":{"localId":"d73eaba25a5c"}}]},{"type":"tableCell","attrs":{"localId":"bf68357db8ab"},"content":[{"type":"paragraph","content":[{"type":"text","text":"51"}],"attrs":{"localId":"94dd765699be"}}]},{"type":"tableCell","attrs":{"localId":"12146d814ba0"},"content":[{"type":"paragraph","content":[{"type":"text","text":"49"}],"attrs":{"localId":"7eacecd5ca6b"}}]}]},{"type":"tableRow","attrs":{"localId":"010780de492d"},"content":[{"type":"tableCell","attrs":{"localId":"e5c37121f025","background":"white"},"content":[{"type":"paragraph","content":[{"type":"text","text":"Uploaded"}],"attrs":{"localId":"76fa61d47b7f"}}]},{"type":"tableCell","attrs":{"localId":"84630316f319"},"content":[{"type":"paragraph","content":[{"type":"text","text":"51"}],"attrs":{"localId":"f5a726190bad"}}]},{"type":"tableCell","attrs":{"localId":"2af076239f19"},"content":[{"type":"paragraph","content":[{"type":"text","text":"49"}],"attrs":{"localId":"b25a131afc40"}}]}]},{"type":"tableRow","attrs":{"localId":"5cac183b4e2e"},"content":[{"type":"tableCell","attrs":{"localId":"346c1e4ba5d0","background":"white"},"content":[{"type":"paragraph","content":[{"type":"text","text":"LIDs Shared"}],"attrs":{"localId":"c9eddaa7502f"}}]},{"type":"tableCell","attrs":{"localId":"97ae14c4f420"},"content":[{"type":"paragraph","content":[{"type":"text","text":"51"}],"attrs":{"localId":"deeec5b6e92c"}}]},{"type":"tableCell","attrs":{"localId":"fdc3d88d70c4"},"content":[{"type":"paragraph","content":[{"type":"text","text":"49"}],"attrs":{"localId":"6d26d3a2c699"}}]}]},{"type":"tableRow","attrs":{"localId":"8a249c594108"},"content":[{"type":"tableCell","attrs":{"localId":"fe882d5ba113","background":"white"},"content":[{"type":"paragraph","content":[{"type":"text","text":"LIDs Stuck in the System"}],"attrs":{"localId":"0be1f110886d"}}]},{"type":"tableCell","attrs":{"localId":"26965bae3d33"},"content":[{"type":"paragraph","content":[{"type":"text","text":"0"}],"attrs":{"localId":"61989580dffd"}}]},{"type":"tableCell","attrs":{"localId":"2d959caec709"},"content":[{"type":"paragraph","content":[{"type":"text","text":"0"}],"attrs":{"localId":"fd78ec5c1703"}}]}]}]}
{adf}
With this, we are closing this request from our end.
Thank you for your patience, support, and cooperation throughout the process. Your brand is important to us, and we look forward to assisting you again.</t>
  </si>
  <si>
    <t>Date :08/05/2026  &lt;Ticket picked for pre processing SKU 3&gt; &lt;Tania&gt; Date :08/05/2026 &lt;Ticket picked for Production and QC review SKU 3&gt; &lt;Tania&gt; IMAGES WIP;[^UCW-35539_Post Upload Status.xlsx]
[^UCW-35539 Summary.zip]
Date :08/06/2026 &lt;Ticket has been successfully uploaded in our system. Option 3 Sku 3&gt; &lt;Tania&gt;;[^UCW-35539_Post Upload Status (b64160fa-c432-481e-91a3-cce36cb9b34c).xlsx]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a9dcf6b-519a-44d7-b14b-c911735199b7"},"content":[{"type":"tableRow","attrs":{"localId":"1b22e39cbf0d"},"content":[{"type":"tableCell","attrs":{"localId":"991c875ae40c","background":"#44b3e1"},"content":[{"type":"paragraph","content":[{"type":"text","text":"Ticket ID","marks":[{"type":"strong"}]}],"attrs":{"localId":"cb83a8138539"}}]},{"type":"tableCell","attrs":{"localId":"17e53d172b9b","colspan":2,"background":"#44b3e1"},"content":[{"type":"paragraph","content":[{"type":"text","text":"UCW-35539","marks":[{"type":"strong"}]}],"attrs":{"localId":"2607afbb2323"}}]}]},{"type":"tableRow","attrs":{"localId":"6b8741ccc7e0"},"content":[{"type":"tableCell","attrs":{"localId":"a29ab623df6d","background":"#44b3e1"},"content":[{"type":"paragraph","content":[{"type":"text","text":"Brand Name","marks":[{"type":"strong"}]}],"attrs":{"localId":"19b069cf2354"}}]},{"type":"tableCell","attrs":{"localId":"b1186827b6db","colspan":2,"background":"#44b3e1"},"content":[{"type":"paragraph","content":[{"type":"text","text":"L'oreal Paris","marks":[{"type":"strong"}]}],"attrs":{"localId":"0bf7db6cfd2b"}}]}]},{"type":"tableRow","attrs":{"localId":"8131097240cf"},"content":[{"type":"tableCell","attrs":{"localId":"8d7d69ac18f5","background":"#ace5fe"},"content":[{"type":"paragraph","content":[{"type":"text","text":"Platform","marks":[{"type":"strong"}]}],"attrs":{"localId":"25a918bf7eff"}}]},{"type":"tableCell","attrs":{"localId":"3ed6f42815cc","colspan":2,"background":"#ace5fe"},"content":[{"type":"paragraph","content":[{"type":"text","text":"Mall","marks":[{"type":"strong"}]}],"attrs":{"localId":"e1d625ea43e5"}}]}]},{"type":"tableRow","attrs":{"localId":"2050f18e3c7f"},"content":[{"type":"tableCell","attrs":{"localId":"b11cc477cff2","background":"#ace5fe"},"content":[{"type":"paragraph","content":[{"type":"text","text":"Particulars","marks":[{"type":"strong"}]}],"attrs":{"localId":"e6e2fbbeead1"}}]},{"type":"tableCell","attrs":{"localId":"33ac4c648c33","background":"#ace5fe"},"content":[{"type":"paragraph","content":[{"type":"text","text":"SKU Count","marks":[{"type":"strong"}]}],"attrs":{"localId":"238265a1bffd"}}]},{"type":"tableCell","attrs":{"localId":"ff48ab04f01c","background":"#ace5fe"},"content":[{"type":"paragraph","content":[{"type":"text","text":"Option Count","marks":[{"type":"strong"}]}],"attrs":{"localId":"c4834ffc1a99"}}]}]},{"type":"tableRow","attrs":{"localId":"75b4cd5ceb6b"},"content":[{"type":"tableCell","attrs":{"localId":"3c9b316ca029","background":"white"},"content":[{"type":"paragraph","content":[{"type":"text","text":"Received"}],"attrs":{"localId":"1a0a42a513b7"}}]},{"type":"tableCell","attrs":{"localId":"0dfbe4fcb2ad"},"content":[{"type":"paragraph","content":[{"type":"text","text":"3"}],"attrs":{"localId":"76db33e22bc7"}}]},{"type":"tableCell","attrs":{"localId":"6966fe458b72"},"content":[{"type":"paragraph","content":[{"type":"text","text":"3"}],"attrs":{"localId":"a5847261cb8c"}}]}]},{"type":"tableRow","attrs":{"localId":"c31673b66f49"},"content":[{"type":"tableCell","attrs":{"localId":"b21c75294c2d","background":"white"},"content":[{"type":"paragraph","content":[{"type":"text","text":"Uploaded"}],"attrs":{"localId":"4ea4b98bb2f6"}}]},{"type":"tableCell","attrs":{"localId":"41b23c6f940f"},"content":[{"type":"paragraph","content":[{"type":"text","text":"3"}],"attrs":{"localId":"870596b303bf"}}]},{"type":"tableCell","attrs":{"localId":"4c1f7ab41acd"},"content":[{"type":"paragraph","content":[{"type":"text","text":"3"}],"attrs":{"localId":"d18026d10561"}}]}]},{"type":"tableRow","attrs":{"localId":"aa01a30b34ab"},"content":[{"type":"tableCell","attrs":{"localId":"600b464a932c","background":"white"},"content":[{"type":"paragraph","content":[{"type":"text","text":"LIDs Shared"}],"attrs":{"localId":"93ebb91b6a85"}}]},{"type":"tableCell","attrs":{"localId":"9967f80da90f"},"content":[{"type":"paragraph","content":[{"type":"text","text":"3"}],"attrs":{"localId":"72b13e5be715"}}]},{"type":"tableCell","attrs":{"localId":"f66ce0ca0b53"},"content":[{"type":"paragraph","content":[{"type":"text","text":"3"}],"attrs":{"localId":"b36e06b918d6"}}]}]},{"type":"tableRow","attrs":{"localId":"ca957d886615"},"content":[{"type":"tableCell","attrs":{"localId":"9db0f472d29d","background":"white"},"content":[{"type":"paragraph","content":[{"type":"text","text":"LIDs Stuck in the System"}],"attrs":{"localId":"3b124144d0b8"}}]},{"type":"tableCell","attrs":{"localId":"ee9a8987644e"},"content":[{"type":"paragraph","content":[{"type":"text","text":"0"}],"attrs":{"localId":"a15f75d0a811"}}]},{"type":"tableCell","attrs":{"localId":"7c36c4d9d7c3"},"content":[{"type":"paragraph","content":[{"type":"text","text":"0"}],"attrs":{"localId":"e486f2159494"}}]}]}]}
{adf}
With this, we are closing this request from our end.
Thank you for your patience, support, and cooperation throughout the process. Your brand is important to us, and we look forward to assisting you again."</t>
  </si>
  <si>
    <t>Date :08/06/2026 &lt;Ticket picked for Production and QC review Option 58 Sku 58  Content done Image WIP&gt; &lt;Biplab Sarkar&gt;;Date :08/08/2026 &lt;Images have been successfully processed/ retriggered. Option 58 Sku 58&gt; &lt;Biplab Sarkar&gt;</t>
  </si>
  <si>
    <t>Round Lab, d'Alba Piedmont</t>
  </si>
  <si>
    <t>Date :08/06/2026 &lt;Ticket picked for pre processing Option 39 Sku 39&gt; &lt;Amandeep&gt;;Date :08/06/2026 &lt;Ticket picked for Production and QC review Option 39 Sku 39&gt; &lt;Amandeep&gt;;Date :08/06/2026 &lt;Pre Processing query to Brand &lt;Query Details-Image and manufacturer&gt;&gt; &lt;Amandeep&gt;</t>
  </si>
  <si>
    <t>Date : 4th Aug, 2026 This ticket has been picked for Pre-Processing and Image Analysis -Mousumi. 
;Date :5th Aug, 2026 QC &amp; Uplaoded Done
PFA the Summary &amp; Post-Uploaded Sheet[^Summary.zip] [^UCW-35531 Post Upload Status_V.2 (1).xlsx] ;[^UCW-35531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73a29266-5a6e-45d9-a1c6-1a57e9b926ec"},"content":[{"type":"tableRow","attrs":{"localId":"12a0588adfff"},"content":[{"type":"tableCell","attrs":{"localId":"4e87fa224180","background":"#44b3e1"},"content":[{"type":"paragraph","content":[{"type":"text","text":"Ticket ID","marks":[{"type":"strong"}]}],"attrs":{"localId":"5172e5b5e3e3"}}]},{"type":"tableCell","attrs":{"localId":"3bd64737a2a5","colspan":2,"background":"#44b3e1"},"content":[{"type":"paragraph","content":[{"type":"text","text":"UCW-35531","marks":[{"type":"strong"}]}],"attrs":{"localId":"ce8d318c681e"}}]}]},{"type":"tableRow","attrs":{"localId":"ba3f31121bd3"},"content":[{"type":"tableCell","attrs":{"localId":"48d2bcfafac5","background":"#44b3e1"},"content":[{"type":"paragraph","content":[{"type":"text","text":"Brand Name","marks":[{"type":"strong"}]}],"attrs":{"localId":"6ff8c9c9a3ca"}}]},{"type":"tableCell","attrs":{"localId":"e68ef92c25fa","colspan":2,"background":"#44b3e1"},"content":[{"type":"paragraph","content":[{"type":"text","text":"Ornate Jewels","marks":[{"type":"strong"}]}],"attrs":{"localId":"925d566921c5"}}]}]},{"type":"tableRow","attrs":{"localId":"b378949fc548"},"content":[{"type":"tableCell","attrs":{"localId":"b6a76c225e53","background":"#ace5fe"},"content":[{"type":"paragraph","content":[{"type":"text","text":"Platform","marks":[{"type":"strong"}]}],"attrs":{"localId":"916f165a46ff"}}]},{"type":"tableCell","attrs":{"localId":"60ba9c2d1255","colspan":2,"background":"#ace5fe"},"content":[{"type":"paragraph","content":[{"type":"text","text":"Mall","marks":[{"type":"strong"}]}],"attrs":{"localId":"d619fda81ba9"}}]}]},{"type":"tableRow","attrs":{"localId":"9fcfc0702c92"},"content":[{"type":"tableCell","attrs":{"localId":"d762d5f47229","background":"#ace5fe"},"content":[{"type":"paragraph","content":[{"type":"text","text":"Particulars","marks":[{"type":"strong"}]}],"attrs":{"localId":"b828a0459b42"}}]},{"type":"tableCell","attrs":{"localId":"8e3fe2ef1568","background":"#ace5fe"},"content":[{"type":"paragraph","content":[{"type":"text","text":"SKU Count","marks":[{"type":"strong"}]}],"attrs":{"localId":"d43677a0b65e"}}]},{"type":"tableCell","attrs":{"localId":"402082f5a9d2","background":"#ace5fe"},"content":[{"type":"paragraph","content":[{"type":"text","text":"Option Count","marks":[{"type":"strong"}]}],"attrs":{"localId":"ed84baf57307"}}]}]},{"type":"tableRow","attrs":{"localId":"042e59af62f0"},"content":[{"type":"tableCell","attrs":{"localId":"46d9671ea078","background":"white"},"content":[{"type":"paragraph","content":[{"type":"text","text":"Received"}],"attrs":{"localId":"238cec97f22e"}}]},{"type":"tableCell","attrs":{"localId":"c978aa7fd4a0"},"content":[{"type":"paragraph","content":[{"type":"text","text":"21"}],"attrs":{"localId":"1387e5200a88"}}]},{"type":"tableCell","attrs":{"localId":"b3eff48aca46"},"content":[{"type":"paragraph","content":[{"type":"text","text":"21"}],"attrs":{"localId":"351e97380075"}}]}]},{"type":"tableRow","attrs":{"localId":"e1f163fd0d90"},"content":[{"type":"tableCell","attrs":{"localId":"c12ced5a2b65","background":"white"},"content":[{"type":"paragraph","content":[{"type":"text","text":"Uploaded"}],"attrs":{"localId":"c7681a60516b"}}]},{"type":"tableCell","attrs":{"localId":"ffab0ca8287a"},"content":[{"type":"paragraph","content":[{"type":"text","text":"21"}],"attrs":{"localId":"3a69d75d7247"}}]},{"type":"tableCell","attrs":{"localId":"f1b118c7ae10"},"content":[{"type":"paragraph","content":[{"type":"text","text":"21"}],"attrs":{"localId":"8783722e6ac6"}}]}]},{"type":"tableRow","attrs":{"localId":"669309c9b9b8"},"content":[{"type":"tableCell","attrs":{"localId":"8f9031dd7869","background":"white"},"content":[{"type":"paragraph","content":[{"type":"text","text":"LIDs Shared"}],"attrs":{"localId":"546d3fff057f"}}]},{"type":"tableCell","attrs":{"localId":"9523ccdd2758"},"content":[{"type":"paragraph","content":[{"type":"text","text":"21"}],"attrs":{"localId":"ea8998e5552a"}}]},{"type":"tableCell","attrs":{"localId":"82ab2c8a2b44"},"content":[{"type":"paragraph","content":[{"type":"text","text":"21"}],"attrs":{"localId":"93dea87644e0"}}]}]},{"type":"tableRow","attrs":{"localId":"2d7245f17513"},"content":[{"type":"tableCell","attrs":{"localId":"7b49e2fa1cc8","background":"white"},"content":[{"type":"paragraph","content":[{"type":"text","text":"LIDs Stuck in the System"}],"attrs":{"localId":"20ab17f5744a"}}]},{"type":"tableCell","attrs":{"localId":"dc2751e32ef6"},"content":[{"type":"paragraph","content":[{"type":"text","text":"0"}],"attrs":{"localId":"bc6e924d354b"}}]},{"type":"tableCell","attrs":{"localId":"20347881f198"},"content":[{"type":"paragraph","content":[{"type":"text","text":"0"}],"attrs":{"localId":"f6e10f9f6545"}}]}]}]}
{adf}
With this, we are closing this request from our end.
Thank you for your patience, support, and cooperation throughout the process. Your brand is important to us, and we look forward to assisting you again.</t>
  </si>
  <si>
    <t>Date :08/04/26 &lt;Ticket picked for pre processing Option 24 Sku 152&gt; &lt;Ankita&gt;;Date :08/04/26 &lt;Ticket picked for Production and QC review Option 24 Sku 152&gt; &lt;Ankita&gt;;Date :08/06/26 &lt;Pre Processing query to Brand &lt;Image Query&gt;&gt; &lt;Ankita&gt;;Date :08/06/26 &lt;Ticket has been successfully uploaded in our system. Option 20 Sku 128&gt; &lt;Ankita&gt;[^Post Upload Status_V.2 (1).xlsx] [^Summary.zip] ;[^UCW-35527.xlsx]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40c50bb3-8d61-49a1-b454-ad26c1cac5f6"},"content":[{"type":"tableRow","attrs":{"localId":"0111dd9875c8"},"content":[{"type":"tableCell","attrs":{"localId":"29de4c277482","background":"#44b3e1"},"content":[{"type":"paragraph","content":[{"type":"text","text":"Ticket ID","marks":[{"type":"strong"}]}],"attrs":{"localId":"c558fc0828f6"}}]},{"type":"tableCell","attrs":{"localId":"4e0c89e847cd","colspan":2,"background":"#44b3e1"},"content":[{"type":"paragraph","content":[{"type":"text","text":"UCW-35527","marks":[{"type":"strong"}]}],"attrs":{"localId":"ff5fe4684e18"}}]}]},{"type":"tableRow","attrs":{"localId":"40050d735932"},"content":[{"type":"tableCell","attrs":{"localId":"cd2467793bfd","background":"#44b3e1"},"content":[{"type":"paragraph","content":[{"type":"text","text":"Brand Name","marks":[{"type":"strong"}]}],"attrs":{"localId":"28b82c1eb656"}}]},{"type":"tableCell","attrs":{"localId":"38d01de72c96","colspan":2,"background":"#44b3e1"},"content":[{"type":"paragraph","content":[{"type":"text","text":"Lotto","marks":[{"type":"strong"}]}],"attrs":{"localId":"ae10d0b85afb"}}]}]},{"type":"tableRow","attrs":{"localId":"11e79500378a"},"content":[{"type":"tableCell","attrs":{"localId":"e7c5dd03ed1d","background":"#ace5fe"},"content":[{"type":"paragraph","content":[{"type":"text","text":"Platform","marks":[{"type":"strong"}]}],"attrs":{"localId":"132dccaab359"}}]},{"type":"tableCell","attrs":{"localId":"5c27bfec1057","colspan":2,"background":"#ace5fe"},"content":[{"type":"paragraph","content":[{"type":"text","text":"Mall","marks":[{"type":"strong"}]}],"attrs":{"localId":"2efa3873aa9b"}}]}]},{"type":"tableRow","attrs":{"localId":"16911186fcba"},"content":[{"type":"tableCell","attrs":{"localId":"8ab892d89197","background":"#ace5fe"},"content":[{"type":"paragraph","content":[{"type":"text","text":"Particulars","marks":[{"type":"strong"}]}],"attrs":{"localId":"53ac7d151a74"}}]},{"type":"tableCell","attrs":{"localId":"9ae1734513c6","background":"#ace5fe"},"content":[{"type":"paragraph","content":[{"type":"text","text":"SKU Count","marks":[{"type":"strong"}]}],"attrs":{"localId":"f83014ef4f0f"}}]},{"type":"tableCell","attrs":{"localId":"38234a93e742","background":"#ace5fe"},"content":[{"type":"paragraph","content":[{"type":"text","text":"Option Count","marks":[{"type":"strong"}]}],"attrs":{"localId":"4d0e9cbc5f66"}}]}]},{"type":"tableRow","attrs":{"localId":"cd86844c0c4d"},"content":[{"type":"tableCell","attrs":{"localId":"880f3205d051","background":"white"},"content":[{"type":"paragraph","content":[{"type":"text","text":"Received"}],"attrs":{"localId":"57782d3bb8ff"}}]},{"type":"tableCell","attrs":{"localId":"f99fc95752a4"},"content":[{"type":"paragraph","content":[{"type":"text","text":"152"}],"attrs":{"localId":"63fd510744a5"}}]},{"type":"tableCell","attrs":{"localId":"ce7761bbc8b2"},"content":[{"type":"paragraph","content":[{"type":"text","text":"24"}],"attrs":{"localId":"e38bed72e92e"}}]}]},{"type":"tableRow","attrs":{"localId":"be5ab5762ca6"},"content":[{"type":"tableCell","attrs":{"localId":"fa221f84d725","background":"white"},"content":[{"type":"paragraph","content":[{"type":"text","text":"Uploaded"}],"attrs":{"localId":"394ea4386a1b"}}]},{"type":"tableCell","attrs":{"localId":"cd837b4339ae"},"content":[{"type":"paragraph","content":[{"type":"text","text":"128"}],"attrs":{"localId":"9fdab4e40e02"}}]},{"type":"tableCell","attrs":{"localId":"1f78060a9511"},"content":[{"type":"paragraph","content":[{"type":"text","text":"20"}],"attrs":{"localId":"8a7a5676c9b0"}}]}]},{"type":"tableRow","attrs":{"localId":"83927c8efa6e"},"content":[{"type":"tableCell","attrs":{"localId":"4e329b947a55","background":"white"},"content":[{"type":"paragraph","content":[{"type":"text","text":"Already Listed"}],"attrs":{"localId":"c346a8c35fa3"}}]},{"type":"tableCell","attrs":{"localId":"fabec818fdb7"},"content":[{"type":"paragraph","content":[{"type":"text","text":"24"}],"attrs":{"localId":"fd4b2bd2f3fa"}}]},{"type":"tableCell","attrs":{"localId":"b1aff3e43eb3"},"content":[{"type":"paragraph","content":[{"type":"text","text":"4"}],"attrs":{"localId":"75da92cb81b8"}}]}]},{"type":"tableRow","attrs":{"localId":"2dddd0386965"},"content":[{"type":"tableCell","attrs":{"localId":"82d8ff53e393","background":"white"},"content":[{"type":"paragraph","content":[{"type":"text","text":"LIDs Shared"}],"attrs":{"localId":"41c33aae84c4"}}]},{"type":"tableCell","attrs":{"localId":"d05adc2053d2"},"content":[{"type":"paragraph","content":[{"type":"text","text":"128"}],"attrs":{"localId":"a7454df5da6f"}}]},{"type":"tableCell","attrs":{"localId":"7e6069792c0b"},"content":[{"type":"paragraph","content":[{"type":"text","text":"20"}],"attrs":{"localId":"ed96442c9efa"}}]}]},{"type":"tableRow","attrs":{"localId":"0d23e825bd16"},"content":[{"type":"tableCell","attrs":{"localId":"dc2143fa775e","background":"white"},"content":[{"type":"paragraph","content":[{"type":"text","text":"LIDs Stuck in the System"}],"attrs":{"localId":"59fa130ffccb"}}]},{"type":"tableCell","attrs":{"localId":"f7dec3b92091"},"content":[{"type":"paragraph","content":[{"type":"text","text":"0"}],"attrs":{"localId":"dee6f4cc8214"}}]},{"type":"tableCell","attrs":{"localId":"295c7db7d96b"},"content":[{"type":"paragraph","content":[{"type":"text","text":"0"}],"attrs":{"localId":"2b234af35787"}}]}]}]}
{adf}
With this, we are closing this request from our end.
Thank you for your patience, support, and cooperation throughout the process. Your brand is important to us, and we look forward to assisting you again.</t>
  </si>
  <si>
    <t xml:space="preserve">Date : 4th Aug, 2026 This ticket has been picked for Pre-Processing and Image Analysis -Mousumi. 
;*Image deliver - Date :08/05/2026 &lt;Images Delivered Processed Options 40 Rejected Options 0&gt; &lt;Saswati Dey&gt;*;Date : 5th Aug, 2026 Pre-Processing Done( Brand To Query for Size, Product Type, Purity, Gross weight &amp; Metal Weight )-Mousumi;Date : 6th Aug, 2026 1st Fllowup Done;Date : 7th Aug, 2026 QC &amp; Uploaded Done-Mousumi
PFA the SUmmary &amp; Post-Uploaded Sheet[^Summary.zip] [^UCW-35524 Post Upload Status_V.2 (1).xlsx]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826e7ff2-3bc4-4338-abaf-91b08cedfdb9"},"content":[{"type":"tableRow","attrs":{"localId":"67e1e0a5cf14"},"content":[{"type":"tableCell","attrs":{"localId":"37acc0ac1aaa","background":"#44b3e1"},"content":[{"type":"paragraph","content":[{"type":"text","text":"Ticket ID","marks":[{"type":"strong"}]}],"attrs":{"localId":"887065d28a82"}}]},{"type":"tableCell","attrs":{"localId":"16cc88d84506","colspan":2,"background":"#44b3e1"},"content":[{"type":"paragraph","content":[{"type":"text","text":"UCW-35524","marks":[{"type":"strong"}]}],"attrs":{"localId":"fa848c043955"}}]}]},{"type":"tableRow","attrs":{"localId":"f0757883adfb"},"content":[{"type":"tableCell","attrs":{"localId":"931d0b1e502a","background":"#44b3e1"},"content":[{"type":"paragraph","content":[{"type":"text","text":"Brand Name","marks":[{"type":"strong"}]}],"attrs":{"localId":"75c64ca53bdb"}}]},{"type":"tableCell","attrs":{"localId":"2397e485ae40","colspan":2,"background":"#44b3e1"},"content":[{"type":"paragraph","content":[{"type":"text","text":"Palmonas","marks":[{"type":"strong"}]}],"attrs":{"localId":"ed1c5810286b"}}]}]},{"type":"tableRow","attrs":{"localId":"da6547f0cd61"},"content":[{"type":"tableCell","attrs":{"localId":"2ade20ec8736","background":"#ace5fe"},"content":[{"type":"paragraph","content":[{"type":"text","text":"Platform","marks":[{"type":"strong"}]}],"attrs":{"localId":"423a44340ee1"}}]},{"type":"tableCell","attrs":{"localId":"174d342aab40","colspan":2,"background":"#ace5fe"},"content":[{"type":"paragraph","content":[{"type":"text","text":"Mall","marks":[{"type":"strong"}]}],"attrs":{"localId":"01748767a37c"}}]}]},{"type":"tableRow","attrs":{"localId":"d19bf29c36a7"},"content":[{"type":"tableCell","attrs":{"localId":"0b8a461fafb8","background":"#ace5fe"},"content":[{"type":"paragraph","content":[{"type":"text","text":"Particulars","marks":[{"type":"strong"}]}],"attrs":{"localId":"4fb84e8cf8ee"}}]},{"type":"tableCell","attrs":{"localId":"460cfebb9419","background":"#ace5fe"},"content":[{"type":"paragraph","content":[{"type":"text","text":"SKU Count","marks":[{"type":"strong"}]}],"attrs":{"localId":"682f3f8f820a"}}]},{"type":"tableCell","attrs":{"localId":"96f1175da3ca","background":"#ace5fe"},"content":[{"type":"paragraph","content":[{"type":"text","text":"Option Count","marks":[{"type":"strong"}]}],"attrs":{"localId":"ff0c358a1617"}}]}]},{"type":"tableRow","attrs":{"localId":"7064760945d7"},"content":[{"type":"tableCell","attrs":{"localId":"2f028279a54e","background":"white"},"content":[{"type":"paragraph","content":[{"type":"text","text":"Received"}],"attrs":{"localId":"3984defb221e"}}]},{"type":"tableCell","attrs":{"localId":"2e66c02ba311"},"content":[{"type":"paragraph","content":[{"type":"text","text":"40"}],"attrs":{"localId":"bd0bb2a61bef"}}]},{"type":"tableCell","attrs":{"localId":"c474c8baa1c2"},"content":[{"type":"paragraph","content":[{"type":"text","text":"40"}],"attrs":{"localId":"a8ec84ff028a"}}]}]},{"type":"tableRow","attrs":{"localId":"c347ec6ee196"},"content":[{"type":"tableCell","attrs":{"localId":"9448a9f4a89f","background":"white"},"content":[{"type":"paragraph","content":[{"type":"text","text":"Uploaded"}],"attrs":{"localId":"5ec76a255fee"}}]},{"type":"tableCell","attrs":{"localId":"ae0d77ae1833"},"content":[{"type":"paragraph","content":[{"type":"text","text":"40"}],"attrs":{"localId":"66afa28cda4d"}}]},{"type":"tableCell","attrs":{"localId":"a1a55f5b1184"},"content":[{"type":"paragraph","content":[{"type":"text","text":"40"}],"attrs":{"localId":"8a66c6be1a27"}}]}]},{"type":"tableRow","attrs":{"localId":"62f866bf5e84"},"content":[{"type":"tableCell","attrs":{"localId":"b1903d86fead","background":"white"},"content":[{"type":"paragraph","content":[{"type":"text","text":"LIDs Shared"}],"attrs":{"localId":"ba779d68fffb"}}]},{"type":"tableCell","attrs":{"localId":"58eff101c872"},"content":[{"type":"paragraph","content":[{"type":"text","text":"40"}],"attrs":{"localId":"8b4dbdccafa2"}}]},{"type":"tableCell","attrs":{"localId":"583f2573d6d9"},"content":[{"type":"paragraph","content":[{"type":"text","text":"40"}],"attrs":{"localId":"c71024854584"}}]}]},{"type":"tableRow","attrs":{"localId":"23a18e7f7d00"},"content":[{"type":"tableCell","attrs":{"localId":"5f8f1ebf8358","background":"white"},"content":[{"type":"paragraph","content":[{"type":"text","text":"LIDs Stuck in the System"}],"attrs":{"localId":"ea701e8ec2c6"}}]},{"type":"tableCell","attrs":{"localId":"e0dd93445d33"},"content":[{"type":"paragraph","content":[{"type":"text","text":"0"}],"attrs":{"localId":"c7ef8f3f56dc"}}]},{"type":"tableCell","attrs":{"localId":"0e5a11850e36"},"content":[{"type":"paragraph","content":[{"type":"text","text":"0"}],"attrs":{"localId":"ff6f660a6764"}}]}]}]}
{adf}
With this, we are closing this request from our end.
Thank you for your patience, support, and cooperation throughout the process. Your brand is important to us, and we look forward to assisting you again."[^UCW-35524 Post Upload Status.xlsx] </t>
  </si>
  <si>
    <t>Ministitch</t>
  </si>
  <si>
    <t xml:space="preserve">Date :08/06/2026 &lt;Ticket picked for pre processing Option: 20 SKU: 161&gt; &lt;Sanjana Ghosh&gt;;Date :08/06/2026 &lt;Ticket picked for Production and QC review Option 20 Sku 161&gt; &lt;Ishani&gt;;Date :08/08/2026 &lt;Size Chart Code Creation&gt; &lt;Anwesha Mondal&gt;
[^UCW-35523 Size chart.csv]
</t>
  </si>
  <si>
    <t xml:space="preserve">Date :08/06/2026 &lt;Ticket picked for pre processing Option: 47 SKU: 261&gt; &lt;Sanjana Ghosh&gt;;Date :08/06/2026 &lt;Ticket picked for Production and QC review Option 47 Sku 261&gt; &lt;Ishani&gt;;Date :08/08/2026  &lt;Pre Processing query to Brand &lt;Incorrect Size chart measurement Provided&gt;&gt; &lt;Anwesha Mondal&gt; </t>
  </si>
  <si>
    <t>Date :08/05/2026 &lt;Ticket picked for Production and QC review Option 38 Sku 38 Content  Done Image WIP&gt; &lt;Biplab Sarkar&gt;;Date :08/06/2026 &lt;Ticket picked for Production and QC review Option 38 Sku 38 Content  Done Image WIP&gt; &lt;Biplab Sarkar&gt;;Date :08/08/2026 &lt;Images have been successfully processed/ retriggered. Option 38 Sku 38&gt; &lt;Biplab Sarkar&gt;</t>
  </si>
  <si>
    <t>E2E + Data Scraping</t>
  </si>
  <si>
    <t>OnePlus</t>
  </si>
  <si>
    <t xml:space="preserve">Date :08/05/2026 &lt;Ticket picked for Data Scraping Option: 14 SKU: 14&gt; &lt;Sanjana Ghosh&gt;;Date :08/06/2026 &lt;Completed the product data scraping task: Amazon data captured for all applicable SKUs, Flipkart data scraped for the 2 highlighted SKUs, processed images attached, and product titles retained as per the source websites. Option: 14 SKU: 14&gt; &lt;Sanjana Ghosh&gt;;Date :08/08/2026 &lt;Post Processing query to Brand &lt;EAN/UPC, HSN, Manufaturing, COO, MRP and Dimensions are missing&gt; &lt;Sanjana Ghosh&gt; </t>
  </si>
  <si>
    <t>Date :08/04/2026 &lt;Ticket picked for pre processing Option 20 Sku 20&gt; &lt;Tania&gt;;[^UCW-35493 Summary.zip]
Date :08/05/2026 &lt;Ticket has been successfully uploaded in our system. SKU 20&gt; &lt;Tania&gt; [^UCW-35493_Post Upload Status.xlsx] ;[^UCW-35493_Post Upload Status (a58f55b7-29a3-49ae-ab63-d331b8e9bf33).xlsx]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0b73384e-3180-43a2-946a-9bc8370a4d64"},"content":[{"type":"tableRow","attrs":{"localId":"d0d312ee5391"},"content":[{"type":"tableCell","attrs":{"localId":"10f96ae7a884","background":"#44b3e1"},"content":[{"type":"paragraph","content":[{"type":"text","text":"Ticket ID","marks":[{"type":"strong"}]}],"attrs":{"localId":"844f62416820"}}]},{"type":"tableCell","attrs":{"localId":"e41679d9bb76","colspan":2,"background":"#44b3e1"},"content":[{"type":"paragraph","content":[{"type":"text","text":"UCW-35493","marks":[{"type":"strong"}]}],"attrs":{"localId":"e190e46b954e"}}]}]},{"type":"tableRow","attrs":{"localId":"d87727f0d7fe"},"content":[{"type":"tableCell","attrs":{"localId":"a7505c55bbcd","background":"#44b3e1"},"content":[{"type":"paragraph","content":[{"type":"text","text":"Brand Name","marks":[{"type":"strong"}]}],"attrs":{"localId":"568ca64e40a3"}}]},{"type":"tableCell","attrs":{"localId":"9837cc7f2559","colspan":2,"background":"#44b3e1"},"content":[{"type":"paragraph","content":[{"type":"text","text":"Bobbi Brown","marks":[{"type":"strong"}]}],"attrs":{"localId":"53891e6c467b"}}]}]},{"type":"tableRow","attrs":{"localId":"98d179c0475d"},"content":[{"type":"tableCell","attrs":{"localId":"3cf43a2cf046","background":"#ace5fe"},"content":[{"type":"paragraph","content":[{"type":"text","text":"Platform","marks":[{"type":"strong"}]}],"attrs":{"localId":"9b3c62019684"}}]},{"type":"tableCell","attrs":{"localId":"73b072324868","colspan":2,"background":"#ace5fe"},"content":[{"type":"paragraph","content":[{"type":"text","text":"Mall + Luxury","marks":[{"type":"strong"}]}],"attrs":{"localId":"e49981667208"}}]}]},{"type":"tableRow","attrs":{"localId":"d98ec00aa312"},"content":[{"type":"tableCell","attrs":{"localId":"2e9444eff24e","background":"#ace5fe"},"content":[{"type":"paragraph","content":[{"type":"text","text":"Particulars","marks":[{"type":"strong"}]}],"attrs":{"localId":"a4fd2d788806"}}]},{"type":"tableCell","attrs":{"localId":"c891d9fca207","background":"#ace5fe"},"content":[{"type":"paragraph","content":[{"type":"text","text":"SKU Count","marks":[{"type":"strong"}]}],"attrs":{"localId":"dddcca92efa8"}}]},{"type":"tableCell","attrs":{"localId":"a6f3da6fe239","background":"#ace5fe"},"content":[{"type":"paragraph","content":[{"type":"text","text":"Option Count","marks":[{"type":"strong"}]}],"attrs":{"localId":"7e9368d1526b"}}]}]},{"type":"tableRow","attrs":{"localId":"6c21a1e386b3"},"content":[{"type":"tableCell","attrs":{"localId":"3852f4e2e0a6","background":"white"},"content":[{"type":"paragraph","content":[{"type":"text","text":"Received"}],"attrs":{"localId":"bfca86fb9db4"}}]},{"type":"tableCell","attrs":{"localId":"940b46100d4f"},"content":[{"type":"paragraph","content":[{"type":"text","text":"20"}],"attrs":{"localId":"1b0e9c2c9d13"}}]},{"type":"tableCell","attrs":{"localId":"41eac7671591"},"content":[{"type":"paragraph","content":[{"type":"text","text":"20"}],"attrs":{"localId":"9d3d292fc0b3"}}]}]},{"type":"tableRow","attrs":{"localId":"50978b13e61e"},"content":[{"type":"tableCell","attrs":{"localId":"352e708079d7","background":"white"},"content":[{"type":"paragraph","content":[{"type":"text","text":"Uploaded"}],"attrs":{"localId":"b1a4521fdcd8"}}]},{"type":"tableCell","attrs":{"localId":"2588a7554958"},"content":[{"type":"paragraph","content":[{"type":"text","text":"20"}],"attrs":{"localId":"f75e2ddb5192"}}]},{"type":"tableCell","attrs":{"localId":"b200d874a57a"},"content":[{"type":"paragraph","content":[{"type":"text","text":"20"}],"attrs":{"localId":"620ab5d8a734"}}]}]},{"type":"tableRow","attrs":{"localId":"5aa314fe2276"},"content":[{"type":"tableCell","attrs":{"localId":"9ebcf3e5d393","background":"white"},"content":[{"type":"paragraph","content":[{"type":"text","text":"LIDs Shared"}],"attrs":{"localId":"aa4ab3f8196e"}}]},{"type":"tableCell","attrs":{"localId":"c633d877980c"},"content":[{"type":"paragraph","content":[{"type":"text","text":"20"}],"attrs":{"localId":"7a1e2b3bb8f9"}}]},{"type":"tableCell","attrs":{"localId":"a9d580bb8ce2"},"content":[{"type":"paragraph","content":[{"type":"text","text":"20"}],"attrs":{"localId":"dfd14e41d9d6"}}]}]},{"type":"tableRow","attrs":{"localId":"614bbb5d9b22"},"content":[{"type":"tableCell","attrs":{"localId":"08bb85018191","background":"white"},"content":[{"type":"paragraph","content":[{"type":"text","text":"LIDs Stuck in the System"}],"attrs":{"localId":"fd8e9620ec76"}}]},{"type":"tableCell","attrs":{"localId":"32acc5db2d48"},"content":[{"type":"paragraph","content":[{"type":"text","text":"0"}],"attrs":{"localId":"9d7527f72021"}}]},{"type":"tableCell","attrs":{"localId":"a5cb229e329a"},"content":[{"type":"paragraph","content":[{"type":"text","text":"0"}],"attrs":{"localId":"9f803ed8d2dc"}}]}]}]}
{adf}
With this, we are closing this request from our end.
Thank you for your patience, support, and cooperation throughout the process. Your brand is important to us, and we look forward to assisting you again.</t>
  </si>
  <si>
    <t>Date :08/04/2026 &lt;Ticket picked for pre processing Option 120 Sku 523&gt; &lt;Sanjana&gt;;Date :08/04/2026&lt;Ticket picked for footwear pre processing Option 27 Sku 162&gt; &lt;Ankita&gt;;Date :08/05/2026 &lt;Pre Processing query to Brand &lt;Belt Size Issue&gt; &lt;Sanjana Ghosh&gt; ;Date :08/06/2026 &lt;Pre Processing query to Brand &lt;Upper Material Issue&gt;&gt; &lt;Ishani&gt; (Footwear);Date :08/06/2026 &lt;Ticket picked for Production and QC review Option 27 Sku 162&gt; &lt;Ishani&gt; (Footwear);Date :08/06/2026 &lt;Ticket has been successfully uploaded in our system. Option 27 Sku 162&gt; &lt;Ankita &amp; Ishani&gt;[^Post Upload Status_V.2 (1).xlsx] [^Summary.zip] ;Date :08/07/2026 &lt;Ticket has been successfully uploaded in our system for *Accessories Category.* Option: 27 SKU: 33&gt; &lt;Sanjana Ghosh&gt;
PFA the post upload status and summary file: [^Summary (a44a4bee-e1fe-42b7-bcb8-65262ffd7aca).zip] [^UCW-35492 - Accessories - Post Upload Status .xlsx] ;Date: 08/07/2026 &lt; Accessories and Footwear post-upload sheets have been recived. We are currently waiting for the Apparel category. Once we receive all category sheets, we will collate the SKUs and share the consolidated file accordingly.&lt;Debabrata&gt;;Size Chart Created for Women Leggins[^RBPLEGGINGS.csv] ;Date :08/07/2026 &lt;Ticket has been successfully uploaded in our system. Option: 65 SKU: 326&gt; &lt;Sanjana Ghosh&gt;
PFA the post upload status and summary file: [^Summary Kids Apparel.zip] [^Summary Men's and Women's Apparel.zip] [^UCW-35492 - Apparel - Post Upload Status .xlsx] ;[^UCW-35492 - Apparel - Post Upload Status.xlsx]
[^UCW-35492- Footwear-Post Upload Status.xlsx]
[^UCW-35492 - Accessories -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4e4841de-628e-46b1-80be-f22d9f1b54ac"},"content":[{"type":"tableRow","attrs":{"localId":"74a5c9199b69"},"content":[{"type":"tableCell","attrs":{"localId":"b083e3ead153","background":"#44b3e1"},"content":[{"type":"paragraph","content":[{"type":"text","text":"Ticket ID","marks":[{"type":"strong"}]}],"attrs":{"localId":"fbbe2c77139e"}}]},{"type":"tableCell","attrs":{"localId":"11035585909e","colspan":10,"background":"#44b3e1"},"content":[{"type":"paragraph","content":[{"type":"text","text":"UCW-35492","marks":[{"type":"strong"}]}],"attrs":{"localId":"297f7532e381"}}]}]},{"type":"tableRow","attrs":{"localId":"4033cf158cee"},"content":[{"type":"tableCell","attrs":{"localId":"d2679fabf84e","background":"#44b3e1"},"content":[{"type":"paragraph","content":[{"type":"text","text":"Brand Name","marks":[{"type":"strong"}]}],"attrs":{"localId":"2d7c6efcb7b6"}}]},{"type":"tableCell","attrs":{"localId":"baf8104b17b2","colspan":10,"background":"#44b3e1"},"content":[{"type":"paragraph","content":[{"type":"text","text":"Pantaloon Brands","marks":[{"type":"strong"}]}],"attrs":{"localId":"80901a892bf4"}}]}]},{"type":"tableRow","attrs":{"localId":"e5dbad68a010"},"content":[{"type":"tableCell","attrs":{"localId":"53f7468879d7","background":"#44b3e1"},"content":[{"type":"paragraph","content":[{"type":"text","text":"Category","marks":[{"type":"strong"}]}],"attrs":{"localId":"6294c99f2694"}}]},{"type":"tableCell","attrs":{"localId":"f3ee1591fc01","colspan":2,"background":"#44b3e1"},"content":[{"type":"paragraph","content":[{"type":"text","text":"Accessories","marks":[{"type":"strong"}]}],"attrs":{"localId":"fd1d11138f48"}}]},{"type":"tableCell","attrs":{"localId":"a74ea3bced19","colspan":2,"background":"#44b3e1"},"content":[{"type":"paragraph","content":[{"type":"text","text":"Footwear","marks":[{"type":"strong"}]}],"attrs":{"localId":"d69c1a6425d4"}}]},{"type":"tableCell","attrs":{"localId":"f82c89d725e2","colspan":2,"background":"#44b3e1"},"content":[{"type":"paragraph","content":[{"type":"text","text":"Men's Apparel","marks":[{"type":"strong"}]}],"attrs":{"localId":"5f51c716a14e"}}]},{"type":"tableCell","attrs":{"localId":"8eba4175e129","colspan":2,"background":"#44b3e1"},"content":[{"type":"paragraph","content":[{"type":"text","text":"Kid's Apparel","marks":[{"type":"strong"}]}],"attrs":{"localId":"fa8439427d6c"}}]},{"type":"tableCell","attrs":{"localId":"5f56229c748a","colspan":2,"background":"#44b3e1"},"content":[{"type":"paragraph","content":[{"type":"text","text":"Women's Apparel","marks":[{"type":"strong"}]}],"attrs":{"localId":"851efb37aa6d"}}]}]},{"type":"tableRow","attrs":{"localId":"3da89eaf92c4"},"content":[{"type":"tableCell","attrs":{"localId":"45babfc43116","background":"#ace5fe"},"content":[{"type":"paragraph","content":[{"type":"text","text":"Particulars","marks":[{"type":"strong"}]}],"attrs":{"localId":"74279145963a"}}]},{"type":"tableCell","attrs":{"localId":"3b7d275a33f1","background":"#ace5fe"},"content":[{"type":"paragraph","content":[{"type":"text","text":"SKU Count","marks":[{"type":"strong"}]}],"attrs":{"localId":"0ddb4272cbfa"}}]},{"type":"tableCell","attrs":{"localId":"120965bc518e","background":"#ace5fe"},"content":[{"type":"paragraph","content":[{"type":"text","text":"Option Count","marks":[{"type":"strong"}]}],"attrs":{"localId":"c3b27d24226b"}}]},{"type":"tableCell","attrs":{"localId":"6237d67ba53f","background":"#ace5fe"},"content":[{"type":"paragraph","content":[{"type":"text","text":"SKU Count","marks":[{"type":"strong"}]}],"attrs":{"localId":"c8fc493d6b50"}}]},{"type":"tableCell","attrs":{"localId":"c074589a66a1","background":"#ace5fe"},"content":[{"type":"paragraph","content":[{"type":"text","text":"Option Count","marks":[{"type":"strong"}]}],"attrs":{"localId":"c8d79ca36167"}}]},{"type":"tableCell","attrs":{"localId":"e41d611b2602","background":"#94dcf8"},"content":[{"type":"paragraph","content":[{"type":"text","text":"SKU Count","marks":[{"type":"strong"}]}],"attrs":{"localId":"84cba1992648"}}]},{"type":"tableCell","attrs":{"localId":"507ac2058f03","background":"#94dcf8"},"content":[{"type":"paragraph","content":[{"type":"text","text":"Option Count","marks":[{"type":"strong"}]}],"attrs":{"localId":"2a14566f2406"}}]},{"type":"tableCell","attrs":{"localId":"7d94311142ea","background":"#94dcf8"},"content":[{"type":"paragraph","content":[{"type":"text","text":"SKU Count","marks":[{"type":"strong"}]}],"attrs":{"localId":"8af24f93aaad"}}]},{"type":"tableCell","attrs":{"localId":"d9a8c018ace9","background":"#94dcf8"},"content":[{"type":"paragraph","content":[{"type":"text","text":"Option Count","marks":[{"type":"strong"}]}],"attrs":{"localId":"05fac0de5c46"}}]},{"type":"tableCell","attrs":{"localId":"b4357cd254db","background":"#94dcf8"},"content":[{"type":"paragraph","content":[{"type":"text","text":"SKU Count","marks":[{"type":"strong"}]}],"attrs":{"localId":"55d64b4adf9f"}}]},{"type":"tableCell","attrs":{"localId":"1542f4865c4c","background":"#94dcf8"},"content":[{"type":"paragraph","content":[{"type":"text","text":"Option Count","marks":[{"type":"strong"}]}],"attrs":{"localId":"a6e61d6bef3c"}}]}]},{"type":"tableRow","attrs":{"localId":"74354c074171"},"content":[{"type":"tableCell","attrs":{"localId":"4ed2350c18cc","background":"white"},"content":[{"type":"paragraph","content":[{"type":"text","text":"Received"}],"attrs":{"localId":"0624256d3fd0"}}]},{"type":"tableCell","attrs":{"localId":"619f2138fef9","background":"white"},"content":[{"type":"paragraph","content":[{"type":"text","text":"33"}],"attrs":{"localId":"77e6b5e93638"}}]},{"type":"tableCell","attrs":{"localId":"3e442bb0bcd4","background":"white"},"content":[{"type":"paragraph","content":[{"type":"text","text":"27"}],"attrs":{"localId":"78c55e2211ff"}}]},{"type":"tableCell","attrs":{"localId":"88fc8e5e2204","background":"white"},"content":[{"type":"paragraph","content":[{"type":"text","text":"162"}],"attrs":{"localId":"0757d0b01a85"}}]},{"type":"tableCell","attrs":{"localId":"44543c564dca","background":"white"},"content":[{"type":"paragraph","content":[{"type":"text","text":"27"}],"attrs":{"localId":"7d1b4f5c297b"}}]},{"type":"tableCell","attrs":{"localId":"ba1eb7a32dca"},"content":[{"type":"paragraph","content":[{"type":"text","text":"34"}],"attrs":{"localId":"5e7ecd1a30a1"}}]},{"type":"tableCell","attrs":{"localId":"2d96185f17c8"},"content":[{"type":"paragraph","content":[{"type":"text","text":"7"}],"attrs":{"localId":"e5d27a0415b8"}}]},{"type":"tableCell","attrs":{"localId":"e6236a413d76"},"content":[{"type":"paragraph","content":[{"type":"text","text":"154"}],"attrs":{"localId":"7df0dd1bd125"}}]},{"type":"tableCell","attrs":{"localId":"f77793e518f3"},"content":[{"type":"paragraph","content":[{"type":"text","text":"32"}],"attrs":{"localId":"8ebcf9bf5d89"}}]},{"type":"tableCell","attrs":{"localId":"536a8abe1635"},"content":[{"type":"paragraph","content":[{"type":"text","text":"140"}],"attrs":{"localId":"a064262b10b1"}}]},{"type":"tableCell","attrs":{"localId":"a3667886a526"},"content":[{"type":"paragraph","content":[{"type":"text","text":"27"}],"attrs":{"localId":"ab94dfbff136"}}]}]},{"type":"tableRow","attrs":{"localId":"66a475af6947"},"content":[{"type":"tableCell","attrs":{"localId":"891461528cbc","background":"white"},"content":[{"type":"paragraph","content":[{"type":"text","text":"Uploaded"}],"attrs":{"localId":"b530b3ec9ea4"}}]},{"type":"tableCell","attrs":{"localId":"dfcacec2634e","background":"white"},"content":[{"type":"paragraph","content":[{"type":"text","text":"33"}],"attrs":{"localId":"13d6b601d020"}}]},{"type":"tableCell","attrs":{"localId":"7d029d21b4b7","background":"white"},"content":[{"type":"paragraph","content":[{"type":"text","text":"27"}],"attrs":{"localId":"ba8f10fb2cfa"}}]},{"type":"tableCell","attrs":{"localId":"0beb2ebb90b5","background":"white"},"content":[{"type":"paragraph","content":[{"type":"text","text":"162"}],"attrs":{"localId":"a68bc4084581"}}]},{"type":"tableCell","attrs":{"localId":"162504b66cb7","background":"white"},"content":[{"type":"paragraph","content":[{"type":"text","text":"27"}],"attrs":{"localId":"f8dc0eff18a7"}}]},{"type":"tableCell","attrs":{"localId":"077b9673971c"},"content":[{"type":"paragraph","content":[{"type":"text","text":"34"}],"attrs":{"localId":"258c32a8552c"}}]},{"type":"tableCell","attrs":{"localId":"864326ea5f06"},"content":[{"type":"paragraph","content":[{"type":"text","text":"7"}],"attrs":{"localId":"70ff74ca1546"}}]},{"type":"tableCell","attrs":{"localId":"9a54c6792afb"},"content":[{"type":"paragraph","content":[{"type":"text","text":"154"}],"attrs":{"localId":"2c82dd93abe0"}}]},{"type":"tableCell","attrs":{"localId":"48cfb872b382"},"content":[{"type":"paragraph","content":[{"type":"text","text":"32"}],"attrs":{"localId":"d5d54b7b7af8"}}]},{"type":"tableCell","attrs":{"localId":"f75d89572c5c"},"content":[{"type":"paragraph","content":[{"type":"text","text":"138"}],"attrs":{"localId":"340a1dbe0913"}}]},{"type":"tableCell","attrs":{"localId":"8f0c48f065da"},"content":[{"type":"paragraph","content":[{"type":"text","text":"26"}],"attrs":{"localId":"3fed61ac19c1"}}]}]},{"type":"tableRow","attrs":{"localId":"0ca5bf0ce027"},"content":[{"type":"tableCell","attrs":{"localId":"28307423ddbc","background":"white"},"content":[{"type":"paragraph","content":[{"type":"text","text":"SKUs Not Uploaded"}],"attrs":{"localId":"be835c299524"}}]},{"type":"tableCell","attrs":{"localId":"9c1052d30a56","background":"white"},"content":[{"type":"paragraph","content":[{"type":"text","text":"0"}],"attrs":{"localId":"179f2f42d5e3"}}]},{"type":"tableCell","attrs":{"localId":"7e9c3be07f7d","background":"white"},"content":[{"type":"paragraph","content":[{"type":"text","text":"0"}],"attrs":{"localId":"c5e06970f86c"}}]},{"type":"tableCell","attrs":{"localId":"2232becd7413","background":"white"},"content":[{"type":"paragraph","content":[{"type":"text","text":"0"}],"attrs":{"localId":"97d2805f628a"}}]},{"type":"tableCell","attrs":{"localId":"cd67de984a49","background":"white"},"content":[{"type":"paragraph","content":[{"type":"text","text":"0"}],"attrs":{"localId":"d78b454c98f2"}}]},{"type":"tableCell","attrs":{"localId":"736485aead99"},"content":[{"type":"paragraph","content":[{"type":"text","text":"0"}],"attrs":{"localId":"7f391e7ba48f"}}]},{"type":"tableCell","attrs":{"localId":"ffa153f1a163"},"content":[{"type":"paragraph","content":[{"type":"text","text":"0"}],"attrs":{"localId":"66b7f53f9ae4"}}]},{"type":"tableCell","attrs":{"localId":"2772421bee75"},"content":[{"type":"paragraph","content":[{"type":"text","text":"0"}],"attrs":{"localId":"9be370d99160"}}]},{"type":"tableCell","attrs":{"localId":"3c6f2f2570bb"},"content":[{"type":"paragraph","content":[{"type":"text","text":"0"}],"attrs":{"localId":"0805a4001d82"}}]},{"type":"tableCell","attrs":{"localId":"6ef89ad88151"},"content":[{"type":"paragraph","content":[{"type":"text","text":"2"}],"attrs":{"localId":"3b85512824a6"}}]},{"type":"tableCell","attrs":{"localId":"4464eb77e676"},"content":[{"type":"paragraph","content":[{"type":"text","text":"1"}],"attrs":{"localId":"47b6886a3649"}}]}]},{"type":"tableRow","attrs":{"localId":"6fa2afd5e88c"},"content":[{"type":"tableCell","attrs":{"localId":"9974073f2def","background":"white"},"content":[{"type":"paragraph","content":[{"type":"text","text":"LIDs Shared"}],"attrs":{"localId":"02d84e381cc6"}}]},{"type":"tableCell","attrs":{"localId":"7a82db346117","background":"white"},"content":[{"type":"paragraph","content":[{"type":"text","text":"33"}],"attrs":{"localId":"8d3c3ce497dd"}}]},{"type":"tableCell","attrs":{"localId":"c91e82ae7fdc","background":"white"},"content":[{"type":"paragraph","content":[{"type":"text","text":"27"}],"attrs":{"localId":"1be8942f31a3"}}]},{"type":"tableCell","attrs":{"localId":"f688af91003a","background":"white"},"content":[{"type":"paragraph","content":[{"type":"text","text":"162"}],"attrs":{"localId":"5be00845f9e9"}}]},{"type":"tableCell","attrs":{"localId":"b8cc2dda092d","background":"white"},"content":[{"type":"paragraph","content":[{"type":"text","text":"27"}],"attrs":{"localId":"8baf5d616c3d"}}]},{"type":"tableCell","attrs":{"localId":"e0997c9fa96a"},"content":[{"type":"paragraph","content":[{"type":"text","text":"34"}],"attrs":{"localId":"b36a87035647"}}]},{"type":"tableCell","attrs":{"localId":"655a9c67d579"},"content":[{"type":"paragraph","content":[{"type":"text","text":"7"}],"attrs":{"localId":"f4b92948bd69"}}]},{"type":"tableCell","attrs":{"localId":"8343d3d0d463"},"content":[{"type":"paragraph","content":[{"type":"text","text":"154"}],"attrs":{"localId":"4b56b31e721f"}}]},{"type":"tableCell","attrs":{"localId":"9a2bcb7b15dd"},"content":[{"type":"paragraph","content":[{"type":"text","text":"32"}],"attrs":{"localId":"b2eea0e75626"}}]},{"type":"tableCell","attrs":{"localId":"e2141c4441c0"},"content":[{"type":"paragraph","content":[{"type":"text","text":"138"}],"attrs":{"localId":"315c113d1324"}}]},{"type":"tableCell","attrs":{"localId":"bc17e7bb532d"},"content":[{"type":"paragraph","content":[{"type":"text","text":"26"}],"attrs":{"localId":"c270aa37032b"}}]}]},{"type":"tableRow","attrs":{"localId":"5926bc0ab721"},"content":[{"type":"tableCell","attrs":{"localId":"994b3227f10d","background":"white"},"content":[{"type":"paragraph","content":[{"type":"text","text":"LIDs Stuck in the System"}],"attrs":{"localId":"94f22627f9e6"}}]},{"type":"tableCell","attrs":{"localId":"0f7170b59ab3","background":"white"},"content":[{"type":"paragraph","content":[{"type":"text","text":"0"}],"attrs":{"localId":"0b903c39e854"}}]},{"type":"tableCell","attrs":{"localId":"9c5fad4db7df","background":"white"},"content":[{"type":"paragraph","content":[{"type":"text","text":"0"}],"attrs":{"localId":"47b4a74c18ee"}}]},{"type":"tableCell","attrs":{"localId":"2e1ef827da64"},"content":[{"type":"paragraph","content":[{"type":"text","text":"0"}],"attrs":{"localId":"7208f8c15e25"}}]},{"type":"tableCell","attrs":{"localId":"2b0addd512c0","background":"white"},"content":[{"type":"paragraph","content":[{"type":"text","text":"0"}],"attrs":{"localId":"3bd0ad722be0"}}]},{"type":"tableCell","attrs":{"localId":"0af2cac22356"},"content":[{"type":"paragraph","content":[{"type":"text","text":"0"}],"attrs":{"localId":"f5c2bd074d02"}}]},{"type":"tableCell","attrs":{"localId":"0a7c17834b7e"},"content":[{"type":"paragraph","content":[{"type":"text","text":"0"}],"attrs":{"localId":"25ca8e92c210"}}]},{"type":"tableCell","attrs":{"localId":"f7c3c475a309"},"content":[{"type":"paragraph","content":[{"type":"text","text":"0"}],"attrs":{"localId":"fdd3a6f142fd"}}]},{"type":"tableCell","attrs":{"localId":"795b20086ec5"},"content":[{"type":"paragraph","content":[{"type":"text","text":"0"}],"attrs":{"localId":"505c7c6cb708"}}]},{"type":"tableCell","attrs":{"localId":"fc581265a458"},"content":[{"type":"paragraph","content":[{"type":"text","text":"0"}],"attrs":{"localId":"f39055ba3456"}}]},{"type":"tableCell","attrs":{"localId":"1e17d3bd170c"},"content":[{"type":"paragraph","content":[{"type":"text","text":"0"}],"attrs":{"localId":"299e0f1dd044"}}]}]}]}
{adf}
With this, we are closing this request from our end.
Thank you for your patience, support, and cooperation throughout the process. Your brand is important to us, and we look forward to assisting you again.;[~accountid:633219bcfedc6169aed70039] 
!image-20260808-141811.png|width=460,alt="image-20260808-141811.png"!</t>
  </si>
  <si>
    <t>Date :08/04/2026  &lt;Ticket picked for pre processing SKU 1&gt; &lt;Tania&gt; Date :08/04/2026 &lt;Ticket picked for Production and QC review SKU 1&gt; &lt;Tania&gt;;[^UCW-35491 Summary.zip]
We have successfully uploaded this batch. Please find the attached summary sheet and summary report.[^UCW-35491_Post Upload Status.xlsx] ;Date :08/05/2026 &lt;Ticket has been successfully uploaded in our system. SKU 1&gt; &lt;Tania&gt;;[^UCW-35491_Post Upload Status (acf93e76-14a6-4699-a818-563f4779820e).xlsx]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97ea893c-ed30-44da-b1fe-e40804c397a5"},"content":[{"type":"tableRow","attrs":{"localId":"bbe7cade047f"},"content":[{"type":"tableCell","attrs":{"localId":"3fa429f9821b","background":"#44b3e1"},"content":[{"type":"paragraph","content":[{"type":"text","text":"Ticket ID","marks":[{"type":"strong"}]}],"attrs":{"localId":"55ef56244806"}}]},{"type":"tableCell","attrs":{"localId":"2c7c1e9d8355","colspan":2,"background":"#44b3e1"},"content":[{"type":"paragraph","content":[{"type":"text","text":"UCW-35491","marks":[{"type":"strong"}]}],"attrs":{"localId":"5ec65e253a00"}}]}]},{"type":"tableRow","attrs":{"localId":"793e317a0d8a"},"content":[{"type":"tableCell","attrs":{"localId":"e1ff96a0eb1f","background":"#44b3e1"},"content":[{"type":"paragraph","content":[{"type":"text","text":"Brand Name","marks":[{"type":"strong"}]}],"attrs":{"localId":"7c0336a6e8fd"}}]},{"type":"tableCell","attrs":{"localId":"5cbe819c6543","colspan":2,"background":"#44b3e1"},"content":[{"type":"paragraph","content":[{"type":"text","text":"Khadlaj","marks":[{"type":"strong"}]}],"attrs":{"localId":"db565acc4cc4"}}]}]},{"type":"tableRow","attrs":{"localId":"02dc16f97d17"},"content":[{"type":"tableCell","attrs":{"localId":"d25875978ad0","background":"#ace5fe"},"content":[{"type":"paragraph","content":[{"type":"text","text":"Platform","marks":[{"type":"strong"}]}],"attrs":{"localId":"427bad1e39ae"}}]},{"type":"tableCell","attrs":{"localId":"01fe39f7b9a8","colspan":2,"background":"#ace5fe"},"content":[{"type":"paragraph","content":[{"type":"text","text":"Mall","marks":[{"type":"strong"}]}],"attrs":{"localId":"6c060bc262a2"}}]}]},{"type":"tableRow","attrs":{"localId":"d55dfe8998f2"},"content":[{"type":"tableCell","attrs":{"localId":"61384d649539","background":"#ace5fe"},"content":[{"type":"paragraph","content":[{"type":"text","text":"Particulars","marks":[{"type":"strong"}]}],"attrs":{"localId":"119b58594502"}}]},{"type":"tableCell","attrs":{"localId":"ec9efccd7911","background":"#ace5fe"},"content":[{"type":"paragraph","content":[{"type":"text","text":"SKU Count","marks":[{"type":"strong"}]}],"attrs":{"localId":"5f26cabf049a"}}]},{"type":"tableCell","attrs":{"localId":"fbc3462aa59d","background":"#ace5fe"},"content":[{"type":"paragraph","content":[{"type":"text","text":"Option Count","marks":[{"type":"strong"}]}],"attrs":{"localId":"8fe179d2d2e9"}}]}]},{"type":"tableRow","attrs":{"localId":"1d19cae93226"},"content":[{"type":"tableCell","attrs":{"localId":"82478d0a8c4e","background":"white"},"content":[{"type":"paragraph","content":[{"type":"text","text":"Received"}],"attrs":{"localId":"10eb555d2d75"}}]},{"type":"tableCell","attrs":{"localId":"6593bca4a553"},"content":[{"type":"paragraph","content":[{"type":"text","text":"1"}],"attrs":{"localId":"19db3df5e7c8"}}]},{"type":"tableCell","attrs":{"localId":"ab008c7e0aaa"},"content":[{"type":"paragraph","content":[{"type":"text","text":"1"}],"attrs":{"localId":"9ea3fe1fe0c5"}}]}]},{"type":"tableRow","attrs":{"localId":"160310e391a6"},"content":[{"type":"tableCell","attrs":{"localId":"acfd0b5bc0d9","background":"white"},"content":[{"type":"paragraph","content":[{"type":"text","text":"Uploaded"}],"attrs":{"localId":"140213945967"}}]},{"type":"tableCell","attrs":{"localId":"61c67ae31172"},"content":[{"type":"paragraph","content":[{"type":"text","text":"1"}],"attrs":{"localId":"9f82921fd6f3"}}]},{"type":"tableCell","attrs":{"localId":"b2558dd5934d"},"content":[{"type":"paragraph","content":[{"type":"text","text":"1"}],"attrs":{"localId":"c45227af445a"}}]}]},{"type":"tableRow","attrs":{"localId":"d2f002367edf"},"content":[{"type":"tableCell","attrs":{"localId":"18ac4eb4f796","background":"white"},"content":[{"type":"paragraph","content":[{"type":"text","text":"LIDs Shared"}],"attrs":{"localId":"10b4a2f41950"}}]},{"type":"tableCell","attrs":{"localId":"2835c0ba7882"},"content":[{"type":"paragraph","content":[{"type":"text","text":"1"}],"attrs":{"localId":"469673334b48"}}]},{"type":"tableCell","attrs":{"localId":"ab3537a996dc"},"content":[{"type":"paragraph","content":[{"type":"text","text":"1"}],"attrs":{"localId":"3723be32639b"}}]}]},{"type":"tableRow","attrs":{"localId":"eaf34738cb9a"},"content":[{"type":"tableCell","attrs":{"localId":"1d1462d4dd49","background":"white"},"content":[{"type":"paragraph","content":[{"type":"text","text":"LIDs Stuck in the System"}],"attrs":{"localId":"4e181f58d042"}}]},{"type":"tableCell","attrs":{"localId":"fdc6e7d92289"},"content":[{"type":"paragraph","content":[{"type":"text","text":"0"}],"attrs":{"localId":"0dee9dd61190"}}]},{"type":"tableCell","attrs":{"localId":"aaae3f7f12a6"},"content":[{"type":"paragraph","content":[{"type":"text","text":"0"}],"attrs":{"localId":"0c080834238b"}}]}]}]}
{adf}
With this, we are closing this request from our end.
Thank you for your patience, support, and cooperation throughout the process. Your brand is important to us, and we look forward to assisting you again.</t>
  </si>
  <si>
    <t>Date :08/04/2026 &lt;Ticket picked for pre processing Option 7 Sku 7&gt; &lt;Rupa&gt;;[^Status Of UCW-35489.xlsx]
[^Summary (89eab964-f09d-432a-8e33-059748397f21).zip]
We have Updated the changes and also attached the summary file. Once the Changes are successfully reflected, we will let you know
For This LID MP000000010310574 the SKU 3414202011769
is already in listed status;Date :08/05/2026&lt;Ticket has been successfully uploaded in our system. Option 6 Sku 6&gt; &lt;Rupa&gt;;!Screenshot 2026-08-06 123636.png|width=483,alt="Screenshot 2026-08-06 123636.png"!
!Screenshot 2026-08-06 123742.png|width=483,alt="Screenshot 2026-08-06 123742.png"!
!Screenshot 2026-08-06 123726.png|width=483,alt="Screenshot 2026-08-06 123726.png"!
!Screenshot 2026-08-06 123716.png|width=483,alt="Screenshot 2026-08-06 123716.png"!
!Screenshot 2026-08-06 123704.png|width=483,alt="Screenshot 2026-08-06 123704.png"!
!Screenshot 2026-08-06 123654.png|width=483,alt="Screenshot 2026-08-06 123654.png"!
[^Status Of UCW-35489 (d99adbb5-7cd4-478e-9a51-a429e326a8f0).xlsx]
The Changes have been successfully reflected and the new LID is Shared . Please find the attached screenshots and Sheet for your reference. As of now, we are closing the ticket. If there are any further concerns, please let us know. </t>
  </si>
  <si>
    <t>Date :08/04/2026 &lt;Ticket picked for pre processing Option 3 Sku 3&gt; &lt;Rupa&gt;;Date :08/04/2026&lt;Pre Processing query to Brand &lt;image issue&gt;&gt; &lt;Rupa&gt; ;Date :08/05/2026 &lt;Ticket picked for pre processing Option 3 Sku 3&gt; &lt;Rupa&gt;;Date :08/06/2026&lt;Pre Processing query to Brand &lt;Sku related issue&gt;&gt; &lt;Rupa&gt;;Date :08/07/2026 &lt;Ticket picked for pre processing Option 3 Sku 3&gt; &lt;Rupa&gt;</t>
  </si>
  <si>
    <t>Cotton Culture</t>
  </si>
  <si>
    <t>Date :08/04/2026 &lt;Ticket picked for pre processing Option 21 Sku 128&gt; &lt;Sanjana&gt;;Date :08/05/2026  &lt;Pre Processing query to Brand &lt;Image Query&gt;&gt; &lt;Anwesha Mondal &gt; ;Date :08/05/2026 &lt;Ticket has been successfully uploaded in our system. Option 19 Sku 116&gt; &lt;Anwesha Mondal&gt;
[^Post Upload Status_UCW-35485.xlsx]
[^Summary.zip]
;[^Post Upload Status_UCW-35485 (03a78e8d-24db-400e-9c63-f4fd99f60542).xlsx]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129623ad-6b64-4b73-b12f-999c84f878fe"},"content":[{"type":"tableRow","attrs":{"localId":"cd330474dd01"},"content":[{"type":"tableCell","attrs":{"localId":"e1b441b28449","background":"#44b3e1"},"content":[{"type":"paragraph","content":[{"type":"text","text":"Ticket ID","marks":[{"type":"strong"}]}],"attrs":{"localId":"e07180f3e09d"}}]},{"type":"tableCell","attrs":{"localId":"8818f85a1afc","colspan":2,"background":"#44b3e1"},"content":[{"type":"paragraph","content":[{"type":"text","text":"UCW-35485","marks":[{"type":"strong"}]}],"attrs":{"localId":"6cc42a169081"}}]}]},{"type":"tableRow","attrs":{"localId":"339d2f2a7a5c"},"content":[{"type":"tableCell","attrs":{"localId":"7653cdf140b9","background":"#44b3e1"},"content":[{"type":"paragraph","content":[{"type":"text","text":"Brand Name","marks":[{"type":"strong"}]}],"attrs":{"localId":"4643ec5d037b"}}]},{"type":"tableCell","attrs":{"localId":"548b13532b4e","colspan":2,"background":"#44b3e1"},"content":[{"type":"paragraph","content":[{"type":"text","text":"Cotton Culture","marks":[{"type":"strong"}]}],"attrs":{"localId":"3a57e1cde39a"}}]}]},{"type":"tableRow","attrs":{"localId":"8cb72a54b74b"},"content":[{"type":"tableCell","attrs":{"localId":"724cee7f8c33","background":"#ace5fe"},"content":[{"type":"paragraph","content":[{"type":"text","text":"Platform","marks":[{"type":"strong"}]}],"attrs":{"localId":"f71aecd51e12"}}]},{"type":"tableCell","attrs":{"localId":"8123039b26f1","colspan":2,"background":"#ace5fe"},"content":[{"type":"paragraph","content":[{"type":"text","text":"Mall","marks":[{"type":"strong"}]}],"attrs":{"localId":"001bc7b7a9d9"}}]}]},{"type":"tableRow","attrs":{"localId":"8bb71483792d"},"content":[{"type":"tableCell","attrs":{"localId":"428874564d90","background":"#ace5fe"},"content":[{"type":"paragraph","content":[{"type":"text","text":"Particulars","marks":[{"type":"strong"}]}],"attrs":{"localId":"15cb0f5010d4"}}]},{"type":"tableCell","attrs":{"localId":"a1d5069c1352","background":"#ace5fe"},"content":[{"type":"paragraph","content":[{"type":"text","text":"SKU Count","marks":[{"type":"strong"}]}],"attrs":{"localId":"f3b8e0c0a943"}}]},{"type":"tableCell","attrs":{"localId":"6fbf7b7ca499","background":"#ace5fe"},"content":[{"type":"paragraph","content":[{"type":"text","text":"Option Count","marks":[{"type":"strong"}]}],"attrs":{"localId":"b38e30d4fdee"}}]}]},{"type":"tableRow","attrs":{"localId":"6acef13fb26c"},"content":[{"type":"tableCell","attrs":{"localId":"3abee577fd8a","background":"white"},"content":[{"type":"paragraph","content":[{"type":"text","text":"Received"}],"attrs":{"localId":"f4257c7dd166"}}]},{"type":"tableCell","attrs":{"localId":"63ecb4b1afce"},"content":[{"type":"paragraph","content":[{"type":"text","text":"128"}],"attrs":{"localId":"a87562909b63"}}]},{"type":"tableCell","attrs":{"localId":"d471ef5b1093"},"content":[{"type":"paragraph","content":[{"type":"text","text":"21"}],"attrs":{"localId":"e40f392e5e3b"}}]}]},{"type":"tableRow","attrs":{"localId":"19c522135ac0"},"content":[{"type":"tableCell","attrs":{"localId":"c82946202267","background":"white"},"content":[{"type":"paragraph","content":[{"type":"text","text":"Uploaded"}],"attrs":{"localId":"59563581bcdc"}}]},{"type":"tableCell","attrs":{"localId":"c60efefe4818"},"content":[{"type":"paragraph","content":[{"type":"text","text":"116"}],"attrs":{"localId":"a8ff9fb8ad96"}}]},{"type":"tableCell","attrs":{"localId":"f9db7a36c284"},"content":[{"type":"paragraph","content":[{"type":"text","text":"19"}],"attrs":{"localId":"037da6f416f1"}}]}]},{"type":"tableRow","attrs":{"localId":"03d5c4a7b086"},"content":[{"type":"tableCell","attrs":{"localId":"778646a8ac54","background":"white"},"content":[{"type":"paragraph","content":[{"type":"text","text":"Already Listed"}],"attrs":{"localId":"a9e38b23e5e9"}}]},{"type":"tableCell","attrs":{"localId":"c61ebb885168"},"content":[{"type":"paragraph","content":[{"type":"text","text":"6"}],"attrs":{"localId":"85b9c5cc6e52"}}]},{"type":"tableCell","attrs":{"localId":"8d5d867a8912"},"content":[{"type":"paragraph","content":[{"type":"text","text":"1"}],"attrs":{"localId":"a63503ee4d90"}}]}]},{"type":"tableRow","attrs":{"localId":"9cf7da8d97ed"},"content":[{"type":"tableCell","attrs":{"localId":"5eacbb59dc0c","background":"white"},"content":[{"type":"paragraph","content":[{"type":"text","text":"SKUs Not Uploaded"}],"attrs":{"localId":"e52cab02285d"}}]},{"type":"tableCell","attrs":{"localId":"ff2f04a56d8b"},"content":[{"type":"paragraph","content":[{"type":"text","text":"6"}],"attrs":{"localId":"2ba6300b1c69"}}]},{"type":"tableCell","attrs":{"localId":"e378f36e8d48"},"content":[{"type":"paragraph","content":[{"type":"text","text":"1"}],"attrs":{"localId":"5211be331979"}}]}]},{"type":"tableRow","attrs":{"localId":"809a41aa60a9"},"content":[{"type":"tableCell","attrs":{"localId":"4d62e9e9a3b4","background":"white"},"content":[{"type":"paragraph","content":[{"type":"text","text":"LIDs Shared"}],"attrs":{"localId":"5a8abf4ab453"}}]},{"type":"tableCell","attrs":{"localId":"eadf022373c6"},"content":[{"type":"paragraph","content":[{"type":"text","text":"116"}],"attrs":{"localId":"efbefb1aa162"}}]},{"type":"tableCell","attrs":{"localId":"fcbb762a57e9"},"content":[{"type":"paragraph","content":[{"type":"text","text":"19"}],"attrs":{"localId":"676bba7e0068"}}]}]},{"type":"tableRow","attrs":{"localId":"9fb630cde7b3"},"content":[{"type":"tableCell","attrs":{"localId":"f4726691c1eb","background":"white"},"content":[{"type":"paragraph","content":[{"type":"text","text":"LIDs Stuck in the System"}],"attrs":{"localId":"f3dea6b87758"}}]},{"type":"tableCell","attrs":{"localId":"5d8071b52ef9"},"content":[{"type":"paragraph","content":[{"type":"text","text":"0"}],"attrs":{"localId":"88c97679cabd"}}]},{"type":"tableCell","attrs":{"localId":"7bfc7ef72561"},"content":[{"type":"paragraph","content":[{"type":"text","text":"0"}],"attrs":{"localId":"54a5b09abccc"}}]}]}]}
{adf}
*Note: 6 SKUs were not uploaded due to the back view image being missing.*
With this, we are closing this request from our end.
Thank you for your patience, support, and cooperation throughout the process. Your brand is important to us, and we look forward to assisting you again."</t>
  </si>
  <si>
    <t>Bags &amp; Wallets</t>
  </si>
  <si>
    <t>Date :08/03/2026 &lt;Ticket picked for pre processing Option: 80 SKU: 80&gt; &lt;Sanjana Ghosh&gt;;Date :08/05/2026 &lt;Pre Processing query to Brand &lt;EAN/UPC and Packer details missing&gt; &lt;Sanjana Ghosh&gt; ;Date :08/07/2026 &lt;Ticket has been successfully uploaded in our system. Option: 80 SKU: 80&gt; &lt;Sanjana Ghosh&gt;
PFA the post upload status and summary file: [^Summary.zip] [^UCW-35481 - Post Upload Status .xlsx] ;[^UCW-35481.xlsx]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d3fbfc8-a934-44ef-b26b-52e30fdf6b12"},"content":[{"type":"tableRow","attrs":{"localId":"fc3acbf0c178"},"content":[{"type":"tableCell","attrs":{"localId":"db24c83d7cbe","background":"#44b3e1"},"content":[{"type":"paragraph","content":[{"type":"text","text":"Ticket ID","marks":[{"type":"strong"}]}],"attrs":{"localId":"ffcdb15f8067"}}]},{"type":"tableCell","attrs":{"localId":"c172871cc38d","colspan":2,"background":"#44b3e1"},"content":[{"type":"paragraph","content":[{"type":"text","text":"UCW-35481","marks":[{"type":"strong"}]}],"attrs":{"localId":"a3b13ebfbdf5"}}]}]},{"type":"tableRow","attrs":{"localId":"44dc1d812505"},"content":[{"type":"tableCell","attrs":{"localId":"36019424c85f","background":"#44b3e1"},"content":[{"type":"paragraph","content":[{"type":"text","text":"Brand Name","marks":[{"type":"strong"}]}],"attrs":{"localId":"ccc8c3d7fd7d"}}]},{"type":"tableCell","attrs":{"localId":"4e9ca5d2d481","colspan":2,"background":"#44b3e1"},"content":[{"type":"paragraph","content":[{"type":"text","text":"Inc.5","marks":[{"type":"strong"}]}],"attrs":{"localId":"9326daaca761"}}]}]},{"type":"tableRow","attrs":{"localId":"b01271705374"},"content":[{"type":"tableCell","attrs":{"localId":"feaa5d63859c","background":"#ace5fe"},"content":[{"type":"paragraph","content":[{"type":"text","text":"Platform","marks":[{"type":"strong"}]}],"attrs":{"localId":"e535a49c6b35"}}]},{"type":"tableCell","attrs":{"localId":"8024ac373336","colspan":2,"background":"#ace5fe"},"content":[{"type":"paragraph","content":[{"type":"text","text":"Mall","marks":[{"type":"strong"}]}],"attrs":{"localId":"b06432c9c82a"}}]}]},{"type":"tableRow","attrs":{"localId":"9f0957aee412"},"content":[{"type":"tableCell","attrs":{"localId":"00da1e0f50b7","background":"#ace5fe"},"content":[{"type":"paragraph","content":[{"type":"text","text":"Particulars","marks":[{"type":"strong"}]}],"attrs":{"localId":"70f514fec4d6"}}]},{"type":"tableCell","attrs":{"localId":"86205fdb2b4c","background":"#ace5fe"},"content":[{"type":"paragraph","content":[{"type":"text","text":"SKU Count","marks":[{"type":"strong"}]}],"attrs":{"localId":"a8aac8b1dced"}}]},{"type":"tableCell","attrs":{"localId":"fd0509d66b88","background":"#ace5fe"},"content":[{"type":"paragraph","content":[{"type":"text","text":"Option Count","marks":[{"type":"strong"}]}],"attrs":{"localId":"d80b4c87fec5"}}]}]},{"type":"tableRow","attrs":{"localId":"abf406418908"},"content":[{"type":"tableCell","attrs":{"localId":"26f70e957774","background":"white"},"content":[{"type":"paragraph","content":[{"type":"text","text":"Received"}],"attrs":{"localId":"2d2207523173"}}]},{"type":"tableCell","attrs":{"localId":"0acb35ef6d3c"},"content":[{"type":"paragraph","content":[{"type":"text","text":"80"}],"attrs":{"localId":"4dc00db32070"}}]},{"type":"tableCell","attrs":{"localId":"0a7ccf1db4e6"},"content":[{"type":"paragraph","content":[{"type":"text","text":"80"}],"attrs":{"localId":"1af8d8b66355"}}]}]},{"type":"tableRow","attrs":{"localId":"a2385ad45d07"},"content":[{"type":"tableCell","attrs":{"localId":"2e5f3699d18f","background":"white"},"content":[{"type":"paragraph","content":[{"type":"text","text":"Uploaded"}],"attrs":{"localId":"ac82612bc6ac"}}]},{"type":"tableCell","attrs":{"localId":"7f5b914bcc40"},"content":[{"type":"paragraph","content":[{"type":"text","text":"80"}],"attrs":{"localId":"e6b950fe6108"}}]},{"type":"tableCell","attrs":{"localId":"9831ee126327"},"content":[{"type":"paragraph","content":[{"type":"text","text":"80"}],"attrs":{"localId":"188f083d683b"}}]}]},{"type":"tableRow","attrs":{"localId":"6ef156735c6e"},"content":[{"type":"tableCell","attrs":{"localId":"d5680a7a7f83","background":"white"},"content":[{"type":"paragraph","content":[{"type":"text","text":"LIDs Shared"}],"attrs":{"localId":"9e8c2c4e568f"}}]},{"type":"tableCell","attrs":{"localId":"dbed26ef3981"},"content":[{"type":"paragraph","content":[{"type":"text","text":"80"}],"attrs":{"localId":"768df16739fe"}}]},{"type":"tableCell","attrs":{"localId":"067c561dc383"},"content":[{"type":"paragraph","content":[{"type":"text","text":"80"}],"attrs":{"localId":"0e863658de36"}}]}]},{"type":"tableRow","attrs":{"localId":"6c1e637f386d"},"content":[{"type":"tableCell","attrs":{"localId":"2360ae024fc5","background":"white"},"content":[{"type":"paragraph","content":[{"type":"text","text":"LIDs Stuck in the System"}],"attrs":{"localId":"a6e5496d322a"}}]},{"type":"tableCell","attrs":{"localId":"3a62232a074f"},"content":[{"type":"paragraph","content":[{"type":"text","text":"0"}],"attrs":{"localId":"3ae1c04a768d"}}]},{"type":"tableCell","attrs":{"localId":"6380ade6c879"},"content":[{"type":"paragraph","content":[{"type":"text","text":"0"}],"attrs":{"localId":"85309af92dad"}}]}]}]}
{adf}
With this, we are closing this request from our end.
Thank you for your patience, support, and cooperation throughout the process. Your brand is important to us, and we look forward to assisting you again.</t>
  </si>
  <si>
    <t>Date :08/04/2026 &lt;Ticket picked for pre processing Option 11 Sku 11&gt; &lt;Biplab&gt;;Date :08/04/2026  &lt;Ticket picked for pre processing SKU 11&gt; &lt;Tania&gt; Date :08/04/2026 &lt;Ticket picked for Production and QC review SKU 11&gt; &lt;Tania&gt;;We have successfully uploaded this batch. Please find the attached summary sheet and summary report. [^UCW-35474_Post Upload Status.xlsx] [^Sum.zip] ;Date :08/05/2026 &lt;Ticket has been successfully uploaded in our system. SKU 11&gt; &lt;Tania&gt;;[^UCW-35474 Summary.zip]
;[^UCW-35474_Post Upload Status (029da95a-7dc5-43ab-91b3-e63ca49985b3).xlsx]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d7f7a97-4a49-4bfa-8685-e0bc0bdff85f"},"content":[{"type":"tableRow","attrs":{"localId":"46fb6253e3c3"},"content":[{"type":"tableCell","attrs":{"localId":"6f0a6ddc64e2","background":"#44b3e1"},"content":[{"type":"paragraph","content":[{"type":"text","text":"Ticket ID","marks":[{"type":"strong"}]}],"attrs":{"localId":"05a2cde156a9"}}]},{"type":"tableCell","attrs":{"localId":"8e1dc1fd3de3","colspan":2,"background":"#44b3e1"},"content":[{"type":"paragraph","content":[{"type":"text","text":"UCW-35474","marks":[{"type":"strong"}]}],"attrs":{"localId":"7d6cb49ade24"}}]}]},{"type":"tableRow","attrs":{"localId":"393fd614e476"},"content":[{"type":"tableCell","attrs":{"localId":"b1aeac896a83","background":"#44b3e1"},"content":[{"type":"paragraph","content":[{"type":"text","text":"Brand Name","marks":[{"type":"strong"}]}],"attrs":{"localId":"9a4f0e6de6b3"}}]},{"type":"tableCell","attrs":{"localId":"b85a1b01d7e8","colspan":2,"background":"#44b3e1"},"content":[{"type":"paragraph","content":[{"type":"text","text":"Wella Professionals","marks":[{"type":"strong"}]}],"attrs":{"localId":"41afed30a569"}}]}]},{"type":"tableRow","attrs":{"localId":"d6401901e06e"},"content":[{"type":"tableCell","attrs":{"localId":"912c700b15f7","background":"#ace5fe"},"content":[{"type":"paragraph","content":[{"type":"text","text":"Platform","marks":[{"type":"strong"}]}],"attrs":{"localId":"5c96d61d11c6"}}]},{"type":"tableCell","attrs":{"localId":"c89b89456eca","colspan":2,"background":"#ace5fe"},"content":[{"type":"paragraph","content":[{"type":"text","text":"Mall + Luxury","marks":[{"type":"strong"}]}],"attrs":{"localId":"231b0992c126"}}]}]},{"type":"tableRow","attrs":{"localId":"b765dc8b3360"},"content":[{"type":"tableCell","attrs":{"localId":"691383fcca3c","background":"#ace5fe"},"content":[{"type":"paragraph","content":[{"type":"text","text":"Particulars","marks":[{"type":"strong"}]}],"attrs":{"localId":"090696bdfeb8"}}]},{"type":"tableCell","attrs":{"localId":"d9f0aba2a29f","background":"#ace5fe"},"content":[{"type":"paragraph","content":[{"type":"text","text":"SKU Count","marks":[{"type":"strong"}]}],"attrs":{"localId":"f75c3e59b26c"}}]},{"type":"tableCell","attrs":{"localId":"ba6c37872d87","background":"#ace5fe"},"content":[{"type":"paragraph","content":[{"type":"text","text":"Option Count","marks":[{"type":"strong"}]}],"attrs":{"localId":"5af7295fa8fe"}}]}]},{"type":"tableRow","attrs":{"localId":"c9c7ce355bb2"},"content":[{"type":"tableCell","attrs":{"localId":"9acc50fb0a32","background":"white"},"content":[{"type":"paragraph","content":[{"type":"text","text":"Received"}],"attrs":{"localId":"6d246eb4af7d"}}]},{"type":"tableCell","attrs":{"localId":"3d9efadef89e"},"content":[{"type":"paragraph","content":[{"type":"text","text":"11"}],"attrs":{"localId":"9f20e9681602"}}]},{"type":"tableCell","attrs":{"localId":"4fa7fa20e1f7"},"content":[{"type":"paragraph","content":[{"type":"text","text":"11"}],"attrs":{"localId":"f9c85fc05365"}}]}]},{"type":"tableRow","attrs":{"localId":"05bf987f601e"},"content":[{"type":"tableCell","attrs":{"localId":"e56af0baeab2","background":"white"},"content":[{"type":"paragraph","content":[{"type":"text","text":"Uploaded"}],"attrs":{"localId":"1273d464814b"}}]},{"type":"tableCell","attrs":{"localId":"02fc4214bebc"},"content":[{"type":"paragraph","content":[{"type":"text","text":"11"}],"attrs":{"localId":"00dcd5bc697a"}}]},{"type":"tableCell","attrs":{"localId":"ab9744587311"},"content":[{"type":"paragraph","content":[{"type":"text","text":"11"}],"attrs":{"localId":"7ab4ef9566c8"}}]}]},{"type":"tableRow","attrs":{"localId":"786802967e33"},"content":[{"type":"tableCell","attrs":{"localId":"3bf1371af3ce","background":"white"},"content":[{"type":"paragraph","content":[{"type":"text","text":"LIDs Shared"}],"attrs":{"localId":"de8259bb78a0"}}]},{"type":"tableCell","attrs":{"localId":"6ff04183f403"},"content":[{"type":"paragraph","content":[{"type":"text","text":"11"}],"attrs":{"localId":"debf40f10800"}}]},{"type":"tableCell","attrs":{"localId":"cad9862d370b"},"content":[{"type":"paragraph","content":[{"type":"text","text":"11"}],"attrs":{"localId":"c8d9dd41b304"}}]}]},{"type":"tableRow","attrs":{"localId":"a7bf15b25392"},"content":[{"type":"tableCell","attrs":{"localId":"aad847301bfd","background":"white"},"content":[{"type":"paragraph","content":[{"type":"text","text":"LIDs Stuck in the System"}],"attrs":{"localId":"25ca47d6ef6c"}}]},{"type":"tableCell","attrs":{"localId":"1ae35b044fa4"},"content":[{"type":"paragraph","content":[{"type":"text","text":"0"}],"attrs":{"localId":"37b97144ff48"}}]},{"type":"tableCell","attrs":{"localId":"30c545c5513b"},"content":[{"type":"paragraph","content":[{"type":"text","text":"0"}],"attrs":{"localId":"f85f82c6c7c1"}}]}]}]}
{adf}
With this, we are closing this request from our end.
Thank you for your patience, support, and cooperation throughout the process. Your brand is important to us, and we look forward to assisting you again.</t>
  </si>
  <si>
    <t>Laa Polki Stories</t>
  </si>
  <si>
    <t>Date : 3rd Aug,2026 Brand to query for Images QUery -Mousumi;Date : 4th Aug,2026 1st followup Done-Mousumi
Date : 4th Aug,2026 Pre-Processing Done( Brand to Query for Style Code, Asscation COde, Warranty Type,Chian Length, Warranty Time, Price Breakup On PDP &amp; Proce Breakup On Invoice,Purity)-Mousumi;Date : 5th Aug ,2026 Lead Time Query
Date : 5th Aug ,2026 A resolution has been received from the brand- Mousumi.
Date : 5th Aug ,2026 QC &amp; Uploaded WIP
Date : 5th Aug ,2026 Description Done-Khushnuma
Date : 5th Aug ,2026 Images Done;*Image deliver - Date :08/05/2026 &lt;Images Delivered Processed Options 25 Rejected Options 0&gt; &lt;Saswati Dey&gt;*;Date : 6th Aug ,2026 QC &amp; Uploaded Done-Mousumi
PFA the Summary &amp; Post-Uploaded Sheet[^Summary.zip] [^UCW-35470 Post Upload Status_V.2 (1).xlsx] 
;[^UCW-35470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80d79984-8215-4528-8ef7-5a5d9062d089"},"content":[{"type":"tableRow","attrs":{"localId":"ea5142e14400"},"content":[{"type":"tableCell","attrs":{"localId":"eed55c9006a5","background":"#44b3e1"},"content":[{"type":"paragraph","content":[{"type":"text","text":"Ticket ID","marks":[{"type":"strong"}]}],"attrs":{"localId":"d92f38951f08"}}]},{"type":"tableCell","attrs":{"localId":"918d1e2e6675","colspan":2,"background":"#44b3e1"},"content":[{"type":"paragraph","content":[{"type":"text","text":"UCW-35470","marks":[{"type":"strong"}]}],"attrs":{"localId":"49fdbb7752f0"}}]}]},{"type":"tableRow","attrs":{"localId":"9e29d19ee430"},"content":[{"type":"tableCell","attrs":{"localId":"6414df314259","background":"#44b3e1"},"content":[{"type":"paragraph","content":[{"type":"text","text":"Brand Name","marks":[{"type":"strong"}]}],"attrs":{"localId":"dce5c462da38"}}]},{"type":"tableCell","attrs":{"localId":"241e3eff3283","colspan":2,"background":"#44b3e1"},"content":[{"type":"paragraph","content":[{"type":"text","text":"Laa Polki Stories","marks":[{"type":"strong"}]}],"attrs":{"localId":"0fe9b514c08c"}}]}]},{"type":"tableRow","attrs":{"localId":"d21676441a7a"},"content":[{"type":"tableCell","attrs":{"localId":"b3a2f30dacee","background":"#ace5fe"},"content":[{"type":"paragraph","content":[{"type":"text","text":"Platform","marks":[{"type":"strong"}]}],"attrs":{"localId":"b05a64ac37fb"}}]},{"type":"tableCell","attrs":{"localId":"5401698173b6","colspan":2,"background":"#ace5fe"},"content":[{"type":"paragraph","content":[{"type":"text","text":"Luxury","marks":[{"type":"strong"}]}],"attrs":{"localId":"ccc62b07e5b9"}}]}]},{"type":"tableRow","attrs":{"localId":"dd0bfb82d78b"},"content":[{"type":"tableCell","attrs":{"localId":"60cbdda5ce32","background":"#ace5fe"},"content":[{"type":"paragraph","content":[{"type":"text","text":"Particulars","marks":[{"type":"strong"}]}],"attrs":{"localId":"5e40632f9ad2"}}]},{"type":"tableCell","attrs":{"localId":"d19eadb6ba93","background":"#ace5fe"},"content":[{"type":"paragraph","content":[{"type":"text","text":"SKU Count","marks":[{"type":"strong"}]}],"attrs":{"localId":"009580d247d7"}}]},{"type":"tableCell","attrs":{"localId":"1e556720723b","background":"#ace5fe"},"content":[{"type":"paragraph","content":[{"type":"text","text":"Option Count","marks":[{"type":"strong"}]}],"attrs":{"localId":"ff693d7dc3b8"}}]}]},{"type":"tableRow","attrs":{"localId":"aa808e95c49e"},"content":[{"type":"tableCell","attrs":{"localId":"83565a425212","background":"white"},"content":[{"type":"paragraph","content":[{"type":"text","text":"Received"}],"attrs":{"localId":"34cdfe344365"}}]},{"type":"tableCell","attrs":{"localId":"8da6c466e60e"},"content":[{"type":"paragraph","content":[{"type":"text","text":"25"}],"attrs":{"localId":"1f7eb22efd96"}}]},{"type":"tableCell","attrs":{"localId":"1dda5cf2219f"},"content":[{"type":"paragraph","content":[{"type":"text","text":"25"}],"attrs":{"localId":"454d6ebbec2e"}}]}]},{"type":"tableRow","attrs":{"localId":"686e8d3f8fd8"},"content":[{"type":"tableCell","attrs":{"localId":"36ad23c681a1","background":"white"},"content":[{"type":"paragraph","content":[{"type":"text","text":"Uploaded"}],"attrs":{"localId":"6ebc16d86f4a"}}]},{"type":"tableCell","attrs":{"localId":"698e27820deb"},"content":[{"type":"paragraph","content":[{"type":"text","text":"25"}],"attrs":{"localId":"1be0fb2a1715"}}]},{"type":"tableCell","attrs":{"localId":"bb3cae7e6f78"},"content":[{"type":"paragraph","content":[{"type":"text","text":"25"}],"attrs":{"localId":"3d66a28b2587"}}]}]},{"type":"tableRow","attrs":{"localId":"878feb3ad997"},"content":[{"type":"tableCell","attrs":{"localId":"81548c5f869e","background":"white"},"content":[{"type":"paragraph","content":[{"type":"text","text":"LIDs Shared"}],"attrs":{"localId":"0daa128ce5d6"}}]},{"type":"tableCell","attrs":{"localId":"b863c3b28611"},"content":[{"type":"paragraph","content":[{"type":"text","text":"25"}],"attrs":{"localId":"4a13814467cd"}}]},{"type":"tableCell","attrs":{"localId":"63b68d65cc67"},"content":[{"type":"paragraph","content":[{"type":"text","text":"25"}],"attrs":{"localId":"8705e92dcc75"}}]}]},{"type":"tableRow","attrs":{"localId":"a0472c082edb"},"content":[{"type":"tableCell","attrs":{"localId":"3ccdf3104215","background":"white"},"content":[{"type":"paragraph","content":[{"type":"text","text":"LIDs Stuck in the System"}],"attrs":{"localId":"502bf859ed51"}}]},{"type":"tableCell","attrs":{"localId":"6a536ae5266c"},"content":[{"type":"paragraph","content":[{"type":"text","text":"0"}],"attrs":{"localId":"f8842ffe2c57"}}]},{"type":"tableCell","attrs":{"localId":"d466250b58d3"},"content":[{"type":"paragraph","content":[{"type":"text","text":"0"}],"attrs":{"localId":"605c34ca0177"}}]}]}]}
{adf}
With this, we are closing this request from our end.
Thank you for your patience, support, and cooperation throughout the process. Your brand is important to us, and we look forward to assisting you again."</t>
  </si>
  <si>
    <t>Date :08/04/2026 &lt;Ticket picked for pre processing Option 41 Sku 41&gt; &lt;Mousumi&gt;;Date : 4th Aug ,2026 Pre-Processing Done(brand to Query for Warranty Type &amp; Chain Length)-Mousumi;
Date : 5th Aug ,2026  The Product Type and L4 Category confirmation has been raised with the brand 
Date : 5th Aug ,2026 A resolution has been received from the brand- Mousumi.
Date : 5th Aug ,2026 QC &amp; Uploaded Done-Mousumi
Date : 5th Aug ,2026 Description -Khushnuma
PFA the Summary &amp; Post-Uploaded Sheet[^Summary.zip] [^UCW-35468 Post Upload Status_V.2 (1).xlsx] ;*Image deliver - Date :08/05/2026 &lt;Images Delivered Processed Options 41 Rejected Options 0&gt; &lt;Saswati Dey&gt;*;[^UCW-35468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91a0956e-1761-4697-a9eb-3d4ec0a0b94a"},"content":[{"type":"tableRow","attrs":{"localId":"386efc6b833b"},"content":[{"type":"tableCell","attrs":{"localId":"9e1859d30433","background":"#44b3e1"},"content":[{"type":"paragraph","content":[{"type":"text","text":"Ticket ID","marks":[{"type":"strong"}]}],"attrs":{"localId":"745ab0187576"}}]},{"type":"tableCell","attrs":{"localId":"83fe1e934c0d","colspan":2,"background":"#44b3e1"},"content":[{"type":"paragraph","content":[{"type":"text","text":"UCW-35468","marks":[{"type":"strong"}]}],"attrs":{"localId":"cd055ce04a5b"}}]}]},{"type":"tableRow","attrs":{"localId":"c6fab3f8f556"},"content":[{"type":"tableCell","attrs":{"localId":"0cb554d29297","background":"#44b3e1"},"content":[{"type":"paragraph","content":[{"type":"text","text":"Brand Name","marks":[{"type":"strong"}]}],"attrs":{"localId":"4d7cbc4fe487"}}]},{"type":"tableCell","attrs":{"localId":"500a63d471b3","colspan":2,"background":"#44b3e1"},"content":[{"type":"paragraph","content":[{"type":"text","text":"Isharya","marks":[{"type":"strong"}]}],"attrs":{"localId":"5497bcbb70a0"}}]}]},{"type":"tableRow","attrs":{"localId":"a6ea9b4a3da5"},"content":[{"type":"tableCell","attrs":{"localId":"8f364b3df4ec","background":"#ace5fe"},"content":[{"type":"paragraph","content":[{"type":"text","text":"Platform","marks":[{"type":"strong"}]}],"attrs":{"localId":"fe51ceed494b"}}]},{"type":"tableCell","attrs":{"localId":"95de64f1964c","colspan":2,"background":"#ace5fe"},"content":[{"type":"paragraph","content":[{"type":"text","text":"Luxury","marks":[{"type":"strong"}]}],"attrs":{"localId":"8609ff8724b4"}}]}]},{"type":"tableRow","attrs":{"localId":"3eef6a74e1d2"},"content":[{"type":"tableCell","attrs":{"localId":"25044c66ea18","background":"#ace5fe"},"content":[{"type":"paragraph","content":[{"type":"text","text":"Particulars","marks":[{"type":"strong"}]}],"attrs":{"localId":"763ceab027cb"}}]},{"type":"tableCell","attrs":{"localId":"b06b411decc4","background":"#ace5fe"},"content":[{"type":"paragraph","content":[{"type":"text","text":"SKU Count","marks":[{"type":"strong"}]}],"attrs":{"localId":"8c38c912f869"}}]},{"type":"tableCell","attrs":{"localId":"3102610fa501","background":"#ace5fe"},"content":[{"type":"paragraph","content":[{"type":"text","text":"Option Count","marks":[{"type":"strong"}]}],"attrs":{"localId":"f68df68ad1cf"}}]}]},{"type":"tableRow","attrs":{"localId":"8fd8741c08a2"},"content":[{"type":"tableCell","attrs":{"localId":"53691dc93503","background":"white"},"content":[{"type":"paragraph","content":[{"type":"text","text":"Received"}],"attrs":{"localId":"3fe1f56cb2e8"}}]},{"type":"tableCell","attrs":{"localId":"1eb59aab8a79"},"content":[{"type":"paragraph","content":[{"type":"text","text":"41"}],"attrs":{"localId":"dccaad1ee9f3"}}]},{"type":"tableCell","attrs":{"localId":"914f77c45d49"},"content":[{"type":"paragraph","content":[{"type":"text","text":"41"}],"attrs":{"localId":"14bfd8e2c33a"}}]}]},{"type":"tableRow","attrs":{"localId":"fd1c8fb7ea6c"},"content":[{"type":"tableCell","attrs":{"localId":"9ee80cd4524d","background":"white"},"content":[{"type":"paragraph","content":[{"type":"text","text":"Uploaded"}],"attrs":{"localId":"90dc824529d0"}}]},{"type":"tableCell","attrs":{"localId":"5b01c9aade93"},"content":[{"type":"paragraph","content":[{"type":"text","text":"41"}],"attrs":{"localId":"65b2fcd4e2ba"}}]},{"type":"tableCell","attrs":{"localId":"5fe52a542028"},"content":[{"type":"paragraph","content":[{"type":"text","text":"41"}],"attrs":{"localId":"e6617e787ade"}}]}]},{"type":"tableRow","attrs":{"localId":"9dd9986da7c8"},"content":[{"type":"tableCell","attrs":{"localId":"3510754253fe","background":"white"},"content":[{"type":"paragraph","content":[{"type":"text","text":"LIDs Shared"}],"attrs":{"localId":"cbac1ef3523d"}}]},{"type":"tableCell","attrs":{"localId":"84d2d54326f1"},"content":[{"type":"paragraph","content":[{"type":"text","text":"41"}],"attrs":{"localId":"eb59803d63c2"}}]},{"type":"tableCell","attrs":{"localId":"0af2a026a092"},"content":[{"type":"paragraph","content":[{"type":"text","text":"41"}],"attrs":{"localId":"2acce7e9c938"}}]}]},{"type":"tableRow","attrs":{"localId":"6b03283081cf"},"content":[{"type":"tableCell","attrs":{"localId":"e69fc1efb63a","background":"white"},"content":[{"type":"paragraph","content":[{"type":"text","text":"LIDs Stuck in the System"}],"attrs":{"localId":"7e8dc07d41d9"}}]},{"type":"tableCell","attrs":{"localId":"6742e5cfa46c"},"content":[{"type":"paragraph","content":[{"type":"text","text":"0"}],"attrs":{"localId":"d3247b1cc743"}}]},{"type":"tableCell","attrs":{"localId":"e50afb772180"},"content":[{"type":"paragraph","content":[{"type":"text","text":"0"}],"attrs":{"localId":"05bcb58f57a5"}}]}]}]}
{adf}
With this, we are closing this request from our end.
Thank you for your patience, support, and cooperation throughout the process. Your brand is important to us, and we look forward to assisting you again.</t>
  </si>
  <si>
    <t>INVHOME</t>
  </si>
  <si>
    <t>Date :08/04/2026 &lt;Ticket picked for pre processing Option 16 Sku 16 &gt; &lt;Rupa&gt;;[^Status of UCW-35463.xlsx]
[^Summary.zip]
We have Updated the images and also attached the summary file. Once the images are successfully reflected we will let you know;Date :08/05/2026&lt;Ticket has been successfully uploaded in our system. Option 16 Sku 16 &gt; &lt;Rupa&gt;;!Screenshot 2026-08-06 115543.png|width=483,alt="Screenshot 2026-08-06 115543.png"!
!Screenshot 2026-08-06 115259.png|width=483,alt="Screenshot 2026-08-06 115259.png"!
!Screenshot 2026-08-06 115236.png|width=468,alt="Screenshot 2026-08-06 115236.png"!
The images have been successfully reflected. Please find the attached screenshots for your reference. As of now, we are closing the ticket. If there are any further concerns, please let us know. ;Date :08/06/2026&lt;Images are reflecting successfully on PDP. Option 19Sku 19 Option XXX Sku XXX&gt; &lt;Rupa&gt;</t>
  </si>
  <si>
    <t>Flying Machine, U.S. Polo Assn., Arrow, Arrow Sport, Arrow Newyork</t>
  </si>
  <si>
    <t>Date :08/03/2026 &lt;Ticket picked for pre processing Option: 163 SKU: 1337&gt; &lt;Sanjana Ghosh&gt;;Date :08/04/2026 &lt;Production QC WIP&gt; &lt;Sanjana Ghosh&gt;;Date :08/05/2026 &lt;Ticket picked for Production and QC review Option: 163 SKU: 1337&gt; &lt;Ankita&gt;;Date :08/07/2026 &lt;Size chart QC WIP&gt; &lt;Anwesha Mondal&gt;</t>
  </si>
  <si>
    <t xml:space="preserve">Date :08/03/2026  &lt;Ticket picked for pre processing SKU 2 &gt; &lt;Tania&gt; Date :08/03/2026 &lt;Ticket picked for Production and QC review SKU 2 &gt; &lt;Tania&gt; IMAGES WIP;Date :08/04/2026 &lt;Ticket picked for Production and QC review SKU 2 &gt; &lt;Tania&gt;;[^Summary UCW-35458.zip]
We have successfully uploaded this batch. Please find the attached summary sheet and summary report. [^UCW-35458_Post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9f3298a3-3c49-4863-bbe4-9ec4dd7cad20"},"content":[{"type":"tableRow","attrs":{"localId":"f379487a0ae9"},"content":[{"type":"tableCell","attrs":{"localId":"697ae30e3859","background":"#44b3e1"},"content":[{"type":"paragraph","content":[{"type":"text","text":"Ticket ID","marks":[{"type":"strong"}]}],"attrs":{"localId":"0ac5bf6c6e6d"}}]},{"type":"tableCell","attrs":{"localId":"61ada2d2226d","colspan":2,"background":"#44b3e1"},"content":[{"type":"paragraph","content":[{"type":"text","text":"UCW-35458","marks":[{"type":"strong"}]}],"attrs":{"localId":"9dd0a33a1b48"}}]}]},{"type":"tableRow","attrs":{"localId":"a352be11edab"},"content":[{"type":"tableCell","attrs":{"localId":"ac8df3431dd7","background":"#44b3e1"},"content":[{"type":"paragraph","content":[{"type":"text","text":"Brand Name","marks":[{"type":"strong"}]}],"attrs":{"localId":"d47c5cb0c8a6"}}]},{"type":"tableCell","attrs":{"localId":"13e859f2a80c","colspan":2,"background":"#44b3e1"},"content":[{"type":"paragraph","content":[{"type":"text","text":"Eze Perfume","marks":[{"type":"strong"}]}],"attrs":{"localId":"cbed19e64f8c"}}]}]},{"type":"tableRow","attrs":{"localId":"51e4ec9f7793"},"content":[{"type":"tableCell","attrs":{"localId":"1e655bc6fd20","background":"#ace5fe"},"content":[{"type":"paragraph","content":[{"type":"text","text":"Platform","marks":[{"type":"strong"}]}],"attrs":{"localId":"23a4c3206420"}}]},{"type":"tableCell","attrs":{"localId":"41a4f481c69b","colspan":2,"background":"#ace5fe"},"content":[{"type":"paragraph","content":[{"type":"text","text":"Mall","marks":[{"type":"strong"}]}],"attrs":{"localId":"5cac49cf7e93"}}]}]},{"type":"tableRow","attrs":{"localId":"88a601365753"},"content":[{"type":"tableCell","attrs":{"localId":"ce0a1f416187","background":"#ace5fe"},"content":[{"type":"paragraph","content":[{"type":"text","text":"Particulars","marks":[{"type":"strong"}]}],"attrs":{"localId":"da7ac7d07a51"}}]},{"type":"tableCell","attrs":{"localId":"f4c7e5a15f48","background":"#ace5fe"},"content":[{"type":"paragraph","content":[{"type":"text","text":"SKU Count","marks":[{"type":"strong"}]}],"attrs":{"localId":"12f5472a2d25"}}]},{"type":"tableCell","attrs":{"localId":"c5409871fe0f","background":"#ace5fe"},"content":[{"type":"paragraph","content":[{"type":"text","text":"Option Count","marks":[{"type":"strong"}]}],"attrs":{"localId":"965e1360416e"}}]}]},{"type":"tableRow","attrs":{"localId":"29c7b7721f4a"},"content":[{"type":"tableCell","attrs":{"localId":"6aa998e2a7e2","background":"white"},"content":[{"type":"paragraph","content":[{"type":"text","text":"Received"}],"attrs":{"localId":"f095ccda0551"}}]},{"type":"tableCell","attrs":{"localId":"c848aa2fdd56"},"content":[{"type":"paragraph","content":[{"type":"text","text":"2"}],"attrs":{"localId":"d3f46b6a7749"}}]},{"type":"tableCell","attrs":{"localId":"4230c8f20d61"},"content":[{"type":"paragraph","content":[{"type":"text","text":"2"}],"attrs":{"localId":"a02a91ebb140"}}]}]},{"type":"tableRow","attrs":{"localId":"b5dca1eb4386"},"content":[{"type":"tableCell","attrs":{"localId":"600d1c3be0f9","background":"white"},"content":[{"type":"paragraph","content":[{"type":"text","text":"Uploaded"}],"attrs":{"localId":"24838c62e941"}}]},{"type":"tableCell","attrs":{"localId":"f333aff056d2"},"content":[{"type":"paragraph","content":[{"type":"text","text":"2"}],"attrs":{"localId":"dee973049311"}}]},{"type":"tableCell","attrs":{"localId":"9009a70ab37a"},"content":[{"type":"paragraph","content":[{"type":"text","text":"2"}],"attrs":{"localId":"80d6e8ffb7fa"}}]}]},{"type":"tableRow","attrs":{"localId":"b4884941c95b"},"content":[{"type":"tableCell","attrs":{"localId":"f2ffb36ea571","background":"white"},"content":[{"type":"paragraph","content":[{"type":"text","text":"LIDs Shared"}],"attrs":{"localId":"88bb85831a88"}}]},{"type":"tableCell","attrs":{"localId":"7eeaaec4e155"},"content":[{"type":"paragraph","content":[{"type":"text","text":"2"}],"attrs":{"localId":"6cb6989c8b5f"}}]},{"type":"tableCell","attrs":{"localId":"fadf380656f0"},"content":[{"type":"paragraph","content":[{"type":"text","text":"2"}],"attrs":{"localId":"4bdc76b28ddd"}}]}]},{"type":"tableRow","attrs":{"localId":"5a3d5d59bbf2"},"content":[{"type":"tableCell","attrs":{"localId":"203e7c32b727","background":"white"},"content":[{"type":"paragraph","content":[{"type":"text","text":"LIDs Stuck in the System"}],"attrs":{"localId":"4c0dbb7479a4"}}]},{"type":"tableCell","attrs":{"localId":"42e33729774b"},"content":[{"type":"paragraph","content":[{"type":"text","text":"0"}],"attrs":{"localId":"f81ada0a9801"}}]},{"type":"tableCell","attrs":{"localId":"fa8b02773e31"},"content":[{"type":"paragraph","content":[{"type":"text","text":"0"}],"attrs":{"localId":"e1064df7b111"}}]}]}]}
{adf}
With this, we are closing this request from our end.
Thank you for your patience, support, and cooperation throughout the process. Your brand is important to us, and we look forward to assisting you again.[^UCW-35458_Post Upload Status (6a2671df-ba6a-4ae9-a698-88dd4cb8d056).xlsx] </t>
  </si>
  <si>
    <t>AdityaBirla</t>
  </si>
  <si>
    <t>Locci</t>
  </si>
  <si>
    <t>Date :08/03/2026  &lt;Ticket picked for pre processing SKU 3 &gt; &lt;Tania&gt; Date :08/03/2026 &lt;Ticket picked for Production and QC review SKU 3 &gt; &lt;Tania&gt; IMAGES WIP;Date :08/04/2026 &lt;Ticket picked for Production and QC review SKU 3 &gt; &lt;Tania&gt;;[^UCW-35450 Summary.zip]
We have successfully uploaded this batch. Please find the attached summary sheet and summary report. [^UCW-35450_Post Upload Status.xlsx] ;Date :08/05/2026 &lt;Ticket has been successfully uploaded in our system. SKU 3&gt; &lt;Tania&gt;;[^UCW-35450_Post Upload Status (33069bae-d8eb-4afd-b23d-2d76d05197f2).xlsx]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1228430f-868b-4bc8-8b12-65fb1e7ece02"},"content":[{"type":"tableRow","attrs":{"localId":"fff1d2fe03ae"},"content":[{"type":"tableCell","attrs":{"localId":"3788206e5ff6","background":"#44b3e1"},"content":[{"type":"paragraph","content":[{"type":"text","text":"Ticket ID","marks":[{"type":"strong"}]}],"attrs":{"localId":"d2faa2921e53"}}]},{"type":"tableCell","attrs":{"localId":"a47d28be25d2","colspan":2,"background":"#44b3e1"},"content":[{"type":"paragraph","content":[{"type":"text","text":"UCW-35450","marks":[{"type":"strong"}]}],"attrs":{"localId":"43be9929de6d"}}]}]},{"type":"tableRow","attrs":{"localId":"df035216f3dd"},"content":[{"type":"tableCell","attrs":{"localId":"3c7e3bc72c96","background":"#44b3e1"},"content":[{"type":"paragraph","content":[{"type":"text","text":"Brand Name","marks":[{"type":"strong"}]}],"attrs":{"localId":"c01a66798a81"}}]},{"type":"tableCell","attrs":{"localId":"02e25261a46c","colspan":2,"background":"#44b3e1"},"content":[{"type":"paragraph","content":[{"type":"text","text":"Locci","marks":[{"type":"strong"}]}],"attrs":{"localId":"2d6376a568e6"}}]}]},{"type":"tableRow","attrs":{"localId":"174562a1957d"},"content":[{"type":"tableCell","attrs":{"localId":"5d38331a5ed7","background":"#ace5fe"},"content":[{"type":"paragraph","content":[{"type":"text","text":"Platform","marks":[{"type":"strong"}]}],"attrs":{"localId":"c8ddb9cc78f2"}}]},{"type":"tableCell","attrs":{"localId":"43c10e100bfa","colspan":2,"background":"#ace5fe"},"content":[{"type":"paragraph","content":[{"type":"text","text":"Mall + Luxury","marks":[{"type":"strong"}]}],"attrs":{"localId":"4363bf59dcee"}}]}]},{"type":"tableRow","attrs":{"localId":"6af088eb259d"},"content":[{"type":"tableCell","attrs":{"localId":"7224cf6d764e","background":"#ace5fe"},"content":[{"type":"paragraph","content":[{"type":"text","text":"Particulars","marks":[{"type":"strong"}]}],"attrs":{"localId":"b3ef274edba7"}}]},{"type":"tableCell","attrs":{"localId":"a25d1ad056ae","background":"#ace5fe"},"content":[{"type":"paragraph","content":[{"type":"text","text":"SKU Count","marks":[{"type":"strong"}]}],"attrs":{"localId":"e9b7b742833c"}}]},{"type":"tableCell","attrs":{"localId":"696c4ff15ecd","background":"#ace5fe"},"content":[{"type":"paragraph","content":[{"type":"text","text":"Option Count","marks":[{"type":"strong"}]}],"attrs":{"localId":"c6f10ec0e520"}}]}]},{"type":"tableRow","attrs":{"localId":"4192e5b26117"},"content":[{"type":"tableCell","attrs":{"localId":"cc629abf364c","background":"white"},"content":[{"type":"paragraph","content":[{"type":"text","text":"Received"}],"attrs":{"localId":"3a90329ba772"}}]},{"type":"tableCell","attrs":{"localId":"ff70a02538a8"},"content":[{"type":"paragraph","content":[{"type":"text","text":"3"}],"attrs":{"localId":"3fde893d5d6e"}}]},{"type":"tableCell","attrs":{"localId":"316c4c2a580e"},"content":[{"type":"paragraph","content":[{"type":"text","text":"3"}],"attrs":{"localId":"5ffbdb3a00b5"}}]}]},{"type":"tableRow","attrs":{"localId":"da355fb3b1cd"},"content":[{"type":"tableCell","attrs":{"localId":"fc3561738105","background":"white"},"content":[{"type":"paragraph","content":[{"type":"text","text":"Uploaded"}],"attrs":{"localId":"07dba07c82d4"}}]},{"type":"tableCell","attrs":{"localId":"5514367a7067"},"content":[{"type":"paragraph","content":[{"type":"text","text":"3"}],"attrs":{"localId":"599a1edee8d8"}}]},{"type":"tableCell","attrs":{"localId":"88545dea8637"},"content":[{"type":"paragraph","content":[{"type":"text","text":"3"}],"attrs":{"localId":"92c4feefaa14"}}]}]},{"type":"tableRow","attrs":{"localId":"9a00256363a4"},"content":[{"type":"tableCell","attrs":{"localId":"2cacfc5be989","background":"white"},"content":[{"type":"paragraph","content":[{"type":"text","text":"LIDs Shared"}],"attrs":{"localId":"4d5a498c8627"}}]},{"type":"tableCell","attrs":{"localId":"8722d4d443ce"},"content":[{"type":"paragraph","content":[{"type":"text","text":"3"}],"attrs":{"localId":"5ce00cd3d947"}}]},{"type":"tableCell","attrs":{"localId":"1aaca349e7da"},"content":[{"type":"paragraph","content":[{"type":"text","text":"3"}],"attrs":{"localId":"b7547b93d68c"}}]}]},{"type":"tableRow","attrs":{"localId":"bb9451493668"},"content":[{"type":"tableCell","attrs":{"localId":"56f10351a1b3","background":"white"},"content":[{"type":"paragraph","content":[{"type":"text","text":"LIDs Stuck in the System"}],"attrs":{"localId":"0d33a9449761"}}]},{"type":"tableCell","attrs":{"localId":"888eb2c837cf"},"content":[{"type":"paragraph","content":[{"type":"text","text":"0"}],"attrs":{"localId":"40a0ae8be7a2"}}]},{"type":"tableCell","attrs":{"localId":"1850db29a63a"},"content":[{"type":"paragraph","content":[{"type":"text","text":"0"}],"attrs":{"localId":"1051c4c6f2fe"}}]}]}]}
{adf}
With this, we are closing this request from our end.
Thank you for your patience, support, and cooperation throughout the process. Your brand is important to us, and we look forward to assisting you again."</t>
  </si>
  <si>
    <t>Date :08/03/2026  &lt;Ticket picked for pre processing SKU 2&gt; &lt;Tania&gt; Date :08/03/2026  &lt;Pre Processing query to Brand &lt;Image Access not available&gt;&gt; &lt;Tania&gt; ;Date :08/03/2026  &lt;Resolution Received &gt; &lt;Tania&gt; Date :08/03/2026 &lt;Ticket picked for Production and QC review SKU 2 &gt; &lt;Tania&gt; IMAGES WIP.;Date :08/04/2026 &lt;Ticket picked for Production and QC review SKU 2 &gt; &lt;Tania&gt;;[^UCW-35447 Summary.zip]
We have successfully uploaded this batch. Please find the attached summary sheet and summary report.  [^UCW-35447_Post Upload Status.xlsx] ;Date :08/05/2026 &lt;Ticket has been successfully uploaded in our system. SKU 2&gt; &lt;Tania&gt;;[^UCW-35447_Post Upload Status (6e124c1c-783d-43cf-8155-92ecb69e0bc1).xlsx]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15910671-3a59-4983-8880-a828c2fe5d52"},"content":[{"type":"tableRow","attrs":{"localId":"1ca3ba841491"},"content":[{"type":"tableCell","attrs":{"localId":"5328686e087a","background":"#44b3e1"},"content":[{"type":"paragraph","content":[{"type":"text","text":"Ticket ID","marks":[{"type":"strong"}]}],"attrs":{"localId":"72f099b245e1"}}]},{"type":"tableCell","attrs":{"localId":"bea4b1182888","colspan":2,"background":"#44b3e1"},"content":[{"type":"paragraph","content":[{"type":"text","text":"UCW-35447","marks":[{"type":"strong"}]}],"attrs":{"localId":"44217669ac92"}}]}]},{"type":"tableRow","attrs":{"localId":"151f7fdedf39"},"content":[{"type":"tableCell","attrs":{"localId":"05226a094f9d","background":"#44b3e1"},"content":[{"type":"paragraph","content":[{"type":"text","text":"Brand Name","marks":[{"type":"strong"}]}],"attrs":{"localId":"ddade500e4de"}}]},{"type":"tableCell","attrs":{"localId":"4c57e3ad2480","colspan":2,"background":"#44b3e1"},"content":[{"type":"paragraph","content":[{"type":"text","text":"Locci","marks":[{"type":"strong"}]}],"attrs":{"localId":"8ffc52ac4dad"}}]}]},{"type":"tableRow","attrs":{"localId":"b4c731190b89"},"content":[{"type":"tableCell","attrs":{"localId":"b984d0e2e2af","background":"#ace5fe"},"content":[{"type":"paragraph","content":[{"type":"text","text":"Platform","marks":[{"type":"strong"}]}],"attrs":{"localId":"1df8d9f6a021"}}]},{"type":"tableCell","attrs":{"localId":"80d5934574ea","colspan":2,"background":"#ace5fe"},"content":[{"type":"paragraph","content":[{"type":"text","text":"Mall + Luxury","marks":[{"type":"strong"}]}],"attrs":{"localId":"eddccdc45862"}}]}]},{"type":"tableRow","attrs":{"localId":"6bca1cd5be93"},"content":[{"type":"tableCell","attrs":{"localId":"a172ffcd4798","background":"#ace5fe"},"content":[{"type":"paragraph","content":[{"type":"text","text":"Particulars","marks":[{"type":"strong"}]}],"attrs":{"localId":"149de045429e"}}]},{"type":"tableCell","attrs":{"localId":"c4b4c2150c01","background":"#ace5fe"},"content":[{"type":"paragraph","content":[{"type":"text","text":"SKU Count","marks":[{"type":"strong"}]}],"attrs":{"localId":"71a0b5209047"}}]},{"type":"tableCell","attrs":{"localId":"9d20bbccc3bc","background":"#ace5fe"},"content":[{"type":"paragraph","content":[{"type":"text","text":"Option Count","marks":[{"type":"strong"}]}],"attrs":{"localId":"919986603553"}}]}]},{"type":"tableRow","attrs":{"localId":"23058cef241f"},"content":[{"type":"tableCell","attrs":{"localId":"4abde4a82612","background":"white"},"content":[{"type":"paragraph","content":[{"type":"text","text":"Received"}],"attrs":{"localId":"6f1fa1923ffd"}}]},{"type":"tableCell","attrs":{"localId":"47a3f18cb58e"},"content":[{"type":"paragraph","content":[{"type":"text","text":"2"}],"attrs":{"localId":"a1067406405b"}}]},{"type":"tableCell","attrs":{"localId":"7370eea9f596"},"content":[{"type":"paragraph","content":[{"type":"text","text":"2"}],"attrs":{"localId":"22b67272e90c"}}]}]},{"type":"tableRow","attrs":{"localId":"8a797fca3f60"},"content":[{"type":"tableCell","attrs":{"localId":"e3e11e14e944","background":"white"},"content":[{"type":"paragraph","content":[{"type":"text","text":"Uploaded"}],"attrs":{"localId":"3c063cd46ad7"}}]},{"type":"tableCell","attrs":{"localId":"f98579505ab5"},"content":[{"type":"paragraph","content":[{"type":"text","text":"2"}],"attrs":{"localId":"d42b548b0b37"}}]},{"type":"tableCell","attrs":{"localId":"c80b871c13bb"},"content":[{"type":"paragraph","content":[{"type":"text","text":"2"}],"attrs":{"localId":"4cb0136646c0"}}]}]},{"type":"tableRow","attrs":{"localId":"d60c660570f4"},"content":[{"type":"tableCell","attrs":{"localId":"f7713614c8b8","background":"white"},"content":[{"type":"paragraph","content":[{"type":"text","text":"LIDs Shared"}],"attrs":{"localId":"08c54ff55c93"}}]},{"type":"tableCell","attrs":{"localId":"e4a907e7c8cb"},"content":[{"type":"paragraph","content":[{"type":"text","text":"2"}],"attrs":{"localId":"43cd62c2a29a"}}]},{"type":"tableCell","attrs":{"localId":"262e82417d8f"},"content":[{"type":"paragraph","content":[{"type":"text","text":"2"}],"attrs":{"localId":"088aa53dad44"}}]}]},{"type":"tableRow","attrs":{"localId":"114a3934c966"},"content":[{"type":"tableCell","attrs":{"localId":"32f63bfe096b","background":"white"},"content":[{"type":"paragraph","content":[{"type":"text","text":"LIDs Stuck in the System"}],"attrs":{"localId":"a8f767b056a0"}}]},{"type":"tableCell","attrs":{"localId":"226683bc7642"},"content":[{"type":"paragraph","content":[{"type":"text","text":"0"}],"attrs":{"localId":"f9097750ec79"}}]},{"type":"tableCell","attrs":{"localId":"c6a7d83bd1c6"},"content":[{"type":"paragraph","content":[{"type":"text","text":"0"}],"attrs":{"localId":"c95a3194e323"}}]}]}]}
{adf}
With this, we are closing this request from our end.
Thank you for your patience, support, and cooperation throughout the process. Your brand is important to us, and we look forward to assisting you again.</t>
  </si>
  <si>
    <t>Date :3rd Aug,2026 Pre-Processing Done Brand to Query for Size -Mousumi;Date :4th  Aug, 2026 1st Followup done-Mousumi
Date :4th  Aug, 2026  Qc &amp; Uploadec Done-Mousumi
PFA the SUmmary &amp; Post-Uploaded sheet[^Summary.zip] [^UCW-35439 Post Upload Status_V.2 (1).xlsx] ;[^UCW-35439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f3f017a-dfa9-4e86-8ca9-6104a69aea28"},"content":[{"type":"tableRow","attrs":{"localId":"9d335df44212"},"content":[{"type":"tableCell","attrs":{"localId":"e6066db3d863","background":"#44b3e1"},"content":[{"type":"paragraph","content":[{"type":"text","text":"Ticket ID","marks":[{"type":"strong"}]}],"attrs":{"localId":"2c65eedc8f51"}}]},{"type":"tableCell","attrs":{"localId":"e4e6a959d1fe","colspan":2,"background":"#44b3e1"},"content":[{"type":"paragraph","content":[{"type":"text","text":"UCW-35439","marks":[{"type":"strong"}]}],"attrs":{"localId":"8346df1dc452"}}]}]},{"type":"tableRow","attrs":{"localId":"cc8f80304895"},"content":[{"type":"tableCell","attrs":{"localId":"563e543150f4","background":"#44b3e1"},"content":[{"type":"paragraph","content":[{"type":"text","text":"Brand Name","marks":[{"type":"strong"}]}],"attrs":{"localId":"7008aaeb2d57"}}]},{"type":"tableCell","attrs":{"localId":"d8b5d3285ffd","colspan":2,"background":"#44b3e1"},"content":[{"type":"paragraph","content":[{"type":"text","text":"Tangerine","marks":[{"type":"strong"}]}],"attrs":{"localId":"dfe4be832cd7"}}]}]},{"type":"tableRow","attrs":{"localId":"92e2950a42c4"},"content":[{"type":"tableCell","attrs":{"localId":"68fb48900958","background":"#ace5fe"},"content":[{"type":"paragraph","content":[{"type":"text","text":"Platform","marks":[{"type":"strong"}]}],"attrs":{"localId":"0406247aa209"}}]},{"type":"tableCell","attrs":{"localId":"e0d0635b3a48","colspan":2,"background":"#ace5fe"},"content":[{"type":"paragraph","content":[{"type":"text","text":"Mall","marks":[{"type":"strong"}]}],"attrs":{"localId":"f1568d002f2a"}}]}]},{"type":"tableRow","attrs":{"localId":"53c3210b4e7b"},"content":[{"type":"tableCell","attrs":{"localId":"8cb17f5d3642","background":"#ace5fe"},"content":[{"type":"paragraph","content":[{"type":"text","text":"Particulars","marks":[{"type":"strong"}]}],"attrs":{"localId":"dc9464bceb8a"}}]},{"type":"tableCell","attrs":{"localId":"dad8eb82cad6","background":"#ace5fe"},"content":[{"type":"paragraph","content":[{"type":"text","text":"SKU Count","marks":[{"type":"strong"}]}],"attrs":{"localId":"38719f4373c5"}}]},{"type":"tableCell","attrs":{"localId":"46cc8ef165b2","background":"#ace5fe"},"content":[{"type":"paragraph","content":[{"type":"text","text":"Option Count","marks":[{"type":"strong"}]}],"attrs":{"localId":"fefca151c40a"}}]}]},{"type":"tableRow","attrs":{"localId":"128ccb93e768"},"content":[{"type":"tableCell","attrs":{"localId":"f1832d2a688b","background":"white"},"content":[{"type":"paragraph","content":[{"type":"text","text":"Received"}],"attrs":{"localId":"c26b8acb36ec"}}]},{"type":"tableCell","attrs":{"localId":"a46b32826300"},"content":[{"type":"paragraph","content":[{"type":"text","text":"13"}],"attrs":{"localId":"2774bbdbc1b6"}}]},{"type":"tableCell","attrs":{"localId":"e5c2d31d970c"},"content":[{"type":"paragraph","content":[{"type":"text","text":"13"}],"attrs":{"localId":"e1899354dad2"}}]}]},{"type":"tableRow","attrs":{"localId":"e5d9ec51e1d0"},"content":[{"type":"tableCell","attrs":{"localId":"5a1935474b55","background":"white"},"content":[{"type":"paragraph","content":[{"type":"text","text":"Uploaded"}],"attrs":{"localId":"c69d387e693c"}}]},{"type":"tableCell","attrs":{"localId":"4a40df9c6207"},"content":[{"type":"paragraph","content":[{"type":"text","text":"13"}],"attrs":{"localId":"d2669450f1eb"}}]},{"type":"tableCell","attrs":{"localId":"a2ddebc951cc"},"content":[{"type":"paragraph","content":[{"type":"text","text":"13"}],"attrs":{"localId":"c74e132dc2e9"}}]}]},{"type":"tableRow","attrs":{"localId":"ec9275b7c888"},"content":[{"type":"tableCell","attrs":{"localId":"10d019fc353a","background":"white"},"content":[{"type":"paragraph","content":[{"type":"text","text":"LIDs Shared"}],"attrs":{"localId":"96ddf4a83ae9"}}]},{"type":"tableCell","attrs":{"localId":"70a25ca86c95"},"content":[{"type":"paragraph","content":[{"type":"text","text":"13"}],"attrs":{"localId":"c130b5a816f7"}}]},{"type":"tableCell","attrs":{"localId":"0adf96b74104"},"content":[{"type":"paragraph","content":[{"type":"text","text":"13"}],"attrs":{"localId":"28134dd2314a"}}]}]},{"type":"tableRow","attrs":{"localId":"48ba4c287ef1"},"content":[{"type":"tableCell","attrs":{"localId":"dcce2cdd3be2","background":"white"},"content":[{"type":"paragraph","content":[{"type":"text","text":"LIDs Stuck in the System"}],"attrs":{"localId":"6f72fbfe95df"}}]},{"type":"tableCell","attrs":{"localId":"014cebba0f43"},"content":[{"type":"paragraph","content":[{"type":"text","text":"0"}],"attrs":{"localId":"498f969ff8fd"}}]},{"type":"tableCell","attrs":{"localId":"5ee2da6183cd"},"content":[{"type":"paragraph","content":[{"type":"text","text":"0"}],"attrs":{"localId":"2cf0de58c74c"}}]}]}]}
{adf}
With this, we are closing this request from our end.
Thank you for your patience, support, and cooperation throughout the process. Your brand is important to us, and we look forward to assisting you again."</t>
  </si>
  <si>
    <t>Date :08/04/2026 &lt;Ticket picked for pre processing Option 1 Sku 1&gt; &lt;Rupa&gt;;[^Status of UCW-35438.xlsx]
[^Summary.zip]
We have updated the changes and also attached the summary file. Once the images are successfully reflected, we will let you know;Date :08/05/2026&lt;Ticket has been successfully uploaded in our system. Option 1 Sku 1 &gt; &lt;Rupa&gt;;!Screenshot 2026-08-06 132818.png|width=303,alt="Screenshot 2026-08-06 132818.png"!
!Screenshot 2026-08-06 132810.png|width=314,alt="Screenshot 2026-08-06 132810.png"!
!Screenshot 2026-08-06 132656.png|width=483,alt="Screenshot 2026-08-06 132656.png"!
The Changes have been successfully reflected. Please find the attached screenshots for your reference. As of now, we are closing the ticket. If there are any further concerns, please let us know.;Date :08/06/2026&lt;Images and updated title  are reflecting successfully on PDP. Option 1 Sku 1 &gt; &lt;Rupa&gt;</t>
  </si>
  <si>
    <t>Date :08/04/2026 &lt;Ticket picked for pre processing Option 1 Sku 1&gt; &lt;Rupa&gt;;Date :08/05/2026&lt;Ticket picked for Production and QC review Option 1 Sku 1 &gt; &lt;Rupa&gt;;[^Summary.zip]
[^Status of UCW-35435.xlsx]
We have Updated the changes and also attached the summary file. Once the images are successfully reflected, we will let you know;Date :08/05/2026&lt;Ticket has been successfully uploaded in our system. Option 1Sku 1 &gt; &lt;Rupa&gt;;!Screenshot 2026-08-06 135732.png|width=377,alt="Screenshot 2026-08-06 135732.png"!
!Screenshot 2026-08-06 135552.png|width=483,alt="Screenshot 2026-08-06 135552.png"!
!Screenshot 2026-08-06 135723.png|width=406,alt="Screenshot 2026-08-06 135723.png"!
The images have been successfully reflected. Please find the attached screenshots for your reference. As of now, we are closing the ticket. If there are any further concerns, please let us know. </t>
  </si>
  <si>
    <t xml:space="preserve">Woodland </t>
  </si>
  <si>
    <t>Date :08/03/2026 &lt;Ticket picked for pre processing Option 169 Sku 1220&gt; &lt;Ishani&gt;;Date :08/03/2026 &lt;Ticket picked for Production and QC review Option 169 Sku 1220&gt; &lt;Ishani &amp; Ankita&gt;;Date :08/04/2026 &lt;Pre Processing query to Brand &lt;Image Issues,size chart issue, sizes are duplicate issue&gt;&gt; &lt;Ishani&gt;;We would like to inform you that your ticket has been successfully uploaded in our system.
Please find the attached summary files and post-upload file for your reference. We will share a further update once the listing IDs are generated.
*While performing the size addition process, we observed that data for certain L4 categories data is unavailable. Due to the missing data, we were unable to complete the size addition for those SKUs.*
*Kindly provide the required data for the missing L4 categories at the earliest. Once we receive it, we will proceed with the size addition for the remaining SKUs and complete the process promptly.*
Your request is important to us, and we will continue to keep you updated throughout the ticket journey.
Date :08/05/2026 &lt;Ticket has been successfully uploaded in our system. Option 10 Sku 72&gt; &lt;Ishani &amp; Ankita&gt;
[^Post Upload Status_V.2 (1) (7).xlsx]
[^Summary.zip]
;[^UCW-35432.xlsx]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d0b1a1db-7ce6-4596-9298-2afa9c716b2e"},"content":[{"type":"tableRow","attrs":{"localId":"51a9e97112e7"},"content":[{"type":"tableCell","attrs":{"localId":"6c7dd06ff2d3","background":"#44b3e1"},"content":[{"type":"paragraph","content":[{"type":"text","text":"Ticket ID","marks":[{"type":"strong"}]}],"attrs":{"localId":"e5c882267056"}}]},{"type":"tableCell","attrs":{"localId":"2ef8f01bc27f","colspan":2,"background":"#44b3e1"},"content":[{"type":"paragraph","content":[{"type":"text","text":"UCW-35432","marks":[{"type":"strong"}]}],"attrs":{"localId":"365a01af5e21"}}]}]},{"type":"tableRow","attrs":{"localId":"31b798f260b8"},"content":[{"type":"tableCell","attrs":{"localId":"3f40910f0b3d","background":"#44b3e1"},"content":[{"type":"paragraph","content":[{"type":"text","text":"Brand Name","marks":[{"type":"strong"}]}],"attrs":{"localId":"7f6fd1829b51"}}]},{"type":"tableCell","attrs":{"localId":"ce0b156b7ba5","colspan":2,"background":"#44b3e1"},"content":[{"type":"paragraph","content":[{"type":"text","text":"Woodland","marks":[{"type":"strong"}]}],"attrs":{"localId":"6032ce9e1040"}}]}]},{"type":"tableRow","attrs":{"localId":"829b8b6b38b8"},"content":[{"type":"tableCell","attrs":{"localId":"f0d1833334eb","background":"#ace5fe"},"content":[{"type":"paragraph","content":[{"type":"text","text":"Platform","marks":[{"type":"strong"}]}],"attrs":{"localId":"3b659485d470"}}]},{"type":"tableCell","attrs":{"localId":"04521ab71564","colspan":2,"background":"#ace5fe"},"content":[{"type":"paragraph","content":[{"type":"text","text":"Mall","marks":[{"type":"strong"}]}],"attrs":{"localId":"a514deb5a6af"}}]}]},{"type":"tableRow","attrs":{"localId":"e1095d991640"},"content":[{"type":"tableCell","attrs":{"localId":"464178881053","background":"#ace5fe"},"content":[{"type":"paragraph","content":[{"type":"text","text":"Particulars","marks":[{"type":"strong"}]}],"attrs":{"localId":"c542af7537cd"}}]},{"type":"tableCell","attrs":{"localId":"9f5ca7313812","background":"#ace5fe"},"content":[{"type":"paragraph","content":[{"type":"text","text":"SKU Count","marks":[{"type":"strong"}]}],"attrs":{"localId":"1e78196bc803"}}]},{"type":"tableCell","attrs":{"localId":"21c2003bd375","background":"#ace5fe"},"content":[{"type":"paragraph","content":[{"type":"text","text":"Option Count","marks":[{"type":"strong"}]}],"attrs":{"localId":"cb5673786bdc"}}]}]},{"type":"tableRow","attrs":{"localId":"7d7c89999a8f"},"content":[{"type":"tableCell","attrs":{"localId":"ec1a222e4fa7","background":"white"},"content":[{"type":"paragraph","content":[{"type":"text","text":"Received"}],"attrs":{"localId":"46c985fa1c71"}}]},{"type":"tableCell","attrs":{"localId":"f310a134c182"},"content":[{"type":"paragraph","content":[{"type":"text","text":"1220"}],"attrs":{"localId":"3921d564c916"}}]},{"type":"tableCell","attrs":{"localId":"7f243b8d9231"},"content":[{"type":"paragraph","content":[{"type":"text","text":"169"}],"attrs":{"localId":"d6852c3b3f3c"}}]}]},{"type":"tableRow","attrs":{"localId":"d397c7b8bf69"},"content":[{"type":"tableCell","attrs":{"localId":"ffba4694058d","background":"white"},"content":[{"type":"paragraph","content":[{"type":"text","text":"Uploaded"}],"attrs":{"localId":"76fc7ef077a0"}}]},{"type":"tableCell","attrs":{"localId":"aa011272e777"},"content":[{"type":"paragraph","content":[{"type":"text","text":"72"}],"attrs":{"localId":"edf0c8ff782a"}}]},{"type":"tableCell","attrs":{"localId":"1a666c99bf74"},"content":[{"type":"paragraph","content":[{"type":"text","text":"10"}],"attrs":{"localId":"af8a969fa074"}}]}]},{"type":"tableRow","attrs":{"localId":"1ade7fc2feef"},"content":[{"type":"tableCell","attrs":{"localId":"924d3a65eb1f","background":"white"},"content":[{"type":"paragraph","content":[{"type":"text","text":"Already Listed"}],"attrs":{"localId":"be2edaf3e2c3"}}]},{"type":"tableCell","attrs":{"localId":"5e50d8efe028"},"content":[{"type":"paragraph","content":[{"type":"text","text":"1139"}],"attrs":{"localId":"13c97145931f"}}]},{"type":"tableCell","attrs":{"localId":"ac650f09cd5d"},"content":[{"type":"paragraph","content":[{"type":"text","text":"159"}],"attrs":{"localId":"91dc3b700634"}}]}]},{"type":"tableRow","attrs":{"localId":"d58dab575f12"},"content":[{"type":"tableCell","attrs":{"localId":"4e844c3afb73","background":"white"},"content":[{"type":"paragraph","content":[{"type":"text","text":"SKUs not uploaded"}],"attrs":{"localId":"06d482f3d61d"}}]},{"type":"tableCell","attrs":{"localId":"f50d5625d7eb"},"content":[{"type":"paragraph","content":[{"type":"text","text":"9"}],"attrs":{"localId":"295bcc8df9c2"}}]},{"type":"tableCell","attrs":{"localId":"0f58b8d734a9"},"content":[{"type":"paragraph","content":[{"type":"text","text":"0"}],"attrs":{"localId":"553ea6750b96"}}]}]},{"type":"tableRow","attrs":{"localId":"93c66f76fd1d"},"content":[{"type":"tableCell","attrs":{"localId":"fc78444df9db","background":"white"},"content":[{"type":"paragraph","content":[{"type":"text","text":"LIDs Shared"}],"attrs":{"localId":"c84944d434b0"}}]},{"type":"tableCell","attrs":{"localId":"58aeb243bbe6"},"content":[{"type":"paragraph","content":[{"type":"text","text":"72"}],"attrs":{"localId":"7fedb471cfef"}}]},{"type":"tableCell","attrs":{"localId":"87d97b57da0c"},"content":[{"type":"paragraph","content":[{"type":"text","text":"10"}],"attrs":{"localId":"f447c5c907cd"}}]}]},{"type":"tableRow","attrs":{"localId":"18fa8a0c4d7b"},"content":[{"type":"tableCell","attrs":{"localId":"8c9efc336472","background":"white"},"content":[{"type":"paragraph","content":[{"type":"text","text":"LIDs Stuck in the System"}],"attrs":{"localId":"39366eaaeae4"}}]},{"type":"tableCell","attrs":{"localId":"8a18ad14b0ce"},"content":[{"type":"paragraph","content":[{"type":"text","text":"0"}],"attrs":{"localId":"bbd9282c5860"}}]},{"type":"tableCell","attrs":{"localId":"f1ab66c9c360"},"content":[{"type":"paragraph","content":[{"type":"text","text":"0"}],"attrs":{"localId":"ebc38e92870f"}}]}]}]}
{adf}
With this, we are closing this request from our end.
Thank you for your patience, support, and cooperation throughout the process. Your brand is important to us, and we look forward to assisting you again.</t>
  </si>
  <si>
    <t>Date :08/04/2026 &lt;Ticket picked for pre processing Option 1 Sku 1&gt; &lt;Biplab&gt;;Date :08/04/2026 &lt;Ticket picked for Production and QC review Option 1 Sku 1 Content Done Image WIP&gt; &lt;Biplab Sarkar&gt;;Date :08/05/2026 &lt;Ticket picked for Production and QC review Option 1 Sku 1 Content Done Image WIP Upload Pending&gt; &lt;Biplab Sarkar&gt;;Date :08/06/2026 &lt;Ticket picked for Production and QC review Option 1 Sku 1 Content Done Image WIP Upload Pending&gt; &lt;Biplab Sarkar&gt;;Date :08/06/2026 &lt;Ticket has been successfully uploaded in our system. Option 1 Sku 1&gt; &lt;Biplab Sarkar&gt;;Date :08/07/2026 &lt;Ticket has been successfully uploaded in our system. Option 1 Sku 1&gt; &lt;Biplab Sarkar&gt;;Date :MM/DD/YYYY &lt;Images ant Title are reflecting successfully on PDP. Option 1 Sku 1&gt; &lt;Biplab Sarkar&gt;</t>
  </si>
  <si>
    <t>Date :08/04/2026 &lt;Ticket picked for pre processing Option 1451 Sku 1451&gt; &lt;Biplab&gt;;Date :08/04/2026&lt;Ticket has been successfully uploaded in our system through PCM, Net Weight not found Gross weight updated. Option 1451 Sku 1451&gt; &lt;Biplab Sarkar&gt;;The gross weight has been successfully reflected for 1,439 SKUs. However, for 12 SKUs, this  is showing an “Invalid Attribute” error, and the products are currently unavailable.
Therefore, we are closing this ticket for now. For the 12 affected SKUs, we have created a sub-task and raised an L1 ticket for further investigation. We have also attached  sheet for your reference
L1 ticket Link-[https://tatacliqhelpdesk.freshservice.com/support/tickets/225396|https://tatacliqhelpdesk.freshservice.com/support/tickets/225396]</t>
  </si>
  <si>
    <t xml:space="preserve">Date : 3th july 2026 Size Chart creation[^Fabindia-Bangle.csv] ;!image-20260804-073953.png|width=691,alt="image-20260804-073953.png"!;Date : 4th Aug QC &amp; Uploaded Done-Mousmi
PFA the Summary &amp; Post-Uploaded Sheet[^Summary.zip] [^UCW-35427 Post Upload Status_V.2 (1).xlsx]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a973bb9-7441-4123-93aa-3e3143e7a407"},"content":[{"type":"tableRow","attrs":{"localId":"551a79538a22"},"content":[{"type":"tableCell","attrs":{"localId":"352cdb11dead","background":"#44b3e1"},"content":[{"type":"paragraph","content":[{"type":"text","text":"Ticket ID","marks":[{"type":"strong"}]}],"attrs":{"localId":"2aa678a57c91"}}]},{"type":"tableCell","attrs":{"localId":"62b51810105a","colspan":2,"background":"#44b3e1"},"content":[{"type":"paragraph","content":[{"type":"text","text":"UCW-35427","marks":[{"type":"strong"}]}],"attrs":{"localId":"a2a151c87332"}}]}]},{"type":"tableRow","attrs":{"localId":"c6bc3910e5a9"},"content":[{"type":"tableCell","attrs":{"localId":"42e0c345e93d","background":"#44b3e1"},"content":[{"type":"paragraph","content":[{"type":"text","text":"Brand Name","marks":[{"type":"strong"}]}],"attrs":{"localId":"15695395ffde"}}]},{"type":"tableCell","attrs":{"localId":"7f206a8bbe6f","colspan":2,"background":"#44b3e1"},"content":[{"type":"paragraph","content":[{"type":"text","text":"Fab India","marks":[{"type":"strong"}]}],"attrs":{"localId":"a972110a8a27"}}]}]},{"type":"tableRow","attrs":{"localId":"2d41f0e81473"},"content":[{"type":"tableCell","attrs":{"localId":"26876e35ce0d","background":"#ace5fe"},"content":[{"type":"paragraph","content":[{"type":"text","text":"Platform","marks":[{"type":"strong"}]}],"attrs":{"localId":"09f563f3880f"}}]},{"type":"tableCell","attrs":{"localId":"6a0b04078eee","colspan":2,"background":"#ace5fe"},"content":[{"type":"paragraph","content":[{"type":"text","text":"Mall","marks":[{"type":"strong"}]}],"attrs":{"localId":"eb22a9da3017"}}]}]},{"type":"tableRow","attrs":{"localId":"82c2a7b77efa"},"content":[{"type":"tableCell","attrs":{"localId":"412f105b1749","background":"#ace5fe"},"content":[{"type":"paragraph","content":[{"type":"text","text":"Particulars","marks":[{"type":"strong"}]}],"attrs":{"localId":"4f997df0a51f"}}]},{"type":"tableCell","attrs":{"localId":"36753b1502ec","background":"#ace5fe"},"content":[{"type":"paragraph","content":[{"type":"text","text":"SKU Count","marks":[{"type":"strong"}]}],"attrs":{"localId":"abe0648c35d8"}}]},{"type":"tableCell","attrs":{"localId":"acbdd51ad86f","background":"#ace5fe"},"content":[{"type":"paragraph","content":[{"type":"text","text":"Option Count","marks":[{"type":"strong"}]}],"attrs":{"localId":"77a67d4939cb"}}]}]},{"type":"tableRow","attrs":{"localId":"3977c68fd3ff"},"content":[{"type":"tableCell","attrs":{"localId":"403ced6edd62","background":"white"},"content":[{"type":"paragraph","content":[{"type":"text","text":"Received"}],"attrs":{"localId":"ae81f4cd3f7c"}}]},{"type":"tableCell","attrs":{"localId":"d2e8b2ec0396"},"content":[{"type":"paragraph","content":[{"type":"text","text":"31"}],"attrs":{"localId":"150e9c19a7ea"}}]},{"type":"tableCell","attrs":{"localId":"52537930dbf4"},"content":[{"type":"paragraph","content":[{"type":"text","text":"30"}],"attrs":{"localId":"5bfcb13c1b59"}}]}]},{"type":"tableRow","attrs":{"localId":"b111bbe6433d"},"content":[{"type":"tableCell","attrs":{"localId":"e13137832f67","background":"white"},"content":[{"type":"paragraph","content":[{"type":"text","text":"Uploaded"}],"attrs":{"localId":"e5ad1cb81342"}}]},{"type":"tableCell","attrs":{"localId":"51a89e4036ee"},"content":[{"type":"paragraph","content":[{"type":"text","text":"31"}],"attrs":{"localId":"470b216fea9d"}}]},{"type":"tableCell","attrs":{"localId":"43a1fdc7cf04"},"content":[{"type":"paragraph","content":[{"type":"text","text":"30"}],"attrs":{"localId":"dedce49b52f7"}}]}]},{"type":"tableRow","attrs":{"localId":"2d74d6b3f09d"},"content":[{"type":"tableCell","attrs":{"localId":"c8a8282bcf44","background":"white"},"content":[{"type":"paragraph","content":[{"type":"text","text":"LIDs Shared"}],"attrs":{"localId":"c0b8836aa6d2"}}]},{"type":"tableCell","attrs":{"localId":"2f12a903f931"},"content":[{"type":"paragraph","content":[{"type":"text","text":"31"}],"attrs":{"localId":"eb4d269f9bba"}}]},{"type":"tableCell","attrs":{"localId":"4f61275c5ba9"},"content":[{"type":"paragraph","content":[{"type":"text","text":"30"}],"attrs":{"localId":"8086aa55749d"}}]}]},{"type":"tableRow","attrs":{"localId":"2c4941436da5"},"content":[{"type":"tableCell","attrs":{"localId":"b558cd02f47d","background":"white"},"content":[{"type":"paragraph","content":[{"type":"text","text":"LIDs Stuck in the System"}],"attrs":{"localId":"340464c725ab"}}]},{"type":"tableCell","attrs":{"localId":"1d0004d0542e"},"content":[{"type":"paragraph","content":[{"type":"text","text":"0"}],"attrs":{"localId":"1b185802c5b7"}}]},{"type":"tableCell","attrs":{"localId":"4697e4a3f10f"},"content":[{"type":"paragraph","content":[{"type":"text","text":"0"}],"attrs":{"localId":"0c1b8dba8b54"}}]}]}]}
{adf}
With this, we are closing this request from our end.
Thank you for your patience, support, and cooperation throughout the process. Your brand is important to us, and we look forward to assisting you again."[^UCW-35427 Post Upload Status.xlsx] </t>
  </si>
  <si>
    <t>Date :08/03/2026 &lt;Ticket picked for pre processing Option 52 Sku 198&gt; &lt;Ankita&gt;;Date :08/03/2026 &lt;Pre Processing query to Brand &lt;Duplicate SKU&gt;&gt; &lt;Ankita&gt;;Date :08/03/2026 &lt;Ticket picked for Production and QC review Option 52 Sku 198&gt; &lt;Ankita&gt;;Date :08/03/2026 &lt;Pre Processing query to Brand &lt;Image Query&gt;&gt; &lt;Ankita&gt;;Date :08/05/2026 &lt;Ticket has been successfully uploaded in our system. Additionally, we observed that there are some *cut size additions* in the *Women's* sheet. However, two SKUs within the respective cluster are already listed under the *Men's L4* category.
{color:#ffffff}__{color}
|CL4466|
|CL72797|
|CL24953|
|CL43738|
|CL71992|
|CL43739|
|CL24953|
|CL43740|
|CL50838|
|CL71999|
Option 49 Sku 183&gt; &lt;Ankita&gt;[^Post Upload Status_V.2 (1).xlsx] [^Summary.zip] ;[^UCW-35421.xlsx]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0ff8061-dce4-4fc8-8235-d286173da994"},"content":[{"type":"tableRow","attrs":{"localId":"def310b9b7de"},"content":[{"type":"tableCell","attrs":{"localId":"f8d52ca00502","background":"#44b3e1"},"content":[{"type":"paragraph","content":[{"type":"text","text":"Ticket ID","marks":[{"type":"strong"}]}],"attrs":{"localId":"8d359ab02474"}}]},{"type":"tableCell","attrs":{"localId":"1c55f41d0c8e","colspan":2,"background":"#44b3e1"},"content":[{"type":"paragraph","content":[{"type":"text","text":"UCW-35421","marks":[{"type":"strong"}]}],"attrs":{"localId":"3a00f7b53109"}}]}]},{"type":"tableRow","attrs":{"localId":"d5e660ad94b4"},"content":[{"type":"tableCell","attrs":{"localId":"ed12f0cb0beb","background":"#44b3e1"},"content":[{"type":"paragraph","content":[{"type":"text","text":"Brand Name","marks":[{"type":"strong"}]}],"attrs":{"localId":"c80a2bfca807"}}]},{"type":"tableCell","attrs":{"localId":"bb87867ba914","colspan":2,"background":"#44b3e1"},"content":[{"type":"paragraph","content":[{"type":"text","text":"ON","marks":[{"type":"strong"}]}],"attrs":{"localId":"b13da2df2308"}}]}]},{"type":"tableRow","attrs":{"localId":"982370cfe35e"},"content":[{"type":"tableCell","attrs":{"localId":"0817837cb8aa","background":"#ace5fe"},"content":[{"type":"paragraph","content":[{"type":"text","text":"Platform","marks":[{"type":"strong"}]}],"attrs":{"localId":"31b689967226"}}]},{"type":"tableCell","attrs":{"localId":"0548c8f36c61","colspan":2,"background":"#ace5fe"},"content":[{"type":"paragraph","content":[{"type":"text","text":"Luxury","marks":[{"type":"strong"}]}],"attrs":{"localId":"7b34e0d259ee"}}]}]},{"type":"tableRow","attrs":{"localId":"c48c69ac1faf"},"content":[{"type":"tableCell","attrs":{"localId":"1bce77c90344","background":"#ace5fe"},"content":[{"type":"paragraph","content":[{"type":"text","text":"Particulars","marks":[{"type":"strong"}]}],"attrs":{"localId":"bdded5f33aa0"}}]},{"type":"tableCell","attrs":{"localId":"685198e4feb1","background":"#ace5fe"},"content":[{"type":"paragraph","content":[{"type":"text","text":"SKU Count","marks":[{"type":"strong"}]}],"attrs":{"localId":"30b36007a657"}}]},{"type":"tableCell","attrs":{"localId":"7a235cbd8c23","background":"#ace5fe"},"content":[{"type":"paragraph","content":[{"type":"text","text":"Option Count","marks":[{"type":"strong"}]}],"attrs":{"localId":"44a41659aa53"}}]}]},{"type":"tableRow","attrs":{"localId":"8ace9a351185"},"content":[{"type":"tableCell","attrs":{"localId":"923df32a6d5d","background":"white"},"content":[{"type":"paragraph","content":[{"type":"text","text":"Received"}],"attrs":{"localId":"175e6e281c8c"}}]},{"type":"tableCell","attrs":{"localId":"d34cb14c3051"},"content":[{"type":"paragraph","content":[{"type":"text","text":"198"}],"attrs":{"localId":"e4bc5cfdbfbb"}}]},{"type":"tableCell","attrs":{"localId":"f923c4037f8d"},"content":[{"type":"paragraph","content":[{"type":"text","text":"52"}],"attrs":{"localId":"c0f548fd4fef"}}]}]},{"type":"tableRow","attrs":{"localId":"51d16652cf93"},"content":[{"type":"tableCell","attrs":{"localId":"d1a2225f2825","background":"white"},"content":[{"type":"paragraph","content":[{"type":"text","text":"Uploaded"}],"attrs":{"localId":"e83c0778c134"}}]},{"type":"tableCell","attrs":{"localId":"a9052fb3d3be"},"content":[{"type":"paragraph","content":[{"type":"text","text":"178"}],"attrs":{"localId":"272f4c36e7a5"}}]},{"type":"tableCell","attrs":{"localId":"154182c6fd5c"},"content":[{"type":"paragraph","content":[{"type":"text","text":"48"}],"attrs":{"localId":"31e87551f1f8"}}]}]},{"type":"tableRow","attrs":{"localId":"621a6f340e04"},"content":[{"type":"tableCell","attrs":{"localId":"afa3eea400d3","background":"white"},"content":[{"type":"paragraph","content":[{"type":"text","text":"Already Listed"}],"attrs":{"localId":"6b33697ab9f3"}}]},{"type":"tableCell","attrs":{"localId":"67752262bd3e"},"content":[{"type":"paragraph","content":[{"type":"text","text":"2"}],"attrs":{"localId":"953b1e4ea2bb"}}]},{"type":"tableCell","attrs":{"localId":"e383eec1db9a"},"content":[{"type":"paragraph","content":[{"type":"text","text":"2"}],"attrs":{"localId":"3e58f84f2638"}}]}]},{"type":"tableRow","attrs":{"localId":"c66435bd6a4c"},"content":[{"type":"tableCell","attrs":{"localId":"a293f951dd2b","background":"white"},"content":[{"type":"paragraph","content":[{"type":"text","text":"SKUs not uploaded"}],"attrs":{"localId":"364cd389b361"}}]},{"type":"tableCell","attrs":{"localId":"cf7de132b8dd"},"content":[{"type":"paragraph","content":[{"type":"text","text":"18"}],"attrs":{"localId":"03f18d4d9476"}}]},{"type":"tableCell","attrs":{"localId":"b491f2a5b53c"},"content":[{"type":"paragraph","content":[{"type":"text","text":"4"}],"attrs":{"localId":"6cebdfc3baa3"}}]}]},{"type":"tableRow","attrs":{"localId":"668ba6517c6a"},"content":[{"type":"tableCell","attrs":{"localId":"9b1edf8ebf38","background":"white"},"content":[{"type":"paragraph","content":[{"type":"text","text":"LIDs Shared"}],"attrs":{"localId":"952e2ada34e2"}}]},{"type":"tableCell","attrs":{"localId":"40dd0f805399"},"content":[{"type":"paragraph","content":[{"type":"text","text":"178"}],"attrs":{"localId":"f7e3b7e65f88"}}]},{"type":"tableCell","attrs":{"localId":"89129937cfd7"},"content":[{"type":"paragraph","content":[{"type":"text","text":"48"}],"attrs":{"localId":"5cf24bb575a3"}}]}]},{"type":"tableRow","attrs":{"localId":"d8e5c9e0d826"},"content":[{"type":"tableCell","attrs":{"localId":"5cea76161f37","background":"white"},"content":[{"type":"paragraph","content":[{"type":"text","text":"LIDs Stuck in the System"}],"attrs":{"localId":"78dd30685041"}}]},{"type":"tableCell","attrs":{"localId":"cb88a603caf7"},"content":[{"type":"paragraph","content":[{"type":"text","text":"0"}],"attrs":{"localId":"1e46d4c6ec12"}}]},{"type":"tableCell","attrs":{"localId":"7cdb47883a76"},"content":[{"type":"paragraph","content":[{"type":"text","text":"0"}],"attrs":{"localId":"f1bc4b20c2a5"}}]}]}]}
{adf}
With this, we are closing this request from our end.
Thank you for your patience, support, and cooperation throughout the process. Your brand is important to us, and we look forward to assisting you again.</t>
  </si>
  <si>
    <t>Silvostyle by PNG</t>
  </si>
  <si>
    <t xml:space="preserve">Date : 3rd Aug, 2026 This ticket has been picked for Pre-Processing and Image Analysis -Mousumi. 
Date : 3rd Aug, 2026 pre-processing Done( Brand to Query for Images Query &amp; Size Chart Query)
;Date : 4th Aug ,2026  1st followup Done;*Image deliver - Date :08/04/2026 &lt;Images Delivered Processed Options 739 Rejected Options 249&gt; &lt;Saswati Dey&gt;*;Date : 5th Aug ,2026 2nd followup Done ;Date : 7th Aug ,2026 Brand will share the details by EOD.;Date : 7th Aug ,2026 Size Chart Creation[^Silvostyle by PNG.csv] </t>
  </si>
  <si>
    <t>Date :08/04/26 &lt;Ticket picked for pre processing Option 78 Sku 468&gt; &lt;Ankita&gt;;Date :08/04/26&lt;Ticket picked for Production and QC review Option 78 Sku 468&gt; &lt;Ankita&gt;; 
*Image deliver - Date :08/04/2026 &lt;Images Delivered Processed Options 77 Rejected Options 1&gt; &lt;Saswati Dey&gt;*;Date :08/05/2026 &lt;Ticket has been successfully uploaded in our system. Option 78 Sku 468&gt; &lt;Ishani&gt;
[^Summary.zip] [^Post Upload Status_V.2 (1) (1).xlsx]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1318bf6f-cb84-4256-ba6d-60ee935a9f8a"},"content":[{"type":"tableRow","attrs":{"localId":"c0c06970b3cc"},"content":[{"type":"tableCell","attrs":{"localId":"c3ec8a5e0de2","background":"#44b3e1"},"content":[{"type":"paragraph","content":[{"type":"text","text":"Ticket ID","marks":[{"type":"strong"}]}],"attrs":{"localId":"4cdf6b3b470d"}}]},{"type":"tableCell","attrs":{"localId":"419c0a68ee94","colspan":2,"background":"#44b3e1"},"content":[{"type":"paragraph","content":[{"type":"text","text":"UCW-35410","marks":[{"type":"strong"}]}],"attrs":{"localId":"04d9f67373be"}}]}]},{"type":"tableRow","attrs":{"localId":"512b869bfa97"},"content":[{"type":"tableCell","attrs":{"localId":"4a932c35066f","background":"#44b3e1"},"content":[{"type":"paragraph","content":[{"type":"text","text":"Brand Name","marks":[{"type":"strong"}]}],"attrs":{"localId":"380822c5a36a"}}]},{"type":"tableCell","attrs":{"localId":"e72f51b9eb50","colspan":2,"background":"#44b3e1"},"content":[{"type":"paragraph","content":[{"type":"text","text":"TRYME","marks":[{"type":"strong"}]}],"attrs":{"localId":"c010bce83a18"}}]}]},{"type":"tableRow","attrs":{"localId":"6c77d80c1a7d"},"content":[{"type":"tableCell","attrs":{"localId":"3133ac01bb22","background":"#ace5fe"},"content":[{"type":"paragraph","content":[{"type":"text","text":"Platform","marks":[{"type":"strong"}]}],"attrs":{"localId":"cf187b572927"}}]},{"type":"tableCell","attrs":{"localId":"6496bb6fde55","colspan":2,"background":"#ace5fe"},"content":[{"type":"paragraph","content":[{"type":"text","text":"Mall","marks":[{"type":"strong"}]}],"attrs":{"localId":"ed696b095cdc"}}]}]},{"type":"tableRow","attrs":{"localId":"ad3138cbea3f"},"content":[{"type":"tableCell","attrs":{"localId":"374ad36a95f0","background":"#ace5fe"},"content":[{"type":"paragraph","content":[{"type":"text","text":"Particulars","marks":[{"type":"strong"}]}],"attrs":{"localId":"016e29a6f776"}}]},{"type":"tableCell","attrs":{"localId":"ef8ba3f14aee","background":"#ace5fe"},"content":[{"type":"paragraph","content":[{"type":"text","text":"SKU Count","marks":[{"type":"strong"}]}],"attrs":{"localId":"327a2abb5250"}}]},{"type":"tableCell","attrs":{"localId":"de13a8876a0c","background":"#ace5fe"},"content":[{"type":"paragraph","content":[{"type":"text","text":"Option Count","marks":[{"type":"strong"}]}],"attrs":{"localId":"f1f2520f0c09"}}]}]},{"type":"tableRow","attrs":{"localId":"4c605ca325c1"},"content":[{"type":"tableCell","attrs":{"localId":"04130906fd1f","background":"white"},"content":[{"type":"paragraph","content":[{"type":"text","text":"Received"}],"attrs":{"localId":"2c58c2bd9dc7"}}]},{"type":"tableCell","attrs":{"localId":"610f881684e2"},"content":[{"type":"paragraph","content":[{"type":"text","text":"468"}],"attrs":{"localId":"2a38d06df8f9"}}]},{"type":"tableCell","attrs":{"localId":"371900cd0e60"},"content":[{"type":"paragraph","content":[{"type":"text","text":"78"}],"attrs":{"localId":"160249479efe"}}]}]},{"type":"tableRow","attrs":{"localId":"a600eedf9489"},"content":[{"type":"tableCell","attrs":{"localId":"f1b9e1c999de","background":"white"},"content":[{"type":"paragraph","content":[{"type":"text","text":"Uploaded"}],"attrs":{"localId":"ebaea044cded"}}]},{"type":"tableCell","attrs":{"localId":"4c6d42ca7e0f"},"content":[{"type":"paragraph","content":[{"type":"text","text":"468"}],"attrs":{"localId":"8d5292d62986"}}]},{"type":"tableCell","attrs":{"localId":"4b4cb7ba5e38"},"content":[{"type":"paragraph","content":[{"type":"text","text":"78"}],"attrs":{"localId":"52c01790d9c0"}}]}]},{"type":"tableRow","attrs":{"localId":"82f145c722e0"},"content":[{"type":"tableCell","attrs":{"localId":"34eca1f1b878","background":"white"},"content":[{"type":"paragraph","content":[{"type":"text","text":"LIDs Shared"}],"attrs":{"localId":"ae3e88885edf"}}]},{"type":"tableCell","attrs":{"localId":"06fc8afb71ac"},"content":[{"type":"paragraph","content":[{"type":"text","text":"467"}],"attrs":{"localId":"215d75d02dd1"}}]},{"type":"tableCell","attrs":{"localId":"b419de17a3ae"},"content":[{"type":"paragraph","content":[{"type":"text","text":"78"}],"attrs":{"localId":"38850ba23591"}}]}]},{"type":"tableRow","attrs":{"localId":"71e1397d0472"},"content":[{"type":"tableCell","attrs":{"localId":"a94ae44327d7","background":"white"},"content":[{"type":"paragraph","content":[{"type":"text","text":"LIDs Stuck in the System"}],"attrs":{"localId":"259b34d9a216"}}]},{"type":"tableCell","attrs":{"localId":"756839e77121"},"content":[{"type":"paragraph","content":[{"type":"text","text":"1"}],"attrs":{"localId":"83c8fa5d0ec5"}}]},{"type":"tableCell","attrs":{"localId":"d52e91d816ae"},"content":[{"type":"paragraph","content":[{"type":"text","text":"0"}],"attrs":{"localId":"fb6d4745120e"}}]}]}]}
{adf}
Thank you for your patience, support, and cooperation throughout the process. Your brand is important to us, and we look forward to assisting you again.[^UCW-35410.xlsx] ;[^127573_SKUEDITRETRIGGER__Sandal(MPH1312101100)_20260806_014647_538_summary.csv]
Retriggered Done Now its in SFA</t>
  </si>
  <si>
    <t>Colour Rectificaiton needed of the product, currently this is WIP</t>
  </si>
  <si>
    <t>UCW-36130</t>
  </si>
  <si>
    <t>CLONE - Error_Weekly Consolidated QC Report (1 July – 13 July) | Agency Name -  Netscribes</t>
  </si>
  <si>
    <t>UCW-36126</t>
  </si>
  <si>
    <t>CLONE - MMTC | Product Details and Images for Pendants | Addoc | 3skus</t>
  </si>
  <si>
    <t>UCW-36122</t>
  </si>
  <si>
    <t>UCW-36113</t>
  </si>
  <si>
    <t xml:space="preserve">Puig GWP Cataloguing 12.08.26 </t>
  </si>
  <si>
    <t>UCW-36110</t>
  </si>
  <si>
    <t xml:space="preserve"> Lakme - Buying Listings - 25 June 2026</t>
  </si>
  <si>
    <t>UCW-36107</t>
  </si>
  <si>
    <t>Urgent EAN change Request</t>
  </si>
  <si>
    <t>UCW-36104</t>
  </si>
  <si>
    <t>Benetton Tata CLiQ  Apparel Templates - Request to Go Live</t>
  </si>
  <si>
    <t>UCW-36103</t>
  </si>
  <si>
    <t>Tata-cliq polki file</t>
  </si>
  <si>
    <t>UCW-36093</t>
  </si>
  <si>
    <t>Fragrance Du Bois Catalogiung</t>
  </si>
  <si>
    <t>UCW-36087</t>
  </si>
  <si>
    <t>UCW-36081</t>
  </si>
  <si>
    <t>Charles &amp; Keith_Footwear_125610_11thAug'26 (Batch 16)</t>
  </si>
  <si>
    <t>UCW-36076</t>
  </si>
  <si>
    <t>Silver Rakhi</t>
  </si>
  <si>
    <t>UCW-36073</t>
  </si>
  <si>
    <t>CLONE - Sub task - Seller Code: 129357 | Brand: Converse | Request for Size Addition to Existing Style Code</t>
  </si>
  <si>
    <t>UCW-36072</t>
  </si>
  <si>
    <t>Error_Seller Code: 129357 | Brand: Converse | Request for Size Addition to Existing Style Code</t>
  </si>
  <si>
    <t>UCW-36068</t>
  </si>
  <si>
    <t>URGENT IMAGE UPDATION - D&amp;G</t>
  </si>
  <si>
    <t>UCW-36063</t>
  </si>
  <si>
    <t>TataCliq: New 18 Women's Sandals Category Articles</t>
  </si>
  <si>
    <t>UCW-36053</t>
  </si>
  <si>
    <t>CLONE - Campus x Tatacliq ~ New Listing_24.07.2026</t>
  </si>
  <si>
    <t>UCW-36047</t>
  </si>
  <si>
    <t>CLONE - Error_Puma | Title &amp; Images Mismatch | Sneakers</t>
  </si>
  <si>
    <t>Addrita Mukherjee</t>
  </si>
  <si>
    <t>UCW-36037</t>
  </si>
  <si>
    <t>New Listing Details – Re'equil Moisturisers (50 g)</t>
  </si>
  <si>
    <t>UCW-36032</t>
  </si>
  <si>
    <t>SKU EAN Updates &amp; Stock Activation (Primespot) - L'Occitane (New) Pending SKUs</t>
  </si>
  <si>
    <t>UCW-36031</t>
  </si>
  <si>
    <t>Health and Wellness - Luxury Platform Addition Task</t>
  </si>
  <si>
    <t>UCW-36029</t>
  </si>
  <si>
    <t>Pepe Jeans -48-8-Aw26 - 11-08-2026</t>
  </si>
  <si>
    <t>UCW-36023</t>
  </si>
  <si>
    <t>UCW-36022</t>
  </si>
  <si>
    <t>D&amp;G Certificate Updation</t>
  </si>
  <si>
    <t>UCW-36017</t>
  </si>
  <si>
    <t>UCW-36014</t>
  </si>
  <si>
    <t>New Sku Listing - Nuna (Aarete Marketing LLP 128412-AAR001)</t>
  </si>
  <si>
    <t>UCW-36011</t>
  </si>
  <si>
    <t>Title &amp; Image Update | Alexandre Christie | 127506 | 11.08.2026</t>
  </si>
  <si>
    <t>UCW-36009</t>
  </si>
  <si>
    <t>Asian Footwear listing 11 Aug 2026</t>
  </si>
  <si>
    <t>UCW-36005</t>
  </si>
  <si>
    <t>New Listing - Touch925 (63 SKUs)</t>
  </si>
  <si>
    <t>UCW-36003</t>
  </si>
  <si>
    <t>New Catalog Jewellery_Biba_11-08-2026</t>
  </si>
  <si>
    <t>CATALOG REASSIGN</t>
  </si>
  <si>
    <t>UCW-35989</t>
  </si>
  <si>
    <t>Tata Cliq: Rosemary Shampoo &amp; Rosemary Serum Update details</t>
  </si>
  <si>
    <t>UCW-35987</t>
  </si>
  <si>
    <t>UCW-35985</t>
  </si>
  <si>
    <t>Libas Apparel 127532 07-08-2026 ( 2026_07_13_AW'26  Campaign _ catalogue )</t>
  </si>
  <si>
    <t>UCW-35984</t>
  </si>
  <si>
    <t>CLONE - Request for for New Product Listing</t>
  </si>
  <si>
    <t>UCW-35974</t>
  </si>
  <si>
    <t>Amouage: New EAN's (Cataloging information retriggering)</t>
  </si>
  <si>
    <t>UCW-35972</t>
  </si>
  <si>
    <t>AW'26 Footwear Templates for Fresh Listing - Onitsuka Tiger ( Lot-2 )</t>
  </si>
  <si>
    <t>UCW-35967</t>
  </si>
  <si>
    <t>TATA Armaf Cataloguing 10th Aug'26</t>
  </si>
  <si>
    <t>UCW-35966</t>
  </si>
  <si>
    <t>Tara C Tara - 126313 - 10-08-2026 - Co-ord set &amp; Suit Sets Collection</t>
  </si>
  <si>
    <t>UCW-35960</t>
  </si>
  <si>
    <t>New Rakhi Catalogue - 10-08-2026</t>
  </si>
  <si>
    <t>UCW-35955</t>
  </si>
  <si>
    <t>Women's Bra , Panty, Loungewear – “Clovia” – 8 August , 2026 - Tatacliq Catalog</t>
  </si>
  <si>
    <t>Code Created- Agency Production QC</t>
  </si>
  <si>
    <t>UCW-35950</t>
  </si>
  <si>
    <t>Lakme | EAN-CIC Mismatch Transitions</t>
  </si>
  <si>
    <t>UCW-35949</t>
  </si>
  <si>
    <t>Image update</t>
  </si>
  <si>
    <t>UCW-35947</t>
  </si>
  <si>
    <t>GNC new listings</t>
  </si>
  <si>
    <t>UCW-35944</t>
  </si>
  <si>
    <t>Tata Shiseido Portfolio – Launch &amp; Operational Alignment</t>
  </si>
  <si>
    <t>UCW-35939</t>
  </si>
  <si>
    <t>ADHOC-VANTIER SHOES - Footwear - 10/07/2026 - 200 SKUs</t>
  </si>
  <si>
    <t>UCW-35938</t>
  </si>
  <si>
    <t>CLONED-VANTIER SHOES - Footwear - 10/07/2026 - 200 SKUs</t>
  </si>
  <si>
    <t>UCW-35922</t>
  </si>
  <si>
    <t>Tatacliq - 101 BIOTOP</t>
  </si>
  <si>
    <t>UCW-35920</t>
  </si>
  <si>
    <t>Outzidr – Batch 16 – 39 Styles – SS26 – 10th August 2026</t>
  </si>
  <si>
    <t>UCW-35917</t>
  </si>
  <si>
    <t>New Listing - Touch925 (176 SKUs)</t>
  </si>
  <si>
    <t>UCW-35915</t>
  </si>
  <si>
    <t>New Catalogue Sheet- 10 Aug</t>
  </si>
  <si>
    <t>UCW-35910</t>
  </si>
  <si>
    <t>CLONE - CLONE - Nap Chief_Tata Cliq_Size addition Request_01.08.2026</t>
  </si>
  <si>
    <t>UCW-35907</t>
  </si>
  <si>
    <t>NEEMANS+FOOTWEAR+ 125173+ 10-08-2026</t>
  </si>
  <si>
    <t>UCW-35897</t>
  </si>
  <si>
    <t>CLONE - TataCliq: New NRGCT, LSFX-New Variants, VS-New Category, BH03, FL09 &amp; WG01 Sandals &amp; Formal Shoes</t>
  </si>
  <si>
    <t>UCW-35896</t>
  </si>
  <si>
    <t>CLONE - Palladium Footwear 129553, 129560 New Listing 68 SKU ( 11 Options ) 29/07/2026.</t>
  </si>
  <si>
    <t>UCW-35887</t>
  </si>
  <si>
    <t>Request to Update New Images for the Shared IDs (LE21 &amp; LE42)</t>
  </si>
  <si>
    <t>UCW-35875</t>
  </si>
  <si>
    <t>UCW-35874</t>
  </si>
  <si>
    <t>CLONE -  Image Replacement 146 options 30.07.2026</t>
  </si>
  <si>
    <t>UCW-35873</t>
  </si>
  <si>
    <t>UCW-35872</t>
  </si>
  <si>
    <t>New Listing - Catalog Sheet | 5 August 2026</t>
  </si>
  <si>
    <t>UCW-35869</t>
  </si>
  <si>
    <t>UCW-35868</t>
  </si>
  <si>
    <t>Mia Rakhi Collection</t>
  </si>
  <si>
    <t>UCW-35867</t>
  </si>
  <si>
    <t>Sub task - Seller Code: 129357 | Brand: Converse | Request for Size Addition to Existing Style Code</t>
  </si>
  <si>
    <t>UCW-35866</t>
  </si>
  <si>
    <t>CLONE - ALDO Footwear Catalog Submission (TC&amp;TCL) - 16.07.2025</t>
  </si>
  <si>
    <t>UCW-35862</t>
  </si>
  <si>
    <t>Handme - 23-06-2026 - 128668 - Fusion Wear</t>
  </si>
  <si>
    <t>Multiple Brands</t>
  </si>
  <si>
    <t>Total SKU Count - 64
Total Option Count - 55</t>
  </si>
  <si>
    <t>Date : 14th Aug, 2026 This ticket has been picked for Pre-Processing and Image Analysis -Mousumi. 
Date : 14th Aug, 2026  Pre-Processing Done Brand to Query-Mousumi</t>
  </si>
  <si>
    <t>FRAGRANCE DU BOIS</t>
  </si>
  <si>
    <t>Date :08/14/2026 &lt;Ticket picked for pre processing SKU 125783&gt; &lt;Tania&gt;;Date :08/14/2026 &lt;Pre Processing query to Brand &lt;Images Missing &amp; Analysis, HSN Details&gt;&gt; &lt;Tania&gt;</t>
  </si>
  <si>
    <t>Date :08/14/2026&lt;Ticket picked for pre processing Option 53 Sku 405&gt; &lt;Ankita&gt;;Date :08/14/2026&lt;Ticket picked for Production and QC review Option 53 Sku 405&gt; &lt;Ankita&gt;</t>
  </si>
  <si>
    <t>Date : 14th Aug, 2026 This ticket has been picked for Pre-Processing and Image Analysis -Mousumi.
Date : 14th Aug, 2026 Pre-Procssing Done( Brand to Query for weight, purity, certification,Warranty Type &amp; warranty Time)-Mousumi</t>
  </si>
  <si>
    <t>Date :08/04/2026 &lt;Ticket picked for pre processing Option 133 Sku 314&gt; &lt;Debabrata&gt;;Date :08/04/2026 &lt;Ticket picked for Production and QC review Option 133 Sku 314&gt; &lt;Ishani, Ankita &amp; Debabrata&gt;;Date :08/04/2026 &lt;Query for the age group&gt; &lt;Debabrata&gt;;Date :08/05/2026 &lt;1St Follow up: Query for the age group&gt; &lt;Debabrata&gt;;08/05/2026&lt; Cut Size Done&gt;&lt;Debabrata&gt;[^Converse_SizeAddition_TQ_(30Jul).xlsx] ;As per the requirement, we have successfully completed the Cut Size Addition and shared the Listing IDs for your reference.
7 SKUs are currently stuck in Rejected status, and we have already highlighted the issue to the Tech Team. Once the issue is resolved, we will inform you accordingly.
Tech Ticket: [https://tatacliqhelpdesk.freshservice.com/support/tickets/225529|https://tatacliqhelpdesk.freshservice.com/support/tickets/225529];Date:08/13/2026
&lt;Thank you for highlighting the issue.
We have analyzed the main ticket and understood that the requirement is related to cut-size addition, where our primary objective is to add the missing sizes correctly.
Now, our analysis, we found that for three L4 categories, the proper size chart is not available in the PDP/repository. Specifically, in L4 Men Shorts and Trackpants, the Top wear size chart is currently reflecting, which is incorrect. We would like to rectify this and create the correct size grid.
We checked the Brand's Own website for the available size grid and found sizes from XS to XL, but the XXL size is missing. Also, the Women’s Tops &amp; Tees size chart is not available in the proper format.
Therefore, could you please help us with the correct size-chart/grid for these categories, including the required XXL size? Once we receive the correct size chart, we will create the template and retrigger the process accordingly.&gt; &lt;Debabrata&gt;;Date: 08/14/2026 &lt;Pre Processing query to Brand &lt;We would like to request you to share the size chart grids to improve visibility and make it easier for customers to select the right size and purchase products with confidence.
Please Share the size grids for the following categories:
Men’s Shorts
Men’s Trackpants
Women’s Tops &amp; Tees&gt;&lt;Debabrata&gt;</t>
  </si>
  <si>
    <t>Date :08/13/2026 &lt;Pre Processing query to Brand &lt;Two image folder ,so clarification need what should we take&gt;&gt; &lt;Biplab Sarkar&gt;;Date :08/14/2026 &lt;Images are reflecting successfully on PDP. Option 32 Sku 32&gt; &lt;Biplab Sarkar&gt;</t>
  </si>
  <si>
    <t>Date :08/13/2026 &lt;Ticket picked for pre processing Option 18 Sku 108&gt; &lt;Ankita&gt;;Date :08/14/2026 &lt;Ticket has been successfully uploaded in our system. Option 18 Sku 108&gt; &lt;Ankita&gt;[^Summary.zip] [^Post Upload Status_V.2 (1).xlsx] ;[^UCW-36063.xlsx]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239db825-a52c-4293-987c-7dc3a0f8c11e"},"content":[{"type":"tableRow","attrs":{"localId":"5c27fafb71b8"},"content":[{"type":"tableCell","attrs":{"localId":"43a5f615f9ff","background":"#44b3e1"},"content":[{"type":"paragraph","content":[{"type":"text","text":"Ticket ID","marks":[{"type":"strong"}]}],"attrs":{"localId":"d341267b2b31"}}]},{"type":"tableCell","attrs":{"localId":"59950ceb90cb","colspan":2,"background":"#44b3e1"},"content":[{"type":"paragraph","content":[{"type":"text","text":"UCW-36063","marks":[{"type":"strong"}]}],"attrs":{"localId":"e6da53da6043"}}]}]},{"type":"tableRow","attrs":{"localId":"c2d19afb850b"},"content":[{"type":"tableCell","attrs":{"localId":"85b7f82177d4","background":"#44b3e1"},"content":[{"type":"paragraph","content":[{"type":"text","text":"Brand Name","marks":[{"type":"strong"}]}],"attrs":{"localId":"c1d1cbd0528b"}}]},{"type":"tableCell","attrs":{"localId":"ff0802b7c223","colspan":2,"background":"#44b3e1"},"content":[{"type":"paragraph","content":[{"type":"text","text":"Louis Stitch","marks":[{"type":"strong"}]}],"attrs":{"localId":"8a13fe6169c8"}}]}]},{"type":"tableRow","attrs":{"localId":"bff8d655da51"},"content":[{"type":"tableCell","attrs":{"localId":"db3a1cf03350","background":"#ace5fe"},"content":[{"type":"paragraph","content":[{"type":"text","text":"Platform","marks":[{"type":"strong"}]}],"attrs":{"localId":"c8d761397b08"}}]},{"type":"tableCell","attrs":{"localId":"38935ba9ee51","colspan":2,"background":"#ace5fe"},"content":[{"type":"paragraph","content":[{"type":"text","text":"Mall","marks":[{"type":"strong"}]}],"attrs":{"localId":"cb3905489b91"}}]}]},{"type":"tableRow","attrs":{"localId":"3dd25c7d9bbf"},"content":[{"type":"tableCell","attrs":{"localId":"30f35d3c6241","background":"#ace5fe"},"content":[{"type":"paragraph","content":[{"type":"text","text":"Particulars","marks":[{"type":"strong"}]}],"attrs":{"localId":"8fba01774b36"}}]},{"type":"tableCell","attrs":{"localId":"7a406da4316a","background":"#ace5fe"},"content":[{"type":"paragraph","content":[{"type":"text","text":"SKU Count","marks":[{"type":"strong"}]}],"attrs":{"localId":"1dedb3c4589c"}}]},{"type":"tableCell","attrs":{"localId":"4f4c8102ad28","background":"#ace5fe"},"content":[{"type":"paragraph","content":[{"type":"text","text":"Option Count","marks":[{"type":"strong"}]}],"attrs":{"localId":"641664058fe9"}}]}]},{"type":"tableRow","attrs":{"localId":"de1e3d631355"},"content":[{"type":"tableCell","attrs":{"localId":"e8d6d31093af","background":"white"},"content":[{"type":"paragraph","content":[{"type":"text","text":"Received"}],"attrs":{"localId":"35a4ee085ef0"}}]},{"type":"tableCell","attrs":{"localId":"e83fb48fa724"},"content":[{"type":"paragraph","content":[{"type":"text","text":"108"}],"attrs":{"localId":"b49a6dc6fa94"}}]},{"type":"tableCell","attrs":{"localId":"5c230c253bea"},"content":[{"type":"paragraph","content":[{"type":"text","text":"18"}],"attrs":{"localId":"f2375f1499de"}}]}]},{"type":"tableRow","attrs":{"localId":"2312aae2eeb5"},"content":[{"type":"tableCell","attrs":{"localId":"c2caa0a62284","background":"white"},"content":[{"type":"paragraph","content":[{"type":"text","text":"Uploaded"}],"attrs":{"localId":"9a10947c0559"}}]},{"type":"tableCell","attrs":{"localId":"8100e5674183"},"content":[{"type":"paragraph","content":[{"type":"text","text":"108"}],"attrs":{"localId":"819071862f3d"}}]},{"type":"tableCell","attrs":{"localId":"598b1389bdf6"},"content":[{"type":"paragraph","content":[{"type":"text","text":"18"}],"attrs":{"localId":"040ee36924d4"}}]}]},{"type":"tableRow","attrs":{"localId":"164d1f08246f"},"content":[{"type":"tableCell","attrs":{"localId":"d881249c5a28","background":"white"},"content":[{"type":"paragraph","content":[{"type":"text","text":"LIDs Shared"}],"attrs":{"localId":"c8548a62df6f"}}]},{"type":"tableCell","attrs":{"localId":"feec014a8fc8"},"content":[{"type":"paragraph","content":[{"type":"text","text":"108"}],"attrs":{"localId":"73e239dec8c8"}}]},{"type":"tableCell","attrs":{"localId":"837038a09f02"},"content":[{"type":"paragraph","content":[{"type":"text","text":"18"}],"attrs":{"localId":"59226a2603f4"}}]}]},{"type":"tableRow","attrs":{"localId":"db577563964b"},"content":[{"type":"tableCell","attrs":{"localId":"b3cc932f319c","background":"white"},"content":[{"type":"paragraph","content":[{"type":"text","text":"LIDs Stuck in the System"}],"attrs":{"localId":"35360a0a2e04"}}]},{"type":"tableCell","attrs":{"localId":"8da32fc85e8e"},"content":[{"type":"paragraph","content":[{"type":"text","text":"0"}],"attrs":{"localId":"7cde0356699a"}}]},{"type":"tableCell","attrs":{"localId":"e178720b3593"},"content":[{"type":"paragraph","content":[{"type":"text","text":"0"}],"attrs":{"localId":"56cf8236e3de"}}]}]}]}
{adf}
With this, we are closing this request from our end.
Thank you for your patience, support, and cooperation throughout the process. Your brand is important to us, and we look forward to assisting you again.</t>
  </si>
  <si>
    <t>Date :08/13/2026 &lt;Ticket has been successfully uploaded in our system. Option 111 Sku 607&gt; &lt;Ankita&gt;[^Post Upload Status_V.2 (1).xlsx] [^Summary.zip] ;[^UCW-36053.xlsx]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c3028b8-1716-4ad4-96e4-25ea702280bf"},"content":[{"type":"tableRow","attrs":{"localId":"67683f830cfa"},"content":[{"type":"tableCell","attrs":{"localId":"4de100340ca7","background":"#44b3e1"},"content":[{"type":"paragraph","content":[{"type":"text","text":"Ticket ID","marks":[{"type":"strong"}]}],"attrs":{"localId":"92815cfa02e6"}}]},{"type":"tableCell","attrs":{"localId":"97d15581e930","colspan":2,"background":"#44b3e1"},"content":[{"type":"paragraph","content":[{"type":"text","text":"UCW-36053","marks":[{"type":"strong"}]}],"attrs":{"localId":"579cebf1b7c2"}}]}]},{"type":"tableRow","attrs":{"localId":"868de4417d4b"},"content":[{"type":"tableCell","attrs":{"localId":"c036dded25f6","background":"#44b3e1"},"content":[{"type":"paragraph","content":[{"type":"text","text":"Brand Name","marks":[{"type":"strong"}]}],"attrs":{"localId":"018c17d2c3c9"}}]},{"type":"tableCell","attrs":{"localId":"d019ebe306c4","colspan":2,"background":"#44b3e1"},"content":[{"type":"paragraph","content":[{"type":"text","text":"Campus","marks":[{"type":"strong"}]}],"attrs":{"localId":"dc547350335f"}}]}]},{"type":"tableRow","attrs":{"localId":"445b2de3e778"},"content":[{"type":"tableCell","attrs":{"localId":"366ca990e6d1","background":"#ace5fe"},"content":[{"type":"paragraph","content":[{"type":"text","text":"Platform","marks":[{"type":"strong"}]}],"attrs":{"localId":"376ce8c70286"}}]},{"type":"tableCell","attrs":{"localId":"810254ece708","colspan":2,"background":"#ace5fe"},"content":[{"type":"paragraph","content":[{"type":"text","text":"Mall","marks":[{"type":"strong"}]}],"attrs":{"localId":"1a1a99806fe4"}}]}]},{"type":"tableRow","attrs":{"localId":"ea480e5b573e"},"content":[{"type":"tableCell","attrs":{"localId":"44d51ba24b25","background":"#ace5fe"},"content":[{"type":"paragraph","content":[{"type":"text","text":"Particulars","marks":[{"type":"strong"}]}],"attrs":{"localId":"0b452cc190b5"}}]},{"type":"tableCell","attrs":{"localId":"820786cb1c2d","background":"#ace5fe"},"content":[{"type":"paragraph","content":[{"type":"text","text":"SKU Count","marks":[{"type":"strong"}]}],"attrs":{"localId":"17c95263519e"}}]},{"type":"tableCell","attrs":{"localId":"6ae6631c710a","background":"#ace5fe"},"content":[{"type":"paragraph","content":[{"type":"text","text":"Option Count","marks":[{"type":"strong"}]}],"attrs":{"localId":"083e7ebfb0a3"}}]}]},{"type":"tableRow","attrs":{"localId":"ba08daf9a362"},"content":[{"type":"tableCell","attrs":{"localId":"29a49a66e29c","background":"white"},"content":[{"type":"paragraph","content":[{"type":"text","text":"Received"}],"attrs":{"localId":"3eb50c21db3f"}}]},{"type":"tableCell","attrs":{"localId":"c7c76251574d"},"content":[{"type":"paragraph","content":[{"type":"text","text":"617"}],"attrs":{"localId":"7d7fe89b7124"}}]},{"type":"tableCell","attrs":{"localId":"d18831be6a09"},"content":[{"type":"paragraph","content":[{"type":"text","text":"113"}],"attrs":{"localId":"8208f056c564"}}]}]},{"type":"tableRow","attrs":{"localId":"306f0dc72a2c"},"content":[{"type":"tableCell","attrs":{"localId":"a36e042b92a5","background":"white"},"content":[{"type":"paragraph","content":[{"type":"text","text":"Uploaded"}],"attrs":{"localId":"8f0c04731973"}}]},{"type":"tableCell","attrs":{"localId":"98a12e4db238"},"content":[{"type":"paragraph","content":[{"type":"text","text":"607"}],"attrs":{"localId":"9efb7176a2c8"}}]},{"type":"tableCell","attrs":{"localId":"544342ed6c1e"},"content":[{"type":"paragraph","content":[{"type":"text","text":"111"}],"attrs":{"localId":"be3a9fed76de"}}]}]},{"type":"tableRow","attrs":{"localId":"554a52cf8120"},"content":[{"type":"tableCell","attrs":{"localId":"e13a57d27c0b","background":"white"},"content":[{"type":"paragraph","content":[{"type":"text","text":"SKUs Not Uploaded"}],"attrs":{"localId":"5d924ea8d845"}}]},{"type":"tableCell","attrs":{"localId":"73de6f08639b"},"content":[{"type":"paragraph","content":[{"type":"text","text":"10"}],"attrs":{"localId":"d3929f070054"}}]},{"type":"tableCell","attrs":{"localId":"550248b89e64"},"content":[{"type":"paragraph","content":[{"type":"text","text":"2"}],"attrs":{"localId":"7fa8dd98201c"}}]}]},{"type":"tableRow","attrs":{"localId":"4056828799f5"},"content":[{"type":"tableCell","attrs":{"localId":"2451579fb3f8","background":"white"},"content":[{"type":"paragraph","content":[{"type":"text","text":"LIDs Shared"}],"attrs":{"localId":"b95605e1446c"}}]},{"type":"tableCell","attrs":{"localId":"759de420084b"},"content":[{"type":"paragraph","content":[{"type":"text","text":"607"}],"attrs":{"localId":"53baf11be970"}}]},{"type":"tableCell","attrs":{"localId":"4fcf60ccd2c8"},"content":[{"type":"paragraph","content":[{"type":"text","text":"111"}],"attrs":{"localId":"0d774155d901"}}]}]},{"type":"tableRow","attrs":{"localId":"22851ac9cd0f"},"content":[{"type":"tableCell","attrs":{"localId":"f98b50a7147f","background":"white"},"content":[{"type":"paragraph","content":[{"type":"text","text":"LIDs Stuck in the System"}],"attrs":{"localId":"4141648104a9"}}]},{"type":"tableCell","attrs":{"localId":"3eecb88d81a1"},"content":[{"type":"paragraph","content":[{"type":"text","text":"0"}],"attrs":{"localId":"53e841439193"}}]},{"type":"tableCell","attrs":{"localId":"dfd6e49ca0c6"},"content":[{"type":"paragraph","content":[{"type":"text","text":"0"}],"attrs":{"localId":"651540ba094c"}}]}]}]}
{adf}
With this, we are closing this request from our end.
Thank you for your patience, support, and cooperation throughout the process. Your brand is important to us, and we look forward to assisting you again.</t>
  </si>
  <si>
    <t>Closing this thread, as it’s re-assigned to agency.;We checked all the SKUs on both platforms shared for the image and title updates, and currently, all of them are showing a 404 (Page Not Found) error.
Please advise whether we should retrigger the updates or hold them until the 404 issue is resolved.</t>
  </si>
  <si>
    <t xml:space="preserve">Re'equil </t>
  </si>
  <si>
    <t>Date :08/13/2026  &lt;Ticket picked for pre processing SKU 4&gt; &lt;Tania&gt;Date :08/13/2026  &lt;Pre Processing query to Brand &lt;Ingredients Details, Size nd Image Query&gt;&gt; &lt;Tania&gt; ;Date :08/14/2026 &lt; Pre Processing query to Brand 1st Follow Up&gt; &lt;Tania&gt;</t>
  </si>
  <si>
    <t>Pepe Jeans</t>
  </si>
  <si>
    <t>Date :08/12/2026 &lt;Ticket picked for pre processing Option 8 Sku 48&gt; &lt;Ankita&gt;;Date :08/13/2026 &lt;Ticket picked for Production and QC review Option 8 Sku 48&gt; &lt;Ankita&gt;;Date :08/14/2026 &lt;Ticket has been successfully uploaded in our system. Option 8 Sku 48&gt; &lt;Ankita&gt;[^Summary.zip] [^Post Upload Status_V.2 (1).xlsx] ;[^UCW-36029.xlsx]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213f97af-73e9-455d-b4ab-01a6499b6290"},"content":[{"type":"tableRow","attrs":{"localId":"8952108da9d2"},"content":[{"type":"tableCell","attrs":{"localId":"b40f6a7cb946","background":"#44b3e1"},"content":[{"type":"paragraph","content":[{"type":"text","text":"Ticket ID","marks":[{"type":"strong"}]}],"attrs":{"localId":"3aa619a6167d"}}]},{"type":"tableCell","attrs":{"localId":"da0f234a891c","colspan":2,"background":"#44b3e1"},"content":[{"type":"paragraph","content":[{"type":"text","text":"UCW-36029","marks":[{"type":"strong"}]}],"attrs":{"localId":"c93d1cf93235"}}]}]},{"type":"tableRow","attrs":{"localId":"510d94803e0a"},"content":[{"type":"tableCell","attrs":{"localId":"81b8fa856f63","background":"#44b3e1"},"content":[{"type":"paragraph","content":[{"type":"text","text":"Brand Name","marks":[{"type":"strong"}]}],"attrs":{"localId":"dcb5c5b9b7c4"}}]},{"type":"tableCell","attrs":{"localId":"97a7262c018d","colspan":2,"background":"#44b3e1"},"content":[{"type":"paragraph","content":[{"type":"text","text":"Pepe Jeans","marks":[{"type":"strong"}]}],"attrs":{"localId":"1c5885320fa3"}}]}]},{"type":"tableRow","attrs":{"localId":"f9c65d108a1c"},"content":[{"type":"tableCell","attrs":{"localId":"93aecdb1721a","background":"#ace5fe"},"content":[{"type":"paragraph","content":[{"type":"text","text":"Platform","marks":[{"type":"strong"}]}],"attrs":{"localId":"95dcd2dfc308"}}]},{"type":"tableCell","attrs":{"localId":"e103fb3b883e","colspan":2,"background":"#ace5fe"},"content":[{"type":"paragraph","content":[{"type":"text","text":"Mall","marks":[{"type":"strong"}]}],"attrs":{"localId":"456769a29bd8"}}]}]},{"type":"tableRow","attrs":{"localId":"527c3b4b66ce"},"content":[{"type":"tableCell","attrs":{"localId":"248941dfa655","background":"#ace5fe"},"content":[{"type":"paragraph","content":[{"type":"text","text":"Particulars","marks":[{"type":"strong"}]}],"attrs":{"localId":"53c25c38cff7"}}]},{"type":"tableCell","attrs":{"localId":"acf16d55a9ff","background":"#ace5fe"},"content":[{"type":"paragraph","content":[{"type":"text","text":"SKU Count","marks":[{"type":"strong"}]}],"attrs":{"localId":"012d0a99892f"}}]},{"type":"tableCell","attrs":{"localId":"80b677f521d4","background":"#ace5fe"},"content":[{"type":"paragraph","content":[{"type":"text","text":"Option Count","marks":[{"type":"strong"}]}],"attrs":{"localId":"92d2b6dabbec"}}]}]},{"type":"tableRow","attrs":{"localId":"dee78d688a5b"},"content":[{"type":"tableCell","attrs":{"localId":"1be714e7b3d0","background":"white"},"content":[{"type":"paragraph","content":[{"type":"text","text":"Received"}],"attrs":{"localId":"49ada4580a01"}}]},{"type":"tableCell","attrs":{"localId":"c2f16fc06606"},"content":[{"type":"paragraph","content":[{"type":"text","text":"48"}],"attrs":{"localId":"14a935a92147"}}]},{"type":"tableCell","attrs":{"localId":"dca0a4203e2c"},"content":[{"type":"paragraph","content":[{"type":"text","text":"8"}],"attrs":{"localId":"f826b7141132"}}]}]},{"type":"tableRow","attrs":{"localId":"7d998f27dc56"},"content":[{"type":"tableCell","attrs":{"localId":"279e942a3fc4","background":"white"},"content":[{"type":"paragraph","content":[{"type":"text","text":"Uploaded"}],"attrs":{"localId":"43b06a1e86be"}}]},{"type":"tableCell","attrs":{"localId":"28f121dca667"},"content":[{"type":"paragraph","content":[{"type":"text","text":"48"}],"attrs":{"localId":"e4f1327bfe33"}}]},{"type":"tableCell","attrs":{"localId":"86c975397106"},"content":[{"type":"paragraph","content":[{"type":"text","text":"8"}],"attrs":{"localId":"fbe997995006"}}]}]},{"type":"tableRow","attrs":{"localId":"3d52a76f85e7"},"content":[{"type":"tableCell","attrs":{"localId":"62493e53e828","background":"white"},"content":[{"type":"paragraph","content":[{"type":"text","text":"LIDs Shared"}],"attrs":{"localId":"69c796a8764e"}}]},{"type":"tableCell","attrs":{"localId":"cca25b3f77e6"},"content":[{"type":"paragraph","content":[{"type":"text","text":"48"}],"attrs":{"localId":"b13fed3621c1"}}]},{"type":"tableCell","attrs":{"localId":"223bd97cbf0b"},"content":[{"type":"paragraph","content":[{"type":"text","text":"8"}],"attrs":{"localId":"89a861b86dae"}}]}]},{"type":"tableRow","attrs":{"localId":"c6fd9454c5eb"},"content":[{"type":"tableCell","attrs":{"localId":"da9c56e4b071","background":"white"},"content":[{"type":"paragraph","content":[{"type":"text","text":"LIDs Stuck in the System"}],"attrs":{"localId":"6dbba3d5ca46"}}]},{"type":"tableCell","attrs":{"localId":"0a18dc75f15d"},"content":[{"type":"paragraph","content":[{"type":"text","text":"0"}],"attrs":{"localId":"ac70a94aded3"}}]},{"type":"tableCell","attrs":{"localId":"78a71b426b23"},"content":[{"type":"paragraph","content":[{"type":"text","text":"0"}],"attrs":{"localId":"1110386c9193"}}]}]}]}
{adf}
With this, we are closing this request from our end.
Thank you for your patience, support, and cooperation throughout the process. Your brand is important to us, and we look forward to assisting you again.</t>
  </si>
  <si>
    <t>[^125928_SKUEDITRETRIGGER__Perfumes(MPH2211100104)_20260812_090008_469_summary.csv]
Images retriggered successfully for perfume as only images for these were available;Image addition reflecting successfully</t>
  </si>
  <si>
    <t>[^125928_product_retrigger_BULK_UPLOAD_summary (fa511a11-91a5-4132-aece-908e0224ec74).csv]
Date :08/12/2026 &lt;Ticket has been successfully uploaded in our system. Certificate Retriggered and Packer, importer details retriggered via PCM Option 42 Sku 42 &gt; &lt;Aamandeep&gt;;[^125928_SKUEDITRETRIGGER__Perfumes(MPH2211100104)_20260813_105458_239_summary (1).csv]
[^125928_SKUEDITRETRIGGER__Perfumes(MPH2211100104)_20260813_105458_239.csv]
Retriggered the failed cases again;[https://tatacliqhelpdesk.freshservice.com/support/tickets/226501|https://tatacliqhelpdesk.freshservice.com/support/tickets/226501]
L1 Raised</t>
  </si>
  <si>
    <t>Nuna</t>
  </si>
  <si>
    <t>Alexandre Christie</t>
  </si>
  <si>
    <t>Date :08/14/2026 &lt;Ticket picked for Production and QC review Option 5 Sku 5&gt; &lt;Biplab Sarkar&gt;;Date :08/14/2026 &lt;Images have been successfully processed/ retriggered. Option 5 Sku 5&gt; &lt;Biplab Sarkar&gt;</t>
  </si>
  <si>
    <t>Date :08/11/2026 &lt;Ticket picked for pre processing Option 120 Sku 570&gt; &lt;Ankita&gt;;Date :08/11/2026 &lt;Pre Processing query to Brand &lt;Less than 3 SKU, Image NA, Sku length exceed&gt;&gt; &lt;Ankita&gt;;Date :08/12/2026&lt; Pre Processing query to Brand 1st Follow Up&gt; &lt;Ankita&gt;;Date :08/13/2026 &lt; Pre Processing query to Brand 2nd Follow Up&gt; &lt;Ankita&gt;;Date :08/14/2026&lt; Pre Processing query to Brand 3rd Follow Up&gt; &lt;Ankita&gt;;Date :08/14/2026 &lt;Pre Processing query to Brand &lt;Revised image query&gt;&gt; &lt;Ankita&gt;;Date :08/14/2026 &lt;Ticket picked for Production and QC review Option 120 Sku 570&gt; &lt;Ankita&gt;</t>
  </si>
  <si>
    <t>Date : 12th Aug, 2026 This ticket has been picked for Pre-Processing and Image Analysis -Mousumi.
Date : 12th Aug, 2026 Pre-Processing Done (Brand to Query for Style COde. Association COde, Purity, Price Break up On PDP &amp; Ivoice,Gross weight, Metal weight,kada size, waiseband size, Chain Length,Gender)-Mousumi;Date : 13rd Aug, 2026 1st followup Done-Mousumi
Date : 13rd Aug, 2026 QC &amp; Uploaded Done-Mousumi
PFA the Summary &amp; Post-Uploaded Sheet[^UCW-36005 Post Upload Status_V.2 (1).xlsx] [^Summary.zip] ;[^UCW-36005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a8244d3f-f2f3-4f93-8980-a95d00858655"},"content":[{"type":"tableRow","attrs":{"localId":"11a5b77b26c1"},"content":[{"type":"tableCell","attrs":{"localId":"919490f25041","background":"#44b3e1"},"content":[{"type":"paragraph","content":[{"type":"text","text":"Ticket ID","marks":[{"type":"strong"}]}],"attrs":{"localId":"9cdbc1f808ab"}}]},{"type":"tableCell","attrs":{"localId":"edee5b34b6d7","colspan":2,"background":"#44b3e1"},"content":[{"type":"paragraph","content":[{"type":"text","text":"UCW-36005","marks":[{"type":"strong"}]}],"attrs":{"localId":"756a18b4de03"}}]}]},{"type":"tableRow","attrs":{"localId":"72b0bd70f744"},"content":[{"type":"tableCell","attrs":{"localId":"69a219934f7d","background":"#44b3e1"},"content":[{"type":"paragraph","content":[{"type":"text","text":"Brand Name","marks":[{"type":"strong"}]}],"attrs":{"localId":"698f0515dae5"}}]},{"type":"tableCell","attrs":{"localId":"4519c5e74c5f","colspan":2,"background":"#44b3e1"},"content":[{"type":"paragraph","content":[{"type":"text","text":"Touch925","marks":[{"type":"strong"}]}],"attrs":{"localId":"8df5e1a0bbce"}}]}]},{"type":"tableRow","attrs":{"localId":"7c2acfd87285"},"content":[{"type":"tableCell","attrs":{"localId":"24f9ce5d5ad9","background":"#ace5fe"},"content":[{"type":"paragraph","content":[{"type":"text","text":"Platform","marks":[{"type":"strong"}]}],"attrs":{"localId":"97386416cc0d"}}]},{"type":"tableCell","attrs":{"localId":"14c5e887c4bc","colspan":2,"background":"#ace5fe"},"content":[{"type":"paragraph","content":[{"type":"text","text":"Mall","marks":[{"type":"strong"}]}],"attrs":{"localId":"a7a68d42a9ea"}}]}]},{"type":"tableRow","attrs":{"localId":"75c4523b2cc6"},"content":[{"type":"tableCell","attrs":{"localId":"a0b95483e015","background":"#ace5fe"},"content":[{"type":"paragraph","content":[{"type":"text","text":"Particulars","marks":[{"type":"strong"}]}],"attrs":{"localId":"eb7f0b7f969f"}}]},{"type":"tableCell","attrs":{"localId":"87a797ed6224","background":"#ace5fe"},"content":[{"type":"paragraph","content":[{"type":"text","text":"SKU Count","marks":[{"type":"strong"}]}],"attrs":{"localId":"b665666a14d6"}}]},{"type":"tableCell","attrs":{"localId":"9f827d654229","background":"#ace5fe"},"content":[{"type":"paragraph","content":[{"type":"text","text":"Option Count","marks":[{"type":"strong"}]}],"attrs":{"localId":"ebb4c58cd071"}}]}]},{"type":"tableRow","attrs":{"localId":"a60570c45faa"},"content":[{"type":"tableCell","attrs":{"localId":"3f37eaef1d72","background":"white"},"content":[{"type":"paragraph","content":[{"type":"text","text":"Received"}],"attrs":{"localId":"401080a65572"}}]},{"type":"tableCell","attrs":{"localId":"1758f583000f"},"content":[{"type":"paragraph","content":[{"type":"text","text":"63"}],"attrs":{"localId":"ea26a98e5734"}}]},{"type":"tableCell","attrs":{"localId":"e1472e7c5383"},"content":[{"type":"paragraph","content":[{"type":"text","text":"63"}],"attrs":{"localId":"0f359d6b00a2"}}]}]},{"type":"tableRow","attrs":{"localId":"b36bc0d1f059"},"content":[{"type":"tableCell","attrs":{"localId":"16ded1b7fd6a","background":"white"},"content":[{"type":"paragraph","content":[{"type":"text","text":"Uploaded"}],"attrs":{"localId":"a3d7270a663d"}}]},{"type":"tableCell","attrs":{"localId":"fa6123d484c6"},"content":[{"type":"paragraph","content":[{"type":"text","text":"63"}],"attrs":{"localId":"d4d611c50b54"}}]},{"type":"tableCell","attrs":{"localId":"157981093ddc"},"content":[{"type":"paragraph","content":[{"type":"text","text":"63"}],"attrs":{"localId":"d0a7c83a5aee"}}]}]},{"type":"tableRow","attrs":{"localId":"aa6b61867a49"},"content":[{"type":"tableCell","attrs":{"localId":"d0f82e570fc1","background":"white"},"content":[{"type":"paragraph","content":[{"type":"text","text":"LIDs Shared"}],"attrs":{"localId":"4f904a4341f4"}}]},{"type":"tableCell","attrs":{"localId":"699fa0f2c642"},"content":[{"type":"paragraph","content":[{"type":"text","text":"63"}],"attrs":{"localId":"bcb98b542bb6"}}]},{"type":"tableCell","attrs":{"localId":"79b2fdbd968f"},"content":[{"type":"paragraph","content":[{"type":"text","text":"63"}],"attrs":{"localId":"a5737c34b55c"}}]}]},{"type":"tableRow","attrs":{"localId":"11d145fab182"},"content":[{"type":"tableCell","attrs":{"localId":"f755678b776d","background":"white"},"content":[{"type":"paragraph","content":[{"type":"text","text":"LIDs Stuck in the System"}],"attrs":{"localId":"4f0270393606"}}]},{"type":"tableCell","attrs":{"localId":"77d551f8cd1f"},"content":[{"type":"paragraph","content":[{"type":"text","text":"0"}],"attrs":{"localId":"c7472444db24"}}]},{"type":"tableCell","attrs":{"localId":"389fec162323"},"content":[{"type":"paragraph","content":[{"type":"text","text":"0"}],"attrs":{"localId":"9f1edc8b41e7"}}]}]}]}
{adf}
With this, we are closing this request from our end.
Thank you for your patience, support, and cooperation throughout the process. Your brand is important to us, and we look forward to assisting you again.</t>
  </si>
  <si>
    <t>Date :08/14/2026 &lt;Ticket picked for Production and QC review Option 2 Sku 2&gt; &lt;Biplab Sarkar&gt;;Date :08/14/2026 &lt;Images have been successfully processed/ retriggered. Option 2 Sku 2&gt; &lt;Biplab Sarkar&gt;</t>
  </si>
  <si>
    <t>We are closing this ticket as we can see those SKU's are already listed in our system.</t>
  </si>
  <si>
    <t>Date :08/14/2026 &lt;Ticket picked for Production and QC review Option 9 Sku 44&gt; &lt;Biplab Sarkar&gt;;Date :08/14/2026 &lt;Images have been successfully processed/ retriggered. Option 09 Sku 43&gt; &lt;Biplab Sarkar&gt;</t>
  </si>
  <si>
    <t>Date :08/12/2026  &lt;Ticket picked for pre processing Option: 62 SKU: 62&gt; &lt;Sanjana Ghosh&gt;;Date :08/13/2026 &lt;Ticket has been successfully uploaded in our system. Option: 60 SKU: 60, Already Listed - Option: 2 SKU: 2&gt; &lt;Sanjana Ghosh&gt;
PFA the post upload status and summary file: [^Summary.zip] [^UCW-34965 - Post Upload Status .xlsx] ;[^UCW-34965 -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732c0999-cb68-465b-bdf8-d508b382b2ef"},"content":[{"type":"tableRow","attrs":{"localId":"931939519e29"},"content":[{"type":"tableCell","attrs":{"localId":"759851baa7a4","background":"#44b3e1"},"content":[{"type":"paragraph","content":[{"type":"text","text":"Ticket ID","marks":[{"type":"strong"}]}],"attrs":{"localId":"fac8549df421"}}]},{"type":"tableCell","attrs":{"localId":"3d3db11f86ad","colspan":2,"background":"#44b3e1"},"content":[{"type":"paragraph","content":[{"type":"text","text":"Cloned-UCW-35984","marks":[{"type":"strong"}]}],"attrs":{"localId":"3e769aebf27d"}}]}]},{"type":"tableRow","attrs":{"localId":"394c2970e704"},"content":[{"type":"tableCell","attrs":{"localId":"da93e9b0147c","background":"#44b3e1"},"content":[{"type":"paragraph","content":[{"type":"text","text":"Brand Name","marks":[{"type":"strong"}]}],"attrs":{"localId":"b27d52a0efc1"}}]},{"type":"tableCell","attrs":{"localId":"ff373f2b30fe","colspan":2,"background":"#44b3e1"},"content":[{"type":"paragraph","content":[{"type":"text","text":"Dr. Odin","marks":[{"type":"strong"}]}],"attrs":{"localId":"040ebfce8024"}}]}]},{"type":"tableRow","attrs":{"localId":"b172364e5ab2"},"content":[{"type":"tableCell","attrs":{"localId":"c1243078b766","background":"#ace5fe"},"content":[{"type":"paragraph","content":[{"type":"text","text":"Platform","marks":[{"type":"strong"}]}],"attrs":{"localId":"27741831ce7a"}}]},{"type":"tableCell","attrs":{"localId":"20d76fea699c","colspan":2,"background":"#ace5fe"},"content":[{"type":"paragraph","content":[{"type":"text","text":"Mall","marks":[{"type":"strong"}]}],"attrs":{"localId":"67b8ad4de104"}}]}]},{"type":"tableRow","attrs":{"localId":"ae4009b2d971"},"content":[{"type":"tableCell","attrs":{"localId":"c07b815bdcfa","background":"#ace5fe"},"content":[{"type":"paragraph","content":[{"type":"text","text":"Particulars","marks":[{"type":"strong"}]}],"attrs":{"localId":"72e9a6ed876f"}}]},{"type":"tableCell","attrs":{"localId":"26b2fdae4a3d","background":"#ace5fe"},"content":[{"type":"paragraph","content":[{"type":"text","text":"SKU Count","marks":[{"type":"strong"}]}],"attrs":{"localId":"6a62dce35202"}}]},{"type":"tableCell","attrs":{"localId":"7d8d5c441ede","background":"#ace5fe"},"content":[{"type":"paragraph","content":[{"type":"text","text":"Option Count","marks":[{"type":"strong"}]}],"attrs":{"localId":"89a29febd8dd"}}]}]},{"type":"tableRow","attrs":{"localId":"3aeaca7fc69e"},"content":[{"type":"tableCell","attrs":{"localId":"b535e707cdea","background":"white"},"content":[{"type":"paragraph","content":[{"type":"text","text":"Received"}],"attrs":{"localId":"f661f20b502f"}}]},{"type":"tableCell","attrs":{"localId":"8504a748a2f5"},"content":[{"type":"paragraph","content":[{"type":"text","text":"62"}],"attrs":{"localId":"5e4e7f831e77"}}]},{"type":"tableCell","attrs":{"localId":"7e5a74cd8da5"},"content":[{"type":"paragraph","content":[{"type":"text","text":"62"}],"attrs":{"localId":"6d4ead13b678"}}]}]},{"type":"tableRow","attrs":{"localId":"4a1f0afb3ba0"},"content":[{"type":"tableCell","attrs":{"localId":"3204b2ccd19b","background":"white"},"content":[{"type":"paragraph","content":[{"type":"text","text":"Uploaded"}],"attrs":{"localId":"1661f6f8a133"}}]},{"type":"tableCell","attrs":{"localId":"68febb4fbaf9"},"content":[{"type":"paragraph","content":[{"type":"text","text":"60"}],"attrs":{"localId":"7a7b473e2def"}}]},{"type":"tableCell","attrs":{"localId":"b22510ce9b5c"},"content":[{"type":"paragraph","content":[{"type":"text","text":"60"}],"attrs":{"localId":"a3543344ef21"}}]}]},{"type":"tableRow","attrs":{"localId":"512daae637f3"},"content":[{"type":"tableCell","attrs":{"localId":"ea8a085f3076","background":"white"},"content":[{"type":"paragraph","content":[{"type":"text","text":"Already Listed"}],"attrs":{"localId":"732d53f5136d"}}]},{"type":"tableCell","attrs":{"localId":"2d9208cc070f"},"content":[{"type":"paragraph","content":[{"type":"text","text":"2"}],"attrs":{"localId":"512aa6e3e65e"}}]},{"type":"tableCell","attrs":{"localId":"e654ecd3ba43"},"content":[{"type":"paragraph","content":[{"type":"text","text":"2"}],"attrs":{"localId":"cebba76fbb6d"}}]}]},{"type":"tableRow","attrs":{"localId":"550ed2d8e7e6"},"content":[{"type":"tableCell","attrs":{"localId":"7b610b746136","background":"white"},"content":[{"type":"paragraph","content":[{"type":"text","text":"LIDs Shared"}],"attrs":{"localId":"101d90b03eac"}}]},{"type":"tableCell","attrs":{"localId":"55b47131c60d"},"content":[{"type":"paragraph","content":[{"type":"text","text":"60"}],"attrs":{"localId":"afc7f9fe483b"}}]},{"type":"tableCell","attrs":{"localId":"119fc3d110bb"},"content":[{"type":"paragraph","content":[{"type":"text","text":"60"}],"attrs":{"localId":"3d959a4bc74b"}}]}]},{"type":"tableRow","attrs":{"localId":"fd10d5c2e37e"},"content":[{"type":"tableCell","attrs":{"localId":"7c8b53fb02bc","background":"white"},"content":[{"type":"paragraph","content":[{"type":"text","text":"LIDs Stuck in the System"}],"attrs":{"localId":"0c06f295b7ac"}}]},{"type":"tableCell","attrs":{"localId":"570f22eccd64"},"content":[{"type":"paragraph","content":[{"type":"text","text":"0"}],"attrs":{"localId":"e357d3e67c38"}}]},{"type":"tableCell","attrs":{"localId":"e008fefd9f7a"},"content":[{"type":"paragraph","content":[{"type":"text","text":"0"}],"attrs":{"localId":"1e960e998f65"}}]}]}]}
{adf}
With this, we are closing this request from our end.
Thank you for your patience, support, and cooperation throughout the process. Your brand is important to us, and we look forward to assisting you again.</t>
  </si>
  <si>
    <t>Amaouge</t>
  </si>
  <si>
    <t>Date :08/14/2026 &lt;Ticket picked for Production and QC review Option 4 Sku 4&gt; &lt;Biplab Sarkar&gt;;Date :08/14/2026 &lt;Ticket has been successfully uploaded in our system. Option 4 Sku 4&gt; &lt;Biplab Sarkar&gt;</t>
  </si>
  <si>
    <t>Date :08/11/2026 &lt;Pre Processing query to Brand &lt;Image Query&gt;&gt; &lt;Ankita&gt;;Date :08/12/2026 &lt; Pre Processing query to Brand 1st Follow Up&gt; &lt;Ankita&gt;;Date :08/12/2026 &lt;Pre Processing query to Brand &lt;Duplicate Sizes&gt;&gt; &lt;Ankita&gt;;Date :08/13/2026 &lt;Ticket has been successfully uploaded in our system. Option 6 Sku 93&gt; &lt;Ankita&gt;[^Post Upload Status_V.2 (1).xlsx] [^Summary.zip] 
;[^UCW-35972.xlsx]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6683fea5-34b8-406d-bcb1-2f9f58cf8a19"},"content":[{"type":"tableRow","attrs":{"localId":"d2e61fe39545"},"content":[{"type":"tableCell","attrs":{"localId":"c837d8b42879","background":"#44b3e1"},"content":[{"type":"paragraph","content":[{"type":"text","text":"Ticket ID","marks":[{"type":"strong"}]}],"attrs":{"localId":"110ff93038ad"}}]},{"type":"tableCell","attrs":{"localId":"4e2ba35270a2","colspan":2,"background":"#44b3e1"},"content":[{"type":"paragraph","content":[{"type":"text","text":"UCW-35972","marks":[{"type":"strong"}]}],"attrs":{"localId":"dc937633a7c4"}}]}]},{"type":"tableRow","attrs":{"localId":"5678181553db"},"content":[{"type":"tableCell","attrs":{"localId":"be165ef86dc2","background":"#44b3e1"},"content":[{"type":"paragraph","content":[{"type":"text","text":"Brand Name","marks":[{"type":"strong"}]}],"attrs":{"localId":"e9dc84fd6ac4"}}]},{"type":"tableCell","attrs":{"localId":"d041da0c272e","colspan":2,"background":"#44b3e1"},"content":[{"type":"paragraph","content":[{"type":"text","text":"Onitsuka Tiger","marks":[{"type":"strong"}]}],"attrs":{"localId":"ed45d2ef2ad5"}}]}]},{"type":"tableRow","attrs":{"localId":"25d6f501fdab"},"content":[{"type":"tableCell","attrs":{"localId":"75501c2c1000","background":"#ace5fe"},"content":[{"type":"paragraph","content":[{"type":"text","text":"Platform","marks":[{"type":"strong"}]}],"attrs":{"localId":"62d526cd1846"}}]},{"type":"tableCell","attrs":{"localId":"7613ae6e36d0","colspan":2,"background":"#ace5fe"},"content":[{"type":"paragraph","content":[{"type":"text","text":"Luxury","marks":[{"type":"strong"}]}],"attrs":{"localId":"f8c0bf3f14e5"}}]}]},{"type":"tableRow","attrs":{"localId":"12cc73867a71"},"content":[{"type":"tableCell","attrs":{"localId":"3d9df4871289","background":"#ace5fe"},"content":[{"type":"paragraph","content":[{"type":"text","text":"Particulars","marks":[{"type":"strong"}]}],"attrs":{"localId":"b8b132100f43"}}]},{"type":"tableCell","attrs":{"localId":"6200c65168b9","background":"#ace5fe"},"content":[{"type":"paragraph","content":[{"type":"text","text":"SKU Count","marks":[{"type":"strong"}]}],"attrs":{"localId":"da9f87d83326"}}]},{"type":"tableCell","attrs":{"localId":"a3fce8b141e3","background":"#ace5fe"},"content":[{"type":"paragraph","content":[{"type":"text","text":"Option Count","marks":[{"type":"strong"}]}],"attrs":{"localId":"aa70b3fa2755"}}]}]},{"type":"tableRow","attrs":{"localId":"bb5b0d94f3fc"},"content":[{"type":"tableCell","attrs":{"localId":"c867f35b7ccc","background":"white"},"content":[{"type":"paragraph","content":[{"type":"text","text":"Received"}],"attrs":{"localId":"b0d1fd8f54ff"}}]},{"type":"tableCell","attrs":{"localId":"a764e9ede6bc"},"content":[{"type":"paragraph","content":[{"type":"text","text":"489"}],"attrs":{"localId":"840d8f0770b1"}}]},{"type":"tableCell","attrs":{"localId":"e2f0d0fa2184"},"content":[{"type":"paragraph","content":[{"type":"text","text":"26"}],"attrs":{"localId":"bf342e660401"}}]}]},{"type":"tableRow","attrs":{"localId":"b4f9ea234925"},"content":[{"type":"tableCell","attrs":{"localId":"9a4748ac995f","background":"white"},"content":[{"type":"paragraph","content":[{"type":"text","text":"Uploaded"}],"attrs":{"localId":"78b5418be759"}}]},{"type":"tableCell","attrs":{"localId":"46995bef71a2"},"content":[{"type":"paragraph","content":[{"type":"text","text":"93"}],"attrs":{"localId":"e7025a9f00fa"}}]},{"type":"tableCell","attrs":{"localId":"afd3a2ba5bfe"},"content":[{"type":"paragraph","content":[{"type":"text","text":"6"}],"attrs":{"localId":"e7023b7585be"}}]}]},{"type":"tableRow","attrs":{"localId":"f622c5271745"},"content":[{"type":"tableCell","attrs":{"localId":"697cd034f282","background":"white"},"content":[{"type":"paragraph","content":[{"type":"text","text":"Already Listed"}],"attrs":{"localId":"6965882d4dab"}}]},{"type":"tableCell","attrs":{"localId":"c9fd43f8622f"},"content":[{"type":"paragraph","content":[{"type":"text","text":"280"}],"attrs":{"localId":"106b823a6da3"}}]},{"type":"tableCell","attrs":{"localId":"39816dd755a3"},"content":[{"type":"paragraph","content":[{"type":"text","text":"14"}],"attrs":{"localId":"f0615c1e126f"}}]}]},{"type":"tableRow","attrs":{"localId":"c30be73713cf"},"content":[{"type":"tableCell","attrs":{"localId":"47e317bf12fe","background":"white"},"content":[{"type":"paragraph","content":[{"type":"text","text":"SKUs Not Uploaded"}],"attrs":{"localId":"7b56030d27b0"}}]},{"type":"tableCell","attrs":{"localId":"4e04105358b2"},"content":[{"type":"paragraph","content":[{"type":"text","text":"116"}],"attrs":{"localId":"59290a6a60ca"}}]},{"type":"tableCell","attrs":{"localId":"9f511044746e"},"content":[{"type":"paragraph","content":[{"type":"text","text":"6"}],"attrs":{"localId":"cb01c9649cb2"}}]}]},{"type":"tableRow","attrs":{"localId":"267481bfbd91"},"content":[{"type":"tableCell","attrs":{"localId":"380ea15c68e3","background":"white"},"content":[{"type":"paragraph","content":[{"type":"text","text":"LIDs Shared"}],"attrs":{"localId":"bb468e8c7970"}}]},{"type":"tableCell","attrs":{"localId":"f4f1b03680d1"},"content":[{"type":"paragraph","content":[{"type":"text","text":"93"}],"attrs":{"localId":"dd4b408cf34e"}}]},{"type":"tableCell","attrs":{"localId":"d8e67189daf1"},"content":[{"type":"paragraph","content":[{"type":"text","text":"6"}],"attrs":{"localId":"55e57245028e"}}]}]},{"type":"tableRow","attrs":{"localId":"7564977c633f"},"content":[{"type":"tableCell","attrs":{"localId":"81e88a677cc9","background":"white"},"content":[{"type":"paragraph","content":[{"type":"text","text":"LIDs Stuck in the System"}],"attrs":{"localId":"d5cf5d2e398e"}}]},{"type":"tableCell","attrs":{"localId":"e40e0551bd4c"},"content":[{"type":"paragraph","content":[{"type":"text","text":"0"}],"attrs":{"localId":"39228be587c6"}}]},{"type":"tableCell","attrs":{"localId":"255704e662ef"},"content":[{"type":"paragraph","content":[{"type":"text","text":"0"}],"attrs":{"localId":"6e7bd2462e93"}}]}]}]}
{adf}
With this, we are closing this request from our end.
Thank you for your patience, support, and cooperation throughout the process. Your brand is important to us, and we look forward to assisting you again.</t>
  </si>
  <si>
    <t>Armaf</t>
  </si>
  <si>
    <t>[^ProductBulkUpload_125928_Beauty__Grooming(MPH22)_Fragrances_and_Perfumes(MPH2211)_Fragrances(MPH2211100)_Perfumes(MPH2211100104)_33887_1786548970490_20260812_090610_637_summary.csv]
We have successfully uploaded this batch. Please find the attached summary sheet and summary report.[^UCW-35967_Post Upload Status.xlsx] Date :08/13/2026 &lt;Ticket has been successfully uploaded in our system SKU 3&gt; &lt;Tania&gt;;[^UCW-35967_Post Upload Status (046f6feb-69de-4475-8e88-a9add1ce9795).xlsx]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daf140f-e09f-4744-bfc9-df990f56d59e"},"content":[{"type":"tableRow","attrs":{"localId":"4a4aebe3b604"},"content":[{"type":"tableCell","attrs":{"localId":"117d65746190","background":"#44b3e1"},"content":[{"type":"paragraph","content":[{"type":"text","text":"Ticket ID","marks":[{"type":"strong"}]}],"attrs":{"localId":"e9c3cff44f94"}}]},{"type":"tableCell","attrs":{"localId":"46c8dbf8e279","colspan":2,"background":"#44b3e1"},"content":[{"type":"paragraph","content":[{"type":"text","text":"UCW-35967","marks":[{"type":"strong"}]}],"attrs":{"localId":"951a97c5fa5d"}}]}]},{"type":"tableRow","attrs":{"localId":"7c58f3fd1317"},"content":[{"type":"tableCell","attrs":{"localId":"8875b51553c3","background":"#44b3e1"},"content":[{"type":"paragraph","content":[{"type":"text","text":"Brand Name","marks":[{"type":"strong"}]}],"attrs":{"localId":"21915c7db0bd"}}]},{"type":"tableCell","attrs":{"localId":"ab954dad90ca","colspan":2,"background":"#44b3e1"},"content":[{"type":"paragraph","content":[{"type":"text","text":"Armaf Beauty","marks":[{"type":"strong"}]}],"attrs":{"localId":"1c47732a9d7c"}}]}]},{"type":"tableRow","attrs":{"localId":"d6db8f78205f"},"content":[{"type":"tableCell","attrs":{"localId":"1d0088284747","background":"#ace5fe"},"content":[{"type":"paragraph","content":[{"type":"text","text":"Platform","marks":[{"type":"strong"}]}],"attrs":{"localId":"86908f372e77"}}]},{"type":"tableCell","attrs":{"localId":"a9b611534147","colspan":2,"background":"#ace5fe"},"content":[{"type":"paragraph","content":[{"type":"text","text":"Mall + Luxury","marks":[{"type":"strong"}]}],"attrs":{"localId":"ef8cdcbc10da"}}]}]},{"type":"tableRow","attrs":{"localId":"8224792afaca"},"content":[{"type":"tableCell","attrs":{"localId":"9b26bb98383c","background":"#ace5fe"},"content":[{"type":"paragraph","content":[{"type":"text","text":"Particulars","marks":[{"type":"strong"}]}],"attrs":{"localId":"89b56203114f"}}]},{"type":"tableCell","attrs":{"localId":"878612dd1115","background":"#ace5fe"},"content":[{"type":"paragraph","content":[{"type":"text","text":"SKU Count","marks":[{"type":"strong"}]}],"attrs":{"localId":"d9fde240514d"}}]},{"type":"tableCell","attrs":{"localId":"7988fcd383e2","background":"#ace5fe"},"content":[{"type":"paragraph","content":[{"type":"text","text":"Option Count","marks":[{"type":"strong"}]}],"attrs":{"localId":"a5e8386e1f3a"}}]}]},{"type":"tableRow","attrs":{"localId":"74e904fbd57b"},"content":[{"type":"tableCell","attrs":{"localId":"e0511592476a","background":"white"},"content":[{"type":"paragraph","content":[{"type":"text","text":"Received"}],"attrs":{"localId":"cd91cbe24a7b"}}]},{"type":"tableCell","attrs":{"localId":"5f1ee180f969"},"content":[{"type":"paragraph","content":[{"type":"text","text":"3"}],"attrs":{"localId":"ca47d20c5e22"}}]},{"type":"tableCell","attrs":{"localId":"66d6ca712a69"},"content":[{"type":"paragraph","content":[{"type":"text","text":"3"}],"attrs":{"localId":"bc910a6ed5c5"}}]}]},{"type":"tableRow","attrs":{"localId":"8dbafea858ac"},"content":[{"type":"tableCell","attrs":{"localId":"30d092c65469","background":"white"},"content":[{"type":"paragraph","content":[{"type":"text","text":"Uploaded"}],"attrs":{"localId":"af4ab9aa491b"}}]},{"type":"tableCell","attrs":{"localId":"a9e68034cedf"},"content":[{"type":"paragraph","content":[{"type":"text","text":"3"}],"attrs":{"localId":"e3c756c11c3c"}}]},{"type":"tableCell","attrs":{"localId":"281755530c13"},"content":[{"type":"paragraph","content":[{"type":"text","text":"3"}],"attrs":{"localId":"d945df04799b"}}]}]},{"type":"tableRow","attrs":{"localId":"a92c5046f70d"},"content":[{"type":"tableCell","attrs":{"localId":"1b8197924b58","background":"white"},"content":[{"type":"paragraph","content":[{"type":"text","text":"LIDs Shared"}],"attrs":{"localId":"51a870f86ea3"}}]},{"type":"tableCell","attrs":{"localId":"fb457d86fd45"},"content":[{"type":"paragraph","content":[{"type":"text","text":"3"}],"attrs":{"localId":"e7a821ae5715"}}]},{"type":"tableCell","attrs":{"localId":"3463ec5a4f8e"},"content":[{"type":"paragraph","content":[{"type":"text","text":"3"}],"attrs":{"localId":"41f7e60c703f"}}]}]},{"type":"tableRow","attrs":{"localId":"d93aac872fe1"},"content":[{"type":"tableCell","attrs":{"localId":"9dc0893b2ca0","background":"white"},"content":[{"type":"paragraph","content":[{"type":"text","text":"LIDs Stuck in the System"}],"attrs":{"localId":"3821513eb5f8"}}]},{"type":"tableCell","attrs":{"localId":"1b8319da6c3b"},"content":[{"type":"paragraph","content":[{"type":"text","text":"0"}],"attrs":{"localId":"fe69618e5ada"}}]},{"type":"tableCell","attrs":{"localId":"5d1144acdf02"},"content":[{"type":"paragraph","content":[{"type":"text","text":"0"}],"attrs":{"localId":"4a48658b1bfa"}}]}]}]}
{adf}
With this, we are closing this request from our end.
Thank you for your patience, support, and cooperation throughout the process. Your brand is important to us, and we look forward to assisting you again.</t>
  </si>
  <si>
    <t>Tara C Tara</t>
  </si>
  <si>
    <t>Date : 11th Aug, 2026 This ticket has been picked for Pre-Processing and Image Analysis -Mousumi. 
Date : 11th Aug, 2026  Pre-Processing Done no Query-Mousumi
Date : 11th Aug, 2026  Qc &amp; Uploaded Done-Mousumi
PFA the Sumaary &amp; Post-Uploaded Sheet[^Summary.zip] [^UCW-35960 Post Upload Status_V.2 (1).xlsx] ;[^UCW-35960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fb2e068-d2f9-4943-bd11-698bef2fdde4"},"content":[{"type":"tableRow","attrs":{"localId":"ed4f10be8b34"},"content":[{"type":"tableCell","attrs":{"localId":"9cbb3c6d1442","background":"#44b3e1"},"content":[{"type":"paragraph","content":[{"type":"text","text":"Ticket ID","marks":[{"type":"strong"}]}],"attrs":{"localId":"a583fba98385"}}]},{"type":"tableCell","attrs":{"localId":"95746bc0926a","colspan":2,"background":"#44b3e1"},"content":[{"type":"paragraph","content":[{"type":"text","text":"UCW-35960","marks":[{"type":"strong"}]}],"attrs":{"localId":"9b925576b72d"}}]}]},{"type":"tableRow","attrs":{"localId":"df3f8c241b76"},"content":[{"type":"tableCell","attrs":{"localId":"99be3e43a6a0","background":"#44b3e1"},"content":[{"type":"paragraph","content":[{"type":"text","text":"Brand Name","marks":[{"type":"strong"}]}],"attrs":{"localId":"676b85aab06f"}}]},{"type":"tableCell","attrs":{"localId":"8ab729f51a84","colspan":2,"background":"#44b3e1"},"content":[{"type":"paragraph","content":[{"type":"text","text":"Ornate Jewels","marks":[{"type":"strong"}]}],"attrs":{"localId":"c06dc572fd4e"}}]}]},{"type":"tableRow","attrs":{"localId":"144f645bc819"},"content":[{"type":"tableCell","attrs":{"localId":"084fbe1f74d9","background":"#ace5fe"},"content":[{"type":"paragraph","content":[{"type":"text","text":"Platform","marks":[{"type":"strong"}]}],"attrs":{"localId":"3a3cad7643b3"}}]},{"type":"tableCell","attrs":{"localId":"2a0fa4a7c1b8","colspan":2,"background":"#ace5fe"},"content":[{"type":"paragraph","content":[{"type":"text","text":"Mall","marks":[{"type":"strong"}]}],"attrs":{"localId":"3f37c976a996"}}]}]},{"type":"tableRow","attrs":{"localId":"fb75fed58d33"},"content":[{"type":"tableCell","attrs":{"localId":"5e3db9bbbab1","background":"#ace5fe"},"content":[{"type":"paragraph","content":[{"type":"text","text":"Particulars","marks":[{"type":"strong"}]}],"attrs":{"localId":"c232e6e2972f"}}]},{"type":"tableCell","attrs":{"localId":"fbb69a631021","background":"#ace5fe"},"content":[{"type":"paragraph","content":[{"type":"text","text":"SKU Count","marks":[{"type":"strong"}]}],"attrs":{"localId":"f59d0f60aa95"}}]},{"type":"tableCell","attrs":{"localId":"9c28f7e157b7","background":"#ace5fe"},"content":[{"type":"paragraph","content":[{"type":"text","text":"Option Count","marks":[{"type":"strong"}]}],"attrs":{"localId":"7f90bfbb342a"}}]}]},{"type":"tableRow","attrs":{"localId":"421f7f9fee67"},"content":[{"type":"tableCell","attrs":{"localId":"6042249b5fe1","background":"white"},"content":[{"type":"paragraph","content":[{"type":"text","text":"Received"}],"attrs":{"localId":"d152090379cb"}}]},{"type":"tableCell","attrs":{"localId":"887739cfde10"},"content":[{"type":"paragraph","content":[{"type":"text","text":"5"}],"attrs":{"localId":"3ea03441b10c"}}]},{"type":"tableCell","attrs":{"localId":"382049d6841d"},"content":[{"type":"paragraph","content":[{"type":"text","text":"5"}],"attrs":{"localId":"e32fe8e8a0c2"}}]}]},{"type":"tableRow","attrs":{"localId":"9daf992bc32a"},"content":[{"type":"tableCell","attrs":{"localId":"b8308613383a","background":"white"},"content":[{"type":"paragraph","content":[{"type":"text","text":"Uploaded"}],"attrs":{"localId":"c73c0197e029"}}]},{"type":"tableCell","attrs":{"localId":"d1542f468f04"},"content":[{"type":"paragraph","content":[{"type":"text","text":"5"}],"attrs":{"localId":"c8376ccc9509"}}]},{"type":"tableCell","attrs":{"localId":"63531bfee0cb"},"content":[{"type":"paragraph","content":[{"type":"text","text":"5"}],"attrs":{"localId":"a19170f78e8f"}}]}]},{"type":"tableRow","attrs":{"localId":"dde1d597a08e"},"content":[{"type":"tableCell","attrs":{"localId":"f5684a58cd68","background":"white"},"content":[{"type":"paragraph","content":[{"type":"text","text":"LIDs Shared"}],"attrs":{"localId":"a31f8c9281b3"}}]},{"type":"tableCell","attrs":{"localId":"bbf3fe4e1393"},"content":[{"type":"paragraph","content":[{"type":"text","text":"5"}],"attrs":{"localId":"b78100f30f76"}}]},{"type":"tableCell","attrs":{"localId":"2fca4935c7f0"},"content":[{"type":"paragraph","content":[{"type":"text","text":"5"}],"attrs":{"localId":"0c02e98c159d"}}]}]}]}
{adf}
With this, we are closing this request from our end.
Thank you for your patience, support, and cooperation throughout the process. Your brand is important to us, and we look forward to assisting you again."</t>
  </si>
  <si>
    <t>Clovia</t>
  </si>
  <si>
    <t>Date :08/13/2026  &lt;Ticket picked for pre processing Option 39 Sku 437&gt; &lt;Anwesha Mondal&gt;;Date :08/13/2026  &lt;Pre-processing query to brand- Size grid not provided &amp; image missing&gt; &lt;Anwesha Mondal&gt;;Date :0/14/2026 &lt; Pre Processing query to Brand 1st Follow Up&gt; &lt;Anwesha Mondal&gt;;Date :08/14/2026 &lt; Size chart Code Creation&gt; &lt;Anwesha Mondal&gt;
[^UCW-35955 Size Chart.csv]
;!image-20260814-183125.png|width=520,alt="image-20260814-183125.png"!</t>
  </si>
  <si>
    <t>Date :08/12/2026 &lt;Pre Processing query to Brand &lt;Image Link Required&gt;&gt; &lt;Biplab Sarkar&gt;;Date :08/14/2026 &lt; Pre Processing query to Brand 1st Follow Up&gt; &lt;Biplab Sarkar&gt;</t>
  </si>
  <si>
    <t>Mokobara</t>
  </si>
  <si>
    <t>Date :08/12/2026 &lt;Ticket picked for Production and QC review Option 4 Sku 4&gt; &lt;Biplab Sarkar&gt;;Date :08/14/2026 &lt;Images have been successfully processed/ retriggered. Option 4Sku 4&gt; &lt;Biplab Sarkar&gt;</t>
  </si>
  <si>
    <t>Date :08/12/2026 &lt;Ticket picked for pre processing Option: 12 SKU: 12&gt; &lt;Sanjana Ghosh&gt;;Date :08/13/2026 &lt;Pre Processing query to Brand &lt;Usage Instructions, Certification (Refer LOV List), Safety Precaution, Style Code, Caffeine Content (Refer LOV List), Special Features (Refer LOV List), Age Group (Refer LOV List), Recommended uses of product (Refer LOV List) and Customer Care details are missing&gt; &lt;Sanjana Ghosh&gt; ;Date :08/14/2026 &lt;Ticket picked for QC Option: 12 SKU: 12&gt; &lt;Sanjana Ghosh&gt;;Date :08/14/2026 &lt;Ticket has been successfully uploaded in our system. Option: 9 SKU: 9, Already Listed - Option: 3 SKU: 3&gt; &lt;Sanjana Ghosh&gt;
PFA the post upload status and summary file: [^Summary.zip] [^UCW-35947 - Post Upload Status .xlsx] ;[^UCW-35947 - Post Upload Status.xlsx]
We are pleased to inform you that the listing IDs have been generated successfully.
Please find the attached file for your reference, along with the summary table below. You may now proceed with price and inventory pushing from your end.
{color:#ffffff}__{color}
{adf:display=block}
{"type":"table","attrs":{"isNumberColumnEnabled":false,"layout":"center","localId":"e06d57bc-826d-471f-b43e-342abcc80087"},"content":[{"type":"tableRow","attrs":{"localId":"2ccb75240cad"},"content":[{"type":"tableCell","attrs":{"localId":"8e10f853e218","background":"#44b3e1"},"content":[{"type":"paragraph","content":[{"type":"text","text":"Ticket ID","marks":[{"type":"strong"}]}],"attrs":{"localId":"0af8a77156c5"}}]},{"type":"tableCell","attrs":{"localId":"ccdfb50fea37","colspan":2,"background":"#44b3e1"},"content":[{"type":"paragraph","content":[{"type":"text","text":"UCW-35947","marks":[{"type":"strong"}]}],"attrs":{"localId":"7013f2f51090"}}]}]},{"type":"tableRow","attrs":{"localId":"1cd5d128bf06"},"content":[{"type":"tableCell","attrs":{"localId":"6d0210138529","background":"#44b3e1"},"content":[{"type":"paragraph","content":[{"type":"text","text":"Brand Name","marks":[{"type":"strong"}]}],"attrs":{"localId":"4307d66d5840"}}]},{"type":"tableCell","attrs":{"localId":"996fbdf18c72","colspan":2,"background":"#44b3e1"},"content":[{"type":"paragraph","content":[{"type":"text","text":"GNC","marks":[{"type":"strong"}]}],"attrs":{"localId":"95311c67572d"}}]}]},{"type":"tableRow","attrs":{"localId":"d7b3afc88c3b"},"content":[{"type":"tableCell","attrs":{"localId":"f4506a2dc8cc","background":"#ace5fe"},"content":[{"type":"paragraph","content":[{"type":"text","text":"Platform","marks":[{"type":"strong"}]}],"attrs":{"localId":"989667c424a5"}}]},{"type":"tableCell","attrs":{"localId":"a997a8c65b2e","colspan":2,"background":"#ace5fe"},"content":[{"type":"paragraph","content":[{"type":"text","text":"Mall","marks":[{"type":"strong"}]}],"attrs":{"localId":"a992272435e3"}}]}]},{"type":"tableRow","attrs":{"localId":"04511a8ae597"},"content":[{"type":"tableCell","attrs":{"localId":"8662c2ff1169","background":"#ace5fe"},"content":[{"type":"paragraph","content":[{"type":"text","text":"Particulars","marks":[{"type":"strong"}]}],"attrs":{"localId":"12a8ccebda06"}}]},{"type":"tableCell","attrs":{"localId":"f6cf45052ed7","background":"#ace5fe"},"content":[{"type":"paragraph","content":[{"type":"text","text":"SKU Count","marks":[{"type":"strong"}]}],"attrs":{"localId":"17ae4198b67c"}}]},{"type":"tableCell","attrs":{"localId":"31be0a6dbf00","background":"#ace5fe"},"content":[{"type":"paragraph","content":[{"type":"text","text":"Option Count","marks":[{"type":"strong"}]}],"attrs":{"localId":"ad4ae97a3e7b"}}]}]},{"type":"tableRow","attrs":{"localId":"f2853daf2b64"},"content":[{"type":"tableCell","attrs":{"localId":"f095dfe3d40a","background":"white"},"content":[{"type":"paragraph","content":[{"type":"text","text":"Received"}],"attrs":{"localId":"4e30ccfec809"}}]},{"type":"tableCell","attrs":{"localId":"4afab92f746a"},"content":[{"type":"paragraph","content":[{"type":"text","text":"12"}],"attrs":{"localId":"c126209ab98c"}}]},{"type":"tableCell","attrs":{"localId":"55936cd6d4ae"},"content":[{"type":"paragraph","content":[{"type":"text","text":"12"}],"attrs":{"localId":"bf5500c711c5"}}]}]},{"type":"tableRow","attrs":{"localId":"4b6247c925bd"},"content":[{"type":"tableCell","attrs":{"localId":"c0be3a83e10d","background":"white"},"content":[{"type":"paragraph","content":[{"type":"text","text":"Uploaded"}],"attrs":{"localId":"90c3f3cdee12"}}]},{"type":"tableCell","attrs":{"localId":"53161b8fc192"},"content":[{"type":"paragraph","content":[{"type":"text","text":"9"}],"attrs":{"localId":"a269d5147261"}}]},{"type":"tableCell","attrs":{"localId":"a87dd3aab19f"},"content":[{"type":"paragraph","content":[{"type":"text","text":"9"}],"attrs":{"localId":"baad05128434"}}]}]},{"type":"tableRow","attrs":{"localId":"6fd1acfaebd8"},"content":[{"type":"tableCell","attrs":{"localId":"14f7df92bd6c","background":"white"},"content":[{"type":"paragraph","content":[{"type":"text","text":"Already Listed"}],"attrs":{"localId":"7f75fc9c63fb"}}]},{"type":"tableCell","attrs":{"localId":"cd87e4602d2c"},"content":[{"type":"paragraph","content":[{"type":"text","text":"3"}],"attrs":{"localId":"2302c584c337"}}]},{"type":"tableCell","attrs":{"localId":"8f40c46c6e83"},"content":[{"type":"paragraph","content":[{"type":"text","text":"3"}],"attrs":{"localId":"95dbbe1878db"}}]}]},{"type":"tableRow","attrs":{"localId":"60067772a98e"},"content":[{"type":"tableCell","attrs":{"localId":"0d07a42a5467","background":"white"},"content":[{"type":"paragraph","content":[{"type":"text","text":"LIDs Shared"}],"attrs":{"localId":"83b46d0b8728"}}]},{"type":"tableCell","attrs":{"localId":"fb66ab988a99"},"content":[{"type":"paragraph","content":[{"type":"text","text":"9"}],"attrs":{"localId":"8adf213c6474"}}]},{"type":"tableCell","attrs":{"localId":"13a891504745"},"content":[{"type":"paragraph","content":[{"type":"text","text":"9"}],"attrs":{"localId":"59fc4f486700"}}]}]},{"type":"tableRow","attrs":{"localId":"2187a89b9506"},"content":[{"type":"tableCell","attrs":{"localId":"c7184fda1b68","background":"white"},"content":[{"type":"paragraph","content":[{"type":"text","text":"LIDs Stuck in the System"}],"attrs":{"localId":"c6424bf85a03"}}]},{"type":"tableCell","attrs":{"localId":"510cae550254"},"content":[{"type":"paragraph","content":[{"type":"text","text":"0"}],"attrs":{"localId":"21c50c2efb44"}}]},{"type":"tableCell","attrs":{"localId":"37d2de89bbd2"},"content":[{"type":"paragraph","content":[{"type":"text","text":"0"}],"attrs":{"localId":"bc26e38204c2"}}]}]}]}
{adf}
With this, we are closing this request from our end.
Thank you for your patience, support, and cooperation throughout the process. Your brand is important to us, and we look forward to assisting you again.</t>
  </si>
  <si>
    <t xml:space="preserve">Shiseido </t>
  </si>
  <si>
    <t>Date :08/12/2026  &lt;Ticket picked for pre processing SKU &gt; &lt;Agent Name&gt; Date :08/12/2026  &lt;Pre Processing query to Brand &lt;Query Details&gt;&gt; &lt;Agent Name&gt; ;Date :08/13/2026 &lt; Pre Processing query to Brand 1st Follow Up&gt; &lt;Tania&gt;;Date :08/13/2026 &lt; Resolution Received But Certificate Query is Not Resolved&gt; &lt;Tania&gt;;Date :08/13/2026 &lt; Image query + Certificate Query is Not Resolved&gt; &lt;Tania&gt;;Date :08/14/2026 &lt; Image query + Certificate Query is Not Resolved &lt;Brand Follow Up&gt;&gt; &lt;Tania&gt;</t>
  </si>
  <si>
    <t>Date :08/12/2026 &lt;Ticket picked for Production and QC review Option 24 Sku 02&gt; &lt;Biplab Sarkar&gt;</t>
  </si>
  <si>
    <t>Date :08/11/2026 &lt;Ticket picked for pre processing Option 2 Sku 16&gt; &lt;Ankita&gt;;Date :08/11/2026 &lt;Ticket picked for Production and QC review Option 2 Sku 16&gt; &lt;Ankita&gt;;Date :08/12/2026 &lt;Ticket has been successfully uploaded in our system. Option 2 Sku 16&gt; &lt;Ankita&gt;[^Post Upload Status_V.2 (1).xlsx] [^Summary.zip] ;[^UCW-35938.xlsx]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b813e5c3-f0f0-43d2-9fd4-701e5a61e685"},"content":[{"type":"tableRow","attrs":{"localId":"51e89ba00c5d"},"content":[{"type":"tableCell","attrs":{"localId":"9838e0514631","background":"#44b3e1"},"content":[{"type":"paragraph","content":[{"type":"text","text":"Ticket ID","marks":[{"type":"strong"}]}],"attrs":{"localId":"ea9a12e25962"}}]},{"type":"tableCell","attrs":{"localId":"e7992bec0424","colspan":2,"background":"#44b3e1"},"content":[{"type":"paragraph","content":[{"type":"text","text":"UCW-35938","marks":[{"type":"strong"}]}],"attrs":{"localId":"62d78b6166a1"}}]}]},{"type":"tableRow","attrs":{"localId":"42e203376f78"},"content":[{"type":"tableCell","attrs":{"localId":"1ba8202a8ef8","background":"#44b3e1"},"content":[{"type":"paragraph","content":[{"type":"text","text":"Brand Name","marks":[{"type":"strong"}]}],"attrs":{"localId":"b09c7db3eaf8"}}]},{"type":"tableCell","attrs":{"localId":"978976f2b3b9","colspan":2,"background":"#44b3e1"},"content":[{"type":"paragraph","content":[{"type":"text","text":"Vantier Shoes","marks":[{"type":"strong"}]}],"attrs":{"localId":"ce8846b69168"}}]}]},{"type":"tableRow","attrs":{"localId":"bd3ad1456ccf"},"content":[{"type":"tableCell","attrs":{"localId":"5aa5f8f46e88","background":"#ace5fe"},"content":[{"type":"paragraph","content":[{"type":"text","text":"Platform","marks":[{"type":"strong"}]}],"attrs":{"localId":"6655297f1ecc"}}]},{"type":"tableCell","attrs":{"localId":"c23852ccf658","colspan":2,"background":"#ace5fe"},"content":[{"type":"paragraph","content":[{"type":"text","text":"Luxury","marks":[{"type":"strong"}]}],"attrs":{"localId":"b919ab30e6b0"}}]}]},{"type":"tableRow","attrs":{"localId":"fbb4035c806b"},"content":[{"type":"tableCell","attrs":{"localId":"2f0d78d3b10d","background":"#ace5fe"},"content":[{"type":"paragraph","content":[{"type":"text","text":"Particulars","marks":[{"type":"strong"}]}],"attrs":{"localId":"a6ecfc12be58"}}]},{"type":"tableCell","attrs":{"localId":"1053520ed3a7","background":"#ace5fe"},"content":[{"type":"paragraph","content":[{"type":"text","text":"SKU Count","marks":[{"type":"strong"}]}],"attrs":{"localId":"213cb4b9a412"}}]},{"type":"tableCell","attrs":{"localId":"feca6c7f127b","background":"#ace5fe"},"content":[{"type":"paragraph","content":[{"type":"text","text":"Option Count","marks":[{"type":"strong"}]}],"attrs":{"localId":"745bddb62e16"}}]}]},{"type":"tableRow","attrs":{"localId":"462972653bba"},"content":[{"type":"tableCell","attrs":{"localId":"4785e0db86c2","background":"white"},"content":[{"type":"paragraph","content":[{"type":"text","text":"Received"}],"attrs":{"localId":"4387e37585bf"}}]},{"type":"tableCell","attrs":{"localId":"04adb3515e97"},"content":[{"type":"paragraph","content":[{"type":"text","text":"16"}],"attrs":{"localId":"eb981bf3875c"}}]},{"type":"tableCell","attrs":{"localId":"834b1dd0edd2"},"content":[{"type":"paragraph","content":[{"type":"text","text":"2"}],"attrs":{"localId":"743c2d00c554"}}]}]},{"type":"tableRow","attrs":{"localId":"414dbf5f6efb"},"content":[{"type":"tableCell","attrs":{"localId":"332bf623ffa2","background":"white"},"content":[{"type":"paragraph","content":[{"type":"text","text":"Uploaded"}],"attrs":{"localId":"80c83e3026a1"}}]},{"type":"tableCell","attrs":{"localId":"ddd6afa228b4"},"content":[{"type":"paragraph","content":[{"type":"text","text":"16"}],"attrs":{"localId":"a9609e97bfdc"}}]},{"type":"tableCell","attrs":{"localId":"eba2b2eb043a"},"content":[{"type":"paragraph","content":[{"type":"text","text":"2"}],"attrs":{"localId":"861984250acf"}}]}]},{"type":"tableRow","attrs":{"localId":"9dc8139eccea"},"content":[{"type":"tableCell","attrs":{"localId":"62afe0349e53","background":"white"},"content":[{"type":"paragraph","content":[{"type":"text","text":"LIDs Shared"}],"attrs":{"localId":"fda65705ab85"}}]},{"type":"tableCell","attrs":{"localId":"226d5ce21f61"},"content":[{"type":"paragraph","content":[{"type":"text","text":"16"}],"attrs":{"localId":"7f704e8fb60b"}}]},{"type":"tableCell","attrs":{"localId":"2782fc314af1"},"content":[{"type":"paragraph","content":[{"type":"text","text":"2"}],"attrs":{"localId":"6203da4bf41b"}}]}]},{"type":"tableRow","attrs":{"localId":"ff77e2cfa11d"},"content":[{"type":"tableCell","attrs":{"localId":"15480ed0b6b8","background":"white"},"content":[{"type":"paragraph","content":[{"type":"text","text":"LIDs Stuck in the System"}],"attrs":{"localId":"b394bce212f7"}}]},{"type":"tableCell","attrs":{"localId":"b0e4d5627d61"},"content":[{"type":"paragraph","content":[{"type":"text","text":"0"}],"attrs":{"localId":"6060ceedb341"}}]},{"type":"tableCell","attrs":{"localId":"259fdb801be9"},"content":[{"type":"paragraph","content":[{"type":"text","text":"0"}],"attrs":{"localId":"857d774d9283"}}]}]}]}
{adf}
Thank you for your patience, support, and cooperation throughout the process. Your brand is important to us, and we look forward to assisting you again.</t>
  </si>
  <si>
    <t>Date :08/10/2026  &lt;Pre Processing query to Brand &lt;Seller Code not available&gt;&gt; &lt;Tania&gt; ;Date :MM/DD/YYYY &lt;Pre Processing query to Brand &lt;SKU, EAN Missing, Images SKU Mismatched &amp; Certificate Details&gt;&gt; &lt;Tania&gt;;* Date :08/13/2026 &lt; Pre Processing query to Brand 1st Follow Up&gt; &lt;Tania&gt;;Date :08/13/2026 &lt; Resolution Received&lt;Query Not clear&gt;&gt; &lt;Tania&gt;;Date :08/14/2026 &lt; Resolution Received&lt;Production QC WIP&gt;&gt; &lt;Tania&gt;</t>
  </si>
  <si>
    <t>Outzidr</t>
  </si>
  <si>
    <t>Date :08/11/2026&lt;Ticket picked for pre processing Option 39 Sku 186&gt; &lt;Amandeep&gt;;Date :08/12/2026  &lt;Pre Processing query to Brand &lt;Ean &amp; Fit Missing&gt;&gt; &lt;Anwesha Mondal&gt; ;Date :08/13/2026  &lt;QC &amp; Size Chart Code WIP&gt; &lt;Anwesha Mondal&gt; ;Date :08/13/2026  &lt;Pre-Processing Queru-Mandatory Image Missing&gt; &lt;Anwesha Mondal&gt; ;Date :08/13/2026  &lt;Size chart Code creation&gt; &lt;Anwesha Mondal&gt; 
[^UCW-35920 Size Chart.csv]
;!image-20260814-183426.png|width=520,alt="image-20260814-183426.png"!</t>
  </si>
  <si>
    <t>Date : 11th Aug, 2026 This ticket has been picked for Pre-Processing and Image Analysis -Mousumi.
Date : 11th Aug, 2026 Pre-Processing Done(Brand to QUery For Warranty Type , Warranty Time, Chain Length,Style Code, Association Code, Price breakup on PDP &amp; Invoice, Images);Date : 12th Aug, 2026 1st Followup Done-Mousumi;Date : 13rd Aug, 2026 2nd Followup Done-Mousumi
Date : 13rd Aug, 2026 A resolution has been received from the brand- Mousumi.
Date : 13rd Aug, 2026 QC &amp; Uplaoded Done-Mousumi
PFA the SUmmary &amp; Post-Uploaded SHeet[^Summary.zip] [^UCW-35917 Post Upload Status_V.2 (1).xlsx] ;[^UCW-35917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c818bf3e-3d26-4146-8c65-50e79c42d117"},"content":[{"type":"tableRow","attrs":{"localId":"496b56b08839"},"content":[{"type":"tableCell","attrs":{"localId":"0f3977addd0e","background":"#44b3e1"},"content":[{"type":"paragraph","content":[{"type":"text","text":"Ticket ID","marks":[{"type":"strong"}]}],"attrs":{"localId":"bdf45d03e63f"}}]},{"type":"tableCell","attrs":{"localId":"8161cb321cee","colspan":2,"background":"#44b3e1"},"content":[{"type":"paragraph","content":[{"type":"text","text":"UCW-35917","marks":[{"type":"strong"}]}],"attrs":{"localId":"658dd43e4aa5"}}]}]},{"type":"tableRow","attrs":{"localId":"5e945884ca32"},"content":[{"type":"tableCell","attrs":{"localId":"d173743f04bf","background":"#44b3e1"},"content":[{"type":"paragraph","content":[{"type":"text","text":"Brand Name","marks":[{"type":"strong"}]}],"attrs":{"localId":"d32a6cb9f8c9"}}]},{"type":"tableCell","attrs":{"localId":"b9043bcc3363","colspan":2,"background":"#44b3e1"},"content":[{"type":"paragraph","content":[{"type":"text","text":"Touch925","marks":[{"type":"strong"}]}],"attrs":{"localId":"e9cff36a5a94"}}]}]},{"type":"tableRow","attrs":{"localId":"c8f48897c0ac"},"content":[{"type":"tableCell","attrs":{"localId":"c7442d01917d","background":"#ace5fe"},"content":[{"type":"paragraph","content":[{"type":"text","text":"Platform","marks":[{"type":"strong"}]}],"attrs":{"localId":"c169fe57f568"}}]},{"type":"tableCell","attrs":{"localId":"48087a68d9df","colspan":2,"background":"#ace5fe"},"content":[{"type":"paragraph","content":[{"type":"text","text":"Mall","marks":[{"type":"strong"}]}],"attrs":{"localId":"6dac898bb86d"}}]}]},{"type":"tableRow","attrs":{"localId":"93f6dc2e43a0"},"content":[{"type":"tableCell","attrs":{"localId":"e3e2dc998b45","background":"#ace5fe"},"content":[{"type":"paragraph","content":[{"type":"text","text":"Particulars","marks":[{"type":"strong"}]}],"attrs":{"localId":"416f8dd1face"}}]},{"type":"tableCell","attrs":{"localId":"67c7a25aa9b0","background":"#ace5fe"},"content":[{"type":"paragraph","content":[{"type":"text","text":"SKU Count","marks":[{"type":"strong"}]}],"attrs":{"localId":"c0ee7780b39a"}}]},{"type":"tableCell","attrs":{"localId":"f459d45851b1","background":"#ace5fe"},"content":[{"type":"paragraph","content":[{"type":"text","text":"Option Count","marks":[{"type":"strong"}]}],"attrs":{"localId":"0959e6df9e46"}}]}]},{"type":"tableRow","attrs":{"localId":"6b523eeb58a9"},"content":[{"type":"tableCell","attrs":{"localId":"23ee1975e0aa","background":"white"},"content":[{"type":"paragraph","content":[{"type":"text","text":"Received"}],"attrs":{"localId":"8c80e16531fe"}}]},{"type":"tableCell","attrs":{"localId":"190b33dabb91"},"content":[{"type":"paragraph","content":[{"type":"text","text":"176"}],"attrs":{"localId":"1a604198cbcc"}}]},{"type":"tableCell","attrs":{"localId":"8ca84153b84e"},"content":[{"type":"paragraph","content":[{"type":"text","text":"176"}],"attrs":{"localId":"9fe8ca56097d"}}]}]},{"type":"tableRow","attrs":{"localId":"e396a4698c3a"},"content":[{"type":"tableCell","attrs":{"localId":"c97017f7e05e","background":"white"},"content":[{"type":"paragraph","content":[{"type":"text","text":"Uploaded"}],"attrs":{"localId":"f0f2d862eeb6"}}]},{"type":"tableCell","attrs":{"localId":"d45380bf79dc"},"content":[{"type":"paragraph","content":[{"type":"text","text":"163"}],"attrs":{"localId":"ed4ddc8f59fc"}}]},{"type":"tableCell","attrs":{"localId":"5dd0c8d5cb82"},"content":[{"type":"paragraph","content":[{"type":"text","text":"163"}],"attrs":{"localId":"d7481808aae4"}}]}]},{"type":"tableRow","attrs":{"localId":"9d087fa71c6e"},"content":[{"type":"tableCell","attrs":{"localId":"bcbb8de85a5f","background":"white"},"content":[{"type":"paragraph","content":[{"type":"text","text":"Already Listed"}],"attrs":{"localId":"2fb02bfe7581"}}]},{"type":"tableCell","attrs":{"localId":"26b8006f7653"},"content":[{"type":"paragraph","content":[{"type":"text","text":"13"}],"attrs":{"localId":"21b553093220"}}]},{"type":"tableCell","attrs":{"localId":"8069fb812580"},"content":[{"type":"paragraph","content":[{"type":"text","text":"13"}],"attrs":{"localId":"1814713c11d3"}}]}]},{"type":"tableRow","attrs":{"localId":"8ea3a29d1f0e"},"content":[{"type":"tableCell","attrs":{"localId":"f1142f7f12b0","background":"white"},"content":[{"type":"paragraph","content":[{"type":"text","text":"LIDs Shared"}],"attrs":{"localId":"8a3fbb8232c2"}}]},{"type":"tableCell","attrs":{"localId":"f0702fca9be8"},"content":[{"type":"paragraph","content":[{"type":"text","text":"163"}],"attrs":{"localId":"a23216120fb6"}}]},{"type":"tableCell","attrs":{"localId":"5513e3054c08"},"content":[{"type":"paragraph","content":[{"type":"text","text":"163"}],"attrs":{"localId":"8cabf1e594f9"}}]}]},{"type":"tableRow","attrs":{"localId":"254bf6f4ea1d"},"content":[{"type":"tableCell","attrs":{"localId":"d8a540d303d4","background":"white"},"content":[{"type":"paragraph","content":[{"type":"text","text":"LIDs Stuck in the System"}],"attrs":{"localId":"34b78a810417"}}]},{"type":"tableCell","attrs":{"localId":"9e7a645ead06"},"content":[{"type":"paragraph","content":[{"type":"text","text":"0"}],"attrs":{"localId":"778b13c84e6f"}}]},{"type":"tableCell","attrs":{"localId":"39da46f06624"},"content":[{"type":"paragraph","content":[{"type":"text","text":"0"}],"attrs":{"localId":"d41fc4292f07"}}]}]}]}
{adf}
With this, we are closing this request from our end.
Thank you for your patience, support, and cooperation throughout the process. Your brand is important to us, and we look forward to assisting you again.</t>
  </si>
  <si>
    <t>Tryme</t>
  </si>
  <si>
    <t>Date :08/11/2026 &lt;Ticket picked for pre processing Option 7 Sku 42&gt; &lt;Ankita&gt;;Date :08/11/2026 &lt;Ticket picked for Production and QC review  Option 7 Sku 42&gt; &lt;Ankita&gt;;Date :08/11/2026 &lt;Ticket picked for Production and QC review Option 7 Sku 42&gt; &lt;Ankita&gt;;Date :08/13/2026 &lt;Ticket has been successfully uploaded in our system. Option 7 Sku 42 &gt; &lt;Ankita&gt;[^Post Upload Status_V.2 (1).xlsx] [^Summary.zip] ;[^UCW-35915.xlsx]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3fe2932-9067-4905-9e42-8d9965ca289e"},"content":[{"type":"tableRow","attrs":{"localId":"b250dba26ea6"},"content":[{"type":"tableCell","attrs":{"localId":"2e8bce843736","background":"#44b3e1"},"content":[{"type":"paragraph","content":[{"type":"text","text":"Ticket ID","marks":[{"type":"strong"}]}],"attrs":{"localId":"61853a6f6953"}}]},{"type":"tableCell","attrs":{"localId":"c03171986fa1","colspan":2,"background":"#44b3e1"},"content":[{"type":"paragraph","content":[{"type":"text","text":"UCW-35915","marks":[{"type":"strong"}]}],"attrs":{"localId":"11720308e567"}}]}]},{"type":"tableRow","attrs":{"localId":"74ec7dd4e6d7"},"content":[{"type":"tableCell","attrs":{"localId":"7bedb24e3efc","background":"#44b3e1"},"content":[{"type":"paragraph","content":[{"type":"text","text":"Brand Name","marks":[{"type":"strong"}]}],"attrs":{"localId":"104af197ce7a"}}]},{"type":"tableCell","attrs":{"localId":"1a2c21faf960","colspan":2,"background":"#44b3e1"},"content":[{"type":"paragraph","content":[{"type":"text","text":"TRYME","marks":[{"type":"strong"}]}],"attrs":{"localId":"38f10af18dbe"}}]}]},{"type":"tableRow","attrs":{"localId":"abe3291fcd7f"},"content":[{"type":"tableCell","attrs":{"localId":"0b4dd558c3d8","background":"#ace5fe"},"content":[{"type":"paragraph","content":[{"type":"text","text":"Platform","marks":[{"type":"strong"}]}],"attrs":{"localId":"7148646448b1"}}]},{"type":"tableCell","attrs":{"localId":"5a93eafea4d0","colspan":2,"background":"#ace5fe"},"content":[{"type":"paragraph","content":[{"type":"text","text":"Mall","marks":[{"type":"strong"}]}],"attrs":{"localId":"5657f4d4231c"}}]}]},{"type":"tableRow","attrs":{"localId":"e46079c1a317"},"content":[{"type":"tableCell","attrs":{"localId":"df2a0226f4fa","background":"#ace5fe"},"content":[{"type":"paragraph","content":[{"type":"text","text":"Particulars","marks":[{"type":"strong"}]}],"attrs":{"localId":"7d5aff5309fd"}}]},{"type":"tableCell","attrs":{"localId":"f27fadaaaba5","background":"#ace5fe"},"content":[{"type":"paragraph","content":[{"type":"text","text":"SKU Count","marks":[{"type":"strong"}]}],"attrs":{"localId":"646bb7bf96e0"}}]},{"type":"tableCell","attrs":{"localId":"93e4f2ec38ee","background":"#ace5fe"},"content":[{"type":"paragraph","content":[{"type":"text","text":"Option Count","marks":[{"type":"strong"}]}],"attrs":{"localId":"c2bc2bf0235a"}}]}]},{"type":"tableRow","attrs":{"localId":"55397c9318e7"},"content":[{"type":"tableCell","attrs":{"localId":"db21d3aaaeab","background":"white"},"content":[{"type":"paragraph","content":[{"type":"text","text":"Received"}],"attrs":{"localId":"5d92dd61f800"}}]},{"type":"tableCell","attrs":{"localId":"283ac78c9632"},"content":[{"type":"paragraph","content":[{"type":"text","text":"42"}],"attrs":{"localId":"9ab28b014206"}}]},{"type":"tableCell","attrs":{"localId":"72627469137b"},"content":[{"type":"paragraph","content":[{"type":"text","text":"7"}],"attrs":{"localId":"8d65dcdb37aa"}}]}]},{"type":"tableRow","attrs":{"localId":"340efbb8f81a"},"content":[{"type":"tableCell","attrs":{"localId":"c41669f5c81b","background":"white"},"content":[{"type":"paragraph","content":[{"type":"text","text":"Uploaded"}],"attrs":{"localId":"8acaa93a8e7d"}}]},{"type":"tableCell","attrs":{"localId":"035f94a30e61"},"content":[{"type":"paragraph","content":[{"type":"text","text":"42"}],"attrs":{"localId":"47f8c5bd63b0"}}]},{"type":"tableCell","attrs":{"localId":"9833d4f82430"},"content":[{"type":"paragraph","content":[{"type":"text","text":"7"}],"attrs":{"localId":"d940019c424d"}}]}]},{"type":"tableRow","attrs":{"localId":"e9b1d3bf7a21"},"content":[{"type":"tableCell","attrs":{"localId":"1ae736435aa8","background":"white"},"content":[{"type":"paragraph","content":[{"type":"text","text":"LIDs Shared"}],"attrs":{"localId":"cd8f63b2e0e7"}}]},{"type":"tableCell","attrs":{"localId":"3fd07e84d053"},"content":[{"type":"paragraph","content":[{"type":"text","text":"42"}],"attrs":{"localId":"992685b8e3e2"}}]},{"type":"tableCell","attrs":{"localId":"6bf26214a181"},"content":[{"type":"paragraph","content":[{"type":"text","text":"7"}],"attrs":{"localId":"1289a37a56b2"}}]}]},{"type":"tableRow","attrs":{"localId":"95f8ed8919d6"},"content":[{"type":"tableCell","attrs":{"localId":"c4f170036a9f","background":"white"},"content":[{"type":"paragraph","content":[{"type":"text","text":"LIDs Stuck in the System"}],"attrs":{"localId":"f9abfe8deee4"}}]},{"type":"tableCell","attrs":{"localId":"bc5c820878c5"},"content":[{"type":"paragraph","content":[{"type":"text","text":"0"}],"attrs":{"localId":"ba56491ce3c4"}}]},{"type":"tableCell","attrs":{"localId":"378b548d456c"},"content":[{"type":"paragraph","content":[{"type":"text","text":"0"}],"attrs":{"localId":"7f631764db97"}}]}]}]}
{adf}
With this, we are closing this request from our end.
Thank you for your patience, support, and cooperation throughout the process. Your brand is important to us, and we look forward to assisting you again.</t>
  </si>
  <si>
    <t>Nap Chief</t>
  </si>
  <si>
    <t>[^ProductBulkUpload_128853_Apparel(MPH11)_Girls_Clothing(MPH1122)_Sets(MPH1122108)_Clothing_Sets(MPH1122108101)_46909_1786515207613_20260812_114327_750_summary.csv]
Date :08/12/2026 &lt;Ticket has been successfully uploaded in our system. Option 01 Sku 03&gt; &lt;Debabrata&gt;;[^Size addition - (Nap Chief) - N1196.xlsx]
We are pleased to inform you that the SKUs shared for the cut-size addition listing IDs have been successfully generated.
With this, we are closing this request from our end.
Thank you for your patience, support, and cooperation throughout the process. Your brand is important to us, and we look forward to assisting you again."</t>
  </si>
  <si>
    <t>Date :08/10/2026 &lt;Ticket picked for pre processing Option 15 Sku 115 &gt; &lt;Ankita&gt;;Date :08/11/2026 &lt;Pre Processing query to Brand &lt;Image Query&gt;&gt; &lt;Ankita&gt;;Date :08/14/2026 &lt;Ticket has been successfully uploaded in our system. Option 15 Sku 115&gt; &lt;Ankita&gt;[^Summary.zip] [^Post Upload Status_V.2 (1).xlsx] ;[^UCW-35907.xlsx]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e2b45359-895d-4a0a-967a-770e5a7815d8"},"content":[{"type":"tableRow","attrs":{"localId":"722129137f7f"},"content":[{"type":"tableCell","attrs":{"localId":"b0c8abe0a2bf","background":"#44b3e1"},"content":[{"type":"paragraph","content":[{"type":"text","text":"Ticket ID","marks":[{"type":"strong"}]}],"attrs":{"localId":"0dea9b89295a"}}]},{"type":"tableCell","attrs":{"localId":"0b92f2a41c89","colspan":2,"background":"#44b3e1"},"content":[{"type":"paragraph","content":[{"type":"text","text":"UCW-35907","marks":[{"type":"strong"}]}],"attrs":{"localId":"f1d2f79467fc"}}]}]},{"type":"tableRow","attrs":{"localId":"f1935468a67c"},"content":[{"type":"tableCell","attrs":{"localId":"2d25b1a1aed9","background":"#44b3e1"},"content":[{"type":"paragraph","content":[{"type":"text","text":"Brand Name","marks":[{"type":"strong"}]}],"attrs":{"localId":"66aa84c00ba4"}}]},{"type":"tableCell","attrs":{"localId":"f26cfcaea9f1","colspan":2,"background":"#44b3e1"},"content":[{"type":"paragraph","content":[{"type":"text","text":"Neemans","marks":[{"type":"strong"}]}],"attrs":{"localId":"134591b35270"}}]}]},{"type":"tableRow","attrs":{"localId":"8631d839f241"},"content":[{"type":"tableCell","attrs":{"localId":"e827c54cf05d","background":"#ace5fe"},"content":[{"type":"paragraph","content":[{"type":"text","text":"Platform","marks":[{"type":"strong"}]}],"attrs":{"localId":"61fbe40a186e"}}]},{"type":"tableCell","attrs":{"localId":"25aa9f5ec4ed","colspan":2,"background":"#ace5fe"},"content":[{"type":"paragraph","content":[{"type":"text","text":"Mall","marks":[{"type":"strong"}]}],"attrs":{"localId":"72ee6fb1ea86"}}]}]},{"type":"tableRow","attrs":{"localId":"898cd5d50fd9"},"content":[{"type":"tableCell","attrs":{"localId":"7e545f516386","background":"#ace5fe"},"content":[{"type":"paragraph","content":[{"type":"text","text":"Particulars","marks":[{"type":"strong"}]}],"attrs":{"localId":"cc3bacf6272a"}}]},{"type":"tableCell","attrs":{"localId":"796dbf6f852a","background":"#ace5fe"},"content":[{"type":"paragraph","content":[{"type":"text","text":"SKU Count","marks":[{"type":"strong"}]}],"attrs":{"localId":"cc4dec9671a5"}}]},{"type":"tableCell","attrs":{"localId":"edf234a7e9c3","background":"#ace5fe"},"content":[{"type":"paragraph","content":[{"type":"text","text":"Option Count","marks":[{"type":"strong"}]}],"attrs":{"localId":"5188030d6646"}}]}]},{"type":"tableRow","attrs":{"localId":"d2ec198e1c9f"},"content":[{"type":"tableCell","attrs":{"localId":"72463c16f7f2","background":"white"},"content":[{"type":"paragraph","content":[{"type":"text","text":"Received"}],"attrs":{"localId":"4daa930a1a53"}}]},{"type":"tableCell","attrs":{"localId":"e55588fd3b02"},"content":[{"type":"paragraph","content":[{"type":"text","text":"115"}],"attrs":{"localId":"9e56e491c207"}}]},{"type":"tableCell","attrs":{"localId":"f184c594f0ea"},"content":[{"type":"paragraph","content":[{"type":"text","text":"15"}],"attrs":{"localId":"739d89182311"}}]}]},{"type":"tableRow","attrs":{"localId":"0ecaaf1392ee"},"content":[{"type":"tableCell","attrs":{"localId":"2007ac7cd960","background":"white"},"content":[{"type":"paragraph","content":[{"type":"text","text":"Uploaded"}],"attrs":{"localId":"9b7e77694a97"}}]},{"type":"tableCell","attrs":{"localId":"c58d449ddc3a"},"content":[{"type":"paragraph","content":[{"type":"text","text":"115"}],"attrs":{"localId":"a53e8da56862"}}]},{"type":"tableCell","attrs":{"localId":"52ff12ac3f23"},"content":[{"type":"paragraph","content":[{"type":"text","text":"15"}],"attrs":{"localId":"9c8efd5984e5"}}]}]},{"type":"tableRow","attrs":{"localId":"a5ec5651b745"},"content":[{"type":"tableCell","attrs":{"localId":"92a31fcf2a66","background":"white"},"content":[{"type":"paragraph","content":[{"type":"text","text":"LIDs Shared"}],"attrs":{"localId":"f90d9d50256a"}}]},{"type":"tableCell","attrs":{"localId":"c607dcc3fe91"},"content":[{"type":"paragraph","content":[{"type":"text","text":"115"}],"attrs":{"localId":"675ed0f22f3b"}}]},{"type":"tableCell","attrs":{"localId":"bc5b444ec8f7"},"content":[{"type":"paragraph","content":[{"type":"text","text":"15"}],"attrs":{"localId":"e27205f0fefc"}}]}]},{"type":"tableRow","attrs":{"localId":"c645cbe716e7"},"content":[{"type":"tableCell","attrs":{"localId":"6fc1840da0d2","background":"white"},"content":[{"type":"paragraph","content":[{"type":"text","text":"LIDs Stuck in the System"}],"attrs":{"localId":"13017fdfdaec"}}]},{"type":"tableCell","attrs":{"localId":"f17df985c0cc"},"content":[{"type":"paragraph","content":[{"type":"text","text":"0"}],"attrs":{"localId":"cec47813d9b6"}}]},{"type":"tableCell","attrs":{"localId":"08bdf1e79888"},"content":[{"type":"paragraph","content":[{"type":"text","text":"0"}],"attrs":{"localId":"c9be1b0e4141"}}]}]}]}
{adf}
With this, we are closing this request from our end.
Thank you for your patience, support, and cooperation throughout the process. Your brand is important to us, and we look forward to assisting you again.</t>
  </si>
  <si>
    <t xml:space="preserve">Louis Stitch </t>
  </si>
  <si>
    <t>Date :08/10/2026 &lt;Ticket picked for pre processing Option 26 Sku 140&gt; &lt;Ankita&gt;;Date :08/10/2026 &lt;Pre Processing query to Brand &lt;Size chart Query&gt;&gt; &lt;Ankita&gt;;Date :08/10/2026 &lt;Ticket picked for Production and QC review Option 26 Sku 140&gt; &lt;Ankita&gt;;Date :08/11/2026 &lt; Pre Processing query to Brand 1st Follow Up&gt;  &lt;Ankita&gt;;Date :08/14/2026 &lt;Ticket has been successfully uploaded in our system. Option 26 Sku 140&gt; &lt;Ankita&gt;[^Post Upload Status_V.2 (1).xlsx] [^Summary.zip] ;[^UCW-35897.xlsx]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31d3afb0-3d34-45d9-bbdd-92ae91cb296f"},"content":[{"type":"tableRow","attrs":{"localId":"c3e36b5f1a56"},"content":[{"type":"tableCell","attrs":{"localId":"0d337044ca0d","background":"#44b3e1"},"content":[{"type":"paragraph","content":[{"type":"text","text":"Ticket ID","marks":[{"type":"strong"}]}],"attrs":{"localId":"d7224e542a55"}}]},{"type":"tableCell","attrs":{"localId":"dcc2107f178e","colspan":2,"background":"#44b3e1"},"content":[{"type":"paragraph","content":[{"type":"text","text":"UCW-35897","marks":[{"type":"strong"}]}],"attrs":{"localId":"717497a587c4"}}]}]},{"type":"tableRow","attrs":{"localId":"40b50e347fc1"},"content":[{"type":"tableCell","attrs":{"localId":"9d237621714f","background":"#44b3e1"},"content":[{"type":"paragraph","content":[{"type":"text","text":"Brand Name","marks":[{"type":"strong"}]}],"attrs":{"localId":"cac16be1fdce"}}]},{"type":"tableCell","attrs":{"localId":"2cff7d8b8953","colspan":2,"background":"#44b3e1"},"content":[{"type":"paragraph","content":[{"type":"text","text":"Louis Stitch","marks":[{"type":"strong"}]}],"attrs":{"localId":"250e3f60aff1"}}]}]},{"type":"tableRow","attrs":{"localId":"fb5752f969c0"},"content":[{"type":"tableCell","attrs":{"localId":"27488d412f65","background":"#ace5fe"},"content":[{"type":"paragraph","content":[{"type":"text","text":"Platform","marks":[{"type":"strong"}]}],"attrs":{"localId":"2c221ab52452"}}]},{"type":"tableCell","attrs":{"localId":"82bbdc39723d","colspan":2,"background":"#ace5fe"},"content":[{"type":"paragraph","content":[{"type":"text","text":"Mall","marks":[{"type":"strong"}]}],"attrs":{"localId":"c22565f0b381"}}]}]},{"type":"tableRow","attrs":{"localId":"e2d920a54792"},"content":[{"type":"tableCell","attrs":{"localId":"67dcfef04d5d","background":"#ace5fe"},"content":[{"type":"paragraph","content":[{"type":"text","text":"Particulars","marks":[{"type":"strong"}]}],"attrs":{"localId":"2fa8eabc6c4a"}}]},{"type":"tableCell","attrs":{"localId":"0deb9f443265","background":"#ace5fe"},"content":[{"type":"paragraph","content":[{"type":"text","text":"SKU Count","marks":[{"type":"strong"}]}],"attrs":{"localId":"8738ed9dcc07"}}]},{"type":"tableCell","attrs":{"localId":"32a125341d35","background":"#ace5fe"},"content":[{"type":"paragraph","content":[{"type":"text","text":"Option Count","marks":[{"type":"strong"}]}],"attrs":{"localId":"40224ad7e5a2"}}]}]},{"type":"tableRow","attrs":{"localId":"3346d20ca13d"},"content":[{"type":"tableCell","attrs":{"localId":"fa85ea356aa4","background":"white"},"content":[{"type":"paragraph","content":[{"type":"text","text":"Received"}],"attrs":{"localId":"0b7de7a0b15b"}}]},{"type":"tableCell","attrs":{"localId":"9be91907c024"},"content":[{"type":"paragraph","content":[{"type":"text","text":"140"}],"attrs":{"localId":"57cd58faf816"}}]},{"type":"tableCell","attrs":{"localId":"2b1e0aaab769"},"content":[{"type":"paragraph","content":[{"type":"text","text":"26"}],"attrs":{"localId":"0f93b2199160"}}]}]},{"type":"tableRow","attrs":{"localId":"c270ced8938f"},"content":[{"type":"tableCell","attrs":{"localId":"4df3e5bf4350","background":"white"},"content":[{"type":"paragraph","content":[{"type":"text","text":"Uploaded"}],"attrs":{"localId":"2adfbd14dcc7"}}]},{"type":"tableCell","attrs":{"localId":"827b3d47b215"},"content":[{"type":"paragraph","content":[{"type":"text","text":"140"}],"attrs":{"localId":"3b2197e1d4eb"}}]},{"type":"tableCell","attrs":{"localId":"6d124206a15b"},"content":[{"type":"paragraph","content":[{"type":"text","text":"26"}],"attrs":{"localId":"b83a0f10f2eb"}}]}]},{"type":"tableRow","attrs":{"localId":"8bb9ac0078e6"},"content":[{"type":"tableCell","attrs":{"localId":"7fead000856b","background":"white"},"content":[{"type":"paragraph","content":[{"type":"text","text":"LIDs Shared"}],"attrs":{"localId":"a6be5caaff56"}}]},{"type":"tableCell","attrs":{"localId":"0da05a24c81e"},"content":[{"type":"paragraph","content":[{"type":"text","text":"140"}],"attrs":{"localId":"3b02dd25f540"}}]},{"type":"tableCell","attrs":{"localId":"3cee5c4740aa"},"content":[{"type":"paragraph","content":[{"type":"text","text":"26"}],"attrs":{"localId":"cb108e1162e0"}}]}]},{"type":"tableRow","attrs":{"localId":"f7d90493eb39"},"content":[{"type":"tableCell","attrs":{"localId":"7510615e6c2a","background":"white"},"content":[{"type":"paragraph","content":[{"type":"text","text":"LIDs Stuck in the System"}],"attrs":{"localId":"f957a67ef996"}}]},{"type":"tableCell","attrs":{"localId":"00102352be3f"},"content":[{"type":"paragraph","content":[{"type":"text","text":"0"}],"attrs":{"localId":"1d2b2debe3d0"}}]},{"type":"tableCell","attrs":{"localId":"4cd01ddf689a"},"content":[{"type":"paragraph","content":[{"type":"text","text":"0"}],"attrs":{"localId":"41143df7df45"}}]}]}]}
{adf}
With this, we are closing this request from our end.
Thank you for your patience, support, and cooperation throughout the process. Your brand is important to us, and we look forward to assisting you again.</t>
  </si>
  <si>
    <t>Date :08/10/2026 &lt;Ticket picked for pre processing Option 11 Sku 68&gt; &lt;Ankita&gt;;Date :08/10/2026 &lt;Ticket picked for Production and QC review Option 11 Sku 68&gt; &lt;Ankita&gt;;Date :08/13/2026 &lt;Ticket has been successfully uploaded in our system. Option 11 Sku 68 &gt; &lt;Ankita&gt;[^Post Upload Status_V.2 (1).xlsx] [^Summary.zip] ;[^UCW-35896.xlsx]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82b08c66-2708-4cff-9aad-9feb203f4b4c"},"content":[{"type":"tableRow","attrs":{"localId":"2cd086e73b73"},"content":[{"type":"tableCell","attrs":{"localId":"97086b04570d","background":"#44b3e1"},"content":[{"type":"paragraph","content":[{"type":"text","text":"Ticket ID","marks":[{"type":"strong"}]}],"attrs":{"localId":"49a21ab23612"}}]},{"type":"tableCell","attrs":{"localId":"81fbb794817e","colspan":4,"background":"#44b3e1"},"content":[{"type":"paragraph","content":[{"type":"text","text":"UCW-35896","marks":[{"type":"strong"}]}],"attrs":{"localId":"1e6df3eb5f0b"}}]}]},{"type":"tableRow","attrs":{"localId":"d8f0fee8a208"},"content":[{"type":"tableCell","attrs":{"localId":"fbd2591a1b39","background":"#44b3e1"},"content":[{"type":"paragraph","content":[{"type":"text","text":"Brand Name","marks":[{"type":"strong"}]}],"attrs":{"localId":"f994bcb4af14"}}]},{"type":"tableCell","attrs":{"localId":"76eaafaeb07d","colspan":4,"background":"#44b3e1"},"content":[{"type":"paragraph","content":[{"type":"text","text":"Palladium","marks":[{"type":"strong"}]}],"attrs":{"localId":"0959f517ff95"}}]}]},{"type":"tableRow","attrs":{"localId":"34407f9fbe43"},"content":[{"type":"tableCell","attrs":{"localId":"acf019984d5b","background":"#44b3e1"},"content":[{"type":"paragraph","content":[{"type":"text","text":"Platform","marks":[{"type":"strong"}]}],"attrs":{"localId":"24df4e951df4"}}]},{"type":"tableCell","attrs":{"localId":"928bef4f2edd","colspan":2,"background":"#44b3e1"},"content":[{"type":"paragraph","content":[{"type":"text","text":"Luxury","marks":[{"type":"strong"}]}],"attrs":{"localId":"cd7fb85f56a0"}}]},{"type":"tableCell","attrs":{"localId":"e309423512a0","colspan":2,"background":"#44b3e1"},"content":[{"type":"paragraph","content":[{"type":"text","text":"Mall","marks":[{"type":"strong"}]}],"attrs":{"localId":"c862cfe1235f"}}]}]},{"type":"tableRow","attrs":{"localId":"61c9d5e90806"},"content":[{"type":"tableCell","attrs":{"localId":"577108e9d511","background":"#ace5fe"},"content":[{"type":"paragraph","content":[{"type":"text","text":"Particulars","marks":[{"type":"strong"}]}],"attrs":{"localId":"7e4aee156bd7"}}]},{"type":"tableCell","attrs":{"localId":"78b622c428ed","background":"#ace5fe"},"content":[{"type":"paragraph","content":[{"type":"text","text":"SKU Count","marks":[{"type":"strong"}]}],"attrs":{"localId":"44ca4c4ae70c"}}]},{"type":"tableCell","attrs":{"localId":"601bdfc8b3ec","background":"#ace5fe"},"content":[{"type":"paragraph","content":[{"type":"text","text":"Option Count","marks":[{"type":"strong"}]}],"attrs":{"localId":"4ebf2bb30dbb"}}]},{"type":"tableCell","attrs":{"localId":"51af74e9cd24","background":"#ace5fe"},"content":[{"type":"paragraph","content":[{"type":"text","text":"SKU Count","marks":[{"type":"strong"}]}],"attrs":{"localId":"bd9674a28538"}}]},{"type":"tableCell","attrs":{"localId":"ab9bd0d403ff","background":"#ace5fe"},"content":[{"type":"paragraph","content":[{"type":"text","text":"Option Count","marks":[{"type":"strong"}]}],"attrs":{"localId":"067ae3c482d0"}}]}]},{"type":"tableRow","attrs":{"localId":"bd488465b900"},"content":[{"type":"tableCell","attrs":{"localId":"290a40c4c85e","background":"white"},"content":[{"type":"paragraph","content":[{"type":"text","text":"Received"}],"attrs":{"localId":"823bb7158f25"}}]},{"type":"tableCell","attrs":{"localId":"4e89febf12f7","background":"white"},"content":[{"type":"paragraph","content":[{"type":"text","text":"68"}],"attrs":{"localId":"84ea5fb62158"}}]},{"type":"tableCell","attrs":{"localId":"ee806aa629ab","background":"white"},"content":[{"type":"paragraph","content":[{"type":"text","text":"11"}],"attrs":{"localId":"b81bb9193a46"}}]},{"type":"tableCell","attrs":{"localId":"d0f089203870","background":"white"},"content":[{"type":"paragraph","content":[{"type":"text","text":"68"}],"attrs":{"localId":"2990671cddd4"}}]},{"type":"tableCell","attrs":{"localId":"180758e08968","background":"white"},"content":[{"type":"paragraph","content":[{"type":"text","text":"11"}],"attrs":{"localId":"28e6877eab58"}}]}]},{"type":"tableRow","attrs":{"localId":"2d659b410088"},"content":[{"type":"tableCell","attrs":{"localId":"12ac1d65b05c","background":"white"},"content":[{"type":"paragraph","content":[{"type":"text","text":"Uploaded"}],"attrs":{"localId":"7d0e2b3ad7ac"}}]},{"type":"tableCell","attrs":{"localId":"6fb095c94384","background":"white"},"content":[{"type":"paragraph","content":[{"type":"text","text":"68"}],"attrs":{"localId":"19d99f977cab"}}]},{"type":"tableCell","attrs":{"localId":"ce627b207ebe","background":"white"},"content":[{"type":"paragraph","content":[{"type":"text","text":"11"}],"attrs":{"localId":"d8232b94e7d3"}}]},{"type":"tableCell","attrs":{"localId":"1338f8fef687","background":"white"},"content":[{"type":"paragraph","content":[{"type":"text","text":"68"}],"attrs":{"localId":"4faa8ac739f6"}}]},{"type":"tableCell","attrs":{"localId":"2a2130aa7dac","background":"white"},"content":[{"type":"paragraph","content":[{"type":"text","text":"11"}],"attrs":{"localId":"79cd541854fd"}}]}]},{"type":"tableRow","attrs":{"localId":"8189de2e3627"},"content":[{"type":"tableCell","attrs":{"localId":"08171b8c0e2f","background":"white"},"content":[{"type":"paragraph","content":[{"type":"text","text":"SKUs Not Uploaded"}],"attrs":{"localId":"cbef7574a849"}}]},{"type":"tableCell","attrs":{"localId":"f76148d48d6b","background":"white"},"content":[{"type":"paragraph","content":[{"type":"text","text":"0"}],"attrs":{"localId":"91acbb5942ee"}}]},{"type":"tableCell","attrs":{"localId":"ac79945fce71","background":"white"},"content":[{"type":"paragraph","content":[{"type":"text","text":"0"}],"attrs":{"localId":"78ad5972e106"}}]},{"type":"tableCell","attrs":{"localId":"6a8122970c66","background":"white"},"content":[{"type":"paragraph","content":[{"type":"text","text":"0"}],"attrs":{"localId":"afbeb49b0f40"}}]},{"type":"tableCell","attrs":{"localId":"e829019e53cb","background":"white"},"content":[{"type":"paragraph","content":[{"type":"text","text":"0"}],"attrs":{"localId":"4e11ee00100b"}}]}]},{"type":"tableRow","attrs":{"localId":"8c28f5c25d1b"},"content":[{"type":"tableCell","attrs":{"localId":"492f9d799501","background":"white"},"content":[{"type":"paragraph","content":[{"type":"text","text":"LIDs Shared"}],"attrs":{"localId":"fa598f3c3020"}}]},{"type":"tableCell","attrs":{"localId":"d148d40d9bd4","background":"white"},"content":[{"type":"paragraph","content":[{"type":"text","text":"68"}],"attrs":{"localId":"953489e9982e"}}]},{"type":"tableCell","attrs":{"localId":"6d8c949d269f","background":"white"},"content":[{"type":"paragraph","content":[{"type":"text","text":"11"}],"attrs":{"localId":"52d6d1016bc4"}}]},{"type":"tableCell","attrs":{"localId":"a9b9d9197b0d","background":"white"},"content":[{"type":"paragraph","content":[{"type":"text","text":"68"}],"attrs":{"localId":"743b9481c6e2"}}]},{"type":"tableCell","attrs":{"localId":"8ff8a2e83d91","background":"white"},"content":[{"type":"paragraph","content":[{"type":"text","text":"11"}],"attrs":{"localId":"fbab9827e27b"}}]}]},{"type":"tableRow","attrs":{"localId":"c8380ed36968"},"content":[{"type":"tableCell","attrs":{"localId":"570301b3341c","background":"white"},"content":[{"type":"paragraph","content":[{"type":"text","text":"LIDs Stuck in the System"}],"attrs":{"localId":"8303c402da8a"}}]},{"type":"tableCell","attrs":{"localId":"97b16f39e871"},"content":[{"type":"paragraph","content":[{"type":"text","text":"0"}],"attrs":{"localId":"6e43c19f2fa8"}}]},{"type":"tableCell","attrs":{"localId":"79fdbfcc5d3c","background":"white"},"content":[{"type":"paragraph","content":[{"type":"text","text":"0"}],"attrs":{"localId":"d7ab855b4d8c"}}]},{"type":"tableCell","attrs":{"localId":"faec945e53a1"},"content":[{"type":"paragraph","content":[{"type":"text","text":"0"}],"attrs":{"localId":"7b7306eec4b1"}}]},{"type":"tableCell","attrs":{"localId":"4bd575bb941e","background":"white"},"content":[{"type":"paragraph","content":[{"type":"text","text":"0"}],"attrs":{"localId":"194067c965b5"}}]}]}]}
{adf}
With this, we are closing this request from our end.
Thank you for your patience, support, and cooperation throughout the process. Your brand is important to us, and we look forward to assisting you again.</t>
  </si>
  <si>
    <t>Date :08/11/2026  &lt;Ticket picked for pre processing SKU 5&gt; &lt;Tania&gt; Date :08/11/2026 &lt;Ticket picked for Production and QC review SKU 5&gt; &lt;Tania&gt;;[^UCW-35875 Summary.zip]
We have successfully uploaded this batch. Please find the attached summary sheet and summary report. Date :08/12/2026 &lt;Ticket has been successfully uploaded in our system. SKU 1&gt; &lt;Tania&gt;[^UCW-35875_Post Upload Status.xlsx] ;[^UCW-35875_Post Upload Status (0f785478-46e3-46ba-97c1-9380943ab678).xlsx]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16f8ae74-ee7e-436c-a930-629aa929cb3c"},"content":[{"type":"tableRow","attrs":{"localId":"ce48506aadfc"},"content":[{"type":"tableCell","attrs":{"localId":"5f897a066576","background":"#44b3e1"},"content":[{"type":"paragraph","content":[{"type":"text","text":"Ticket ID","marks":[{"type":"strong"}]}],"attrs":{"localId":"7472389c20cf"}}]},{"type":"tableCell","attrs":{"localId":"836a11d29f72","colspan":2,"background":"#44b3e1"},"content":[{"type":"paragraph","content":[{"type":"text","text":"UCW-35875","marks":[{"type":"strong"}]}],"attrs":{"localId":"a5c4be981a6c"}}]}]},{"type":"tableRow","attrs":{"localId":"20dcba238e67"},"content":[{"type":"tableCell","attrs":{"localId":"687e7ef55396","background":"#44b3e1"},"content":[{"type":"paragraph","content":[{"type":"text","text":"Brand Name","marks":[{"type":"strong"}]}],"attrs":{"localId":"cb8814782708"}}]},{"type":"tableCell","attrs":{"localId":"c7606f729187","colspan":2,"background":"#44b3e1"},"content":[{"type":"paragraph","content":[{"type":"text","text":"Colors Queen","marks":[{"type":"strong"}]}],"attrs":{"localId":"3f20c624fcce"}}]}]},{"type":"tableRow","attrs":{"localId":"9f3d1cbaaa67"},"content":[{"type":"tableCell","attrs":{"localId":"4584a14cc270","background":"#ace5fe"},"content":[{"type":"paragraph","content":[{"type":"text","text":"Platform","marks":[{"type":"strong"}]}],"attrs":{"localId":"ab9650b4d4cc"}}]},{"type":"tableCell","attrs":{"localId":"3472cceb0373","colspan":2,"background":"#ace5fe"},"content":[{"type":"paragraph","content":[{"type":"text","text":"Mall","marks":[{"type":"strong"}]}],"attrs":{"localId":"13752f773e99"}}]}]},{"type":"tableRow","attrs":{"localId":"b8928b7170b9"},"content":[{"type":"tableCell","attrs":{"localId":"2e58c32e59e6","background":"#ace5fe"},"content":[{"type":"paragraph","content":[{"type":"text","text":"Particulars","marks":[{"type":"strong"}]}],"attrs":{"localId":"a8eb5b37a44f"}}]},{"type":"tableCell","attrs":{"localId":"c6247fdcd0a0","background":"#ace5fe"},"content":[{"type":"paragraph","content":[{"type":"text","text":"SKU Count","marks":[{"type":"strong"}]}],"attrs":{"localId":"a82be98474d1"}}]},{"type":"tableCell","attrs":{"localId":"55111b8ebe6f","background":"#ace5fe"},"content":[{"type":"paragraph","content":[{"type":"text","text":"Option Count","marks":[{"type":"strong"}]}],"attrs":{"localId":"57e2173c91df"}}]}]},{"type":"tableRow","attrs":{"localId":"2706bea29a7a"},"content":[{"type":"tableCell","attrs":{"localId":"7cbdc37d309f","background":"white"},"content":[{"type":"paragraph","content":[{"type":"text","text":"Received"}],"attrs":{"localId":"4449bc214792"}}]},{"type":"tableCell","attrs":{"localId":"591086f3735c"},"content":[{"type":"paragraph","content":[{"type":"text","text":"5"}],"attrs":{"localId":"7ffef4befa77"}}]},{"type":"tableCell","attrs":{"localId":"338c2d143d9e"},"content":[{"type":"paragraph","content":[{"type":"text","text":"5"}],"attrs":{"localId":"840325f53340"}}]}]},{"type":"tableRow","attrs":{"localId":"f2d73df57104"},"content":[{"type":"tableCell","attrs":{"localId":"02bac729c63c","background":"white"},"content":[{"type":"paragraph","content":[{"type":"text","text":"Uploaded"}],"attrs":{"localId":"0542fefe9cb2"}}]},{"type":"tableCell","attrs":{"localId":"5b9e613ac7e3"},"content":[{"type":"paragraph","content":[{"type":"text","text":"5"}],"attrs":{"localId":"cb56625ba60e"}}]},{"type":"tableCell","attrs":{"localId":"1ba019cb662a"},"content":[{"type":"paragraph","content":[{"type":"text","text":"5"}],"attrs":{"localId":"2a30495769f3"}}]}]},{"type":"tableRow","attrs":{"localId":"8740efd2699f"},"content":[{"type":"tableCell","attrs":{"localId":"68fc99eea772","background":"white"},"content":[{"type":"paragraph","content":[{"type":"text","text":"LIDs Shared"}],"attrs":{"localId":"134cdc50921c"}}]},{"type":"tableCell","attrs":{"localId":"227fbddd26cd"},"content":[{"type":"paragraph","content":[{"type":"text","text":"5"}],"attrs":{"localId":"2f13690c80ae"}}]},{"type":"tableCell","attrs":{"localId":"e13aa7c4a48b"},"content":[{"type":"paragraph","content":[{"type":"text","text":"5"}],"attrs":{"localId":"796aedac4355"}}]}]},{"type":"tableRow","attrs":{"localId":"2fba4c31cff0"},"content":[{"type":"tableCell","attrs":{"localId":"b287da13024f","background":"white"},"content":[{"type":"paragraph","content":[{"type":"text","text":"LIDs Stuck in the System"}],"attrs":{"localId":"e53cca94111b"}}]},{"type":"tableCell","attrs":{"localId":"59588b5cfe90"},"content":[{"type":"paragraph","content":[{"type":"text","text":"0"}],"attrs":{"localId":"172255836600"}}]},{"type":"tableCell","attrs":{"localId":"fb1a6e274fac"},"content":[{"type":"paragraph","content":[{"type":"text","text":"0"}],"attrs":{"localId":"ae833dabb8fb"}}]}]}]}
{adf}
With this, we are closing this request from our end.
Thank you for your patience, support, and cooperation throughout the process. Your brand is important to us, and we look forward to assisting you again.</t>
  </si>
  <si>
    <t>Date :08/12/2026 &lt;Images have been successfully processed/ retriggered. Option 149 Sku 776&gt; &lt;Biplab Sarkar&gt;;Date :08/14/2026 &lt;Images are reflecting successfully on PDP. Option 149 Sku 776&gt; &lt;Biplab Sarkar&gt;</t>
  </si>
  <si>
    <t>[https://tatacliqhelpdesk.freshservice.com/support/tickets/225977|https://tatacliqhelpdesk.freshservice.com/support/tickets/225977]
08/10/2026: L1 Raise &lt; Rupa&gt;</t>
  </si>
  <si>
    <t>Date :08/12/2026  &lt;Ticket picked for pre processing SKU 1&gt; &lt;Tania&gt; Date :08/12/2026  &lt;Pre Processing query to Brand &lt;Packer &amp; Importer Pin Code, Ingredients, EAN, Certificate&gt;&gt; &lt;Tania&gt; ;Date :08/13/2026 &lt; Pre Processing query to Brand Follow Up&gt; &lt;Tania&gt;;Date :08/13/2026 &lt; Resolution Received from Brand&gt; &lt;Tania&gt;Date :08/13/2026 &lt;Ticket picked for Production and QC review SKU 1&gt; &lt;Tania&gt;;Date :08/13/2026 &lt;Ticket picked for Production and QC Done SKU 1&gt; &lt;Tania&gt;;[^ProductBulkUpload_125906_Beauty__Grooming(MPH22)_Hair(MPH2213)_Hair_Styling_and_Care(MPH2213101)_Hair_Styling_Products(MPH2213101106)_33744_1786701688812_20260814_033128_938_summary.csv]
We have successfully uploaded this batch. Please find the attached summary sheet and summary report.[^UCW-35872_Post Upload Status.xlsx] Date :08/14/2026 &lt;Ticket has been successfully uploaded in our system.SKU 1&gt; &lt;Tania&gt;</t>
  </si>
  <si>
    <t>Date : 10th , Aug 2026, The SKUs under tickets *UCW-35531* and *UCW-35869* are the same. Since these SKUs have already been uploaded from our end under *UCW-35531*, we are closing ticket *UCW-35869* to avoid duplicate processing.
Also, we noticed that the mail trail for ticket *UCW-35531* contains the mail shared for the new ticket *UCW-35869*.-Mousumi</t>
  </si>
  <si>
    <t xml:space="preserve">
Date : 10th Aug, 2026 This ticket has been picked for Pre-Processing and Image Analysis -Mousumi.
Date : 10th Aug, 2026 Pre-Processubg Done ( Brand to Query for weight, Association Code, Size, Purity,MRP) 
Date : 10th Aug, 2026 Qc &amp; Uploaded Done-Mousumi
PFA the Summary &amp; Post-Uploaded Sheet[^Summary.zip] [^UCW-35868 Post Upload Status_V.2 (1).xlsx] ;[^UCW-35868 Post Upload Status.xlsx]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fe22e16b-1d0d-423b-913f-d3811aa53ea0"},"content":[{"type":"tableRow","attrs":{"localId":"26da362a5ac5"},"content":[{"type":"tableCell","attrs":{"localId":"dfe351ef4ecb","background":"#44b3e1"},"content":[{"type":"paragraph","content":[{"type":"text","text":"Ticket ID","marks":[{"type":"strong"}]}],"attrs":{"localId":"a84004302e40"}}]},{"type":"tableCell","attrs":{"localId":"677df3dddfe5","colspan":2,"background":"#44b3e1"},"content":[{"type":"paragraph","content":[{"type":"text","text":"UCW-35868","marks":[{"type":"strong"}]}],"attrs":{"localId":"fb6ef5fec996"}}]}]},{"type":"tableRow","attrs":{"localId":"ba7afd787b22"},"content":[{"type":"tableCell","attrs":{"localId":"b79b91089b6b","background":"#44b3e1"},"content":[{"type":"paragraph","content":[{"type":"text","text":"Brand Name","marks":[{"type":"strong"}]}],"attrs":{"localId":"f508a4462cff"}}]},{"type":"tableCell","attrs":{"localId":"ece6c879c581","colspan":2,"background":"#44b3e1"},"content":[{"type":"paragraph","content":[{"type":"text","text":"Mia by Tanishq","marks":[{"type":"strong"}]}],"attrs":{"localId":"5f694c24b6bf"}}]}]},{"type":"tableRow","attrs":{"localId":"7a81c951a965"},"content":[{"type":"tableCell","attrs":{"localId":"3cc740f8d092","background":"#ace5fe"},"content":[{"type":"paragraph","content":[{"type":"text","text":"Platform","marks":[{"type":"strong"}]}],"attrs":{"localId":"205cbac518f4"}}]},{"type":"tableCell","attrs":{"localId":"32014c356bee","colspan":2,"background":"#ace5fe"},"content":[{"type":"paragraph","content":[{"type":"text","text":"Mall","marks":[{"type":"strong"}]}],"attrs":{"localId":"f6e7c8798eb7"}}]}]},{"type":"tableRow","attrs":{"localId":"fa23fb82b788"},"content":[{"type":"tableCell","attrs":{"localId":"ae0765798ee8","background":"#ace5fe"},"content":[{"type":"paragraph","content":[{"type":"text","text":"Particulars","marks":[{"type":"strong"}]}],"attrs":{"localId":"feb4f1fc68d3"}}]},{"type":"tableCell","attrs":{"localId":"9b6a1670f572","background":"#ace5fe"},"content":[{"type":"paragraph","content":[{"type":"text","text":"SKU Count","marks":[{"type":"strong"}]}],"attrs":{"localId":"008327f511c2"}}]},{"type":"tableCell","attrs":{"localId":"59f398cd5383","background":"#ace5fe"},"content":[{"type":"paragraph","content":[{"type":"text","text":"Option Count","marks":[{"type":"strong"}]}],"attrs":{"localId":"75e6575b52d3"}}]}]},{"type":"tableRow","attrs":{"localId":"f73efff5e001"},"content":[{"type":"tableCell","attrs":{"localId":"50300cb1ebad","background":"white"},"content":[{"type":"paragraph","content":[{"type":"text","text":"Received"}],"attrs":{"localId":"a0b9350087ee"}}]},{"type":"tableCell","attrs":{"localId":"21bc14561bd8"},"content":[{"type":"paragraph","content":[{"type":"text","text":"6"}],"attrs":{"localId":"c082b56a48b4"}}]},{"type":"tableCell","attrs":{"localId":"7ef36cd05060"},"content":[{"type":"paragraph","content":[{"type":"text","text":"6"}],"attrs":{"localId":"bca99598bd2c"}}]}]},{"type":"tableRow","attrs":{"localId":"5232fdb39556"},"content":[{"type":"tableCell","attrs":{"localId":"bf0be1eb1690","background":"white"},"content":[{"type":"paragraph","content":[{"type":"text","text":"Uploaded"}],"attrs":{"localId":"2411cda43d6d"}}]},{"type":"tableCell","attrs":{"localId":"fdb0d794afa1"},"content":[{"type":"paragraph","content":[{"type":"text","text":"6"}],"attrs":{"localId":"a47edb3c70a3"}}]},{"type":"tableCell","attrs":{"localId":"72af775bec0d"},"content":[{"type":"paragraph","content":[{"type":"text","text":"6"}],"attrs":{"localId":"134c5ad40e73"}}]}]},{"type":"tableRow","attrs":{"localId":"a69d346fd8ec"},"content":[{"type":"tableCell","attrs":{"localId":"f00e0a985cde","background":"white"},"content":[{"type":"paragraph","content":[{"type":"text","text":"LIDs Shared"}],"attrs":{"localId":"ea8f49575c3b"}}]},{"type":"tableCell","attrs":{"localId":"45181e8d77b7"},"content":[{"type":"paragraph","content":[{"type":"text","text":"6"}],"attrs":{"localId":"e3c1e72372c6"}}]},{"type":"tableCell","attrs":{"localId":"7dcaf5cf878e"},"content":[{"type":"paragraph","content":[{"type":"text","text":"6"}],"attrs":{"localId":"51662eaadc6c"}}]}]},{"type":"tableRow","attrs":{"localId":"361c181e95fd"},"content":[{"type":"tableCell","attrs":{"localId":"d2f7f63c1b85","background":"white"},"content":[{"type":"paragraph","content":[{"type":"text","text":"LIDs Stuck in the System"}],"attrs":{"localId":"7cedc16487ae"}}]},{"type":"tableCell","attrs":{"localId":"5d7aaac1ec7f"},"content":[{"type":"paragraph","content":[{"type":"text","text":"0"}],"attrs":{"localId":"23c6550e0bc7"}}]},{"type":"tableCell","attrs":{"localId":"fca63dd049f4"},"content":[{"type":"paragraph","content":[{"type":"text","text":"0"}],"attrs":{"localId":"beb43fa2d5ea"}}]}]}]}
{adf}
With this, we are closing this request from our end.
Thank you for your patience, support, and cooperation throughout the process. Your brand is important to us, and we look forward to assisting you again.</t>
  </si>
  <si>
    <t>[https://tatacliqhelpdesk.freshservice.com/support/tickets/225529|https://tatacliqhelpdesk.freshservice.com/support/tickets/225529]
08/10/2026: L1 Raised&lt;Debabrata&gt;;We’ll take action according to Fiza’s suggestion for the MPN + Brand combination. 
Could you please advise us on the next step for the *Already existing combinations of Size, Color, and Style Code*?;
As we informed earlier, we have already highlighted this issue with the Tech Team. They suggested a few steps, which we have already followed and informed them accordingly. We are also staying in touch with the team regarding this issue. Once the issue is resolved, we will inform you promptly.
Tech Team: [https://tatacliqhelpdesk.freshservice.com/support/tickets/225529|https://tatacliqhelpdesk.freshservice.com/support/tickets/225529];Out of the 7 SKUs that were stuck due to rejection, 2 SKUs have been successfully listed. We are currently working on the remaining 5 SKUs and expect to resolve them soon. We will keep you updated once all 5 SKUs are successfully resolved.
10024546-A01-Black-XL MP000000031961860
10025459-A01-XXL MP000000031961861;[^Converse_SizeAddition_TQ_(30Jul).xlsx]
We are happy to inform you that all the Listing IDs have been generated for the SKUs shared for Cut Size addition.</t>
  </si>
  <si>
    <t>ALDO</t>
  </si>
  <si>
    <t>Date :08/10/2026 &lt;Ticket has been successfully uploaded in our system. Option 64 Sku 444&gt; &lt;Ankita&gt;[^Summary.zip] [^Post Upload Status_V.2 (1).xlsx] ;[^UCW-35866.xlsx]
We are pleased to inform you that the listing IDs have been generated successfully.
Please find the attached file for your reference, along with the summary table below. You may now proceed with price and inventory pushing from your end.
{adf:display=block}
{"type":"table","attrs":{"isNumberColumnEnabled":false,"layout":"center","localId":"104ebac5-2560-4fcd-8542-05372608ecf5"},"content":[{"type":"tableRow","attrs":{"localId":"be6603da78a7"},"content":[{"type":"tableCell","attrs":{"localId":"357d11d02350","background":"#44b3e1"},"content":[{"type":"paragraph","content":[{"type":"text","text":"Ticket ID","marks":[{"type":"strong"}]}],"attrs":{"localId":"d07c9fed6366"}}]},{"type":"tableCell","attrs":{"localId":"20553a1b7272","colspan":4,"background":"#44b3e1"},"content":[{"type":"paragraph","content":[{"type":"text","text":"UCW-35866","marks":[{"type":"strong"}]}],"attrs":{"localId":"63d1a02e84fa"}}]}]},{"type":"tableRow","attrs":{"localId":"3aeb5fa3715b"},"content":[{"type":"tableCell","attrs":{"localId":"7b86034c12a9","background":"#44b3e1"},"content":[{"type":"paragraph","content":[{"type":"text","text":"Brand Name","marks":[{"type":"strong"}]}],"attrs":{"localId":"d0c22f6058f6"}}]},{"type":"tableCell","attrs":{"localId":"2bd1ad71d856","colspan":4,"background":"#44b3e1"},"content":[{"type":"paragraph","content":[{"type":"text","text":"ALDO","marks":[{"type":"strong"}]}],"attrs":{"localId":"33d96d0e5e05"}}]}]},{"type":"tableRow","attrs":{"localId":"9537eac3aa34"},"content":[{"type":"tableCell","attrs":{"localId":"c319911cafd9","background":"#44b3e1"},"content":[{"type":"paragraph","content":[{"type":"text","text":"Platform","marks":[{"type":"strong"}]}],"attrs":{"localId":"425e750dcf3b"}}]},{"type":"tableCell","attrs":{"localId":"3f9d992c7c8e","colspan":2,"background":"#44b3e1"},"content":[{"type":"paragraph","content":[{"type":"text","text":"Luxury","marks":[{"type":"strong"}]}],"attrs":{"localId":"cb3b21aa2fd6"}}]},{"type":"tableCell","attrs":{"localId":"92e18ffb42c6","colspan":2,"background":"#44b3e1"},"content":[{"type":"paragraph","content":[{"type":"text","text":"Mall","marks":[{"type":"strong"}]}],"attrs":{"localId":"eb61e7386770"}}]}]},{"type":"tableRow","attrs":{"localId":"926f4bc638ce"},"content":[{"type":"tableCell","attrs":{"localId":"5f021ff0c0ea","background":"#ace5fe"},"content":[{"type":"paragraph","content":[{"type":"text","text":"Particulars","marks":[{"type":"strong"}]}],"attrs":{"localId":"15972ea55db7"}}]},{"type":"tableCell","attrs":{"localId":"604cc016350f","background":"#ace5fe"},"content":[{"type":"paragraph","content":[{"type":"text","text":"SKU Count","marks":[{"type":"strong"}]}],"attrs":{"localId":"6bdd54b75a17"}}]},{"type":"tableCell","attrs":{"localId":"a9610bd919b7","background":"#ace5fe"},"content":[{"type":"paragraph","content":[{"type":"text","text":"Option Count","marks":[{"type":"strong"}]}],"attrs":{"localId":"831fb9e0b103"}}]},{"type":"tableCell","attrs":{"localId":"a92326c129e3","background":"#ace5fe"},"content":[{"type":"paragraph","content":[{"type":"text","text":"SKU Count","marks":[{"type":"strong"}]}],"attrs":{"localId":"41a8a4dfc70e"}}]},{"type":"tableCell","attrs":{"localId":"1e93c885f4ed","background":"#ace5fe"},"content":[{"type":"paragraph","content":[{"type":"text","text":"Option Count","marks":[{"type":"strong"}]}],"attrs":{"localId":"680ccc65b730"}}]}]},{"type":"tableRow","attrs":{"localId":"7c510dcb0b36"},"content":[{"type":"tableCell","attrs":{"localId":"8f5a6bb3f788","background":"white"},"content":[{"type":"paragraph","content":[{"type":"text","text":"Received"}],"attrs":{"localId":"bd4315140678"}}]},{"type":"tableCell","attrs":{"localId":"cc0afbb402a6"},"content":[{"type":"paragraph","content":[{"type":"text","text":"513"}],"attrs":{"localId":"a476c3235ec1"}}]},{"type":"tableCell","attrs":{"localId":"96776f318d74"},"content":[{"type":"paragraph","content":[{"type":"text","text":"78"}],"attrs":{"localId":"ecfcf1ab2c36"}}]},{"type":"tableCell","attrs":{"localId":"1eafd9220f67","background":"white"},"content":[{"type":"paragraph","content":[{"type":"text","text":"513"}],"attrs":{"localId":"135f61e4aa65"}}]},{"type":"tableCell","attrs":{"localId":"cce7a3ef0ab7","background":"white"},"content":[{"type":"paragraph","content":[{"type":"text","text":"78"}],"attrs":{"localId":"9030ddf4ed3f"}}]}]},{"type":"tableRow","attrs":{"localId":"e5bccccaa2b9"},"content":[{"type":"tableCell","attrs":{"localId":"5e75de08bff3","background":"white"},"content":[{"type":"paragraph","content":[{"type":"text","text":"Uploaded"}],"attrs":{"localId":"69e186f975d6"}}]},{"type":"tableCell","attrs":{"localId":"814df5241632"},"content":[{"type":"paragraph","content":[{"type":"text","text":"444"}],"attrs":{"localId":"bb8d7f3d38ce"}}]},{"type":"tableCell","attrs":{"localId":"cc62e2dfc555"},"content":[{"type":"paragraph","content":[{"type":"text","text":"65"}],"attrs":{"localId":"29921b70decd"}}]},{"type":"tableCell","attrs":{"localId":"8fd8e75db9c7","background":"white"},"content":[{"type":"paragraph","content":[{"type":"text","text":"125"}],"attrs":{"localId":"2e7d84be7776"}}]},{"type":"tableCell","attrs":{"localId":"7e275c65b835","background":"white"},"content":[{"type":"paragraph","content":[{"type":"text","text":"18"}],"attrs":{"localId":"3381dd86ad7f"}}]}]},{"type":"tableRow","attrs":{"localId":"973fda9b3f74"},"content":[{"type":"tableCell","attrs":{"localId":"23b8dc367b4f","background":"white"},"content":[{"type":"paragraph","content":[{"type":"text","text":"SKUs Not Uploaded"}],"attrs":{"localId":"2dd79f174abb"}}]},{"type":"tableCell","attrs":{"localId":"a3c0e09c0a49"},"content":[{"type":"paragraph","content":[{"type":"text","text":"26"}],"attrs":{"localId":"de622acecaae"}}]},{"type":"tableCell","attrs":{"localId":"4e766b11c130"},"content":[{"type":"paragraph","content":[{"type":"text","text":"7"}],"attrs":{"localId":"e97954ecd642"}}]},{"type":"tableCell","attrs":{"localId":"48590bbde51a","background":"white"},"content":[{"type":"paragraph","content":[{"type":"text","text":"348"}],"attrs":{"localId":"b4ac51a336f5"}}]},{"type":"tableCell","attrs":{"localId":"d81e8667e5c3","background":"white"},"content":[{"type":"paragraph","content":[{"type":"text","text":"53"}],"attrs":{"localId":"aa6066155d57"}}]}]},{"type":"tableRow","attrs":{"localId":"112e8ee62e23"},"content":[{"type":"tableCell","attrs":{"localId":"201f24b78e8e","background":"white"},"content":[{"type":"paragraph","content":[{"type":"text","text":"Already Listed"}],"attrs":{"localId":"d3552f540651"}}]},{"type":"tableCell","attrs":{"localId":"59f8bd86a868"},"content":[{"type":"paragraph","content":[{"type":"text","text":"43"}],"attrs":{"localId":"9137b9d05432"}}]},{"type":"tableCell","attrs":{"localId":"1d8efc78d30e"},"content":[{"type":"paragraph","content":[{"type":"text","text":"7"}],"attrs":{"localId":"78138d598fc9"}}]},{"type":"tableCell","attrs":{"localId":"29af2914efb8","background":"white"},"content":[{"type":"paragraph","content":[{"type":"text","text":"40"}],"attrs":{"localId":"c5dd8bf0fcb9"}}]},{"type":"tableCell","attrs":{"localId":"dcbf597ba377","background":"white"},"content":[{"type":"paragraph","content":[{"type":"text","text":"7"}],"attrs":{"localId":"02cbd0e34005"}}]}]},{"type":"tableRow","attrs":{"localId":"b5cc23f2574b"},"content":[{"type":"tableCell","attrs":{"localId":"7a7c7869271c","background":"white"},"content":[{"type":"paragraph","content":[{"type":"text","text":"LIDs Shared"}],"attrs":{"localId":"4eaa492ade76"}}]},{"type":"tableCell","attrs":{"localId":"83675b1acac3"},"content":[{"type":"paragraph","content":[{"type":"text","text":"444"}],"attrs":{"localId":"9a13394d0274"}}]},{"type":"tableCell","attrs":{"localId":"0a024d1c83e5"},"content":[{"type":"paragraph","content":[{"type":"text","text":"65"}],"attrs":{"localId":"6c15cba7ce2e"}}]},{"type":"tableCell","attrs":{"localId":"4b9f13059e53","background":"white"},"content":[{"type":"paragraph","content":[{"type":"text","text":"125"}],"attrs":{"localId":"a31ccb3eef04"}}]},{"type":"tableCell","attrs":{"localId":"9d963d0bc938","background":"white"},"content":[{"type":"paragraph","content":[{"type":"text","text":"18"}],"attrs":{"localId":"cf251f8d543c"}}]}]},{"type":"tableRow","attrs":{"localId":"99b36a2fd214"},"content":[{"type":"tableCell","attrs":{"localId":"456d1e4dc1e4","background":"white"},"content":[{"type":"paragraph","content":[{"type":"text","text":"LIDs Stuck in the System"}],"attrs":{"localId":"aee637250c58"}}]},{"type":"tableCell","attrs":{"localId":"bc55e57fa9c8"},"content":[{"type":"paragraph","content":[{"type":"text","text":"0"}],"attrs":{"localId":"b518d4ad9406"}}]},{"type":"tableCell","attrs":{"localId":"e989ebe977a5"},"content":[{"type":"paragraph","content":[{"type":"text","text":"0"}],"attrs":{"localId":"51cf14fdf862"}}]},{"type":"tableCell","attrs":{"localId":"52373ed2d3f4"},"content":[{"type":"paragraph","content":[{"type":"text","text":"0"}],"attrs":{"localId":"5f7373fdcafe"}}]},{"type":"tableCell","attrs":{"localId":"71c0f6533709","background":"white"},"content":[{"type":"paragraph","content":[{"type":"text","text":"0"}],"attrs":{"localId":"694d31545c2d"}}]}]}]}
{adf}
With this, we are closing this request from our end.
Thank you for your patience, support, and cooperation throughout the process. Your brand is important to us, and we look forward to assisting you again.</t>
  </si>
  <si>
    <t xml:space="preserve">Handme </t>
  </si>
  <si>
    <t>QUERY TO CATEGORY</t>
  </si>
  <si>
    <t>Size guide not reflecting. Retriggered and retified</t>
  </si>
  <si>
    <t>Images and title mismatch. Images has been retriggered, awaiting relfection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</si>
</sst>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sz val="8"/>
      <name val="Calibri"/>
      <family val="2"/>
      <scheme val="minor"/>
    </font>
    <font>
      <b/>
      <sz val="20"/>
      <color rgb="FFFFFFFF"/>
      <name val="Calibri"/>
      <family val="2"/>
      <scheme val="minor"/>
    </font>
    <font>
      <i/>
      <sz val="11"/>
      <color rgb="FF666666"/>
      <name val="Calibri"/>
      <family val="2"/>
      <scheme val="minor"/>
    </font>
    <font>
      <b/>
      <sz val="14"/>
      <color rgb="FFFFFFFF"/>
      <name val="Calibri"/>
      <family val="2"/>
      <scheme val="minor"/>
    </font>
    <font>
      <b/>
      <sz val="16"/>
      <color theme="1"/>
      <name val="Calibri"/>
      <family val="2"/>
      <scheme val="minor"/>
    </font>
    <font>
      <b/>
      <i/>
      <sz val="11"/>
      <color rgb="FF808080"/>
      <name val="Calibri"/>
      <family val="2"/>
      <scheme val="minor"/>
    </font>
    <font>
      <i/>
      <sz val="11"/>
      <color theme="1"/>
      <name val="Calibri"/>
      <family val="2"/>
      <scheme val="minor"/>
    </font>
    <font>
      <b/>
      <sz val="14"/>
      <color theme="1"/>
      <name val="Calibri"/>
      <family val="2"/>
      <scheme val="minor"/>
    </font>
    <font>
      <b/>
      <sz val="11"/>
      <color rgb="FFC00000"/>
      <name val="Calibri"/>
      <family val="2"/>
      <scheme val="minor"/>
    </font>
    <font>
      <b/>
      <sz val="16"/>
      <color rgb="FFFFFFFF"/>
      <name val="Calibri"/>
      <family val="2"/>
      <scheme val="minor"/>
    </font>
    <font>
      <b/>
      <sz val="11"/>
      <color theme="0"/>
      <name val="Calibri"/>
      <family val="2"/>
      <scheme val="minor"/>
    </font>
  </fonts>
  <fills count="32">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2F2F2"/>
        <bgColor indexed="64"/>
      </patternFill>
    </fill>
    <fill>
      <patternFill patternType="solid">
        <fgColor rgb="FFD6E3F8"/>
        <bgColor indexed="64"/>
      </patternFill>
    </fill>
    <fill>
      <patternFill patternType="solid">
        <fgColor rgb="FFF0F7FF"/>
        <bgColor indexed="64"/>
      </patternFill>
    </fill>
    <fill>
      <patternFill patternType="solid">
        <fgColor rgb="FF4472C4"/>
        <bgColor indexed="64"/>
      </patternFill>
    </fill>
    <fill>
      <patternFill patternType="solid">
        <fgColor rgb="FFC65911"/>
        <bgColor indexed="64"/>
      </patternFill>
    </fill>
    <fill>
      <patternFill patternType="solid">
        <fgColor rgb="FFF4B183"/>
        <bgColor indexed="64"/>
      </patternFill>
    </fill>
    <fill>
      <patternFill patternType="solid">
        <fgColor rgb="FF548235"/>
        <bgColor indexed="64"/>
      </patternFill>
    </fill>
    <fill>
      <patternFill patternType="solid">
        <fgColor rgb="FFA9D08E"/>
        <bgColor indexed="64"/>
      </patternFill>
    </fill>
    <fill>
      <patternFill patternType="solid">
        <fgColor rgb="FF7030A0"/>
        <bgColor indexed="64"/>
      </patternFill>
    </fill>
    <fill>
      <patternFill patternType="solid">
        <fgColor rgb="FFCDB4DB"/>
        <bgColor indexed="64"/>
      </patternFill>
    </fill>
    <fill>
      <patternFill patternType="solid">
        <fgColor rgb="FFBF8F00"/>
        <bgColor indexed="64"/>
      </patternFill>
    </fill>
    <fill>
      <patternFill patternType="solid">
        <fgColor rgb="FFFFE699"/>
        <bgColor indexed="64"/>
      </patternFill>
    </fill>
    <fill>
      <patternFill patternType="solid">
        <fgColor rgb="FFBDD7EE"/>
        <bgColor indexed="64"/>
      </patternFill>
    </fill>
    <fill>
      <patternFill patternType="solid">
        <fgColor rgb="FFC00000"/>
        <bgColor indexed="64"/>
      </patternFill>
    </fill>
    <fill>
      <patternFill patternType="solid">
        <fgColor rgb="FFF8CBAD"/>
        <bgColor indexed="64"/>
      </patternFill>
    </fill>
    <fill>
      <patternFill patternType="solid">
        <fgColor rgb="FF0070C0"/>
        <bgColor indexed="64"/>
      </patternFill>
    </fill>
    <fill>
      <patternFill patternType="solid">
        <fgColor rgb="FF9BC2E6"/>
        <bgColor indexed="64"/>
      </patternFill>
    </fill>
    <fill>
      <patternFill patternType="solid">
        <fgColor rgb="FF2F5496"/>
        <bgColor indexed="64"/>
      </patternFill>
    </fill>
    <fill>
      <patternFill patternType="solid">
        <fgColor rgb="FFD9E2F3"/>
        <bgColor indexed="64"/>
      </patternFill>
    </fill>
    <fill>
      <patternFill patternType="solid">
        <fgColor rgb="FFC6E0B4"/>
        <bgColor indexed="64"/>
      </patternFill>
    </fill>
    <fill>
      <patternFill patternType="solid">
        <fgColor rgb="FFFCE4D6"/>
        <bgColor indexed="64"/>
      </patternFill>
    </fill>
    <fill>
      <patternFill patternType="solid">
        <fgColor rgb="FFD6DCE4"/>
        <bgColor indexed="64"/>
      </patternFill>
    </fill>
    <fill>
      <patternFill patternType="solid">
        <fgColor rgb="FFE2D1F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s>
  <borders count="16">
    <border>
      <left/>
      <right/>
      <top/>
      <bottom/>
      <diagonal/>
    </border>
    <border>
      <left/>
      <right/>
      <top/>
      <bottom style="thin">
        <color auto="1"/>
      </bottom>
      <diagonal/>
    </border>
    <border>
      <left/>
      <right/>
      <top/>
      <bottom style="thin">
        <color rgb="FF2E75B6"/>
      </bottom>
      <diagonal/>
    </border>
    <border>
      <left/>
      <right/>
      <top style="thin">
        <color auto="1"/>
      </top>
      <bottom style="thin">
        <color auto="1"/>
      </bottom>
      <diagonal/>
    </border>
    <border>
      <left/>
      <right/>
      <top style="thin">
        <color auto="1"/>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auto="1"/>
      </bottom>
      <diagonal/>
    </border>
    <border>
      <left style="thin">
        <color auto="1"/>
      </left>
      <right style="thin">
        <color rgb="FFB4C6E7"/>
      </right>
      <top style="thin">
        <color rgb="FFB4C6E7"/>
      </top>
      <bottom style="thin">
        <color rgb="FFB4C6E7"/>
      </bottom>
      <diagonal/>
    </border>
    <border>
      <left style="thin">
        <color auto="1"/>
      </left>
      <right style="thin">
        <color rgb="FFB4C6E7"/>
      </right>
      <top style="thin">
        <color rgb="FFB4C6E7"/>
      </top>
      <bottom style="thin">
        <color auto="1"/>
      </bottom>
      <diagonal/>
    </border>
    <border>
      <left style="thin">
        <color rgb="FFB4C6E7"/>
      </left>
      <right style="thin">
        <color auto="1"/>
      </right>
      <top style="thin">
        <color rgb="FFB4C6E7"/>
      </top>
      <bottom style="thin">
        <color rgb="FFB4C6E7"/>
      </bottom>
      <diagonal/>
    </border>
    <border>
      <left style="thin">
        <color rgb="FFB4C6E7"/>
      </left>
      <right style="thin">
        <color auto="1"/>
      </right>
      <top style="thin">
        <color rgb="FFB4C6E7"/>
      </top>
      <bottom style="thin">
        <color auto="1"/>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2">
    <xf numFmtId="0" fontId="0" fillId="0" borderId="0"/>
    <xf numFmtId="0" fontId="1" fillId="0" borderId="0" applyNumberFormat="0" applyFill="0" applyBorder="0" applyAlignment="0" applyProtection="0"/>
  </cellStyleXfs>
  <cellXfs count="85">
    <xf numFmtId="0" fontId="0" fillId="0" borderId="0" xfId="0"/>
    <xf numFmtId="14" fontId="0" fillId="0" borderId="0" xfId="0" applyNumberFormat="1"/>
    <xf numFmtId="0" fontId="2" fillId="5" borderId="0" xfId="0" applyFont="1" applyFill="1" applyAlignment="1">
      <alignment horizontal="center"/>
    </xf>
    <xf numFmtId="0" fontId="8" fillId="6" borderId="2" xfId="0" applyFont="1" applyFill="1" applyBorder="1" applyAlignment="1">
      <alignment horizontal="center"/>
    </xf>
    <xf numFmtId="0" fontId="3" fillId="7" borderId="0" xfId="0" applyFont="1" applyFill="1" applyAlignment="1">
      <alignment horizontal="center"/>
    </xf>
    <xf numFmtId="0" fontId="0" fillId="0" borderId="1" xfId="0" applyBorder="1" applyAlignment="1">
      <alignment horizontal="center"/>
    </xf>
    <xf numFmtId="0" fontId="0" fillId="0" borderId="3" xfId="0" applyBorder="1" applyAlignment="1">
      <alignment horizontal="center"/>
    </xf>
    <xf numFmtId="15" fontId="0" fillId="0" borderId="5" xfId="0" applyNumberForma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4" borderId="7" xfId="0" applyFill="1" applyBorder="1" applyAlignment="1">
      <alignment horizontal="center"/>
    </xf>
    <xf numFmtId="15" fontId="0" fillId="4" borderId="5" xfId="0" applyNumberFormat="1" applyFill="1" applyBorder="1" applyAlignment="1">
      <alignment horizontal="center"/>
    </xf>
    <xf numFmtId="0" fontId="0" fillId="4" borderId="5" xfId="0"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xf numFmtId="15" fontId="0" fillId="4" borderId="6" xfId="0" applyNumberFormat="1" applyFill="1" applyBorder="1" applyAlignment="1">
      <alignment horizontal="center"/>
    </xf>
    <xf numFmtId="0" fontId="0" fillId="4" borderId="6" xfId="0" applyFill="1" applyBorder="1" applyAlignment="1">
      <alignment horizontal="center"/>
    </xf>
    <xf numFmtId="0" fontId="0" fillId="4" borderId="10" xfId="0" applyFill="1" applyBorder="1" applyAlignment="1">
      <alignment horizontal="center"/>
    </xf>
    <xf numFmtId="3" fontId="0" fillId="0" borderId="5" xfId="0" applyNumberFormat="1" applyBorder="1" applyAlignment="1">
      <alignment horizontal="center"/>
    </xf>
    <xf numFmtId="3" fontId="0" fillId="4" borderId="5" xfId="0" applyNumberFormat="1" applyFill="1" applyBorder="1" applyAlignment="1">
      <alignment horizontal="center"/>
    </xf>
    <xf numFmtId="3" fontId="0" fillId="4" borderId="6" xfId="0" applyNumberFormat="1" applyFill="1" applyBorder="1" applyAlignment="1">
      <alignment horizontal="center"/>
    </xf>
    <xf numFmtId="0" fontId="2" fillId="9" borderId="0" xfId="0" applyFont="1" applyFill="1" applyAlignment="1">
      <alignment horizontal="center"/>
    </xf>
    <xf numFmtId="0" fontId="2" fillId="11" borderId="0" xfId="0" applyFont="1" applyFill="1" applyAlignment="1">
      <alignment horizontal="center"/>
    </xf>
    <xf numFmtId="0" fontId="2" fillId="13" borderId="0" xfId="0" applyFont="1" applyFill="1" applyAlignment="1">
      <alignment horizontal="center"/>
    </xf>
    <xf numFmtId="3" fontId="0" fillId="0" borderId="1" xfId="0" applyNumberFormat="1" applyBorder="1" applyAlignment="1">
      <alignment horizontal="center"/>
    </xf>
    <xf numFmtId="3" fontId="0" fillId="0" borderId="3" xfId="0" applyNumberFormat="1" applyBorder="1" applyAlignment="1">
      <alignment horizontal="center"/>
    </xf>
    <xf numFmtId="0" fontId="2" fillId="15" borderId="0" xfId="0" applyFont="1" applyFill="1" applyAlignment="1">
      <alignment horizontal="center"/>
    </xf>
    <xf numFmtId="0" fontId="2" fillId="16" borderId="0" xfId="0" applyFont="1" applyFill="1" applyAlignment="1">
      <alignment horizontal="center"/>
    </xf>
    <xf numFmtId="0" fontId="2" fillId="18" borderId="0" xfId="0" applyFont="1" applyFill="1" applyAlignment="1">
      <alignment horizontal="center"/>
    </xf>
    <xf numFmtId="0" fontId="2" fillId="20" borderId="0" xfId="0" applyFont="1" applyFill="1" applyAlignment="1">
      <alignment horizontal="center"/>
    </xf>
    <xf numFmtId="0" fontId="2" fillId="22" borderId="0" xfId="0" applyFont="1" applyFill="1"/>
    <xf numFmtId="3" fontId="3" fillId="7" borderId="0" xfId="0" applyNumberFormat="1" applyFont="1" applyFill="1" applyAlignment="1">
      <alignment horizontal="center"/>
    </xf>
    <xf numFmtId="3" fontId="8" fillId="6" borderId="2" xfId="0" applyNumberFormat="1" applyFont="1" applyFill="1" applyBorder="1" applyAlignment="1">
      <alignment horizontal="center"/>
    </xf>
    <xf numFmtId="0" fontId="2" fillId="16" borderId="0" xfId="0" applyFont="1" applyFill="1"/>
    <xf numFmtId="0" fontId="2" fillId="23" borderId="0" xfId="0" applyFont="1" applyFill="1"/>
    <xf numFmtId="0" fontId="2" fillId="24" borderId="0" xfId="0" applyFont="1" applyFill="1"/>
    <xf numFmtId="9" fontId="0" fillId="0" borderId="0" xfId="0" applyNumberFormat="1"/>
    <xf numFmtId="0" fontId="11" fillId="0" borderId="0" xfId="0" applyFont="1" applyAlignment="1">
      <alignment horizontal="center"/>
    </xf>
    <xf numFmtId="9" fontId="11" fillId="0" borderId="0" xfId="0" applyNumberFormat="1" applyFont="1" applyAlignment="1">
      <alignment horizontal="center"/>
    </xf>
    <xf numFmtId="0" fontId="2" fillId="26" borderId="0" xfId="0" applyFont="1" applyFill="1"/>
    <xf numFmtId="0" fontId="2" fillId="25" borderId="0" xfId="0" applyFont="1" applyFill="1"/>
    <xf numFmtId="0" fontId="0" fillId="0" borderId="11" xfId="0" applyBorder="1"/>
    <xf numFmtId="0" fontId="0" fillId="28" borderId="12" xfId="0" applyFill="1" applyBorder="1"/>
    <xf numFmtId="0" fontId="14" fillId="27" borderId="0" xfId="0" applyFont="1" applyFill="1"/>
    <xf numFmtId="0" fontId="14" fillId="27" borderId="13" xfId="0" applyFont="1" applyFill="1" applyBorder="1"/>
    <xf numFmtId="0" fontId="0" fillId="29" borderId="12" xfId="0" applyFill="1" applyBorder="1"/>
    <xf numFmtId="0" fontId="0" fillId="30" borderId="12" xfId="0" applyFill="1" applyBorder="1"/>
    <xf numFmtId="22" fontId="0" fillId="28" borderId="12" xfId="0" applyNumberFormat="1" applyFill="1" applyBorder="1"/>
    <xf numFmtId="3" fontId="0" fillId="0" borderId="9" xfId="0" applyNumberFormat="1" applyBorder="1" applyAlignment="1">
      <alignment horizontal="center"/>
    </xf>
    <xf numFmtId="0" fontId="1" fillId="28" borderId="12" xfId="1" applyFill="1" applyBorder="1" applyAlignment="1"/>
    <xf numFmtId="0" fontId="0" fillId="29" borderId="14" xfId="0" applyFill="1" applyBorder="1"/>
    <xf numFmtId="0" fontId="0" fillId="29" borderId="15" xfId="0" applyFill="1" applyBorder="1"/>
    <xf numFmtId="22" fontId="0" fillId="29" borderId="15" xfId="0" applyNumberFormat="1" applyFill="1" applyBorder="1"/>
    <xf numFmtId="0" fontId="0" fillId="0" borderId="0" xfId="0" applyAlignment="1">
      <alignment horizontal="center"/>
    </xf>
    <xf numFmtId="15" fontId="0" fillId="0" borderId="0" xfId="0" applyNumberFormat="1" applyAlignment="1">
      <alignment horizontal="center"/>
    </xf>
    <xf numFmtId="15" fontId="0" fillId="0" borderId="0" xfId="0" applyNumberFormat="1" applyAlignment="1">
      <alignment horizontal="left"/>
    </xf>
    <xf numFmtId="15" fontId="0" fillId="0" borderId="0" xfId="0" applyNumberFormat="1" applyAlignment="1">
      <alignment horizontal="left" wrapText="1"/>
    </xf>
    <xf numFmtId="0" fontId="0" fillId="0" borderId="0" xfId="0" applyAlignment="1">
      <alignment wrapText="1"/>
    </xf>
    <xf numFmtId="15" fontId="0" fillId="31" borderId="0" xfId="0" applyNumberFormat="1" applyFill="1" applyAlignment="1">
      <alignment horizontal="left"/>
    </xf>
    <xf numFmtId="0" fontId="7" fillId="8" borderId="0" xfId="0" applyFont="1" applyFill="1"/>
    <xf numFmtId="0" fontId="7" fillId="10" borderId="0" xfId="0" applyFont="1" applyFill="1"/>
    <xf numFmtId="0" fontId="5" fillId="2" borderId="0" xfId="0" applyFont="1" applyFill="1" applyAlignment="1">
      <alignment horizontal="center"/>
    </xf>
    <xf numFmtId="0" fontId="6" fillId="0" borderId="0" xfId="0" applyFont="1" applyAlignment="1">
      <alignment horizontal="center"/>
    </xf>
    <xf numFmtId="0" fontId="7" fillId="3" borderId="0" xfId="0" applyFont="1" applyFill="1"/>
    <xf numFmtId="0" fontId="3" fillId="7" borderId="4" xfId="0" applyFont="1" applyFill="1" applyBorder="1"/>
    <xf numFmtId="0" fontId="7" fillId="3" borderId="0" xfId="0" applyFont="1" applyFill="1" applyAlignment="1">
      <alignment horizontal="center"/>
    </xf>
    <xf numFmtId="0" fontId="7" fillId="12" borderId="0" xfId="0" applyFont="1" applyFill="1" applyAlignment="1">
      <alignment horizontal="center"/>
    </xf>
    <xf numFmtId="0" fontId="7" fillId="14" borderId="0" xfId="0" applyFont="1" applyFill="1" applyAlignment="1">
      <alignment horizontal="center"/>
    </xf>
    <xf numFmtId="0" fontId="7" fillId="2" borderId="0" xfId="0" applyFont="1" applyFill="1"/>
    <xf numFmtId="0" fontId="7" fillId="17" borderId="0" xfId="0" applyFont="1" applyFill="1" applyAlignment="1">
      <alignment horizontal="center"/>
    </xf>
    <xf numFmtId="0" fontId="7" fillId="19" borderId="0" xfId="0" applyFont="1" applyFill="1"/>
    <xf numFmtId="0" fontId="9" fillId="22" borderId="0" xfId="0" applyFont="1" applyFill="1" applyAlignment="1">
      <alignment horizontal="center"/>
    </xf>
    <xf numFmtId="0" fontId="7" fillId="21" borderId="0" xfId="0" applyFont="1" applyFill="1"/>
    <xf numFmtId="0" fontId="0" fillId="22" borderId="0" xfId="0" applyFill="1"/>
    <xf numFmtId="0" fontId="13" fillId="2" borderId="0" xfId="0" applyFont="1" applyFill="1" applyAlignment="1">
      <alignment horizontal="center"/>
    </xf>
    <xf numFmtId="0" fontId="0" fillId="0" borderId="0" xfId="0"/>
    <xf numFmtId="0" fontId="10" fillId="25" borderId="0" xfId="0" applyFont="1" applyFill="1" applyAlignment="1">
      <alignment horizontal="center"/>
    </xf>
    <xf numFmtId="0" fontId="3" fillId="3" borderId="0" xfId="0" applyFont="1" applyFill="1"/>
    <xf numFmtId="0" fontId="3" fillId="10" borderId="0" xfId="0" applyFont="1" applyFill="1"/>
    <xf numFmtId="0" fontId="3" fillId="2" borderId="0" xfId="0" applyFont="1" applyFill="1"/>
    <xf numFmtId="0" fontId="2" fillId="0" borderId="0" xfId="0" applyFont="1"/>
    <xf numFmtId="0" fontId="12" fillId="0" borderId="0" xfId="0" applyFont="1"/>
    <xf numFmtId="0" fontId="3" fillId="12" borderId="0" xfId="0" applyFont="1" applyFill="1"/>
    <xf numFmtId="0" fontId="3" fillId="8" borderId="0" xfId="0" applyFont="1"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Picture 1">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Picture 3">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Picture 5">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Picture 7">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Picture 9">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JiraExcel.AutoStartImport" value="&quot;false&quot;"/>
    <we:property name="documentId" value="&quot;f7a40f85-1049-42d1-a9ea-9b4c5f06d898&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tataunistore.atlassian.net/browse/UCW-31203?atlOrigin=eyJpIjoiMjBhNWIzMmFjMjdiNGE1YzhhZTE4YmM0ZjA0MDM4ZWYiLCJwIjoiZXhjZWwtamlyYSJ9" TargetMode="External"/><Relationship Id="rId299" Type="http://schemas.openxmlformats.org/officeDocument/2006/relationships/hyperlink" Target="https://tataunistore.atlassian.net/browse/UCW-34390?atlOrigin=eyJpIjoiMjBhNWIzMmFjMjdiNGE1YzhhZTE4YmM0ZjA0MDM4ZWYiLCJwIjoiZXhjZWwtamlyYSJ9" TargetMode="External"/><Relationship Id="rId21" Type="http://schemas.openxmlformats.org/officeDocument/2006/relationships/hyperlink" Target="https://tataunistore.atlassian.net/browse/UCW-31816?atlOrigin=eyJpIjoiMjBhNWIzMmFjMjdiNGE1YzhhZTE4YmM0ZjA0MDM4ZWYiLCJwIjoiZXhjZWwtamlyYSJ9" TargetMode="External"/><Relationship Id="rId63" Type="http://schemas.openxmlformats.org/officeDocument/2006/relationships/hyperlink" Target="https://tataunistore.atlassian.net/browse/UCW-31546?atlOrigin=eyJpIjoiMjBhNWIzMmFjMjdiNGE1YzhhZTE4YmM0ZjA0MDM4ZWYiLCJwIjoiZXhjZWwtamlyYSJ9" TargetMode="External"/><Relationship Id="rId159" Type="http://schemas.openxmlformats.org/officeDocument/2006/relationships/hyperlink" Target="https://tataunistore.atlassian.net/browse/UCW-30993?atlOrigin=eyJpIjoiMjBhNWIzMmFjMjdiNGE1YzhhZTE4YmM0ZjA0MDM4ZWYiLCJwIjoiZXhjZWwtamlyYSJ9" TargetMode="External"/><Relationship Id="rId324" Type="http://schemas.openxmlformats.org/officeDocument/2006/relationships/hyperlink" Target="https://tataunistore.atlassian.net/browse/UCW-34250?atlOrigin=eyJpIjoiMjBhNWIzMmFjMjdiNGE1YzhhZTE4YmM0ZjA0MDM4ZWYiLCJwIjoiZXhjZWwtamlyYSJ9" TargetMode="External"/><Relationship Id="rId366" Type="http://schemas.openxmlformats.org/officeDocument/2006/relationships/hyperlink" Target="https://tataunistore.atlassian.net/browse/UCW-35209?atlOrigin=eyJpIjoiMjBhNWIzMmFjMjdiNGE1YzhhZTE4YmM0ZjA0MDM4ZWYiLCJwIjoiZXhjZWwtamlyYSJ9" TargetMode="External"/><Relationship Id="rId170" Type="http://schemas.openxmlformats.org/officeDocument/2006/relationships/hyperlink" Target="https://tataunistore.atlassian.net/browse/UCW-30936?atlOrigin=eyJpIjoiMjBhNWIzMmFjMjdiNGE1YzhhZTE4YmM0ZjA0MDM4ZWYiLCJwIjoiZXhjZWwtamlyYSJ9" TargetMode="External"/><Relationship Id="rId226" Type="http://schemas.openxmlformats.org/officeDocument/2006/relationships/hyperlink" Target="https://tataunistore.atlassian.net/browse/UCW-30684?atlOrigin=eyJpIjoiMjBhNWIzMmFjMjdiNGE1YzhhZTE4YmM0ZjA0MDM4ZWYiLCJwIjoiZXhjZWwtamlyYSJ9" TargetMode="External"/><Relationship Id="rId433" Type="http://schemas.openxmlformats.org/officeDocument/2006/relationships/hyperlink" Target="https://tataunistore.atlassian.net/browse/UCW-36093?atlOrigin=eyJpIjoiMjBhNWIzMmFjMjdiNGE1YzhhZTE4YmM0ZjA0MDM4ZWYiLCJwIjoiZXhjZWwtamlyYSJ9" TargetMode="External"/><Relationship Id="rId268" Type="http://schemas.openxmlformats.org/officeDocument/2006/relationships/hyperlink" Target="https://tataunistore.atlassian.net/browse/UCW-30480?atlOrigin=eyJpIjoiMjBhNWIzMmFjMjdiNGE1YzhhZTE4YmM0ZjA0MDM4ZWYiLCJwIjoiZXhjZWwtamlyYSJ9" TargetMode="External"/><Relationship Id="rId475" Type="http://schemas.openxmlformats.org/officeDocument/2006/relationships/hyperlink" Target="https://tataunistore.atlassian.net/browse/UCW-35910?atlOrigin=eyJpIjoiMjBhNWIzMmFjMjdiNGE1YzhhZTE4YmM0ZjA0MDM4ZWYiLCJwIjoiZXhjZWwtamlyYSJ9" TargetMode="External"/><Relationship Id="rId32" Type="http://schemas.openxmlformats.org/officeDocument/2006/relationships/hyperlink" Target="https://tataunistore.atlassian.net/browse/UCW-31758?atlOrigin=eyJpIjoiMjBhNWIzMmFjMjdiNGE1YzhhZTE4YmM0ZjA0MDM4ZWYiLCJwIjoiZXhjZWwtamlyYSJ9" TargetMode="External"/><Relationship Id="rId74" Type="http://schemas.openxmlformats.org/officeDocument/2006/relationships/hyperlink" Target="https://tataunistore.atlassian.net/browse/UCW-31494?atlOrigin=eyJpIjoiMjBhNWIzMmFjMjdiNGE1YzhhZTE4YmM0ZjA0MDM4ZWYiLCJwIjoiZXhjZWwtamlyYSJ9" TargetMode="External"/><Relationship Id="rId128" Type="http://schemas.openxmlformats.org/officeDocument/2006/relationships/hyperlink" Target="https://tataunistore.atlassian.net/browse/UCW-31141?atlOrigin=eyJpIjoiMjBhNWIzMmFjMjdiNGE1YzhhZTE4YmM0ZjA0MDM4ZWYiLCJwIjoiZXhjZWwtamlyYSJ9" TargetMode="External"/><Relationship Id="rId335" Type="http://schemas.openxmlformats.org/officeDocument/2006/relationships/hyperlink" Target="https://tataunistore.atlassian.net/browse/UCW-35382?atlOrigin=eyJpIjoiMjBhNWIzMmFjMjdiNGE1YzhhZTE4YmM0ZjA0MDM4ZWYiLCJwIjoiZXhjZWwtamlyYSJ9" TargetMode="External"/><Relationship Id="rId377" Type="http://schemas.openxmlformats.org/officeDocument/2006/relationships/hyperlink" Target="https://tataunistore.atlassian.net/browse/UCW-35132?atlOrigin=eyJpIjoiMjBhNWIzMmFjMjdiNGE1YzhhZTE4YmM0ZjA0MDM4ZWYiLCJwIjoiZXhjZWwtamlyYSJ9" TargetMode="External"/><Relationship Id="rId5" Type="http://schemas.openxmlformats.org/officeDocument/2006/relationships/hyperlink" Target="https://tataunistore.atlassian.net/browse/UCW-31961?atlOrigin=eyJpIjoiMjBhNWIzMmFjMjdiNGE1YzhhZTE4YmM0ZjA0MDM4ZWYiLCJwIjoiZXhjZWwtamlyYSJ9" TargetMode="External"/><Relationship Id="rId181" Type="http://schemas.openxmlformats.org/officeDocument/2006/relationships/hyperlink" Target="https://tataunistore.atlassian.net/browse/UCW-30879?atlOrigin=eyJpIjoiMjBhNWIzMmFjMjdiNGE1YzhhZTE4YmM0ZjA0MDM4ZWYiLCJwIjoiZXhjZWwtamlyYSJ9" TargetMode="External"/><Relationship Id="rId237" Type="http://schemas.openxmlformats.org/officeDocument/2006/relationships/hyperlink" Target="https://tataunistore.atlassian.net/browse/UCW-30634?atlOrigin=eyJpIjoiMjBhNWIzMmFjMjdiNGE1YzhhZTE4YmM0ZjA0MDM4ZWYiLCJwIjoiZXhjZWwtamlyYSJ9" TargetMode="External"/><Relationship Id="rId402" Type="http://schemas.openxmlformats.org/officeDocument/2006/relationships/hyperlink" Target="https://tataunistore.atlassian.net/browse/UCW-35058?atlOrigin=eyJpIjoiMjBhNWIzMmFjMjdiNGE1YzhhZTE4YmM0ZjA0MDM4ZWYiLCJwIjoiZXhjZWwtamlyYSJ9" TargetMode="External"/><Relationship Id="rId279" Type="http://schemas.openxmlformats.org/officeDocument/2006/relationships/hyperlink" Target="https://tataunistore.atlassian.net/browse/UCW-34522?atlOrigin=eyJpIjoiMjBhNWIzMmFjMjdiNGE1YzhhZTE4YmM0ZjA0MDM4ZWYiLCJwIjoiZXhjZWwtamlyYSJ9" TargetMode="External"/><Relationship Id="rId444" Type="http://schemas.openxmlformats.org/officeDocument/2006/relationships/hyperlink" Target="https://tataunistore.atlassian.net/browse/UCW-36032?atlOrigin=eyJpIjoiMjBhNWIzMmFjMjdiNGE1YzhhZTE4YmM0ZjA0MDM4ZWYiLCJwIjoiZXhjZWwtamlyYSJ9" TargetMode="External"/><Relationship Id="rId486" Type="http://schemas.openxmlformats.org/officeDocument/2006/relationships/hyperlink" Target="https://tataunistore.atlassian.net/browse/UCW-35867?atlOrigin=eyJpIjoiMjBhNWIzMmFjMjdiNGE1YzhhZTE4YmM0ZjA0MDM4ZWYiLCJwIjoiZXhjZWwtamlyYSJ9" TargetMode="External"/><Relationship Id="rId43" Type="http://schemas.openxmlformats.org/officeDocument/2006/relationships/hyperlink" Target="https://tataunistore.atlassian.net/browse/UCW-31729?atlOrigin=eyJpIjoiMjBhNWIzMmFjMjdiNGE1YzhhZTE4YmM0ZjA0MDM4ZWYiLCJwIjoiZXhjZWwtamlyYSJ9" TargetMode="External"/><Relationship Id="rId139" Type="http://schemas.openxmlformats.org/officeDocument/2006/relationships/hyperlink" Target="https://tataunistore.atlassian.net/browse/UCW-31086?atlOrigin=eyJpIjoiMjBhNWIzMmFjMjdiNGE1YzhhZTE4YmM0ZjA0MDM4ZWYiLCJwIjoiZXhjZWwtamlyYSJ9" TargetMode="External"/><Relationship Id="rId290" Type="http://schemas.openxmlformats.org/officeDocument/2006/relationships/hyperlink" Target="https://tataunistore.atlassian.net/browse/UCW-34414?atlOrigin=eyJpIjoiMjBhNWIzMmFjMjdiNGE1YzhhZTE4YmM0ZjA0MDM4ZWYiLCJwIjoiZXhjZWwtamlyYSJ9" TargetMode="External"/><Relationship Id="rId304" Type="http://schemas.openxmlformats.org/officeDocument/2006/relationships/hyperlink" Target="https://tataunistore.atlassian.net/browse/UCW-34367?atlOrigin=eyJpIjoiMjBhNWIzMmFjMjdiNGE1YzhhZTE4YmM0ZjA0MDM4ZWYiLCJwIjoiZXhjZWwtamlyYSJ9" TargetMode="External"/><Relationship Id="rId346" Type="http://schemas.openxmlformats.org/officeDocument/2006/relationships/hyperlink" Target="https://tataunistore.atlassian.net/browse/UCW-35348?atlOrigin=eyJpIjoiMjBhNWIzMmFjMjdiNGE1YzhhZTE4YmM0ZjA0MDM4ZWYiLCJwIjoiZXhjZWwtamlyYSJ9" TargetMode="External"/><Relationship Id="rId388" Type="http://schemas.openxmlformats.org/officeDocument/2006/relationships/hyperlink" Target="https://tataunistore.atlassian.net/browse/UCW-35110?atlOrigin=eyJpIjoiMjBhNWIzMmFjMjdiNGE1YzhhZTE4YmM0ZjA0MDM4ZWYiLCJwIjoiZXhjZWwtamlyYSJ9" TargetMode="External"/><Relationship Id="rId85" Type="http://schemas.openxmlformats.org/officeDocument/2006/relationships/hyperlink" Target="https://tataunistore.atlassian.net/browse/UCW-31426?atlOrigin=eyJpIjoiMjBhNWIzMmFjMjdiNGE1YzhhZTE4YmM0ZjA0MDM4ZWYiLCJwIjoiZXhjZWwtamlyYSJ9" TargetMode="External"/><Relationship Id="rId150" Type="http://schemas.openxmlformats.org/officeDocument/2006/relationships/hyperlink" Target="https://tataunistore.atlassian.net/browse/UCW-31043?atlOrigin=eyJpIjoiMjBhNWIzMmFjMjdiNGE1YzhhZTE4YmM0ZjA0MDM4ZWYiLCJwIjoiZXhjZWwtamlyYSJ9" TargetMode="External"/><Relationship Id="rId192" Type="http://schemas.openxmlformats.org/officeDocument/2006/relationships/hyperlink" Target="https://tataunistore.atlassian.net/browse/UCW-30836?atlOrigin=eyJpIjoiMjBhNWIzMmFjMjdiNGE1YzhhZTE4YmM0ZjA0MDM4ZWYiLCJwIjoiZXhjZWwtamlyYSJ9" TargetMode="External"/><Relationship Id="rId206" Type="http://schemas.openxmlformats.org/officeDocument/2006/relationships/hyperlink" Target="https://tataunistore.atlassian.net/browse/UCW-30769?atlOrigin=eyJpIjoiMjBhNWIzMmFjMjdiNGE1YzhhZTE4YmM0ZjA0MDM4ZWYiLCJwIjoiZXhjZWwtamlyYSJ9" TargetMode="External"/><Relationship Id="rId413" Type="http://schemas.openxmlformats.org/officeDocument/2006/relationships/hyperlink" Target="https://tataunistore.atlassian.net/browse/UCW-35011?atlOrigin=eyJpIjoiMjBhNWIzMmFjMjdiNGE1YzhhZTE4YmM0ZjA0MDM4ZWYiLCJwIjoiZXhjZWwtamlyYSJ9" TargetMode="External"/><Relationship Id="rId248" Type="http://schemas.openxmlformats.org/officeDocument/2006/relationships/hyperlink" Target="https://tataunistore.atlassian.net/browse/UCW-30605?atlOrigin=eyJpIjoiMjBhNWIzMmFjMjdiNGE1YzhhZTE4YmM0ZjA0MDM4ZWYiLCJwIjoiZXhjZWwtamlyYSJ9" TargetMode="External"/><Relationship Id="rId455" Type="http://schemas.openxmlformats.org/officeDocument/2006/relationships/hyperlink" Target="https://tataunistore.atlassian.net/browse/UCW-35989?atlOrigin=eyJpIjoiMjBhNWIzMmFjMjdiNGE1YzhhZTE4YmM0ZjA0MDM4ZWYiLCJwIjoiZXhjZWwtamlyYSJ9" TargetMode="External"/><Relationship Id="rId12" Type="http://schemas.openxmlformats.org/officeDocument/2006/relationships/hyperlink" Target="https://tataunistore.atlassian.net/browse/UCW-31900?atlOrigin=eyJpIjoiMjBhNWIzMmFjMjdiNGE1YzhhZTE4YmM0ZjA0MDM4ZWYiLCJwIjoiZXhjZWwtamlyYSJ9" TargetMode="External"/><Relationship Id="rId108" Type="http://schemas.openxmlformats.org/officeDocument/2006/relationships/hyperlink" Target="https://tataunistore.atlassian.net/browse/UCW-31271?atlOrigin=eyJpIjoiMjBhNWIzMmFjMjdiNGE1YzhhZTE4YmM0ZjA0MDM4ZWYiLCJwIjoiZXhjZWwtamlyYSJ9" TargetMode="External"/><Relationship Id="rId315" Type="http://schemas.openxmlformats.org/officeDocument/2006/relationships/hyperlink" Target="https://tataunistore.atlassian.net/browse/UCW-34299?atlOrigin=eyJpIjoiMjBhNWIzMmFjMjdiNGE1YzhhZTE4YmM0ZjA0MDM4ZWYiLCJwIjoiZXhjZWwtamlyYSJ9" TargetMode="External"/><Relationship Id="rId357" Type="http://schemas.openxmlformats.org/officeDocument/2006/relationships/hyperlink" Target="https://tataunistore.atlassian.net/browse/UCW-35291?atlOrigin=eyJpIjoiMjBhNWIzMmFjMjdiNGE1YzhhZTE4YmM0ZjA0MDM4ZWYiLCJwIjoiZXhjZWwtamlyYSJ9" TargetMode="External"/><Relationship Id="rId54" Type="http://schemas.openxmlformats.org/officeDocument/2006/relationships/hyperlink" Target="https://tataunistore.atlassian.net/browse/UCW-31678?atlOrigin=eyJpIjoiMjBhNWIzMmFjMjdiNGE1YzhhZTE4YmM0ZjA0MDM4ZWYiLCJwIjoiZXhjZWwtamlyYSJ9" TargetMode="External"/><Relationship Id="rId96" Type="http://schemas.openxmlformats.org/officeDocument/2006/relationships/hyperlink" Target="https://tataunistore.atlassian.net/browse/UCW-31357?atlOrigin=eyJpIjoiMjBhNWIzMmFjMjdiNGE1YzhhZTE4YmM0ZjA0MDM4ZWYiLCJwIjoiZXhjZWwtamlyYSJ9" TargetMode="External"/><Relationship Id="rId161" Type="http://schemas.openxmlformats.org/officeDocument/2006/relationships/hyperlink" Target="https://tataunistore.atlassian.net/browse/UCW-30991?atlOrigin=eyJpIjoiMjBhNWIzMmFjMjdiNGE1YzhhZTE4YmM0ZjA0MDM4ZWYiLCJwIjoiZXhjZWwtamlyYSJ9" TargetMode="External"/><Relationship Id="rId217" Type="http://schemas.openxmlformats.org/officeDocument/2006/relationships/hyperlink" Target="https://tataunistore.atlassian.net/browse/UCW-30733?atlOrigin=eyJpIjoiMjBhNWIzMmFjMjdiNGE1YzhhZTE4YmM0ZjA0MDM4ZWYiLCJwIjoiZXhjZWwtamlyYSJ9" TargetMode="External"/><Relationship Id="rId399" Type="http://schemas.openxmlformats.org/officeDocument/2006/relationships/hyperlink" Target="https://tataunistore.atlassian.net/browse/UCW-35065?atlOrigin=eyJpIjoiMjBhNWIzMmFjMjdiNGE1YzhhZTE4YmM0ZjA0MDM4ZWYiLCJwIjoiZXhjZWwtamlyYSJ9" TargetMode="External"/><Relationship Id="rId259" Type="http://schemas.openxmlformats.org/officeDocument/2006/relationships/hyperlink" Target="https://tataunistore.atlassian.net/browse/UCW-30536?atlOrigin=eyJpIjoiMjBhNWIzMmFjMjdiNGE1YzhhZTE4YmM0ZjA0MDM4ZWYiLCJwIjoiZXhjZWwtamlyYSJ9" TargetMode="External"/><Relationship Id="rId424" Type="http://schemas.openxmlformats.org/officeDocument/2006/relationships/hyperlink" Target="https://tataunistore.atlassian.net/browse/UCW-34953?atlOrigin=eyJpIjoiMjBhNWIzMmFjMjdiNGE1YzhhZTE4YmM0ZjA0MDM4ZWYiLCJwIjoiZXhjZWwtamlyYSJ9" TargetMode="External"/><Relationship Id="rId466" Type="http://schemas.openxmlformats.org/officeDocument/2006/relationships/hyperlink" Target="https://tataunistore.atlassian.net/browse/UCW-35949?atlOrigin=eyJpIjoiMjBhNWIzMmFjMjdiNGE1YzhhZTE4YmM0ZjA0MDM4ZWYiLCJwIjoiZXhjZWwtamlyYSJ9" TargetMode="External"/><Relationship Id="rId23" Type="http://schemas.openxmlformats.org/officeDocument/2006/relationships/hyperlink" Target="https://tataunistore.atlassian.net/browse/UCW-31805?atlOrigin=eyJpIjoiMjBhNWIzMmFjMjdiNGE1YzhhZTE4YmM0ZjA0MDM4ZWYiLCJwIjoiZXhjZWwtamlyYSJ9" TargetMode="External"/><Relationship Id="rId119" Type="http://schemas.openxmlformats.org/officeDocument/2006/relationships/hyperlink" Target="https://tataunistore.atlassian.net/browse/UCW-31195?atlOrigin=eyJpIjoiMjBhNWIzMmFjMjdiNGE1YzhhZTE4YmM0ZjA0MDM4ZWYiLCJwIjoiZXhjZWwtamlyYSJ9" TargetMode="External"/><Relationship Id="rId270" Type="http://schemas.openxmlformats.org/officeDocument/2006/relationships/hyperlink" Target="https://tataunistore.atlassian.net/browse/UCW-30466?atlOrigin=eyJpIjoiMjBhNWIzMmFjMjdiNGE1YzhhZTE4YmM0ZjA0MDM4ZWYiLCJwIjoiZXhjZWwtamlyYSJ9" TargetMode="External"/><Relationship Id="rId326" Type="http://schemas.openxmlformats.org/officeDocument/2006/relationships/hyperlink" Target="https://tataunistore.atlassian.net/browse/UCW-34233?atlOrigin=eyJpIjoiMjBhNWIzMmFjMjdiNGE1YzhhZTE4YmM0ZjA0MDM4ZWYiLCJwIjoiZXhjZWwtamlyYSJ9" TargetMode="External"/><Relationship Id="rId65" Type="http://schemas.openxmlformats.org/officeDocument/2006/relationships/hyperlink" Target="https://tataunistore.atlassian.net/browse/UCW-31542?atlOrigin=eyJpIjoiMjBhNWIzMmFjMjdiNGE1YzhhZTE4YmM0ZjA0MDM4ZWYiLCJwIjoiZXhjZWwtamlyYSJ9" TargetMode="External"/><Relationship Id="rId130" Type="http://schemas.openxmlformats.org/officeDocument/2006/relationships/hyperlink" Target="https://tataunistore.atlassian.net/browse/UCW-31132?atlOrigin=eyJpIjoiMjBhNWIzMmFjMjdiNGE1YzhhZTE4YmM0ZjA0MDM4ZWYiLCJwIjoiZXhjZWwtamlyYSJ9" TargetMode="External"/><Relationship Id="rId368" Type="http://schemas.openxmlformats.org/officeDocument/2006/relationships/hyperlink" Target="https://tataunistore.atlassian.net/browse/UCW-35194?atlOrigin=eyJpIjoiMjBhNWIzMmFjMjdiNGE1YzhhZTE4YmM0ZjA0MDM4ZWYiLCJwIjoiZXhjZWwtamlyYSJ9" TargetMode="External"/><Relationship Id="rId172" Type="http://schemas.openxmlformats.org/officeDocument/2006/relationships/hyperlink" Target="https://tataunistore.atlassian.net/browse/UCW-30933?atlOrigin=eyJpIjoiMjBhNWIzMmFjMjdiNGE1YzhhZTE4YmM0ZjA0MDM4ZWYiLCJwIjoiZXhjZWwtamlyYSJ9" TargetMode="External"/><Relationship Id="rId228" Type="http://schemas.openxmlformats.org/officeDocument/2006/relationships/hyperlink" Target="https://tataunistore.atlassian.net/browse/UCW-30677?atlOrigin=eyJpIjoiMjBhNWIzMmFjMjdiNGE1YzhhZTE4YmM0ZjA0MDM4ZWYiLCJwIjoiZXhjZWwtamlyYSJ9" TargetMode="External"/><Relationship Id="rId435" Type="http://schemas.openxmlformats.org/officeDocument/2006/relationships/hyperlink" Target="https://tataunistore.atlassian.net/browse/UCW-36081?atlOrigin=eyJpIjoiMjBhNWIzMmFjMjdiNGE1YzhhZTE4YmM0ZjA0MDM4ZWYiLCJwIjoiZXhjZWwtamlyYSJ9" TargetMode="External"/><Relationship Id="rId477" Type="http://schemas.openxmlformats.org/officeDocument/2006/relationships/hyperlink" Target="https://tataunistore.atlassian.net/browse/UCW-35897?atlOrigin=eyJpIjoiMjBhNWIzMmFjMjdiNGE1YzhhZTE4YmM0ZjA0MDM4ZWYiLCJwIjoiZXhjZWwtamlyYSJ9" TargetMode="External"/><Relationship Id="rId281" Type="http://schemas.openxmlformats.org/officeDocument/2006/relationships/hyperlink" Target="https://tataunistore.atlassian.net/browse/UCW-34507?atlOrigin=eyJpIjoiMjBhNWIzMmFjMjdiNGE1YzhhZTE4YmM0ZjA0MDM4ZWYiLCJwIjoiZXhjZWwtamlyYSJ9" TargetMode="External"/><Relationship Id="rId337" Type="http://schemas.openxmlformats.org/officeDocument/2006/relationships/hyperlink" Target="https://tataunistore.atlassian.net/browse/UCW-35373?atlOrigin=eyJpIjoiMjBhNWIzMmFjMjdiNGE1YzhhZTE4YmM0ZjA0MDM4ZWYiLCJwIjoiZXhjZWwtamlyYSJ9" TargetMode="External"/><Relationship Id="rId34" Type="http://schemas.openxmlformats.org/officeDocument/2006/relationships/hyperlink" Target="https://tataunistore.atlassian.net/browse/UCW-31756?atlOrigin=eyJpIjoiMjBhNWIzMmFjMjdiNGE1YzhhZTE4YmM0ZjA0MDM4ZWYiLCJwIjoiZXhjZWwtamlyYSJ9" TargetMode="External"/><Relationship Id="rId76" Type="http://schemas.openxmlformats.org/officeDocument/2006/relationships/hyperlink" Target="https://tataunistore.atlassian.net/browse/UCW-31491?atlOrigin=eyJpIjoiMjBhNWIzMmFjMjdiNGE1YzhhZTE4YmM0ZjA0MDM4ZWYiLCJwIjoiZXhjZWwtamlyYSJ9" TargetMode="External"/><Relationship Id="rId141" Type="http://schemas.openxmlformats.org/officeDocument/2006/relationships/hyperlink" Target="https://tataunistore.atlassian.net/browse/UCW-31081?atlOrigin=eyJpIjoiMjBhNWIzMmFjMjdiNGE1YzhhZTE4YmM0ZjA0MDM4ZWYiLCJwIjoiZXhjZWwtamlyYSJ9" TargetMode="External"/><Relationship Id="rId379" Type="http://schemas.openxmlformats.org/officeDocument/2006/relationships/hyperlink" Target="https://tataunistore.atlassian.net/browse/UCW-35130?atlOrigin=eyJpIjoiMjBhNWIzMmFjMjdiNGE1YzhhZTE4YmM0ZjA0MDM4ZWYiLCJwIjoiZXhjZWwtamlyYSJ9" TargetMode="External"/><Relationship Id="rId7" Type="http://schemas.openxmlformats.org/officeDocument/2006/relationships/hyperlink" Target="https://tataunistore.atlassian.net/browse/UCW-31941?atlOrigin=eyJpIjoiMjBhNWIzMmFjMjdiNGE1YzhhZTE4YmM0ZjA0MDM4ZWYiLCJwIjoiZXhjZWwtamlyYSJ9" TargetMode="External"/><Relationship Id="rId183" Type="http://schemas.openxmlformats.org/officeDocument/2006/relationships/hyperlink" Target="https://tataunistore.atlassian.net/browse/UCW-30874?atlOrigin=eyJpIjoiMjBhNWIzMmFjMjdiNGE1YzhhZTE4YmM0ZjA0MDM4ZWYiLCJwIjoiZXhjZWwtamlyYSJ9" TargetMode="External"/><Relationship Id="rId239" Type="http://schemas.openxmlformats.org/officeDocument/2006/relationships/hyperlink" Target="https://tataunistore.atlassian.net/browse/UCW-30630?atlOrigin=eyJpIjoiMjBhNWIzMmFjMjdiNGE1YzhhZTE4YmM0ZjA0MDM4ZWYiLCJwIjoiZXhjZWwtamlyYSJ9" TargetMode="External"/><Relationship Id="rId390" Type="http://schemas.openxmlformats.org/officeDocument/2006/relationships/hyperlink" Target="https://tataunistore.atlassian.net/browse/UCW-35105?atlOrigin=eyJpIjoiMjBhNWIzMmFjMjdiNGE1YzhhZTE4YmM0ZjA0MDM4ZWYiLCJwIjoiZXhjZWwtamlyYSJ9" TargetMode="External"/><Relationship Id="rId404" Type="http://schemas.openxmlformats.org/officeDocument/2006/relationships/hyperlink" Target="https://tataunistore.atlassian.net/browse/UCW-35052?atlOrigin=eyJpIjoiMjBhNWIzMmFjMjdiNGE1YzhhZTE4YmM0ZjA0MDM4ZWYiLCJwIjoiZXhjZWwtamlyYSJ9" TargetMode="External"/><Relationship Id="rId446" Type="http://schemas.openxmlformats.org/officeDocument/2006/relationships/hyperlink" Target="https://tataunistore.atlassian.net/browse/UCW-36029?atlOrigin=eyJpIjoiMjBhNWIzMmFjMjdiNGE1YzhhZTE4YmM0ZjA0MDM4ZWYiLCJwIjoiZXhjZWwtamlyYSJ9" TargetMode="External"/><Relationship Id="rId250" Type="http://schemas.openxmlformats.org/officeDocument/2006/relationships/hyperlink" Target="https://tataunistore.atlassian.net/browse/UCW-30602?atlOrigin=eyJpIjoiMjBhNWIzMmFjMjdiNGE1YzhhZTE4YmM0ZjA0MDM4ZWYiLCJwIjoiZXhjZWwtamlyYSJ9" TargetMode="External"/><Relationship Id="rId292" Type="http://schemas.openxmlformats.org/officeDocument/2006/relationships/hyperlink" Target="https://tataunistore.atlassian.net/browse/UCW-34412?atlOrigin=eyJpIjoiMjBhNWIzMmFjMjdiNGE1YzhhZTE4YmM0ZjA0MDM4ZWYiLCJwIjoiZXhjZWwtamlyYSJ9" TargetMode="External"/><Relationship Id="rId306" Type="http://schemas.openxmlformats.org/officeDocument/2006/relationships/hyperlink" Target="https://tataunistore.atlassian.net/browse/UCW-34354?atlOrigin=eyJpIjoiMjBhNWIzMmFjMjdiNGE1YzhhZTE4YmM0ZjA0MDM4ZWYiLCJwIjoiZXhjZWwtamlyYSJ9" TargetMode="External"/><Relationship Id="rId488" Type="http://schemas.openxmlformats.org/officeDocument/2006/relationships/hyperlink" Target="https://tataunistore.atlassian.net/browse/UCW-35862?atlOrigin=eyJpIjoiMjBhNWIzMmFjMjdiNGE1YzhhZTE4YmM0ZjA0MDM4ZWYiLCJwIjoiZXhjZWwtamlyYSJ9" TargetMode="External"/><Relationship Id="rId45" Type="http://schemas.openxmlformats.org/officeDocument/2006/relationships/hyperlink" Target="https://tataunistore.atlassian.net/browse/UCW-31714?atlOrigin=eyJpIjoiMjBhNWIzMmFjMjdiNGE1YzhhZTE4YmM0ZjA0MDM4ZWYiLCJwIjoiZXhjZWwtamlyYSJ9" TargetMode="External"/><Relationship Id="rId87" Type="http://schemas.openxmlformats.org/officeDocument/2006/relationships/hyperlink" Target="https://tataunistore.atlassian.net/browse/UCW-31409?atlOrigin=eyJpIjoiMjBhNWIzMmFjMjdiNGE1YzhhZTE4YmM0ZjA0MDM4ZWYiLCJwIjoiZXhjZWwtamlyYSJ9" TargetMode="External"/><Relationship Id="rId110" Type="http://schemas.openxmlformats.org/officeDocument/2006/relationships/hyperlink" Target="https://tataunistore.atlassian.net/browse/UCW-31257?atlOrigin=eyJpIjoiMjBhNWIzMmFjMjdiNGE1YzhhZTE4YmM0ZjA0MDM4ZWYiLCJwIjoiZXhjZWwtamlyYSJ9" TargetMode="External"/><Relationship Id="rId348" Type="http://schemas.openxmlformats.org/officeDocument/2006/relationships/hyperlink" Target="https://tataunistore.atlassian.net/browse/UCW-35342?atlOrigin=eyJpIjoiMjBhNWIzMmFjMjdiNGE1YzhhZTE4YmM0ZjA0MDM4ZWYiLCJwIjoiZXhjZWwtamlyYSJ9" TargetMode="External"/><Relationship Id="rId152" Type="http://schemas.openxmlformats.org/officeDocument/2006/relationships/hyperlink" Target="https://tataunistore.atlassian.net/browse/UCW-31027?atlOrigin=eyJpIjoiMjBhNWIzMmFjMjdiNGE1YzhhZTE4YmM0ZjA0MDM4ZWYiLCJwIjoiZXhjZWwtamlyYSJ9" TargetMode="External"/><Relationship Id="rId194" Type="http://schemas.openxmlformats.org/officeDocument/2006/relationships/hyperlink" Target="https://tataunistore.atlassian.net/browse/UCW-30829?atlOrigin=eyJpIjoiMjBhNWIzMmFjMjdiNGE1YzhhZTE4YmM0ZjA0MDM4ZWYiLCJwIjoiZXhjZWwtamlyYSJ9" TargetMode="External"/><Relationship Id="rId208" Type="http://schemas.openxmlformats.org/officeDocument/2006/relationships/hyperlink" Target="https://tataunistore.atlassian.net/browse/UCW-30762?atlOrigin=eyJpIjoiMjBhNWIzMmFjMjdiNGE1YzhhZTE4YmM0ZjA0MDM4ZWYiLCJwIjoiZXhjZWwtamlyYSJ9" TargetMode="External"/><Relationship Id="rId415" Type="http://schemas.openxmlformats.org/officeDocument/2006/relationships/hyperlink" Target="https://tataunistore.atlassian.net/browse/UCW-35004?atlOrigin=eyJpIjoiMjBhNWIzMmFjMjdiNGE1YzhhZTE4YmM0ZjA0MDM4ZWYiLCJwIjoiZXhjZWwtamlyYSJ9" TargetMode="External"/><Relationship Id="rId457" Type="http://schemas.openxmlformats.org/officeDocument/2006/relationships/hyperlink" Target="https://tataunistore.atlassian.net/browse/UCW-35985?atlOrigin=eyJpIjoiMjBhNWIzMmFjMjdiNGE1YzhhZTE4YmM0ZjA0MDM4ZWYiLCJwIjoiZXhjZWwtamlyYSJ9" TargetMode="External"/><Relationship Id="rId261" Type="http://schemas.openxmlformats.org/officeDocument/2006/relationships/hyperlink" Target="https://tataunistore.atlassian.net/browse/UCW-30534?atlOrigin=eyJpIjoiMjBhNWIzMmFjMjdiNGE1YzhhZTE4YmM0ZjA0MDM4ZWYiLCJwIjoiZXhjZWwtamlyYSJ9" TargetMode="External"/><Relationship Id="rId14" Type="http://schemas.openxmlformats.org/officeDocument/2006/relationships/hyperlink" Target="https://tataunistore.atlassian.net/browse/UCW-31875?atlOrigin=eyJpIjoiMjBhNWIzMmFjMjdiNGE1YzhhZTE4YmM0ZjA0MDM4ZWYiLCJwIjoiZXhjZWwtamlyYSJ9" TargetMode="External"/><Relationship Id="rId56" Type="http://schemas.openxmlformats.org/officeDocument/2006/relationships/hyperlink" Target="https://tataunistore.atlassian.net/browse/UCW-31642?atlOrigin=eyJpIjoiMjBhNWIzMmFjMjdiNGE1YzhhZTE4YmM0ZjA0MDM4ZWYiLCJwIjoiZXhjZWwtamlyYSJ9" TargetMode="External"/><Relationship Id="rId317" Type="http://schemas.openxmlformats.org/officeDocument/2006/relationships/hyperlink" Target="https://tataunistore.atlassian.net/browse/UCW-34293?atlOrigin=eyJpIjoiMjBhNWIzMmFjMjdiNGE1YzhhZTE4YmM0ZjA0MDM4ZWYiLCJwIjoiZXhjZWwtamlyYSJ9" TargetMode="External"/><Relationship Id="rId359" Type="http://schemas.openxmlformats.org/officeDocument/2006/relationships/hyperlink" Target="https://tataunistore.atlassian.net/browse/UCW-35247?atlOrigin=eyJpIjoiMjBhNWIzMmFjMjdiNGE1YzhhZTE4YmM0ZjA0MDM4ZWYiLCJwIjoiZXhjZWwtamlyYSJ9" TargetMode="External"/><Relationship Id="rId98" Type="http://schemas.openxmlformats.org/officeDocument/2006/relationships/hyperlink" Target="https://tataunistore.atlassian.net/browse/UCW-31350?atlOrigin=eyJpIjoiMjBhNWIzMmFjMjdiNGE1YzhhZTE4YmM0ZjA0MDM4ZWYiLCJwIjoiZXhjZWwtamlyYSJ9" TargetMode="External"/><Relationship Id="rId121" Type="http://schemas.openxmlformats.org/officeDocument/2006/relationships/hyperlink" Target="https://tataunistore.atlassian.net/browse/UCW-31191?atlOrigin=eyJpIjoiMjBhNWIzMmFjMjdiNGE1YzhhZTE4YmM0ZjA0MDM4ZWYiLCJwIjoiZXhjZWwtamlyYSJ9" TargetMode="External"/><Relationship Id="rId163" Type="http://schemas.openxmlformats.org/officeDocument/2006/relationships/hyperlink" Target="https://tataunistore.atlassian.net/browse/UCW-30985?atlOrigin=eyJpIjoiMjBhNWIzMmFjMjdiNGE1YzhhZTE4YmM0ZjA0MDM4ZWYiLCJwIjoiZXhjZWwtamlyYSJ9" TargetMode="External"/><Relationship Id="rId219" Type="http://schemas.openxmlformats.org/officeDocument/2006/relationships/hyperlink" Target="https://tataunistore.atlassian.net/browse/UCW-30723?atlOrigin=eyJpIjoiMjBhNWIzMmFjMjdiNGE1YzhhZTE4YmM0ZjA0MDM4ZWYiLCJwIjoiZXhjZWwtamlyYSJ9" TargetMode="External"/><Relationship Id="rId370" Type="http://schemas.openxmlformats.org/officeDocument/2006/relationships/hyperlink" Target="https://tataunistore.atlassian.net/browse/UCW-35189?atlOrigin=eyJpIjoiMjBhNWIzMmFjMjdiNGE1YzhhZTE4YmM0ZjA0MDM4ZWYiLCJwIjoiZXhjZWwtamlyYSJ9" TargetMode="External"/><Relationship Id="rId426" Type="http://schemas.openxmlformats.org/officeDocument/2006/relationships/hyperlink" Target="https://tataunistore.atlassian.net/browse/UCW-36126?atlOrigin=eyJpIjoiMjBhNWIzMmFjMjdiNGE1YzhhZTE4YmM0ZjA0MDM4ZWYiLCJwIjoiZXhjZWwtamlyYSJ9" TargetMode="External"/><Relationship Id="rId230" Type="http://schemas.openxmlformats.org/officeDocument/2006/relationships/hyperlink" Target="https://tataunistore.atlassian.net/browse/UCW-30670?atlOrigin=eyJpIjoiMjBhNWIzMmFjMjdiNGE1YzhhZTE4YmM0ZjA0MDM4ZWYiLCJwIjoiZXhjZWwtamlyYSJ9" TargetMode="External"/><Relationship Id="rId468" Type="http://schemas.openxmlformats.org/officeDocument/2006/relationships/hyperlink" Target="https://tataunistore.atlassian.net/browse/UCW-35944?atlOrigin=eyJpIjoiMjBhNWIzMmFjMjdiNGE1YzhhZTE4YmM0ZjA0MDM4ZWYiLCJwIjoiZXhjZWwtamlyYSJ9" TargetMode="External"/><Relationship Id="rId25" Type="http://schemas.openxmlformats.org/officeDocument/2006/relationships/hyperlink" Target="https://tataunistore.atlassian.net/browse/UCW-31799?atlOrigin=eyJpIjoiMjBhNWIzMmFjMjdiNGE1YzhhZTE4YmM0ZjA0MDM4ZWYiLCJwIjoiZXhjZWwtamlyYSJ9" TargetMode="External"/><Relationship Id="rId67" Type="http://schemas.openxmlformats.org/officeDocument/2006/relationships/hyperlink" Target="https://tataunistore.atlassian.net/browse/UCW-31533?atlOrigin=eyJpIjoiMjBhNWIzMmFjMjdiNGE1YzhhZTE4YmM0ZjA0MDM4ZWYiLCJwIjoiZXhjZWwtamlyYSJ9" TargetMode="External"/><Relationship Id="rId272" Type="http://schemas.openxmlformats.org/officeDocument/2006/relationships/hyperlink" Target="https://tataunistore.atlassian.net/browse/UCW-34544?atlOrigin=eyJpIjoiMjBhNWIzMmFjMjdiNGE1YzhhZTE4YmM0ZjA0MDM4ZWYiLCJwIjoiZXhjZWwtamlyYSJ9" TargetMode="External"/><Relationship Id="rId328" Type="http://schemas.openxmlformats.org/officeDocument/2006/relationships/hyperlink" Target="https://tataunistore.atlassian.net/browse/UCW-34228?atlOrigin=eyJpIjoiMjBhNWIzMmFjMjdiNGE1YzhhZTE4YmM0ZjA0MDM4ZWYiLCJwIjoiZXhjZWwtamlyYSJ9" TargetMode="External"/><Relationship Id="rId132" Type="http://schemas.openxmlformats.org/officeDocument/2006/relationships/hyperlink" Target="https://tataunistore.atlassian.net/browse/UCW-31128?atlOrigin=eyJpIjoiMjBhNWIzMmFjMjdiNGE1YzhhZTE4YmM0ZjA0MDM4ZWYiLCJwIjoiZXhjZWwtamlyYSJ9" TargetMode="External"/><Relationship Id="rId174" Type="http://schemas.openxmlformats.org/officeDocument/2006/relationships/hyperlink" Target="https://tataunistore.atlassian.net/browse/UCW-30931?atlOrigin=eyJpIjoiMjBhNWIzMmFjMjdiNGE1YzhhZTE4YmM0ZjA0MDM4ZWYiLCJwIjoiZXhjZWwtamlyYSJ9" TargetMode="External"/><Relationship Id="rId381" Type="http://schemas.openxmlformats.org/officeDocument/2006/relationships/hyperlink" Target="https://tataunistore.atlassian.net/browse/UCW-35126?atlOrigin=eyJpIjoiMjBhNWIzMmFjMjdiNGE1YzhhZTE4YmM0ZjA0MDM4ZWYiLCJwIjoiZXhjZWwtamlyYSJ9" TargetMode="External"/><Relationship Id="rId241" Type="http://schemas.openxmlformats.org/officeDocument/2006/relationships/hyperlink" Target="https://tataunistore.atlassian.net/browse/UCW-30622?atlOrigin=eyJpIjoiMjBhNWIzMmFjMjdiNGE1YzhhZTE4YmM0ZjA0MDM4ZWYiLCJwIjoiZXhjZWwtamlyYSJ9" TargetMode="External"/><Relationship Id="rId437" Type="http://schemas.openxmlformats.org/officeDocument/2006/relationships/hyperlink" Target="https://tataunistore.atlassian.net/browse/UCW-36073?atlOrigin=eyJpIjoiMjBhNWIzMmFjMjdiNGE1YzhhZTE4YmM0ZjA0MDM4ZWYiLCJwIjoiZXhjZWwtamlyYSJ9" TargetMode="External"/><Relationship Id="rId479" Type="http://schemas.openxmlformats.org/officeDocument/2006/relationships/hyperlink" Target="https://tataunistore.atlassian.net/browse/UCW-35887?atlOrigin=eyJpIjoiMjBhNWIzMmFjMjdiNGE1YzhhZTE4YmM0ZjA0MDM4ZWYiLCJwIjoiZXhjZWwtamlyYSJ9" TargetMode="External"/><Relationship Id="rId36" Type="http://schemas.openxmlformats.org/officeDocument/2006/relationships/hyperlink" Target="https://tataunistore.atlassian.net/browse/UCW-31749?atlOrigin=eyJpIjoiMjBhNWIzMmFjMjdiNGE1YzhhZTE4YmM0ZjA0MDM4ZWYiLCJwIjoiZXhjZWwtamlyYSJ9" TargetMode="External"/><Relationship Id="rId283" Type="http://schemas.openxmlformats.org/officeDocument/2006/relationships/hyperlink" Target="https://tataunistore.atlassian.net/browse/UCW-34461?atlOrigin=eyJpIjoiMjBhNWIzMmFjMjdiNGE1YzhhZTE4YmM0ZjA0MDM4ZWYiLCJwIjoiZXhjZWwtamlyYSJ9" TargetMode="External"/><Relationship Id="rId339" Type="http://schemas.openxmlformats.org/officeDocument/2006/relationships/hyperlink" Target="https://tataunistore.atlassian.net/browse/UCW-35368?atlOrigin=eyJpIjoiMjBhNWIzMmFjMjdiNGE1YzhhZTE4YmM0ZjA0MDM4ZWYiLCJwIjoiZXhjZWwtamlyYSJ9" TargetMode="External"/><Relationship Id="rId78" Type="http://schemas.openxmlformats.org/officeDocument/2006/relationships/hyperlink" Target="https://tataunistore.atlassian.net/browse/UCW-31485?atlOrigin=eyJpIjoiMjBhNWIzMmFjMjdiNGE1YzhhZTE4YmM0ZjA0MDM4ZWYiLCJwIjoiZXhjZWwtamlyYSJ9" TargetMode="External"/><Relationship Id="rId101" Type="http://schemas.openxmlformats.org/officeDocument/2006/relationships/hyperlink" Target="https://tataunistore.atlassian.net/browse/UCW-31328?atlOrigin=eyJpIjoiMjBhNWIzMmFjMjdiNGE1YzhhZTE4YmM0ZjA0MDM4ZWYiLCJwIjoiZXhjZWwtamlyYSJ9" TargetMode="External"/><Relationship Id="rId143" Type="http://schemas.openxmlformats.org/officeDocument/2006/relationships/hyperlink" Target="https://tataunistore.atlassian.net/browse/UCW-31072?atlOrigin=eyJpIjoiMjBhNWIzMmFjMjdiNGE1YzhhZTE4YmM0ZjA0MDM4ZWYiLCJwIjoiZXhjZWwtamlyYSJ9" TargetMode="External"/><Relationship Id="rId185" Type="http://schemas.openxmlformats.org/officeDocument/2006/relationships/hyperlink" Target="https://tataunistore.atlassian.net/browse/UCW-30868?atlOrigin=eyJpIjoiMjBhNWIzMmFjMjdiNGE1YzhhZTE4YmM0ZjA0MDM4ZWYiLCJwIjoiZXhjZWwtamlyYSJ9" TargetMode="External"/><Relationship Id="rId350" Type="http://schemas.openxmlformats.org/officeDocument/2006/relationships/hyperlink" Target="https://tataunistore.atlassian.net/browse/UCW-35337?atlOrigin=eyJpIjoiMjBhNWIzMmFjMjdiNGE1YzhhZTE4YmM0ZjA0MDM4ZWYiLCJwIjoiZXhjZWwtamlyYSJ9" TargetMode="External"/><Relationship Id="rId406" Type="http://schemas.openxmlformats.org/officeDocument/2006/relationships/hyperlink" Target="https://tataunistore.atlassian.net/browse/UCW-35034?atlOrigin=eyJpIjoiMjBhNWIzMmFjMjdiNGE1YzhhZTE4YmM0ZjA0MDM4ZWYiLCJwIjoiZXhjZWwtamlyYSJ9" TargetMode="External"/><Relationship Id="rId9" Type="http://schemas.openxmlformats.org/officeDocument/2006/relationships/hyperlink" Target="https://tataunistore.atlassian.net/browse/UCW-31931?atlOrigin=eyJpIjoiMjBhNWIzMmFjMjdiNGE1YzhhZTE4YmM0ZjA0MDM4ZWYiLCJwIjoiZXhjZWwtamlyYSJ9" TargetMode="External"/><Relationship Id="rId210" Type="http://schemas.openxmlformats.org/officeDocument/2006/relationships/hyperlink" Target="https://tataunistore.atlassian.net/browse/UCW-30754?atlOrigin=eyJpIjoiMjBhNWIzMmFjMjdiNGE1YzhhZTE4YmM0ZjA0MDM4ZWYiLCJwIjoiZXhjZWwtamlyYSJ9" TargetMode="External"/><Relationship Id="rId392" Type="http://schemas.openxmlformats.org/officeDocument/2006/relationships/hyperlink" Target="https://tataunistore.atlassian.net/browse/UCW-35098?atlOrigin=eyJpIjoiMjBhNWIzMmFjMjdiNGE1YzhhZTE4YmM0ZjA0MDM4ZWYiLCJwIjoiZXhjZWwtamlyYSJ9" TargetMode="External"/><Relationship Id="rId448" Type="http://schemas.openxmlformats.org/officeDocument/2006/relationships/hyperlink" Target="https://tataunistore.atlassian.net/browse/UCW-36022?atlOrigin=eyJpIjoiMjBhNWIzMmFjMjdiNGE1YzhhZTE4YmM0ZjA0MDM4ZWYiLCJwIjoiZXhjZWwtamlyYSJ9" TargetMode="External"/><Relationship Id="rId252" Type="http://schemas.openxmlformats.org/officeDocument/2006/relationships/hyperlink" Target="https://tataunistore.atlassian.net/browse/UCW-30574?atlOrigin=eyJpIjoiMjBhNWIzMmFjMjdiNGE1YzhhZTE4YmM0ZjA0MDM4ZWYiLCJwIjoiZXhjZWwtamlyYSJ9" TargetMode="External"/><Relationship Id="rId294" Type="http://schemas.openxmlformats.org/officeDocument/2006/relationships/hyperlink" Target="https://tataunistore.atlassian.net/browse/UCW-34400?atlOrigin=eyJpIjoiMjBhNWIzMmFjMjdiNGE1YzhhZTE4YmM0ZjA0MDM4ZWYiLCJwIjoiZXhjZWwtamlyYSJ9" TargetMode="External"/><Relationship Id="rId308" Type="http://schemas.openxmlformats.org/officeDocument/2006/relationships/hyperlink" Target="https://tataunistore.atlassian.net/browse/UCW-34339?atlOrigin=eyJpIjoiMjBhNWIzMmFjMjdiNGE1YzhhZTE4YmM0ZjA0MDM4ZWYiLCJwIjoiZXhjZWwtamlyYSJ9" TargetMode="External"/><Relationship Id="rId47" Type="http://schemas.openxmlformats.org/officeDocument/2006/relationships/hyperlink" Target="https://tataunistore.atlassian.net/browse/UCW-31707?atlOrigin=eyJpIjoiMjBhNWIzMmFjMjdiNGE1YzhhZTE4YmM0ZjA0MDM4ZWYiLCJwIjoiZXhjZWwtamlyYSJ9" TargetMode="External"/><Relationship Id="rId89" Type="http://schemas.openxmlformats.org/officeDocument/2006/relationships/hyperlink" Target="https://tataunistore.atlassian.net/browse/UCW-31401?atlOrigin=eyJpIjoiMjBhNWIzMmFjMjdiNGE1YzhhZTE4YmM0ZjA0MDM4ZWYiLCJwIjoiZXhjZWwtamlyYSJ9" TargetMode="External"/><Relationship Id="rId112" Type="http://schemas.openxmlformats.org/officeDocument/2006/relationships/hyperlink" Target="https://tataunistore.atlassian.net/browse/UCW-31246?atlOrigin=eyJpIjoiMjBhNWIzMmFjMjdiNGE1YzhhZTE4YmM0ZjA0MDM4ZWYiLCJwIjoiZXhjZWwtamlyYSJ9" TargetMode="External"/><Relationship Id="rId154" Type="http://schemas.openxmlformats.org/officeDocument/2006/relationships/hyperlink" Target="https://tataunistore.atlassian.net/browse/UCW-31020?atlOrigin=eyJpIjoiMjBhNWIzMmFjMjdiNGE1YzhhZTE4YmM0ZjA0MDM4ZWYiLCJwIjoiZXhjZWwtamlyYSJ9" TargetMode="External"/><Relationship Id="rId361" Type="http://schemas.openxmlformats.org/officeDocument/2006/relationships/hyperlink" Target="https://tataunistore.atlassian.net/browse/UCW-35230?atlOrigin=eyJpIjoiMjBhNWIzMmFjMjdiNGE1YzhhZTE4YmM0ZjA0MDM4ZWYiLCJwIjoiZXhjZWwtamlyYSJ9" TargetMode="External"/><Relationship Id="rId196" Type="http://schemas.openxmlformats.org/officeDocument/2006/relationships/hyperlink" Target="https://tataunistore.atlassian.net/browse/UCW-30826?atlOrigin=eyJpIjoiMjBhNWIzMmFjMjdiNGE1YzhhZTE4YmM0ZjA0MDM4ZWYiLCJwIjoiZXhjZWwtamlyYSJ9" TargetMode="External"/><Relationship Id="rId417" Type="http://schemas.openxmlformats.org/officeDocument/2006/relationships/hyperlink" Target="https://tataunistore.atlassian.net/browse/UCW-34995?atlOrigin=eyJpIjoiMjBhNWIzMmFjMjdiNGE1YzhhZTE4YmM0ZjA0MDM4ZWYiLCJwIjoiZXhjZWwtamlyYSJ9" TargetMode="External"/><Relationship Id="rId459" Type="http://schemas.openxmlformats.org/officeDocument/2006/relationships/hyperlink" Target="https://tataunistore.atlassian.net/browse/UCW-35974?atlOrigin=eyJpIjoiMjBhNWIzMmFjMjdiNGE1YzhhZTE4YmM0ZjA0MDM4ZWYiLCJwIjoiZXhjZWwtamlyYSJ9" TargetMode="External"/><Relationship Id="rId16" Type="http://schemas.openxmlformats.org/officeDocument/2006/relationships/hyperlink" Target="https://tataunistore.atlassian.net/browse/UCW-31870?atlOrigin=eyJpIjoiMjBhNWIzMmFjMjdiNGE1YzhhZTE4YmM0ZjA0MDM4ZWYiLCJwIjoiZXhjZWwtamlyYSJ9" TargetMode="External"/><Relationship Id="rId221" Type="http://schemas.openxmlformats.org/officeDocument/2006/relationships/hyperlink" Target="https://tataunistore.atlassian.net/browse/UCW-30698?atlOrigin=eyJpIjoiMjBhNWIzMmFjMjdiNGE1YzhhZTE4YmM0ZjA0MDM4ZWYiLCJwIjoiZXhjZWwtamlyYSJ9" TargetMode="External"/><Relationship Id="rId263" Type="http://schemas.openxmlformats.org/officeDocument/2006/relationships/hyperlink" Target="https://tataunistore.atlassian.net/browse/UCW-30531?atlOrigin=eyJpIjoiMjBhNWIzMmFjMjdiNGE1YzhhZTE4YmM0ZjA0MDM4ZWYiLCJwIjoiZXhjZWwtamlyYSJ9" TargetMode="External"/><Relationship Id="rId319" Type="http://schemas.openxmlformats.org/officeDocument/2006/relationships/hyperlink" Target="https://tataunistore.atlassian.net/browse/UCW-34285?atlOrigin=eyJpIjoiMjBhNWIzMmFjMjdiNGE1YzhhZTE4YmM0ZjA0MDM4ZWYiLCJwIjoiZXhjZWwtamlyYSJ9" TargetMode="External"/><Relationship Id="rId470" Type="http://schemas.openxmlformats.org/officeDocument/2006/relationships/hyperlink" Target="https://tataunistore.atlassian.net/browse/UCW-35938?atlOrigin=eyJpIjoiMjBhNWIzMmFjMjdiNGE1YzhhZTE4YmM0ZjA0MDM4ZWYiLCJwIjoiZXhjZWwtamlyYSJ9" TargetMode="External"/><Relationship Id="rId58" Type="http://schemas.openxmlformats.org/officeDocument/2006/relationships/hyperlink" Target="https://tataunistore.atlassian.net/browse/UCW-31639?atlOrigin=eyJpIjoiMjBhNWIzMmFjMjdiNGE1YzhhZTE4YmM0ZjA0MDM4ZWYiLCJwIjoiZXhjZWwtamlyYSJ9" TargetMode="External"/><Relationship Id="rId123" Type="http://schemas.openxmlformats.org/officeDocument/2006/relationships/hyperlink" Target="https://tataunistore.atlassian.net/browse/UCW-31168?atlOrigin=eyJpIjoiMjBhNWIzMmFjMjdiNGE1YzhhZTE4YmM0ZjA0MDM4ZWYiLCJwIjoiZXhjZWwtamlyYSJ9" TargetMode="External"/><Relationship Id="rId330" Type="http://schemas.openxmlformats.org/officeDocument/2006/relationships/hyperlink" Target="https://tataunistore.atlassian.net/browse/UCW-34225?atlOrigin=eyJpIjoiMjBhNWIzMmFjMjdiNGE1YzhhZTE4YmM0ZjA0MDM4ZWYiLCJwIjoiZXhjZWwtamlyYSJ9" TargetMode="External"/><Relationship Id="rId165" Type="http://schemas.openxmlformats.org/officeDocument/2006/relationships/hyperlink" Target="https://tataunistore.atlassian.net/browse/UCW-30972?atlOrigin=eyJpIjoiMjBhNWIzMmFjMjdiNGE1YzhhZTE4YmM0ZjA0MDM4ZWYiLCJwIjoiZXhjZWwtamlyYSJ9" TargetMode="External"/><Relationship Id="rId372" Type="http://schemas.openxmlformats.org/officeDocument/2006/relationships/hyperlink" Target="https://tataunistore.atlassian.net/browse/UCW-35175?atlOrigin=eyJpIjoiMjBhNWIzMmFjMjdiNGE1YzhhZTE4YmM0ZjA0MDM4ZWYiLCJwIjoiZXhjZWwtamlyYSJ9" TargetMode="External"/><Relationship Id="rId428" Type="http://schemas.openxmlformats.org/officeDocument/2006/relationships/hyperlink" Target="https://tataunistore.atlassian.net/browse/UCW-36113?atlOrigin=eyJpIjoiMjBhNWIzMmFjMjdiNGE1YzhhZTE4YmM0ZjA0MDM4ZWYiLCJwIjoiZXhjZWwtamlyYSJ9" TargetMode="External"/><Relationship Id="rId232" Type="http://schemas.openxmlformats.org/officeDocument/2006/relationships/hyperlink" Target="https://tataunistore.atlassian.net/browse/UCW-30661?atlOrigin=eyJpIjoiMjBhNWIzMmFjMjdiNGE1YzhhZTE4YmM0ZjA0MDM4ZWYiLCJwIjoiZXhjZWwtamlyYSJ9" TargetMode="External"/><Relationship Id="rId274" Type="http://schemas.openxmlformats.org/officeDocument/2006/relationships/hyperlink" Target="https://tataunistore.atlassian.net/browse/UCW-34535?atlOrigin=eyJpIjoiMjBhNWIzMmFjMjdiNGE1YzhhZTE4YmM0ZjA0MDM4ZWYiLCJwIjoiZXhjZWwtamlyYSJ9" TargetMode="External"/><Relationship Id="rId481" Type="http://schemas.openxmlformats.org/officeDocument/2006/relationships/hyperlink" Target="https://tataunistore.atlassian.net/browse/UCW-35874?atlOrigin=eyJpIjoiMjBhNWIzMmFjMjdiNGE1YzhhZTE4YmM0ZjA0MDM4ZWYiLCJwIjoiZXhjZWwtamlyYSJ9" TargetMode="External"/><Relationship Id="rId27" Type="http://schemas.openxmlformats.org/officeDocument/2006/relationships/hyperlink" Target="https://tataunistore.atlassian.net/browse/UCW-31788?atlOrigin=eyJpIjoiMjBhNWIzMmFjMjdiNGE1YzhhZTE4YmM0ZjA0MDM4ZWYiLCJwIjoiZXhjZWwtamlyYSJ9" TargetMode="External"/><Relationship Id="rId69" Type="http://schemas.openxmlformats.org/officeDocument/2006/relationships/hyperlink" Target="https://tataunistore.atlassian.net/browse/UCW-31526?atlOrigin=eyJpIjoiMjBhNWIzMmFjMjdiNGE1YzhhZTE4YmM0ZjA0MDM4ZWYiLCJwIjoiZXhjZWwtamlyYSJ9" TargetMode="External"/><Relationship Id="rId134" Type="http://schemas.openxmlformats.org/officeDocument/2006/relationships/hyperlink" Target="https://tataunistore.atlassian.net/browse/UCW-31119?atlOrigin=eyJpIjoiMjBhNWIzMmFjMjdiNGE1YzhhZTE4YmM0ZjA0MDM4ZWYiLCJwIjoiZXhjZWwtamlyYSJ9" TargetMode="External"/><Relationship Id="rId80" Type="http://schemas.openxmlformats.org/officeDocument/2006/relationships/hyperlink" Target="https://tataunistore.atlassian.net/browse/UCW-31469?atlOrigin=eyJpIjoiMjBhNWIzMmFjMjdiNGE1YzhhZTE4YmM0ZjA0MDM4ZWYiLCJwIjoiZXhjZWwtamlyYSJ9" TargetMode="External"/><Relationship Id="rId176" Type="http://schemas.openxmlformats.org/officeDocument/2006/relationships/hyperlink" Target="https://tataunistore.atlassian.net/browse/UCW-30924?atlOrigin=eyJpIjoiMjBhNWIzMmFjMjdiNGE1YzhhZTE4YmM0ZjA0MDM4ZWYiLCJwIjoiZXhjZWwtamlyYSJ9" TargetMode="External"/><Relationship Id="rId341" Type="http://schemas.openxmlformats.org/officeDocument/2006/relationships/hyperlink" Target="https://tataunistore.atlassian.net/browse/UCW-35357?atlOrigin=eyJpIjoiMjBhNWIzMmFjMjdiNGE1YzhhZTE4YmM0ZjA0MDM4ZWYiLCJwIjoiZXhjZWwtamlyYSJ9" TargetMode="External"/><Relationship Id="rId383" Type="http://schemas.openxmlformats.org/officeDocument/2006/relationships/hyperlink" Target="https://tataunistore.atlassian.net/browse/UCW-35124?atlOrigin=eyJpIjoiMjBhNWIzMmFjMjdiNGE1YzhhZTE4YmM0ZjA0MDM4ZWYiLCJwIjoiZXhjZWwtamlyYSJ9" TargetMode="External"/><Relationship Id="rId439" Type="http://schemas.openxmlformats.org/officeDocument/2006/relationships/hyperlink" Target="https://tataunistore.atlassian.net/browse/UCW-36068?atlOrigin=eyJpIjoiMjBhNWIzMmFjMjdiNGE1YzhhZTE4YmM0ZjA0MDM4ZWYiLCJwIjoiZXhjZWwtamlyYSJ9" TargetMode="External"/><Relationship Id="rId201" Type="http://schemas.openxmlformats.org/officeDocument/2006/relationships/hyperlink" Target="https://tataunistore.atlassian.net/browse/UCW-30798?atlOrigin=eyJpIjoiMjBhNWIzMmFjMjdiNGE1YzhhZTE4YmM0ZjA0MDM4ZWYiLCJwIjoiZXhjZWwtamlyYSJ9" TargetMode="External"/><Relationship Id="rId243" Type="http://schemas.openxmlformats.org/officeDocument/2006/relationships/hyperlink" Target="https://tataunistore.atlassian.net/browse/UCW-30617?atlOrigin=eyJpIjoiMjBhNWIzMmFjMjdiNGE1YzhhZTE4YmM0ZjA0MDM4ZWYiLCJwIjoiZXhjZWwtamlyYSJ9" TargetMode="External"/><Relationship Id="rId285" Type="http://schemas.openxmlformats.org/officeDocument/2006/relationships/hyperlink" Target="https://tataunistore.atlassian.net/browse/UCW-34445?atlOrigin=eyJpIjoiMjBhNWIzMmFjMjdiNGE1YzhhZTE4YmM0ZjA0MDM4ZWYiLCJwIjoiZXhjZWwtamlyYSJ9" TargetMode="External"/><Relationship Id="rId450" Type="http://schemas.openxmlformats.org/officeDocument/2006/relationships/hyperlink" Target="https://tataunistore.atlassian.net/browse/UCW-36014?atlOrigin=eyJpIjoiMjBhNWIzMmFjMjdiNGE1YzhhZTE4YmM0ZjA0MDM4ZWYiLCJwIjoiZXhjZWwtamlyYSJ9" TargetMode="External"/><Relationship Id="rId38" Type="http://schemas.openxmlformats.org/officeDocument/2006/relationships/hyperlink" Target="https://tataunistore.atlassian.net/browse/UCW-31745?atlOrigin=eyJpIjoiMjBhNWIzMmFjMjdiNGE1YzhhZTE4YmM0ZjA0MDM4ZWYiLCJwIjoiZXhjZWwtamlyYSJ9" TargetMode="External"/><Relationship Id="rId103" Type="http://schemas.openxmlformats.org/officeDocument/2006/relationships/hyperlink" Target="https://tataunistore.atlassian.net/browse/UCW-31301?atlOrigin=eyJpIjoiMjBhNWIzMmFjMjdiNGE1YzhhZTE4YmM0ZjA0MDM4ZWYiLCJwIjoiZXhjZWwtamlyYSJ9" TargetMode="External"/><Relationship Id="rId310" Type="http://schemas.openxmlformats.org/officeDocument/2006/relationships/hyperlink" Target="https://tataunistore.atlassian.net/browse/UCW-34329?atlOrigin=eyJpIjoiMjBhNWIzMmFjMjdiNGE1YzhhZTE4YmM0ZjA0MDM4ZWYiLCJwIjoiZXhjZWwtamlyYSJ9" TargetMode="External"/><Relationship Id="rId91" Type="http://schemas.openxmlformats.org/officeDocument/2006/relationships/hyperlink" Target="https://tataunistore.atlassian.net/browse/UCW-31393?atlOrigin=eyJpIjoiMjBhNWIzMmFjMjdiNGE1YzhhZTE4YmM0ZjA0MDM4ZWYiLCJwIjoiZXhjZWwtamlyYSJ9" TargetMode="External"/><Relationship Id="rId145" Type="http://schemas.openxmlformats.org/officeDocument/2006/relationships/hyperlink" Target="https://tataunistore.atlassian.net/browse/UCW-31054?atlOrigin=eyJpIjoiMjBhNWIzMmFjMjdiNGE1YzhhZTE4YmM0ZjA0MDM4ZWYiLCJwIjoiZXhjZWwtamlyYSJ9" TargetMode="External"/><Relationship Id="rId187" Type="http://schemas.openxmlformats.org/officeDocument/2006/relationships/hyperlink" Target="https://tataunistore.atlassian.net/browse/UCW-30855?atlOrigin=eyJpIjoiMjBhNWIzMmFjMjdiNGE1YzhhZTE4YmM0ZjA0MDM4ZWYiLCJwIjoiZXhjZWwtamlyYSJ9" TargetMode="External"/><Relationship Id="rId352" Type="http://schemas.openxmlformats.org/officeDocument/2006/relationships/hyperlink" Target="https://tataunistore.atlassian.net/browse/UCW-35316?atlOrigin=eyJpIjoiMjBhNWIzMmFjMjdiNGE1YzhhZTE4YmM0ZjA0MDM4ZWYiLCJwIjoiZXhjZWwtamlyYSJ9" TargetMode="External"/><Relationship Id="rId394" Type="http://schemas.openxmlformats.org/officeDocument/2006/relationships/hyperlink" Target="https://tataunistore.atlassian.net/browse/UCW-35088?atlOrigin=eyJpIjoiMjBhNWIzMmFjMjdiNGE1YzhhZTE4YmM0ZjA0MDM4ZWYiLCJwIjoiZXhjZWwtamlyYSJ9" TargetMode="External"/><Relationship Id="rId408" Type="http://schemas.openxmlformats.org/officeDocument/2006/relationships/hyperlink" Target="https://tataunistore.atlassian.net/browse/UCW-35030?atlOrigin=eyJpIjoiMjBhNWIzMmFjMjdiNGE1YzhhZTE4YmM0ZjA0MDM4ZWYiLCJwIjoiZXhjZWwtamlyYSJ9" TargetMode="External"/><Relationship Id="rId212" Type="http://schemas.openxmlformats.org/officeDocument/2006/relationships/hyperlink" Target="https://tataunistore.atlassian.net/browse/UCW-30751?atlOrigin=eyJpIjoiMjBhNWIzMmFjMjdiNGE1YzhhZTE4YmM0ZjA0MDM4ZWYiLCJwIjoiZXhjZWwtamlyYSJ9" TargetMode="External"/><Relationship Id="rId254" Type="http://schemas.openxmlformats.org/officeDocument/2006/relationships/hyperlink" Target="https://tataunistore.atlassian.net/browse/UCW-30555?atlOrigin=eyJpIjoiMjBhNWIzMmFjMjdiNGE1YzhhZTE4YmM0ZjA0MDM4ZWYiLCJwIjoiZXhjZWwtamlyYSJ9" TargetMode="External"/><Relationship Id="rId49" Type="http://schemas.openxmlformats.org/officeDocument/2006/relationships/hyperlink" Target="https://tataunistore.atlassian.net/browse/UCW-31702?atlOrigin=eyJpIjoiMjBhNWIzMmFjMjdiNGE1YzhhZTE4YmM0ZjA0MDM4ZWYiLCJwIjoiZXhjZWwtamlyYSJ9" TargetMode="External"/><Relationship Id="rId114" Type="http://schemas.openxmlformats.org/officeDocument/2006/relationships/hyperlink" Target="https://tataunistore.atlassian.net/browse/UCW-31244?atlOrigin=eyJpIjoiMjBhNWIzMmFjMjdiNGE1YzhhZTE4YmM0ZjA0MDM4ZWYiLCJwIjoiZXhjZWwtamlyYSJ9" TargetMode="External"/><Relationship Id="rId296" Type="http://schemas.openxmlformats.org/officeDocument/2006/relationships/hyperlink" Target="https://tataunistore.atlassian.net/browse/UCW-34394?atlOrigin=eyJpIjoiMjBhNWIzMmFjMjdiNGE1YzhhZTE4YmM0ZjA0MDM4ZWYiLCJwIjoiZXhjZWwtamlyYSJ9" TargetMode="External"/><Relationship Id="rId461" Type="http://schemas.openxmlformats.org/officeDocument/2006/relationships/hyperlink" Target="https://tataunistore.atlassian.net/browse/UCW-35967?atlOrigin=eyJpIjoiMjBhNWIzMmFjMjdiNGE1YzhhZTE4YmM0ZjA0MDM4ZWYiLCJwIjoiZXhjZWwtamlyYSJ9" TargetMode="External"/><Relationship Id="rId60" Type="http://schemas.openxmlformats.org/officeDocument/2006/relationships/hyperlink" Target="https://tataunistore.atlassian.net/browse/UCW-31588?atlOrigin=eyJpIjoiMjBhNWIzMmFjMjdiNGE1YzhhZTE4YmM0ZjA0MDM4ZWYiLCJwIjoiZXhjZWwtamlyYSJ9" TargetMode="External"/><Relationship Id="rId156" Type="http://schemas.openxmlformats.org/officeDocument/2006/relationships/hyperlink" Target="https://tataunistore.atlassian.net/browse/UCW-31010?atlOrigin=eyJpIjoiMjBhNWIzMmFjMjdiNGE1YzhhZTE4YmM0ZjA0MDM4ZWYiLCJwIjoiZXhjZWwtamlyYSJ9" TargetMode="External"/><Relationship Id="rId198" Type="http://schemas.openxmlformats.org/officeDocument/2006/relationships/hyperlink" Target="https://tataunistore.atlassian.net/browse/UCW-30817?atlOrigin=eyJpIjoiMjBhNWIzMmFjMjdiNGE1YzhhZTE4YmM0ZjA0MDM4ZWYiLCJwIjoiZXhjZWwtamlyYSJ9" TargetMode="External"/><Relationship Id="rId321" Type="http://schemas.openxmlformats.org/officeDocument/2006/relationships/hyperlink" Target="https://tataunistore.atlassian.net/browse/UCW-34271?atlOrigin=eyJpIjoiMjBhNWIzMmFjMjdiNGE1YzhhZTE4YmM0ZjA0MDM4ZWYiLCJwIjoiZXhjZWwtamlyYSJ9" TargetMode="External"/><Relationship Id="rId363" Type="http://schemas.openxmlformats.org/officeDocument/2006/relationships/hyperlink" Target="https://tataunistore.atlassian.net/browse/UCW-35217?atlOrigin=eyJpIjoiMjBhNWIzMmFjMjdiNGE1YzhhZTE4YmM0ZjA0MDM4ZWYiLCJwIjoiZXhjZWwtamlyYSJ9" TargetMode="External"/><Relationship Id="rId419" Type="http://schemas.openxmlformats.org/officeDocument/2006/relationships/hyperlink" Target="https://tataunistore.atlassian.net/browse/UCW-34976?atlOrigin=eyJpIjoiMjBhNWIzMmFjMjdiNGE1YzhhZTE4YmM0ZjA0MDM4ZWYiLCJwIjoiZXhjZWwtamlyYSJ9" TargetMode="External"/><Relationship Id="rId223" Type="http://schemas.openxmlformats.org/officeDocument/2006/relationships/hyperlink" Target="https://tataunistore.atlassian.net/browse/UCW-30690?atlOrigin=eyJpIjoiMjBhNWIzMmFjMjdiNGE1YzhhZTE4YmM0ZjA0MDM4ZWYiLCJwIjoiZXhjZWwtamlyYSJ9" TargetMode="External"/><Relationship Id="rId430" Type="http://schemas.openxmlformats.org/officeDocument/2006/relationships/hyperlink" Target="https://tataunistore.atlassian.net/browse/UCW-36107?atlOrigin=eyJpIjoiMjBhNWIzMmFjMjdiNGE1YzhhZTE4YmM0ZjA0MDM4ZWYiLCJwIjoiZXhjZWwtamlyYSJ9" TargetMode="External"/><Relationship Id="rId18" Type="http://schemas.openxmlformats.org/officeDocument/2006/relationships/hyperlink" Target="https://tataunistore.atlassian.net/browse/UCW-31849?atlOrigin=eyJpIjoiMjBhNWIzMmFjMjdiNGE1YzhhZTE4YmM0ZjA0MDM4ZWYiLCJwIjoiZXhjZWwtamlyYSJ9" TargetMode="External"/><Relationship Id="rId265" Type="http://schemas.openxmlformats.org/officeDocument/2006/relationships/hyperlink" Target="https://tataunistore.atlassian.net/browse/UCW-30523?atlOrigin=eyJpIjoiMjBhNWIzMmFjMjdiNGE1YzhhZTE4YmM0ZjA0MDM4ZWYiLCJwIjoiZXhjZWwtamlyYSJ9" TargetMode="External"/><Relationship Id="rId472" Type="http://schemas.openxmlformats.org/officeDocument/2006/relationships/hyperlink" Target="https://tataunistore.atlassian.net/browse/UCW-35920?atlOrigin=eyJpIjoiMjBhNWIzMmFjMjdiNGE1YzhhZTE4YmM0ZjA0MDM4ZWYiLCJwIjoiZXhjZWwtamlyYSJ9" TargetMode="External"/><Relationship Id="rId125" Type="http://schemas.openxmlformats.org/officeDocument/2006/relationships/hyperlink" Target="https://tataunistore.atlassian.net/browse/UCW-31160?atlOrigin=eyJpIjoiMjBhNWIzMmFjMjdiNGE1YzhhZTE4YmM0ZjA0MDM4ZWYiLCJwIjoiZXhjZWwtamlyYSJ9" TargetMode="External"/><Relationship Id="rId167" Type="http://schemas.openxmlformats.org/officeDocument/2006/relationships/hyperlink" Target="https://tataunistore.atlassian.net/browse/UCW-30958?atlOrigin=eyJpIjoiMjBhNWIzMmFjMjdiNGE1YzhhZTE4YmM0ZjA0MDM4ZWYiLCJwIjoiZXhjZWwtamlyYSJ9" TargetMode="External"/><Relationship Id="rId332" Type="http://schemas.openxmlformats.org/officeDocument/2006/relationships/hyperlink" Target="https://tataunistore.atlassian.net/browse/UCW-35393?atlOrigin=eyJpIjoiMjBhNWIzMmFjMjdiNGE1YzhhZTE4YmM0ZjA0MDM4ZWYiLCJwIjoiZXhjZWwtamlyYSJ9" TargetMode="External"/><Relationship Id="rId374" Type="http://schemas.openxmlformats.org/officeDocument/2006/relationships/hyperlink" Target="https://tataunistore.atlassian.net/browse/UCW-35150?atlOrigin=eyJpIjoiMjBhNWIzMmFjMjdiNGE1YzhhZTE4YmM0ZjA0MDM4ZWYiLCJwIjoiZXhjZWwtamlyYSJ9" TargetMode="External"/><Relationship Id="rId71" Type="http://schemas.openxmlformats.org/officeDocument/2006/relationships/hyperlink" Target="https://tataunistore.atlassian.net/browse/UCW-31512?atlOrigin=eyJpIjoiMjBhNWIzMmFjMjdiNGE1YzhhZTE4YmM0ZjA0MDM4ZWYiLCJwIjoiZXhjZWwtamlyYSJ9" TargetMode="External"/><Relationship Id="rId234" Type="http://schemas.openxmlformats.org/officeDocument/2006/relationships/hyperlink" Target="https://tataunistore.atlassian.net/browse/UCW-30656?atlOrigin=eyJpIjoiMjBhNWIzMmFjMjdiNGE1YzhhZTE4YmM0ZjA0MDM4ZWYiLCJwIjoiZXhjZWwtamlyYSJ9" TargetMode="External"/><Relationship Id="rId2" Type="http://schemas.openxmlformats.org/officeDocument/2006/relationships/hyperlink" Target="https://tataunistore.atlassian.net/browse/UCW-31980?atlOrigin=eyJpIjoiMjBhNWIzMmFjMjdiNGE1YzhhZTE4YmM0ZjA0MDM4ZWYiLCJwIjoiZXhjZWwtamlyYSJ9" TargetMode="External"/><Relationship Id="rId29" Type="http://schemas.openxmlformats.org/officeDocument/2006/relationships/hyperlink" Target="https://tataunistore.atlassian.net/browse/UCW-31766?atlOrigin=eyJpIjoiMjBhNWIzMmFjMjdiNGE1YzhhZTE4YmM0ZjA0MDM4ZWYiLCJwIjoiZXhjZWwtamlyYSJ9" TargetMode="External"/><Relationship Id="rId276" Type="http://schemas.openxmlformats.org/officeDocument/2006/relationships/hyperlink" Target="https://tataunistore.atlassian.net/browse/UCW-34527?atlOrigin=eyJpIjoiMjBhNWIzMmFjMjdiNGE1YzhhZTE4YmM0ZjA0MDM4ZWYiLCJwIjoiZXhjZWwtamlyYSJ9" TargetMode="External"/><Relationship Id="rId441" Type="http://schemas.openxmlformats.org/officeDocument/2006/relationships/hyperlink" Target="https://tataunistore.atlassian.net/browse/UCW-36053?atlOrigin=eyJpIjoiMjBhNWIzMmFjMjdiNGE1YzhhZTE4YmM0ZjA0MDM4ZWYiLCJwIjoiZXhjZWwtamlyYSJ9" TargetMode="External"/><Relationship Id="rId483" Type="http://schemas.openxmlformats.org/officeDocument/2006/relationships/hyperlink" Target="https://tataunistore.atlassian.net/browse/UCW-35872?atlOrigin=eyJpIjoiMjBhNWIzMmFjMjdiNGE1YzhhZTE4YmM0ZjA0MDM4ZWYiLCJwIjoiZXhjZWwtamlyYSJ9" TargetMode="External"/><Relationship Id="rId40" Type="http://schemas.openxmlformats.org/officeDocument/2006/relationships/hyperlink" Target="https://tataunistore.atlassian.net/browse/UCW-31736?atlOrigin=eyJpIjoiMjBhNWIzMmFjMjdiNGE1YzhhZTE4YmM0ZjA0MDM4ZWYiLCJwIjoiZXhjZWwtamlyYSJ9" TargetMode="External"/><Relationship Id="rId136" Type="http://schemas.openxmlformats.org/officeDocument/2006/relationships/hyperlink" Target="https://tataunistore.atlassian.net/browse/UCW-31111?atlOrigin=eyJpIjoiMjBhNWIzMmFjMjdiNGE1YzhhZTE4YmM0ZjA0MDM4ZWYiLCJwIjoiZXhjZWwtamlyYSJ9" TargetMode="External"/><Relationship Id="rId178" Type="http://schemas.openxmlformats.org/officeDocument/2006/relationships/hyperlink" Target="https://tataunistore.atlassian.net/browse/UCW-30892?atlOrigin=eyJpIjoiMjBhNWIzMmFjMjdiNGE1YzhhZTE4YmM0ZjA0MDM4ZWYiLCJwIjoiZXhjZWwtamlyYSJ9" TargetMode="External"/><Relationship Id="rId301" Type="http://schemas.openxmlformats.org/officeDocument/2006/relationships/hyperlink" Target="https://tataunistore.atlassian.net/browse/UCW-34380?atlOrigin=eyJpIjoiMjBhNWIzMmFjMjdiNGE1YzhhZTE4YmM0ZjA0MDM4ZWYiLCJwIjoiZXhjZWwtamlyYSJ9" TargetMode="External"/><Relationship Id="rId343" Type="http://schemas.openxmlformats.org/officeDocument/2006/relationships/hyperlink" Target="https://tataunistore.atlassian.net/browse/UCW-35355?atlOrigin=eyJpIjoiMjBhNWIzMmFjMjdiNGE1YzhhZTE4YmM0ZjA0MDM4ZWYiLCJwIjoiZXhjZWwtamlyYSJ9" TargetMode="External"/><Relationship Id="rId82" Type="http://schemas.openxmlformats.org/officeDocument/2006/relationships/hyperlink" Target="https://tataunistore.atlassian.net/browse/UCW-31457?atlOrigin=eyJpIjoiMjBhNWIzMmFjMjdiNGE1YzhhZTE4YmM0ZjA0MDM4ZWYiLCJwIjoiZXhjZWwtamlyYSJ9" TargetMode="External"/><Relationship Id="rId203" Type="http://schemas.openxmlformats.org/officeDocument/2006/relationships/hyperlink" Target="https://tataunistore.atlassian.net/browse/UCW-30783?atlOrigin=eyJpIjoiMjBhNWIzMmFjMjdiNGE1YzhhZTE4YmM0ZjA0MDM4ZWYiLCJwIjoiZXhjZWwtamlyYSJ9" TargetMode="External"/><Relationship Id="rId385" Type="http://schemas.openxmlformats.org/officeDocument/2006/relationships/hyperlink" Target="https://tataunistore.atlassian.net/browse/UCW-35115?atlOrigin=eyJpIjoiMjBhNWIzMmFjMjdiNGE1YzhhZTE4YmM0ZjA0MDM4ZWYiLCJwIjoiZXhjZWwtamlyYSJ9" TargetMode="External"/><Relationship Id="rId245" Type="http://schemas.openxmlformats.org/officeDocument/2006/relationships/hyperlink" Target="https://tataunistore.atlassian.net/browse/UCW-30610?atlOrigin=eyJpIjoiMjBhNWIzMmFjMjdiNGE1YzhhZTE4YmM0ZjA0MDM4ZWYiLCJwIjoiZXhjZWwtamlyYSJ9" TargetMode="External"/><Relationship Id="rId287" Type="http://schemas.openxmlformats.org/officeDocument/2006/relationships/hyperlink" Target="https://tataunistore.atlassian.net/browse/UCW-34433?atlOrigin=eyJpIjoiMjBhNWIzMmFjMjdiNGE1YzhhZTE4YmM0ZjA0MDM4ZWYiLCJwIjoiZXhjZWwtamlyYSJ9" TargetMode="External"/><Relationship Id="rId410" Type="http://schemas.openxmlformats.org/officeDocument/2006/relationships/hyperlink" Target="https://tataunistore.atlassian.net/browse/UCW-35017?atlOrigin=eyJpIjoiMjBhNWIzMmFjMjdiNGE1YzhhZTE4YmM0ZjA0MDM4ZWYiLCJwIjoiZXhjZWwtamlyYSJ9" TargetMode="External"/><Relationship Id="rId452" Type="http://schemas.openxmlformats.org/officeDocument/2006/relationships/hyperlink" Target="https://tataunistore.atlassian.net/browse/UCW-36009?atlOrigin=eyJpIjoiMjBhNWIzMmFjMjdiNGE1YzhhZTE4YmM0ZjA0MDM4ZWYiLCJwIjoiZXhjZWwtamlyYSJ9" TargetMode="External"/><Relationship Id="rId105" Type="http://schemas.openxmlformats.org/officeDocument/2006/relationships/hyperlink" Target="https://tataunistore.atlassian.net/browse/UCW-31289?atlOrigin=eyJpIjoiMjBhNWIzMmFjMjdiNGE1YzhhZTE4YmM0ZjA0MDM4ZWYiLCJwIjoiZXhjZWwtamlyYSJ9" TargetMode="External"/><Relationship Id="rId147" Type="http://schemas.openxmlformats.org/officeDocument/2006/relationships/hyperlink" Target="https://tataunistore.atlassian.net/browse/UCW-31049?atlOrigin=eyJpIjoiMjBhNWIzMmFjMjdiNGE1YzhhZTE4YmM0ZjA0MDM4ZWYiLCJwIjoiZXhjZWwtamlyYSJ9" TargetMode="External"/><Relationship Id="rId312" Type="http://schemas.openxmlformats.org/officeDocument/2006/relationships/hyperlink" Target="https://tataunistore.atlassian.net/browse/UCW-34321?atlOrigin=eyJpIjoiMjBhNWIzMmFjMjdiNGE1YzhhZTE4YmM0ZjA0MDM4ZWYiLCJwIjoiZXhjZWwtamlyYSJ9" TargetMode="External"/><Relationship Id="rId354" Type="http://schemas.openxmlformats.org/officeDocument/2006/relationships/hyperlink" Target="https://tataunistore.atlassian.net/browse/UCW-35308?atlOrigin=eyJpIjoiMjBhNWIzMmFjMjdiNGE1YzhhZTE4YmM0ZjA0MDM4ZWYiLCJwIjoiZXhjZWwtamlyYSJ9" TargetMode="External"/><Relationship Id="rId51" Type="http://schemas.openxmlformats.org/officeDocument/2006/relationships/hyperlink" Target="https://tataunistore.atlassian.net/browse/UCW-31695?atlOrigin=eyJpIjoiMjBhNWIzMmFjMjdiNGE1YzhhZTE4YmM0ZjA0MDM4ZWYiLCJwIjoiZXhjZWwtamlyYSJ9" TargetMode="External"/><Relationship Id="rId93" Type="http://schemas.openxmlformats.org/officeDocument/2006/relationships/hyperlink" Target="https://tataunistore.atlassian.net/browse/UCW-31376?atlOrigin=eyJpIjoiMjBhNWIzMmFjMjdiNGE1YzhhZTE4YmM0ZjA0MDM4ZWYiLCJwIjoiZXhjZWwtamlyYSJ9" TargetMode="External"/><Relationship Id="rId189" Type="http://schemas.openxmlformats.org/officeDocument/2006/relationships/hyperlink" Target="https://tataunistore.atlassian.net/browse/UCW-30846?atlOrigin=eyJpIjoiMjBhNWIzMmFjMjdiNGE1YzhhZTE4YmM0ZjA0MDM4ZWYiLCJwIjoiZXhjZWwtamlyYSJ9" TargetMode="External"/><Relationship Id="rId396" Type="http://schemas.openxmlformats.org/officeDocument/2006/relationships/hyperlink" Target="https://tataunistore.atlassian.net/browse/UCW-35076?atlOrigin=eyJpIjoiMjBhNWIzMmFjMjdiNGE1YzhhZTE4YmM0ZjA0MDM4ZWYiLCJwIjoiZXhjZWwtamlyYSJ9" TargetMode="External"/><Relationship Id="rId214" Type="http://schemas.openxmlformats.org/officeDocument/2006/relationships/hyperlink" Target="https://tataunistore.atlassian.net/browse/UCW-30746?atlOrigin=eyJpIjoiMjBhNWIzMmFjMjdiNGE1YzhhZTE4YmM0ZjA0MDM4ZWYiLCJwIjoiZXhjZWwtamlyYSJ9" TargetMode="External"/><Relationship Id="rId256" Type="http://schemas.openxmlformats.org/officeDocument/2006/relationships/hyperlink" Target="https://tataunistore.atlassian.net/browse/UCW-30544?atlOrigin=eyJpIjoiMjBhNWIzMmFjMjdiNGE1YzhhZTE4YmM0ZjA0MDM4ZWYiLCJwIjoiZXhjZWwtamlyYSJ9" TargetMode="External"/><Relationship Id="rId298" Type="http://schemas.openxmlformats.org/officeDocument/2006/relationships/hyperlink" Target="https://tataunistore.atlassian.net/browse/UCW-34392?atlOrigin=eyJpIjoiMjBhNWIzMmFjMjdiNGE1YzhhZTE4YmM0ZjA0MDM4ZWYiLCJwIjoiZXhjZWwtamlyYSJ9" TargetMode="External"/><Relationship Id="rId421" Type="http://schemas.openxmlformats.org/officeDocument/2006/relationships/hyperlink" Target="https://tataunistore.atlassian.net/browse/UCW-34965?atlOrigin=eyJpIjoiMjBhNWIzMmFjMjdiNGE1YzhhZTE4YmM0ZjA0MDM4ZWYiLCJwIjoiZXhjZWwtamlyYSJ9" TargetMode="External"/><Relationship Id="rId463" Type="http://schemas.openxmlformats.org/officeDocument/2006/relationships/hyperlink" Target="https://tataunistore.atlassian.net/browse/UCW-35960?atlOrigin=eyJpIjoiMjBhNWIzMmFjMjdiNGE1YzhhZTE4YmM0ZjA0MDM4ZWYiLCJwIjoiZXhjZWwtamlyYSJ9" TargetMode="External"/><Relationship Id="rId116" Type="http://schemas.openxmlformats.org/officeDocument/2006/relationships/hyperlink" Target="https://tataunistore.atlassian.net/browse/UCW-31218?atlOrigin=eyJpIjoiMjBhNWIzMmFjMjdiNGE1YzhhZTE4YmM0ZjA0MDM4ZWYiLCJwIjoiZXhjZWwtamlyYSJ9" TargetMode="External"/><Relationship Id="rId158" Type="http://schemas.openxmlformats.org/officeDocument/2006/relationships/hyperlink" Target="https://tataunistore.atlassian.net/browse/UCW-30995?atlOrigin=eyJpIjoiMjBhNWIzMmFjMjdiNGE1YzhhZTE4YmM0ZjA0MDM4ZWYiLCJwIjoiZXhjZWwtamlyYSJ9" TargetMode="External"/><Relationship Id="rId323" Type="http://schemas.openxmlformats.org/officeDocument/2006/relationships/hyperlink" Target="https://tataunistore.atlassian.net/browse/UCW-34254?atlOrigin=eyJpIjoiMjBhNWIzMmFjMjdiNGE1YzhhZTE4YmM0ZjA0MDM4ZWYiLCJwIjoiZXhjZWwtamlyYSJ9" TargetMode="External"/><Relationship Id="rId20" Type="http://schemas.openxmlformats.org/officeDocument/2006/relationships/hyperlink" Target="https://tataunistore.atlassian.net/browse/UCW-31820?atlOrigin=eyJpIjoiMjBhNWIzMmFjMjdiNGE1YzhhZTE4YmM0ZjA0MDM4ZWYiLCJwIjoiZXhjZWwtamlyYSJ9" TargetMode="External"/><Relationship Id="rId41" Type="http://schemas.openxmlformats.org/officeDocument/2006/relationships/hyperlink" Target="https://tataunistore.atlassian.net/browse/UCW-31734?atlOrigin=eyJpIjoiMjBhNWIzMmFjMjdiNGE1YzhhZTE4YmM0ZjA0MDM4ZWYiLCJwIjoiZXhjZWwtamlyYSJ9" TargetMode="External"/><Relationship Id="rId62" Type="http://schemas.openxmlformats.org/officeDocument/2006/relationships/hyperlink" Target="https://tataunistore.atlassian.net/browse/UCW-31552?atlOrigin=eyJpIjoiMjBhNWIzMmFjMjdiNGE1YzhhZTE4YmM0ZjA0MDM4ZWYiLCJwIjoiZXhjZWwtamlyYSJ9" TargetMode="External"/><Relationship Id="rId83" Type="http://schemas.openxmlformats.org/officeDocument/2006/relationships/hyperlink" Target="https://tataunistore.atlassian.net/browse/UCW-31456?atlOrigin=eyJpIjoiMjBhNWIzMmFjMjdiNGE1YzhhZTE4YmM0ZjA0MDM4ZWYiLCJwIjoiZXhjZWwtamlyYSJ9" TargetMode="External"/><Relationship Id="rId179" Type="http://schemas.openxmlformats.org/officeDocument/2006/relationships/hyperlink" Target="https://tataunistore.atlassian.net/browse/UCW-30886?atlOrigin=eyJpIjoiMjBhNWIzMmFjMjdiNGE1YzhhZTE4YmM0ZjA0MDM4ZWYiLCJwIjoiZXhjZWwtamlyYSJ9" TargetMode="External"/><Relationship Id="rId365" Type="http://schemas.openxmlformats.org/officeDocument/2006/relationships/hyperlink" Target="https://tataunistore.atlassian.net/browse/UCW-35213?atlOrigin=eyJpIjoiMjBhNWIzMmFjMjdiNGE1YzhhZTE4YmM0ZjA0MDM4ZWYiLCJwIjoiZXhjZWwtamlyYSJ9" TargetMode="External"/><Relationship Id="rId386" Type="http://schemas.openxmlformats.org/officeDocument/2006/relationships/hyperlink" Target="https://tataunistore.atlassian.net/browse/UCW-35114?atlOrigin=eyJpIjoiMjBhNWIzMmFjMjdiNGE1YzhhZTE4YmM0ZjA0MDM4ZWYiLCJwIjoiZXhjZWwtamlyYSJ9" TargetMode="External"/><Relationship Id="rId190" Type="http://schemas.openxmlformats.org/officeDocument/2006/relationships/hyperlink" Target="https://tataunistore.atlassian.net/browse/UCW-30841?atlOrigin=eyJpIjoiMjBhNWIzMmFjMjdiNGE1YzhhZTE4YmM0ZjA0MDM4ZWYiLCJwIjoiZXhjZWwtamlyYSJ9" TargetMode="External"/><Relationship Id="rId204" Type="http://schemas.openxmlformats.org/officeDocument/2006/relationships/hyperlink" Target="https://tataunistore.atlassian.net/browse/UCW-30774?atlOrigin=eyJpIjoiMjBhNWIzMmFjMjdiNGE1YzhhZTE4YmM0ZjA0MDM4ZWYiLCJwIjoiZXhjZWwtamlyYSJ9" TargetMode="External"/><Relationship Id="rId225" Type="http://schemas.openxmlformats.org/officeDocument/2006/relationships/hyperlink" Target="https://tataunistore.atlassian.net/browse/UCW-30685?atlOrigin=eyJpIjoiMjBhNWIzMmFjMjdiNGE1YzhhZTE4YmM0ZjA0MDM4ZWYiLCJwIjoiZXhjZWwtamlyYSJ9" TargetMode="External"/><Relationship Id="rId246" Type="http://schemas.openxmlformats.org/officeDocument/2006/relationships/hyperlink" Target="https://tataunistore.atlassian.net/browse/UCW-30609?atlOrigin=eyJpIjoiMjBhNWIzMmFjMjdiNGE1YzhhZTE4YmM0ZjA0MDM4ZWYiLCJwIjoiZXhjZWwtamlyYSJ9" TargetMode="External"/><Relationship Id="rId267" Type="http://schemas.openxmlformats.org/officeDocument/2006/relationships/hyperlink" Target="https://tataunistore.atlassian.net/browse/UCW-30488?atlOrigin=eyJpIjoiMjBhNWIzMmFjMjdiNGE1YzhhZTE4YmM0ZjA0MDM4ZWYiLCJwIjoiZXhjZWwtamlyYSJ9" TargetMode="External"/><Relationship Id="rId288" Type="http://schemas.openxmlformats.org/officeDocument/2006/relationships/hyperlink" Target="https://tataunistore.atlassian.net/browse/UCW-34430?atlOrigin=eyJpIjoiMjBhNWIzMmFjMjdiNGE1YzhhZTE4YmM0ZjA0MDM4ZWYiLCJwIjoiZXhjZWwtamlyYSJ9" TargetMode="External"/><Relationship Id="rId411" Type="http://schemas.openxmlformats.org/officeDocument/2006/relationships/hyperlink" Target="https://tataunistore.atlassian.net/browse/UCW-35013?atlOrigin=eyJpIjoiMjBhNWIzMmFjMjdiNGE1YzhhZTE4YmM0ZjA0MDM4ZWYiLCJwIjoiZXhjZWwtamlyYSJ9" TargetMode="External"/><Relationship Id="rId432" Type="http://schemas.openxmlformats.org/officeDocument/2006/relationships/hyperlink" Target="https://tataunistore.atlassian.net/browse/UCW-36103?atlOrigin=eyJpIjoiMjBhNWIzMmFjMjdiNGE1YzhhZTE4YmM0ZjA0MDM4ZWYiLCJwIjoiZXhjZWwtamlyYSJ9" TargetMode="External"/><Relationship Id="rId453" Type="http://schemas.openxmlformats.org/officeDocument/2006/relationships/hyperlink" Target="https://tataunistore.atlassian.net/browse/UCW-36005?atlOrigin=eyJpIjoiMjBhNWIzMmFjMjdiNGE1YzhhZTE4YmM0ZjA0MDM4ZWYiLCJwIjoiZXhjZWwtamlyYSJ9" TargetMode="External"/><Relationship Id="rId474" Type="http://schemas.openxmlformats.org/officeDocument/2006/relationships/hyperlink" Target="https://tataunistore.atlassian.net/browse/UCW-35915?atlOrigin=eyJpIjoiMjBhNWIzMmFjMjdiNGE1YzhhZTE4YmM0ZjA0MDM4ZWYiLCJwIjoiZXhjZWwtamlyYSJ9" TargetMode="External"/><Relationship Id="rId106" Type="http://schemas.openxmlformats.org/officeDocument/2006/relationships/hyperlink" Target="https://tataunistore.atlassian.net/browse/UCW-31279?atlOrigin=eyJpIjoiMjBhNWIzMmFjMjdiNGE1YzhhZTE4YmM0ZjA0MDM4ZWYiLCJwIjoiZXhjZWwtamlyYSJ9" TargetMode="External"/><Relationship Id="rId127" Type="http://schemas.openxmlformats.org/officeDocument/2006/relationships/hyperlink" Target="https://tataunistore.atlassian.net/browse/UCW-31153?atlOrigin=eyJpIjoiMjBhNWIzMmFjMjdiNGE1YzhhZTE4YmM0ZjA0MDM4ZWYiLCJwIjoiZXhjZWwtamlyYSJ9" TargetMode="External"/><Relationship Id="rId313" Type="http://schemas.openxmlformats.org/officeDocument/2006/relationships/hyperlink" Target="https://tataunistore.atlassian.net/browse/UCW-34314?atlOrigin=eyJpIjoiMjBhNWIzMmFjMjdiNGE1YzhhZTE4YmM0ZjA0MDM4ZWYiLCJwIjoiZXhjZWwtamlyYSJ9" TargetMode="External"/><Relationship Id="rId10" Type="http://schemas.openxmlformats.org/officeDocument/2006/relationships/hyperlink" Target="https://tataunistore.atlassian.net/browse/UCW-31910?atlOrigin=eyJpIjoiMjBhNWIzMmFjMjdiNGE1YzhhZTE4YmM0ZjA0MDM4ZWYiLCJwIjoiZXhjZWwtamlyYSJ9" TargetMode="External"/><Relationship Id="rId31" Type="http://schemas.openxmlformats.org/officeDocument/2006/relationships/hyperlink" Target="https://tataunistore.atlassian.net/browse/UCW-31760?atlOrigin=eyJpIjoiMjBhNWIzMmFjMjdiNGE1YzhhZTE4YmM0ZjA0MDM4ZWYiLCJwIjoiZXhjZWwtamlyYSJ9" TargetMode="External"/><Relationship Id="rId52" Type="http://schemas.openxmlformats.org/officeDocument/2006/relationships/hyperlink" Target="https://tataunistore.atlassian.net/browse/UCW-31684?atlOrigin=eyJpIjoiMjBhNWIzMmFjMjdiNGE1YzhhZTE4YmM0ZjA0MDM4ZWYiLCJwIjoiZXhjZWwtamlyYSJ9" TargetMode="External"/><Relationship Id="rId73" Type="http://schemas.openxmlformats.org/officeDocument/2006/relationships/hyperlink" Target="https://tataunistore.atlassian.net/browse/UCW-31495?atlOrigin=eyJpIjoiMjBhNWIzMmFjMjdiNGE1YzhhZTE4YmM0ZjA0MDM4ZWYiLCJwIjoiZXhjZWwtamlyYSJ9" TargetMode="External"/><Relationship Id="rId94" Type="http://schemas.openxmlformats.org/officeDocument/2006/relationships/hyperlink" Target="https://tataunistore.atlassian.net/browse/UCW-31372?atlOrigin=eyJpIjoiMjBhNWIzMmFjMjdiNGE1YzhhZTE4YmM0ZjA0MDM4ZWYiLCJwIjoiZXhjZWwtamlyYSJ9" TargetMode="External"/><Relationship Id="rId148" Type="http://schemas.openxmlformats.org/officeDocument/2006/relationships/hyperlink" Target="https://tataunistore.atlassian.net/browse/UCW-31048?atlOrigin=eyJpIjoiMjBhNWIzMmFjMjdiNGE1YzhhZTE4YmM0ZjA0MDM4ZWYiLCJwIjoiZXhjZWwtamlyYSJ9" TargetMode="External"/><Relationship Id="rId169" Type="http://schemas.openxmlformats.org/officeDocument/2006/relationships/hyperlink" Target="https://tataunistore.atlassian.net/browse/UCW-30951?atlOrigin=eyJpIjoiMjBhNWIzMmFjMjdiNGE1YzhhZTE4YmM0ZjA0MDM4ZWYiLCJwIjoiZXhjZWwtamlyYSJ9" TargetMode="External"/><Relationship Id="rId334" Type="http://schemas.openxmlformats.org/officeDocument/2006/relationships/hyperlink" Target="https://tataunistore.atlassian.net/browse/UCW-35386?atlOrigin=eyJpIjoiMjBhNWIzMmFjMjdiNGE1YzhhZTE4YmM0ZjA0MDM4ZWYiLCJwIjoiZXhjZWwtamlyYSJ9" TargetMode="External"/><Relationship Id="rId355" Type="http://schemas.openxmlformats.org/officeDocument/2006/relationships/hyperlink" Target="https://tataunistore.atlassian.net/browse/UCW-35306?atlOrigin=eyJpIjoiMjBhNWIzMmFjMjdiNGE1YzhhZTE4YmM0ZjA0MDM4ZWYiLCJwIjoiZXhjZWwtamlyYSJ9" TargetMode="External"/><Relationship Id="rId376" Type="http://schemas.openxmlformats.org/officeDocument/2006/relationships/hyperlink" Target="https://tataunistore.atlassian.net/browse/UCW-35144?atlOrigin=eyJpIjoiMjBhNWIzMmFjMjdiNGE1YzhhZTE4YmM0ZjA0MDM4ZWYiLCJwIjoiZXhjZWwtamlyYSJ9" TargetMode="External"/><Relationship Id="rId397" Type="http://schemas.openxmlformats.org/officeDocument/2006/relationships/hyperlink" Target="https://tataunistore.atlassian.net/browse/UCW-35073?atlOrigin=eyJpIjoiMjBhNWIzMmFjMjdiNGE1YzhhZTE4YmM0ZjA0MDM4ZWYiLCJwIjoiZXhjZWwtamlyYSJ9" TargetMode="External"/><Relationship Id="rId4" Type="http://schemas.openxmlformats.org/officeDocument/2006/relationships/hyperlink" Target="https://tataunistore.atlassian.net/browse/UCW-31962?atlOrigin=eyJpIjoiMjBhNWIzMmFjMjdiNGE1YzhhZTE4YmM0ZjA0MDM4ZWYiLCJwIjoiZXhjZWwtamlyYSJ9" TargetMode="External"/><Relationship Id="rId180" Type="http://schemas.openxmlformats.org/officeDocument/2006/relationships/hyperlink" Target="https://tataunistore.atlassian.net/browse/UCW-30884?atlOrigin=eyJpIjoiMjBhNWIzMmFjMjdiNGE1YzhhZTE4YmM0ZjA0MDM4ZWYiLCJwIjoiZXhjZWwtamlyYSJ9" TargetMode="External"/><Relationship Id="rId215" Type="http://schemas.openxmlformats.org/officeDocument/2006/relationships/hyperlink" Target="https://tataunistore.atlassian.net/browse/UCW-30745?atlOrigin=eyJpIjoiMjBhNWIzMmFjMjdiNGE1YzhhZTE4YmM0ZjA0MDM4ZWYiLCJwIjoiZXhjZWwtamlyYSJ9" TargetMode="External"/><Relationship Id="rId236" Type="http://schemas.openxmlformats.org/officeDocument/2006/relationships/hyperlink" Target="https://tataunistore.atlassian.net/browse/UCW-30644?atlOrigin=eyJpIjoiMjBhNWIzMmFjMjdiNGE1YzhhZTE4YmM0ZjA0MDM4ZWYiLCJwIjoiZXhjZWwtamlyYSJ9" TargetMode="External"/><Relationship Id="rId257" Type="http://schemas.openxmlformats.org/officeDocument/2006/relationships/hyperlink" Target="https://tataunistore.atlassian.net/browse/UCW-30543?atlOrigin=eyJpIjoiMjBhNWIzMmFjMjdiNGE1YzhhZTE4YmM0ZjA0MDM4ZWYiLCJwIjoiZXhjZWwtamlyYSJ9" TargetMode="External"/><Relationship Id="rId278" Type="http://schemas.openxmlformats.org/officeDocument/2006/relationships/hyperlink" Target="https://tataunistore.atlassian.net/browse/UCW-34524?atlOrigin=eyJpIjoiMjBhNWIzMmFjMjdiNGE1YzhhZTE4YmM0ZjA0MDM4ZWYiLCJwIjoiZXhjZWwtamlyYSJ9" TargetMode="External"/><Relationship Id="rId401" Type="http://schemas.openxmlformats.org/officeDocument/2006/relationships/hyperlink" Target="https://tataunistore.atlassian.net/browse/UCW-35061?atlOrigin=eyJpIjoiMjBhNWIzMmFjMjdiNGE1YzhhZTE4YmM0ZjA0MDM4ZWYiLCJwIjoiZXhjZWwtamlyYSJ9" TargetMode="External"/><Relationship Id="rId422" Type="http://schemas.openxmlformats.org/officeDocument/2006/relationships/hyperlink" Target="https://tataunistore.atlassian.net/browse/UCW-34964?atlOrigin=eyJpIjoiMjBhNWIzMmFjMjdiNGE1YzhhZTE4YmM0ZjA0MDM4ZWYiLCJwIjoiZXhjZWwtamlyYSJ9" TargetMode="External"/><Relationship Id="rId443" Type="http://schemas.openxmlformats.org/officeDocument/2006/relationships/hyperlink" Target="https://tataunistore.atlassian.net/browse/UCW-36037?atlOrigin=eyJpIjoiMjBhNWIzMmFjMjdiNGE1YzhhZTE4YmM0ZjA0MDM4ZWYiLCJwIjoiZXhjZWwtamlyYSJ9" TargetMode="External"/><Relationship Id="rId464" Type="http://schemas.openxmlformats.org/officeDocument/2006/relationships/hyperlink" Target="https://tataunistore.atlassian.net/browse/UCW-35955?atlOrigin=eyJpIjoiMjBhNWIzMmFjMjdiNGE1YzhhZTE4YmM0ZjA0MDM4ZWYiLCJwIjoiZXhjZWwtamlyYSJ9" TargetMode="External"/><Relationship Id="rId303" Type="http://schemas.openxmlformats.org/officeDocument/2006/relationships/hyperlink" Target="https://tataunistore.atlassian.net/browse/UCW-34370?atlOrigin=eyJpIjoiMjBhNWIzMmFjMjdiNGE1YzhhZTE4YmM0ZjA0MDM4ZWYiLCJwIjoiZXhjZWwtamlyYSJ9" TargetMode="External"/><Relationship Id="rId485" Type="http://schemas.openxmlformats.org/officeDocument/2006/relationships/hyperlink" Target="https://tataunistore.atlassian.net/browse/UCW-35868?atlOrigin=eyJpIjoiMjBhNWIzMmFjMjdiNGE1YzhhZTE4YmM0ZjA0MDM4ZWYiLCJwIjoiZXhjZWwtamlyYSJ9" TargetMode="External"/><Relationship Id="rId42" Type="http://schemas.openxmlformats.org/officeDocument/2006/relationships/hyperlink" Target="https://tataunistore.atlassian.net/browse/UCW-31732?atlOrigin=eyJpIjoiMjBhNWIzMmFjMjdiNGE1YzhhZTE4YmM0ZjA0MDM4ZWYiLCJwIjoiZXhjZWwtamlyYSJ9" TargetMode="External"/><Relationship Id="rId84" Type="http://schemas.openxmlformats.org/officeDocument/2006/relationships/hyperlink" Target="https://tataunistore.atlassian.net/browse/UCW-31442?atlOrigin=eyJpIjoiMjBhNWIzMmFjMjdiNGE1YzhhZTE4YmM0ZjA0MDM4ZWYiLCJwIjoiZXhjZWwtamlyYSJ9" TargetMode="External"/><Relationship Id="rId138" Type="http://schemas.openxmlformats.org/officeDocument/2006/relationships/hyperlink" Target="https://tataunistore.atlassian.net/browse/UCW-31087?atlOrigin=eyJpIjoiMjBhNWIzMmFjMjdiNGE1YzhhZTE4YmM0ZjA0MDM4ZWYiLCJwIjoiZXhjZWwtamlyYSJ9" TargetMode="External"/><Relationship Id="rId345" Type="http://schemas.openxmlformats.org/officeDocument/2006/relationships/hyperlink" Target="https://tataunistore.atlassian.net/browse/UCW-35351?atlOrigin=eyJpIjoiMjBhNWIzMmFjMjdiNGE1YzhhZTE4YmM0ZjA0MDM4ZWYiLCJwIjoiZXhjZWwtamlyYSJ9" TargetMode="External"/><Relationship Id="rId387" Type="http://schemas.openxmlformats.org/officeDocument/2006/relationships/hyperlink" Target="https://tataunistore.atlassian.net/browse/UCW-35112?atlOrigin=eyJpIjoiMjBhNWIzMmFjMjdiNGE1YzhhZTE4YmM0ZjA0MDM4ZWYiLCJwIjoiZXhjZWwtamlyYSJ9" TargetMode="External"/><Relationship Id="rId191" Type="http://schemas.openxmlformats.org/officeDocument/2006/relationships/hyperlink" Target="https://tataunistore.atlassian.net/browse/UCW-30839?atlOrigin=eyJpIjoiMjBhNWIzMmFjMjdiNGE1YzhhZTE4YmM0ZjA0MDM4ZWYiLCJwIjoiZXhjZWwtamlyYSJ9" TargetMode="External"/><Relationship Id="rId205" Type="http://schemas.openxmlformats.org/officeDocument/2006/relationships/hyperlink" Target="https://tataunistore.atlassian.net/browse/UCW-30770?atlOrigin=eyJpIjoiMjBhNWIzMmFjMjdiNGE1YzhhZTE4YmM0ZjA0MDM4ZWYiLCJwIjoiZXhjZWwtamlyYSJ9" TargetMode="External"/><Relationship Id="rId247" Type="http://schemas.openxmlformats.org/officeDocument/2006/relationships/hyperlink" Target="https://tataunistore.atlassian.net/browse/UCW-30607?atlOrigin=eyJpIjoiMjBhNWIzMmFjMjdiNGE1YzhhZTE4YmM0ZjA0MDM4ZWYiLCJwIjoiZXhjZWwtamlyYSJ9" TargetMode="External"/><Relationship Id="rId412" Type="http://schemas.openxmlformats.org/officeDocument/2006/relationships/hyperlink" Target="https://tataunistore.atlassian.net/browse/UCW-35012?atlOrigin=eyJpIjoiMjBhNWIzMmFjMjdiNGE1YzhhZTE4YmM0ZjA0MDM4ZWYiLCJwIjoiZXhjZWwtamlyYSJ9" TargetMode="External"/><Relationship Id="rId107" Type="http://schemas.openxmlformats.org/officeDocument/2006/relationships/hyperlink" Target="https://tataunistore.atlassian.net/browse/UCW-31276?atlOrigin=eyJpIjoiMjBhNWIzMmFjMjdiNGE1YzhhZTE4YmM0ZjA0MDM4ZWYiLCJwIjoiZXhjZWwtamlyYSJ9" TargetMode="External"/><Relationship Id="rId289" Type="http://schemas.openxmlformats.org/officeDocument/2006/relationships/hyperlink" Target="https://tataunistore.atlassian.net/browse/UCW-34423?atlOrigin=eyJpIjoiMjBhNWIzMmFjMjdiNGE1YzhhZTE4YmM0ZjA0MDM4ZWYiLCJwIjoiZXhjZWwtamlyYSJ9" TargetMode="External"/><Relationship Id="rId454" Type="http://schemas.openxmlformats.org/officeDocument/2006/relationships/hyperlink" Target="https://tataunistore.atlassian.net/browse/UCW-36003?atlOrigin=eyJpIjoiMjBhNWIzMmFjMjdiNGE1YzhhZTE4YmM0ZjA0MDM4ZWYiLCJwIjoiZXhjZWwtamlyYSJ9" TargetMode="External"/><Relationship Id="rId11" Type="http://schemas.openxmlformats.org/officeDocument/2006/relationships/hyperlink" Target="https://tataunistore.atlassian.net/browse/UCW-31902?atlOrigin=eyJpIjoiMjBhNWIzMmFjMjdiNGE1YzhhZTE4YmM0ZjA0MDM4ZWYiLCJwIjoiZXhjZWwtamlyYSJ9" TargetMode="External"/><Relationship Id="rId53" Type="http://schemas.openxmlformats.org/officeDocument/2006/relationships/hyperlink" Target="https://tataunistore.atlassian.net/browse/UCW-31683?atlOrigin=eyJpIjoiMjBhNWIzMmFjMjdiNGE1YzhhZTE4YmM0ZjA0MDM4ZWYiLCJwIjoiZXhjZWwtamlyYSJ9" TargetMode="External"/><Relationship Id="rId149" Type="http://schemas.openxmlformats.org/officeDocument/2006/relationships/hyperlink" Target="https://tataunistore.atlassian.net/browse/UCW-31044?atlOrigin=eyJpIjoiMjBhNWIzMmFjMjdiNGE1YzhhZTE4YmM0ZjA0MDM4ZWYiLCJwIjoiZXhjZWwtamlyYSJ9" TargetMode="External"/><Relationship Id="rId314" Type="http://schemas.openxmlformats.org/officeDocument/2006/relationships/hyperlink" Target="https://tataunistore.atlassian.net/browse/UCW-34305?atlOrigin=eyJpIjoiMjBhNWIzMmFjMjdiNGE1YzhhZTE4YmM0ZjA0MDM4ZWYiLCJwIjoiZXhjZWwtamlyYSJ9" TargetMode="External"/><Relationship Id="rId356" Type="http://schemas.openxmlformats.org/officeDocument/2006/relationships/hyperlink" Target="https://tataunistore.atlassian.net/browse/UCW-35295?atlOrigin=eyJpIjoiMjBhNWIzMmFjMjdiNGE1YzhhZTE4YmM0ZjA0MDM4ZWYiLCJwIjoiZXhjZWwtamlyYSJ9" TargetMode="External"/><Relationship Id="rId398" Type="http://schemas.openxmlformats.org/officeDocument/2006/relationships/hyperlink" Target="https://tataunistore.atlassian.net/browse/UCW-35068?atlOrigin=eyJpIjoiMjBhNWIzMmFjMjdiNGE1YzhhZTE4YmM0ZjA0MDM4ZWYiLCJwIjoiZXhjZWwtamlyYSJ9" TargetMode="External"/><Relationship Id="rId95" Type="http://schemas.openxmlformats.org/officeDocument/2006/relationships/hyperlink" Target="https://tataunistore.atlassian.net/browse/UCW-31371?atlOrigin=eyJpIjoiMjBhNWIzMmFjMjdiNGE1YzhhZTE4YmM0ZjA0MDM4ZWYiLCJwIjoiZXhjZWwtamlyYSJ9" TargetMode="External"/><Relationship Id="rId160" Type="http://schemas.openxmlformats.org/officeDocument/2006/relationships/hyperlink" Target="https://tataunistore.atlassian.net/browse/UCW-30992?atlOrigin=eyJpIjoiMjBhNWIzMmFjMjdiNGE1YzhhZTE4YmM0ZjA0MDM4ZWYiLCJwIjoiZXhjZWwtamlyYSJ9" TargetMode="External"/><Relationship Id="rId216" Type="http://schemas.openxmlformats.org/officeDocument/2006/relationships/hyperlink" Target="https://tataunistore.atlassian.net/browse/UCW-30744?atlOrigin=eyJpIjoiMjBhNWIzMmFjMjdiNGE1YzhhZTE4YmM0ZjA0MDM4ZWYiLCJwIjoiZXhjZWwtamlyYSJ9" TargetMode="External"/><Relationship Id="rId423" Type="http://schemas.openxmlformats.org/officeDocument/2006/relationships/hyperlink" Target="https://tataunistore.atlassian.net/browse/UCW-34956?atlOrigin=eyJpIjoiMjBhNWIzMmFjMjdiNGE1YzhhZTE4YmM0ZjA0MDM4ZWYiLCJwIjoiZXhjZWwtamlyYSJ9" TargetMode="External"/><Relationship Id="rId258" Type="http://schemas.openxmlformats.org/officeDocument/2006/relationships/hyperlink" Target="https://tataunistore.atlassian.net/browse/UCW-30537?atlOrigin=eyJpIjoiMjBhNWIzMmFjMjdiNGE1YzhhZTE4YmM0ZjA0MDM4ZWYiLCJwIjoiZXhjZWwtamlyYSJ9" TargetMode="External"/><Relationship Id="rId465" Type="http://schemas.openxmlformats.org/officeDocument/2006/relationships/hyperlink" Target="https://tataunistore.atlassian.net/browse/UCW-35950?atlOrigin=eyJpIjoiMjBhNWIzMmFjMjdiNGE1YzhhZTE4YmM0ZjA0MDM4ZWYiLCJwIjoiZXhjZWwtamlyYSJ9" TargetMode="External"/><Relationship Id="rId22" Type="http://schemas.openxmlformats.org/officeDocument/2006/relationships/hyperlink" Target="https://tataunistore.atlassian.net/browse/UCW-31811?atlOrigin=eyJpIjoiMjBhNWIzMmFjMjdiNGE1YzhhZTE4YmM0ZjA0MDM4ZWYiLCJwIjoiZXhjZWwtamlyYSJ9" TargetMode="External"/><Relationship Id="rId64" Type="http://schemas.openxmlformats.org/officeDocument/2006/relationships/hyperlink" Target="https://tataunistore.atlassian.net/browse/UCW-31543?atlOrigin=eyJpIjoiMjBhNWIzMmFjMjdiNGE1YzhhZTE4YmM0ZjA0MDM4ZWYiLCJwIjoiZXhjZWwtamlyYSJ9" TargetMode="External"/><Relationship Id="rId118" Type="http://schemas.openxmlformats.org/officeDocument/2006/relationships/hyperlink" Target="https://tataunistore.atlassian.net/browse/UCW-31197?atlOrigin=eyJpIjoiMjBhNWIzMmFjMjdiNGE1YzhhZTE4YmM0ZjA0MDM4ZWYiLCJwIjoiZXhjZWwtamlyYSJ9" TargetMode="External"/><Relationship Id="rId325" Type="http://schemas.openxmlformats.org/officeDocument/2006/relationships/hyperlink" Target="https://tataunistore.atlassian.net/browse/UCW-34241?atlOrigin=eyJpIjoiMjBhNWIzMmFjMjdiNGE1YzhhZTE4YmM0ZjA0MDM4ZWYiLCJwIjoiZXhjZWwtamlyYSJ9" TargetMode="External"/><Relationship Id="rId367" Type="http://schemas.openxmlformats.org/officeDocument/2006/relationships/hyperlink" Target="https://tataunistore.atlassian.net/browse/UCW-35199?atlOrigin=eyJpIjoiMjBhNWIzMmFjMjdiNGE1YzhhZTE4YmM0ZjA0MDM4ZWYiLCJwIjoiZXhjZWwtamlyYSJ9" TargetMode="External"/><Relationship Id="rId171" Type="http://schemas.openxmlformats.org/officeDocument/2006/relationships/hyperlink" Target="https://tataunistore.atlassian.net/browse/UCW-30935?atlOrigin=eyJpIjoiMjBhNWIzMmFjMjdiNGE1YzhhZTE4YmM0ZjA0MDM4ZWYiLCJwIjoiZXhjZWwtamlyYSJ9" TargetMode="External"/><Relationship Id="rId227" Type="http://schemas.openxmlformats.org/officeDocument/2006/relationships/hyperlink" Target="https://tataunistore.atlassian.net/browse/UCW-30678?atlOrigin=eyJpIjoiMjBhNWIzMmFjMjdiNGE1YzhhZTE4YmM0ZjA0MDM4ZWYiLCJwIjoiZXhjZWwtamlyYSJ9" TargetMode="External"/><Relationship Id="rId269" Type="http://schemas.openxmlformats.org/officeDocument/2006/relationships/hyperlink" Target="https://tataunistore.atlassian.net/browse/UCW-30472?atlOrigin=eyJpIjoiMjBhNWIzMmFjMjdiNGE1YzhhZTE4YmM0ZjA0MDM4ZWYiLCJwIjoiZXhjZWwtamlyYSJ9" TargetMode="External"/><Relationship Id="rId434" Type="http://schemas.openxmlformats.org/officeDocument/2006/relationships/hyperlink" Target="https://tataunistore.atlassian.net/browse/UCW-36087?atlOrigin=eyJpIjoiMjBhNWIzMmFjMjdiNGE1YzhhZTE4YmM0ZjA0MDM4ZWYiLCJwIjoiZXhjZWwtamlyYSJ9" TargetMode="External"/><Relationship Id="rId476" Type="http://schemas.openxmlformats.org/officeDocument/2006/relationships/hyperlink" Target="https://tataunistore.atlassian.net/browse/UCW-35907?atlOrigin=eyJpIjoiMjBhNWIzMmFjMjdiNGE1YzhhZTE4YmM0ZjA0MDM4ZWYiLCJwIjoiZXhjZWwtamlyYSJ9" TargetMode="External"/><Relationship Id="rId33" Type="http://schemas.openxmlformats.org/officeDocument/2006/relationships/hyperlink" Target="https://tataunistore.atlassian.net/browse/UCW-31757?atlOrigin=eyJpIjoiMjBhNWIzMmFjMjdiNGE1YzhhZTE4YmM0ZjA0MDM4ZWYiLCJwIjoiZXhjZWwtamlyYSJ9" TargetMode="External"/><Relationship Id="rId129" Type="http://schemas.openxmlformats.org/officeDocument/2006/relationships/hyperlink" Target="https://tataunistore.atlassian.net/browse/UCW-31134?atlOrigin=eyJpIjoiMjBhNWIzMmFjMjdiNGE1YzhhZTE4YmM0ZjA0MDM4ZWYiLCJwIjoiZXhjZWwtamlyYSJ9" TargetMode="External"/><Relationship Id="rId280" Type="http://schemas.openxmlformats.org/officeDocument/2006/relationships/hyperlink" Target="https://tataunistore.atlassian.net/browse/UCW-34521?atlOrigin=eyJpIjoiMjBhNWIzMmFjMjdiNGE1YzhhZTE4YmM0ZjA0MDM4ZWYiLCJwIjoiZXhjZWwtamlyYSJ9" TargetMode="External"/><Relationship Id="rId336" Type="http://schemas.openxmlformats.org/officeDocument/2006/relationships/hyperlink" Target="https://tataunistore.atlassian.net/browse/UCW-35376?atlOrigin=eyJpIjoiMjBhNWIzMmFjMjdiNGE1YzhhZTE4YmM0ZjA0MDM4ZWYiLCJwIjoiZXhjZWwtamlyYSJ9" TargetMode="External"/><Relationship Id="rId75" Type="http://schemas.openxmlformats.org/officeDocument/2006/relationships/hyperlink" Target="https://tataunistore.atlassian.net/browse/UCW-31493?atlOrigin=eyJpIjoiMjBhNWIzMmFjMjdiNGE1YzhhZTE4YmM0ZjA0MDM4ZWYiLCJwIjoiZXhjZWwtamlyYSJ9" TargetMode="External"/><Relationship Id="rId140" Type="http://schemas.openxmlformats.org/officeDocument/2006/relationships/hyperlink" Target="https://tataunistore.atlassian.net/browse/UCW-31083?atlOrigin=eyJpIjoiMjBhNWIzMmFjMjdiNGE1YzhhZTE4YmM0ZjA0MDM4ZWYiLCJwIjoiZXhjZWwtamlyYSJ9" TargetMode="External"/><Relationship Id="rId182" Type="http://schemas.openxmlformats.org/officeDocument/2006/relationships/hyperlink" Target="https://tataunistore.atlassian.net/browse/UCW-30876?atlOrigin=eyJpIjoiMjBhNWIzMmFjMjdiNGE1YzhhZTE4YmM0ZjA0MDM4ZWYiLCJwIjoiZXhjZWwtamlyYSJ9" TargetMode="External"/><Relationship Id="rId378" Type="http://schemas.openxmlformats.org/officeDocument/2006/relationships/hyperlink" Target="https://tataunistore.atlassian.net/browse/UCW-35131?atlOrigin=eyJpIjoiMjBhNWIzMmFjMjdiNGE1YzhhZTE4YmM0ZjA0MDM4ZWYiLCJwIjoiZXhjZWwtamlyYSJ9" TargetMode="External"/><Relationship Id="rId403" Type="http://schemas.openxmlformats.org/officeDocument/2006/relationships/hyperlink" Target="https://tataunistore.atlassian.net/browse/UCW-35054?atlOrigin=eyJpIjoiMjBhNWIzMmFjMjdiNGE1YzhhZTE4YmM0ZjA0MDM4ZWYiLCJwIjoiZXhjZWwtamlyYSJ9" TargetMode="External"/><Relationship Id="rId6" Type="http://schemas.openxmlformats.org/officeDocument/2006/relationships/hyperlink" Target="https://tataunistore.atlassian.net/browse/UCW-31960?atlOrigin=eyJpIjoiMjBhNWIzMmFjMjdiNGE1YzhhZTE4YmM0ZjA0MDM4ZWYiLCJwIjoiZXhjZWwtamlyYSJ9" TargetMode="External"/><Relationship Id="rId238" Type="http://schemas.openxmlformats.org/officeDocument/2006/relationships/hyperlink" Target="https://tataunistore.atlassian.net/browse/UCW-30631?atlOrigin=eyJpIjoiMjBhNWIzMmFjMjdiNGE1YzhhZTE4YmM0ZjA0MDM4ZWYiLCJwIjoiZXhjZWwtamlyYSJ9" TargetMode="External"/><Relationship Id="rId445" Type="http://schemas.openxmlformats.org/officeDocument/2006/relationships/hyperlink" Target="https://tataunistore.atlassian.net/browse/UCW-36031?atlOrigin=eyJpIjoiMjBhNWIzMmFjMjdiNGE1YzhhZTE4YmM0ZjA0MDM4ZWYiLCJwIjoiZXhjZWwtamlyYSJ9" TargetMode="External"/><Relationship Id="rId487" Type="http://schemas.openxmlformats.org/officeDocument/2006/relationships/hyperlink" Target="https://tataunistore.atlassian.net/browse/UCW-35866?atlOrigin=eyJpIjoiMjBhNWIzMmFjMjdiNGE1YzhhZTE4YmM0ZjA0MDM4ZWYiLCJwIjoiZXhjZWwtamlyYSJ9" TargetMode="External"/><Relationship Id="rId291" Type="http://schemas.openxmlformats.org/officeDocument/2006/relationships/hyperlink" Target="https://tataunistore.atlassian.net/browse/UCW-34413?atlOrigin=eyJpIjoiMjBhNWIzMmFjMjdiNGE1YzhhZTE4YmM0ZjA0MDM4ZWYiLCJwIjoiZXhjZWwtamlyYSJ9" TargetMode="External"/><Relationship Id="rId305" Type="http://schemas.openxmlformats.org/officeDocument/2006/relationships/hyperlink" Target="https://tataunistore.atlassian.net/browse/UCW-34357?atlOrigin=eyJpIjoiMjBhNWIzMmFjMjdiNGE1YzhhZTE4YmM0ZjA0MDM4ZWYiLCJwIjoiZXhjZWwtamlyYSJ9" TargetMode="External"/><Relationship Id="rId347" Type="http://schemas.openxmlformats.org/officeDocument/2006/relationships/hyperlink" Target="https://tataunistore.atlassian.net/browse/UCW-35346?atlOrigin=eyJpIjoiMjBhNWIzMmFjMjdiNGE1YzhhZTE4YmM0ZjA0MDM4ZWYiLCJwIjoiZXhjZWwtamlyYSJ9" TargetMode="External"/><Relationship Id="rId44" Type="http://schemas.openxmlformats.org/officeDocument/2006/relationships/hyperlink" Target="https://tataunistore.atlassian.net/browse/UCW-31728?atlOrigin=eyJpIjoiMjBhNWIzMmFjMjdiNGE1YzhhZTE4YmM0ZjA0MDM4ZWYiLCJwIjoiZXhjZWwtamlyYSJ9" TargetMode="External"/><Relationship Id="rId86" Type="http://schemas.openxmlformats.org/officeDocument/2006/relationships/hyperlink" Target="https://tataunistore.atlassian.net/browse/UCW-31421?atlOrigin=eyJpIjoiMjBhNWIzMmFjMjdiNGE1YzhhZTE4YmM0ZjA0MDM4ZWYiLCJwIjoiZXhjZWwtamlyYSJ9" TargetMode="External"/><Relationship Id="rId151" Type="http://schemas.openxmlformats.org/officeDocument/2006/relationships/hyperlink" Target="https://tataunistore.atlassian.net/browse/UCW-31042?atlOrigin=eyJpIjoiMjBhNWIzMmFjMjdiNGE1YzhhZTE4YmM0ZjA0MDM4ZWYiLCJwIjoiZXhjZWwtamlyYSJ9" TargetMode="External"/><Relationship Id="rId389" Type="http://schemas.openxmlformats.org/officeDocument/2006/relationships/hyperlink" Target="https://tataunistore.atlassian.net/browse/UCW-35106?atlOrigin=eyJpIjoiMjBhNWIzMmFjMjdiNGE1YzhhZTE4YmM0ZjA0MDM4ZWYiLCJwIjoiZXhjZWwtamlyYSJ9" TargetMode="External"/><Relationship Id="rId193" Type="http://schemas.openxmlformats.org/officeDocument/2006/relationships/hyperlink" Target="https://tataunistore.atlassian.net/browse/UCW-30830?atlOrigin=eyJpIjoiMjBhNWIzMmFjMjdiNGE1YzhhZTE4YmM0ZjA0MDM4ZWYiLCJwIjoiZXhjZWwtamlyYSJ9" TargetMode="External"/><Relationship Id="rId207" Type="http://schemas.openxmlformats.org/officeDocument/2006/relationships/hyperlink" Target="https://tataunistore.atlassian.net/browse/UCW-30763?atlOrigin=eyJpIjoiMjBhNWIzMmFjMjdiNGE1YzhhZTE4YmM0ZjA0MDM4ZWYiLCJwIjoiZXhjZWwtamlyYSJ9" TargetMode="External"/><Relationship Id="rId249" Type="http://schemas.openxmlformats.org/officeDocument/2006/relationships/hyperlink" Target="https://tataunistore.atlassian.net/browse/UCW-30603?atlOrigin=eyJpIjoiMjBhNWIzMmFjMjdiNGE1YzhhZTE4YmM0ZjA0MDM4ZWYiLCJwIjoiZXhjZWwtamlyYSJ9" TargetMode="External"/><Relationship Id="rId414" Type="http://schemas.openxmlformats.org/officeDocument/2006/relationships/hyperlink" Target="https://tataunistore.atlassian.net/browse/UCW-35005?atlOrigin=eyJpIjoiMjBhNWIzMmFjMjdiNGE1YzhhZTE4YmM0ZjA0MDM4ZWYiLCJwIjoiZXhjZWwtamlyYSJ9" TargetMode="External"/><Relationship Id="rId456" Type="http://schemas.openxmlformats.org/officeDocument/2006/relationships/hyperlink" Target="https://tataunistore.atlassian.net/browse/UCW-35987?atlOrigin=eyJpIjoiMjBhNWIzMmFjMjdiNGE1YzhhZTE4YmM0ZjA0MDM4ZWYiLCJwIjoiZXhjZWwtamlyYSJ9" TargetMode="External"/><Relationship Id="rId13" Type="http://schemas.openxmlformats.org/officeDocument/2006/relationships/hyperlink" Target="https://tataunistore.atlassian.net/browse/UCW-31892?atlOrigin=eyJpIjoiMjBhNWIzMmFjMjdiNGE1YzhhZTE4YmM0ZjA0MDM4ZWYiLCJwIjoiZXhjZWwtamlyYSJ9" TargetMode="External"/><Relationship Id="rId109" Type="http://schemas.openxmlformats.org/officeDocument/2006/relationships/hyperlink" Target="https://tataunistore.atlassian.net/browse/UCW-31258?atlOrigin=eyJpIjoiMjBhNWIzMmFjMjdiNGE1YzhhZTE4YmM0ZjA0MDM4ZWYiLCJwIjoiZXhjZWwtamlyYSJ9" TargetMode="External"/><Relationship Id="rId260" Type="http://schemas.openxmlformats.org/officeDocument/2006/relationships/hyperlink" Target="https://tataunistore.atlassian.net/browse/UCW-30535?atlOrigin=eyJpIjoiMjBhNWIzMmFjMjdiNGE1YzhhZTE4YmM0ZjA0MDM4ZWYiLCJwIjoiZXhjZWwtamlyYSJ9" TargetMode="External"/><Relationship Id="rId316" Type="http://schemas.openxmlformats.org/officeDocument/2006/relationships/hyperlink" Target="https://tataunistore.atlassian.net/browse/UCW-34297?atlOrigin=eyJpIjoiMjBhNWIzMmFjMjdiNGE1YzhhZTE4YmM0ZjA0MDM4ZWYiLCJwIjoiZXhjZWwtamlyYSJ9" TargetMode="External"/><Relationship Id="rId55" Type="http://schemas.openxmlformats.org/officeDocument/2006/relationships/hyperlink" Target="https://tataunistore.atlassian.net/browse/UCW-31658?atlOrigin=eyJpIjoiMjBhNWIzMmFjMjdiNGE1YzhhZTE4YmM0ZjA0MDM4ZWYiLCJwIjoiZXhjZWwtamlyYSJ9" TargetMode="External"/><Relationship Id="rId97" Type="http://schemas.openxmlformats.org/officeDocument/2006/relationships/hyperlink" Target="https://tataunistore.atlassian.net/browse/UCW-31353?atlOrigin=eyJpIjoiMjBhNWIzMmFjMjdiNGE1YzhhZTE4YmM0ZjA0MDM4ZWYiLCJwIjoiZXhjZWwtamlyYSJ9" TargetMode="External"/><Relationship Id="rId120" Type="http://schemas.openxmlformats.org/officeDocument/2006/relationships/hyperlink" Target="https://tataunistore.atlassian.net/browse/UCW-31193?atlOrigin=eyJpIjoiMjBhNWIzMmFjMjdiNGE1YzhhZTE4YmM0ZjA0MDM4ZWYiLCJwIjoiZXhjZWwtamlyYSJ9" TargetMode="External"/><Relationship Id="rId358" Type="http://schemas.openxmlformats.org/officeDocument/2006/relationships/hyperlink" Target="https://tataunistore.atlassian.net/browse/UCW-35264?atlOrigin=eyJpIjoiMjBhNWIzMmFjMjdiNGE1YzhhZTE4YmM0ZjA0MDM4ZWYiLCJwIjoiZXhjZWwtamlyYSJ9" TargetMode="External"/><Relationship Id="rId162" Type="http://schemas.openxmlformats.org/officeDocument/2006/relationships/hyperlink" Target="https://tataunistore.atlassian.net/browse/UCW-30990?atlOrigin=eyJpIjoiMjBhNWIzMmFjMjdiNGE1YzhhZTE4YmM0ZjA0MDM4ZWYiLCJwIjoiZXhjZWwtamlyYSJ9" TargetMode="External"/><Relationship Id="rId218" Type="http://schemas.openxmlformats.org/officeDocument/2006/relationships/hyperlink" Target="https://tataunistore.atlassian.net/browse/UCW-30729?atlOrigin=eyJpIjoiMjBhNWIzMmFjMjdiNGE1YzhhZTE4YmM0ZjA0MDM4ZWYiLCJwIjoiZXhjZWwtamlyYSJ9" TargetMode="External"/><Relationship Id="rId425" Type="http://schemas.openxmlformats.org/officeDocument/2006/relationships/hyperlink" Target="https://tataunistore.atlassian.net/browse/UCW-36130?atlOrigin=eyJpIjoiMjBhNWIzMmFjMjdiNGE1YzhhZTE4YmM0ZjA0MDM4ZWYiLCJwIjoiZXhjZWwtamlyYSJ9" TargetMode="External"/><Relationship Id="rId467" Type="http://schemas.openxmlformats.org/officeDocument/2006/relationships/hyperlink" Target="https://tataunistore.atlassian.net/browse/UCW-35947?atlOrigin=eyJpIjoiMjBhNWIzMmFjMjdiNGE1YzhhZTE4YmM0ZjA0MDM4ZWYiLCJwIjoiZXhjZWwtamlyYSJ9" TargetMode="External"/><Relationship Id="rId271" Type="http://schemas.openxmlformats.org/officeDocument/2006/relationships/hyperlink" Target="https://tataunistore.atlassian.net/browse/UCW-34547?atlOrigin=eyJpIjoiMjBhNWIzMmFjMjdiNGE1YzhhZTE4YmM0ZjA0MDM4ZWYiLCJwIjoiZXhjZWwtamlyYSJ9" TargetMode="External"/><Relationship Id="rId24" Type="http://schemas.openxmlformats.org/officeDocument/2006/relationships/hyperlink" Target="https://tataunistore.atlassian.net/browse/UCW-31802?atlOrigin=eyJpIjoiMjBhNWIzMmFjMjdiNGE1YzhhZTE4YmM0ZjA0MDM4ZWYiLCJwIjoiZXhjZWwtamlyYSJ9" TargetMode="External"/><Relationship Id="rId66" Type="http://schemas.openxmlformats.org/officeDocument/2006/relationships/hyperlink" Target="https://tataunistore.atlassian.net/browse/UCW-31539?atlOrigin=eyJpIjoiMjBhNWIzMmFjMjdiNGE1YzhhZTE4YmM0ZjA0MDM4ZWYiLCJwIjoiZXhjZWwtamlyYSJ9" TargetMode="External"/><Relationship Id="rId131" Type="http://schemas.openxmlformats.org/officeDocument/2006/relationships/hyperlink" Target="https://tataunistore.atlassian.net/browse/UCW-31131?atlOrigin=eyJpIjoiMjBhNWIzMmFjMjdiNGE1YzhhZTE4YmM0ZjA0MDM4ZWYiLCJwIjoiZXhjZWwtamlyYSJ9" TargetMode="External"/><Relationship Id="rId327" Type="http://schemas.openxmlformats.org/officeDocument/2006/relationships/hyperlink" Target="https://tataunistore.atlassian.net/browse/UCW-34232?atlOrigin=eyJpIjoiMjBhNWIzMmFjMjdiNGE1YzhhZTE4YmM0ZjA0MDM4ZWYiLCJwIjoiZXhjZWwtamlyYSJ9" TargetMode="External"/><Relationship Id="rId369" Type="http://schemas.openxmlformats.org/officeDocument/2006/relationships/hyperlink" Target="https://tataunistore.atlassian.net/browse/UCW-35191?atlOrigin=eyJpIjoiMjBhNWIzMmFjMjdiNGE1YzhhZTE4YmM0ZjA0MDM4ZWYiLCJwIjoiZXhjZWwtamlyYSJ9" TargetMode="External"/><Relationship Id="rId173" Type="http://schemas.openxmlformats.org/officeDocument/2006/relationships/hyperlink" Target="https://tataunistore.atlassian.net/browse/UCW-30932?atlOrigin=eyJpIjoiMjBhNWIzMmFjMjdiNGE1YzhhZTE4YmM0ZjA0MDM4ZWYiLCJwIjoiZXhjZWwtamlyYSJ9" TargetMode="External"/><Relationship Id="rId229" Type="http://schemas.openxmlformats.org/officeDocument/2006/relationships/hyperlink" Target="https://tataunistore.atlassian.net/browse/UCW-30673?atlOrigin=eyJpIjoiMjBhNWIzMmFjMjdiNGE1YzhhZTE4YmM0ZjA0MDM4ZWYiLCJwIjoiZXhjZWwtamlyYSJ9" TargetMode="External"/><Relationship Id="rId380" Type="http://schemas.openxmlformats.org/officeDocument/2006/relationships/hyperlink" Target="https://tataunistore.atlassian.net/browse/UCW-35129?atlOrigin=eyJpIjoiMjBhNWIzMmFjMjdiNGE1YzhhZTE4YmM0ZjA0MDM4ZWYiLCJwIjoiZXhjZWwtamlyYSJ9" TargetMode="External"/><Relationship Id="rId436" Type="http://schemas.openxmlformats.org/officeDocument/2006/relationships/hyperlink" Target="https://tataunistore.atlassian.net/browse/UCW-36076?atlOrigin=eyJpIjoiMjBhNWIzMmFjMjdiNGE1YzhhZTE4YmM0ZjA0MDM4ZWYiLCJwIjoiZXhjZWwtamlyYSJ9" TargetMode="External"/><Relationship Id="rId240" Type="http://schemas.openxmlformats.org/officeDocument/2006/relationships/hyperlink" Target="https://tataunistore.atlassian.net/browse/UCW-30629?atlOrigin=eyJpIjoiMjBhNWIzMmFjMjdiNGE1YzhhZTE4YmM0ZjA0MDM4ZWYiLCJwIjoiZXhjZWwtamlyYSJ9" TargetMode="External"/><Relationship Id="rId478" Type="http://schemas.openxmlformats.org/officeDocument/2006/relationships/hyperlink" Target="https://tataunistore.atlassian.net/browse/UCW-35896?atlOrigin=eyJpIjoiMjBhNWIzMmFjMjdiNGE1YzhhZTE4YmM0ZjA0MDM4ZWYiLCJwIjoiZXhjZWwtamlyYSJ9" TargetMode="External"/><Relationship Id="rId35" Type="http://schemas.openxmlformats.org/officeDocument/2006/relationships/hyperlink" Target="https://tataunistore.atlassian.net/browse/UCW-31754?atlOrigin=eyJpIjoiMjBhNWIzMmFjMjdiNGE1YzhhZTE4YmM0ZjA0MDM4ZWYiLCJwIjoiZXhjZWwtamlyYSJ9" TargetMode="External"/><Relationship Id="rId77" Type="http://schemas.openxmlformats.org/officeDocument/2006/relationships/hyperlink" Target="https://tataunistore.atlassian.net/browse/UCW-31490?atlOrigin=eyJpIjoiMjBhNWIzMmFjMjdiNGE1YzhhZTE4YmM0ZjA0MDM4ZWYiLCJwIjoiZXhjZWwtamlyYSJ9" TargetMode="External"/><Relationship Id="rId100" Type="http://schemas.openxmlformats.org/officeDocument/2006/relationships/hyperlink" Target="https://tataunistore.atlassian.net/browse/UCW-31345?atlOrigin=eyJpIjoiMjBhNWIzMmFjMjdiNGE1YzhhZTE4YmM0ZjA0MDM4ZWYiLCJwIjoiZXhjZWwtamlyYSJ9" TargetMode="External"/><Relationship Id="rId282" Type="http://schemas.openxmlformats.org/officeDocument/2006/relationships/hyperlink" Target="https://tataunistore.atlassian.net/browse/UCW-34503?atlOrigin=eyJpIjoiMjBhNWIzMmFjMjdiNGE1YzhhZTE4YmM0ZjA0MDM4ZWYiLCJwIjoiZXhjZWwtamlyYSJ9" TargetMode="External"/><Relationship Id="rId338" Type="http://schemas.openxmlformats.org/officeDocument/2006/relationships/hyperlink" Target="https://tataunistore.atlassian.net/browse/UCW-35371?atlOrigin=eyJpIjoiMjBhNWIzMmFjMjdiNGE1YzhhZTE4YmM0ZjA0MDM4ZWYiLCJwIjoiZXhjZWwtamlyYSJ9" TargetMode="External"/><Relationship Id="rId8" Type="http://schemas.openxmlformats.org/officeDocument/2006/relationships/hyperlink" Target="https://tataunistore.atlassian.net/browse/UCW-31939?atlOrigin=eyJpIjoiMjBhNWIzMmFjMjdiNGE1YzhhZTE4YmM0ZjA0MDM4ZWYiLCJwIjoiZXhjZWwtamlyYSJ9" TargetMode="External"/><Relationship Id="rId142" Type="http://schemas.openxmlformats.org/officeDocument/2006/relationships/hyperlink" Target="https://tataunistore.atlassian.net/browse/UCW-31080?atlOrigin=eyJpIjoiMjBhNWIzMmFjMjdiNGE1YzhhZTE4YmM0ZjA0MDM4ZWYiLCJwIjoiZXhjZWwtamlyYSJ9" TargetMode="External"/><Relationship Id="rId184" Type="http://schemas.openxmlformats.org/officeDocument/2006/relationships/hyperlink" Target="https://tataunistore.atlassian.net/browse/UCW-30872?atlOrigin=eyJpIjoiMjBhNWIzMmFjMjdiNGE1YzhhZTE4YmM0ZjA0MDM4ZWYiLCJwIjoiZXhjZWwtamlyYSJ9" TargetMode="External"/><Relationship Id="rId391" Type="http://schemas.openxmlformats.org/officeDocument/2006/relationships/hyperlink" Target="https://tataunistore.atlassian.net/browse/UCW-35103?atlOrigin=eyJpIjoiMjBhNWIzMmFjMjdiNGE1YzhhZTE4YmM0ZjA0MDM4ZWYiLCJwIjoiZXhjZWwtamlyYSJ9" TargetMode="External"/><Relationship Id="rId405" Type="http://schemas.openxmlformats.org/officeDocument/2006/relationships/hyperlink" Target="https://tataunistore.atlassian.net/browse/UCW-35050?atlOrigin=eyJpIjoiMjBhNWIzMmFjMjdiNGE1YzhhZTE4YmM0ZjA0MDM4ZWYiLCJwIjoiZXhjZWwtamlyYSJ9" TargetMode="External"/><Relationship Id="rId447" Type="http://schemas.openxmlformats.org/officeDocument/2006/relationships/hyperlink" Target="https://tataunistore.atlassian.net/browse/UCW-36023?atlOrigin=eyJpIjoiMjBhNWIzMmFjMjdiNGE1YzhhZTE4YmM0ZjA0MDM4ZWYiLCJwIjoiZXhjZWwtamlyYSJ9" TargetMode="External"/><Relationship Id="rId251" Type="http://schemas.openxmlformats.org/officeDocument/2006/relationships/hyperlink" Target="https://tataunistore.atlassian.net/browse/UCW-30599?atlOrigin=eyJpIjoiMjBhNWIzMmFjMjdiNGE1YzhhZTE4YmM0ZjA0MDM4ZWYiLCJwIjoiZXhjZWwtamlyYSJ9" TargetMode="External"/><Relationship Id="rId489" Type="http://schemas.openxmlformats.org/officeDocument/2006/relationships/printerSettings" Target="../printerSettings/printerSettings1.bin"/><Relationship Id="rId46" Type="http://schemas.openxmlformats.org/officeDocument/2006/relationships/hyperlink" Target="https://tataunistore.atlassian.net/browse/UCW-31710?atlOrigin=eyJpIjoiMjBhNWIzMmFjMjdiNGE1YzhhZTE4YmM0ZjA0MDM4ZWYiLCJwIjoiZXhjZWwtamlyYSJ9" TargetMode="External"/><Relationship Id="rId293" Type="http://schemas.openxmlformats.org/officeDocument/2006/relationships/hyperlink" Target="https://tataunistore.atlassian.net/browse/UCW-34409?atlOrigin=eyJpIjoiMjBhNWIzMmFjMjdiNGE1YzhhZTE4YmM0ZjA0MDM4ZWYiLCJwIjoiZXhjZWwtamlyYSJ9" TargetMode="External"/><Relationship Id="rId307" Type="http://schemas.openxmlformats.org/officeDocument/2006/relationships/hyperlink" Target="https://tataunistore.atlassian.net/browse/UCW-34343?atlOrigin=eyJpIjoiMjBhNWIzMmFjMjdiNGE1YzhhZTE4YmM0ZjA0MDM4ZWYiLCJwIjoiZXhjZWwtamlyYSJ9" TargetMode="External"/><Relationship Id="rId349" Type="http://schemas.openxmlformats.org/officeDocument/2006/relationships/hyperlink" Target="https://tataunistore.atlassian.net/browse/UCW-35341?atlOrigin=eyJpIjoiMjBhNWIzMmFjMjdiNGE1YzhhZTE4YmM0ZjA0MDM4ZWYiLCJwIjoiZXhjZWwtamlyYSJ9" TargetMode="External"/><Relationship Id="rId88" Type="http://schemas.openxmlformats.org/officeDocument/2006/relationships/hyperlink" Target="https://tataunistore.atlassian.net/browse/UCW-31407?atlOrigin=eyJpIjoiMjBhNWIzMmFjMjdiNGE1YzhhZTE4YmM0ZjA0MDM4ZWYiLCJwIjoiZXhjZWwtamlyYSJ9" TargetMode="External"/><Relationship Id="rId111" Type="http://schemas.openxmlformats.org/officeDocument/2006/relationships/hyperlink" Target="https://tataunistore.atlassian.net/browse/UCW-31254?atlOrigin=eyJpIjoiMjBhNWIzMmFjMjdiNGE1YzhhZTE4YmM0ZjA0MDM4ZWYiLCJwIjoiZXhjZWwtamlyYSJ9" TargetMode="External"/><Relationship Id="rId153" Type="http://schemas.openxmlformats.org/officeDocument/2006/relationships/hyperlink" Target="https://tataunistore.atlassian.net/browse/UCW-31025?atlOrigin=eyJpIjoiMjBhNWIzMmFjMjdiNGE1YzhhZTE4YmM0ZjA0MDM4ZWYiLCJwIjoiZXhjZWwtamlyYSJ9" TargetMode="External"/><Relationship Id="rId195" Type="http://schemas.openxmlformats.org/officeDocument/2006/relationships/hyperlink" Target="https://tataunistore.atlassian.net/browse/UCW-30828?atlOrigin=eyJpIjoiMjBhNWIzMmFjMjdiNGE1YzhhZTE4YmM0ZjA0MDM4ZWYiLCJwIjoiZXhjZWwtamlyYSJ9" TargetMode="External"/><Relationship Id="rId209" Type="http://schemas.openxmlformats.org/officeDocument/2006/relationships/hyperlink" Target="https://tataunistore.atlassian.net/browse/UCW-30759?atlOrigin=eyJpIjoiMjBhNWIzMmFjMjdiNGE1YzhhZTE4YmM0ZjA0MDM4ZWYiLCJwIjoiZXhjZWwtamlyYSJ9" TargetMode="External"/><Relationship Id="rId360" Type="http://schemas.openxmlformats.org/officeDocument/2006/relationships/hyperlink" Target="https://tataunistore.atlassian.net/browse/UCW-35245?atlOrigin=eyJpIjoiMjBhNWIzMmFjMjdiNGE1YzhhZTE4YmM0ZjA0MDM4ZWYiLCJwIjoiZXhjZWwtamlyYSJ9" TargetMode="External"/><Relationship Id="rId416" Type="http://schemas.openxmlformats.org/officeDocument/2006/relationships/hyperlink" Target="https://tataunistore.atlassian.net/browse/UCW-34997?atlOrigin=eyJpIjoiMjBhNWIzMmFjMjdiNGE1YzhhZTE4YmM0ZjA0MDM4ZWYiLCJwIjoiZXhjZWwtamlyYSJ9" TargetMode="External"/><Relationship Id="rId220" Type="http://schemas.openxmlformats.org/officeDocument/2006/relationships/hyperlink" Target="https://tataunistore.atlassian.net/browse/UCW-30719?atlOrigin=eyJpIjoiMjBhNWIzMmFjMjdiNGE1YzhhZTE4YmM0ZjA0MDM4ZWYiLCJwIjoiZXhjZWwtamlyYSJ9" TargetMode="External"/><Relationship Id="rId458" Type="http://schemas.openxmlformats.org/officeDocument/2006/relationships/hyperlink" Target="https://tataunistore.atlassian.net/browse/UCW-35984?atlOrigin=eyJpIjoiMjBhNWIzMmFjMjdiNGE1YzhhZTE4YmM0ZjA0MDM4ZWYiLCJwIjoiZXhjZWwtamlyYSJ9" TargetMode="External"/><Relationship Id="rId15" Type="http://schemas.openxmlformats.org/officeDocument/2006/relationships/hyperlink" Target="https://tataunistore.atlassian.net/browse/UCW-31872?atlOrigin=eyJpIjoiMjBhNWIzMmFjMjdiNGE1YzhhZTE4YmM0ZjA0MDM4ZWYiLCJwIjoiZXhjZWwtamlyYSJ9" TargetMode="External"/><Relationship Id="rId57" Type="http://schemas.openxmlformats.org/officeDocument/2006/relationships/hyperlink" Target="https://tataunistore.atlassian.net/browse/UCW-31641?atlOrigin=eyJpIjoiMjBhNWIzMmFjMjdiNGE1YzhhZTE4YmM0ZjA0MDM4ZWYiLCJwIjoiZXhjZWwtamlyYSJ9" TargetMode="External"/><Relationship Id="rId262" Type="http://schemas.openxmlformats.org/officeDocument/2006/relationships/hyperlink" Target="https://tataunistore.atlassian.net/browse/UCW-30533?atlOrigin=eyJpIjoiMjBhNWIzMmFjMjdiNGE1YzhhZTE4YmM0ZjA0MDM4ZWYiLCJwIjoiZXhjZWwtamlyYSJ9" TargetMode="External"/><Relationship Id="rId318" Type="http://schemas.openxmlformats.org/officeDocument/2006/relationships/hyperlink" Target="https://tataunistore.atlassian.net/browse/UCW-34292?atlOrigin=eyJpIjoiMjBhNWIzMmFjMjdiNGE1YzhhZTE4YmM0ZjA0MDM4ZWYiLCJwIjoiZXhjZWwtamlyYSJ9" TargetMode="External"/><Relationship Id="rId99" Type="http://schemas.openxmlformats.org/officeDocument/2006/relationships/hyperlink" Target="https://tataunistore.atlassian.net/browse/UCW-31346?atlOrigin=eyJpIjoiMjBhNWIzMmFjMjdiNGE1YzhhZTE4YmM0ZjA0MDM4ZWYiLCJwIjoiZXhjZWwtamlyYSJ9" TargetMode="External"/><Relationship Id="rId122" Type="http://schemas.openxmlformats.org/officeDocument/2006/relationships/hyperlink" Target="https://tataunistore.atlassian.net/browse/UCW-31190?atlOrigin=eyJpIjoiMjBhNWIzMmFjMjdiNGE1YzhhZTE4YmM0ZjA0MDM4ZWYiLCJwIjoiZXhjZWwtamlyYSJ9" TargetMode="External"/><Relationship Id="rId164" Type="http://schemas.openxmlformats.org/officeDocument/2006/relationships/hyperlink" Target="https://tataunistore.atlassian.net/browse/UCW-30983?atlOrigin=eyJpIjoiMjBhNWIzMmFjMjdiNGE1YzhhZTE4YmM0ZjA0MDM4ZWYiLCJwIjoiZXhjZWwtamlyYSJ9" TargetMode="External"/><Relationship Id="rId371" Type="http://schemas.openxmlformats.org/officeDocument/2006/relationships/hyperlink" Target="https://tataunistore.atlassian.net/browse/UCW-35186?atlOrigin=eyJpIjoiMjBhNWIzMmFjMjdiNGE1YzhhZTE4YmM0ZjA0MDM4ZWYiLCJwIjoiZXhjZWwtamlyYSJ9" TargetMode="External"/><Relationship Id="rId427" Type="http://schemas.openxmlformats.org/officeDocument/2006/relationships/hyperlink" Target="https://tataunistore.atlassian.net/browse/UCW-36122?atlOrigin=eyJpIjoiMjBhNWIzMmFjMjdiNGE1YzhhZTE4YmM0ZjA0MDM4ZWYiLCJwIjoiZXhjZWwtamlyYSJ9" TargetMode="External"/><Relationship Id="rId469" Type="http://schemas.openxmlformats.org/officeDocument/2006/relationships/hyperlink" Target="https://tataunistore.atlassian.net/browse/UCW-35939?atlOrigin=eyJpIjoiMjBhNWIzMmFjMjdiNGE1YzhhZTE4YmM0ZjA0MDM4ZWYiLCJwIjoiZXhjZWwtamlyYSJ9" TargetMode="External"/><Relationship Id="rId26" Type="http://schemas.openxmlformats.org/officeDocument/2006/relationships/hyperlink" Target="https://tataunistore.atlassian.net/browse/UCW-31795?atlOrigin=eyJpIjoiMjBhNWIzMmFjMjdiNGE1YzhhZTE4YmM0ZjA0MDM4ZWYiLCJwIjoiZXhjZWwtamlyYSJ9" TargetMode="External"/><Relationship Id="rId231" Type="http://schemas.openxmlformats.org/officeDocument/2006/relationships/hyperlink" Target="https://tataunistore.atlassian.net/browse/UCW-30669?atlOrigin=eyJpIjoiMjBhNWIzMmFjMjdiNGE1YzhhZTE4YmM0ZjA0MDM4ZWYiLCJwIjoiZXhjZWwtamlyYSJ9" TargetMode="External"/><Relationship Id="rId273" Type="http://schemas.openxmlformats.org/officeDocument/2006/relationships/hyperlink" Target="https://tataunistore.atlassian.net/browse/UCW-34536?atlOrigin=eyJpIjoiMjBhNWIzMmFjMjdiNGE1YzhhZTE4YmM0ZjA0MDM4ZWYiLCJwIjoiZXhjZWwtamlyYSJ9" TargetMode="External"/><Relationship Id="rId329" Type="http://schemas.openxmlformats.org/officeDocument/2006/relationships/hyperlink" Target="https://tataunistore.atlassian.net/browse/UCW-34227?atlOrigin=eyJpIjoiMjBhNWIzMmFjMjdiNGE1YzhhZTE4YmM0ZjA0MDM4ZWYiLCJwIjoiZXhjZWwtamlyYSJ9" TargetMode="External"/><Relationship Id="rId480" Type="http://schemas.openxmlformats.org/officeDocument/2006/relationships/hyperlink" Target="https://tataunistore.atlassian.net/browse/UCW-35875?atlOrigin=eyJpIjoiMjBhNWIzMmFjMjdiNGE1YzhhZTE4YmM0ZjA0MDM4ZWYiLCJwIjoiZXhjZWwtamlyYSJ9" TargetMode="External"/><Relationship Id="rId68" Type="http://schemas.openxmlformats.org/officeDocument/2006/relationships/hyperlink" Target="https://tataunistore.atlassian.net/browse/UCW-31527?atlOrigin=eyJpIjoiMjBhNWIzMmFjMjdiNGE1YzhhZTE4YmM0ZjA0MDM4ZWYiLCJwIjoiZXhjZWwtamlyYSJ9" TargetMode="External"/><Relationship Id="rId133" Type="http://schemas.openxmlformats.org/officeDocument/2006/relationships/hyperlink" Target="https://tataunistore.atlassian.net/browse/UCW-31127?atlOrigin=eyJpIjoiMjBhNWIzMmFjMjdiNGE1YzhhZTE4YmM0ZjA0MDM4ZWYiLCJwIjoiZXhjZWwtamlyYSJ9" TargetMode="External"/><Relationship Id="rId175" Type="http://schemas.openxmlformats.org/officeDocument/2006/relationships/hyperlink" Target="https://tataunistore.atlassian.net/browse/UCW-30929?atlOrigin=eyJpIjoiMjBhNWIzMmFjMjdiNGE1YzhhZTE4YmM0ZjA0MDM4ZWYiLCJwIjoiZXhjZWwtamlyYSJ9" TargetMode="External"/><Relationship Id="rId340" Type="http://schemas.openxmlformats.org/officeDocument/2006/relationships/hyperlink" Target="https://tataunistore.atlassian.net/browse/UCW-35358?atlOrigin=eyJpIjoiMjBhNWIzMmFjMjdiNGE1YzhhZTE4YmM0ZjA0MDM4ZWYiLCJwIjoiZXhjZWwtamlyYSJ9" TargetMode="External"/><Relationship Id="rId200" Type="http://schemas.openxmlformats.org/officeDocument/2006/relationships/hyperlink" Target="https://tataunistore.atlassian.net/browse/UCW-30808?atlOrigin=eyJpIjoiMjBhNWIzMmFjMjdiNGE1YzhhZTE4YmM0ZjA0MDM4ZWYiLCJwIjoiZXhjZWwtamlyYSJ9" TargetMode="External"/><Relationship Id="rId382" Type="http://schemas.openxmlformats.org/officeDocument/2006/relationships/hyperlink" Target="https://tataunistore.atlassian.net/browse/UCW-35125?atlOrigin=eyJpIjoiMjBhNWIzMmFjMjdiNGE1YzhhZTE4YmM0ZjA0MDM4ZWYiLCJwIjoiZXhjZWwtamlyYSJ9" TargetMode="External"/><Relationship Id="rId438" Type="http://schemas.openxmlformats.org/officeDocument/2006/relationships/hyperlink" Target="https://tataunistore.atlassian.net/browse/UCW-36072?atlOrigin=eyJpIjoiMjBhNWIzMmFjMjdiNGE1YzhhZTE4YmM0ZjA0MDM4ZWYiLCJwIjoiZXhjZWwtamlyYSJ9" TargetMode="External"/><Relationship Id="rId242" Type="http://schemas.openxmlformats.org/officeDocument/2006/relationships/hyperlink" Target="https://tataunistore.atlassian.net/browse/UCW-30619?atlOrigin=eyJpIjoiMjBhNWIzMmFjMjdiNGE1YzhhZTE4YmM0ZjA0MDM4ZWYiLCJwIjoiZXhjZWwtamlyYSJ9" TargetMode="External"/><Relationship Id="rId284" Type="http://schemas.openxmlformats.org/officeDocument/2006/relationships/hyperlink" Target="https://tataunistore.atlassian.net/browse/UCW-34451?atlOrigin=eyJpIjoiMjBhNWIzMmFjMjdiNGE1YzhhZTE4YmM0ZjA0MDM4ZWYiLCJwIjoiZXhjZWwtamlyYSJ9" TargetMode="External"/><Relationship Id="rId37" Type="http://schemas.openxmlformats.org/officeDocument/2006/relationships/hyperlink" Target="https://tataunistore.atlassian.net/browse/UCW-31746?atlOrigin=eyJpIjoiMjBhNWIzMmFjMjdiNGE1YzhhZTE4YmM0ZjA0MDM4ZWYiLCJwIjoiZXhjZWwtamlyYSJ9" TargetMode="External"/><Relationship Id="rId79" Type="http://schemas.openxmlformats.org/officeDocument/2006/relationships/hyperlink" Target="https://tataunistore.atlassian.net/browse/UCW-31482?atlOrigin=eyJpIjoiMjBhNWIzMmFjMjdiNGE1YzhhZTE4YmM0ZjA0MDM4ZWYiLCJwIjoiZXhjZWwtamlyYSJ9" TargetMode="External"/><Relationship Id="rId102" Type="http://schemas.openxmlformats.org/officeDocument/2006/relationships/hyperlink" Target="https://tataunistore.atlassian.net/browse/UCW-31319?atlOrigin=eyJpIjoiMjBhNWIzMmFjMjdiNGE1YzhhZTE4YmM0ZjA0MDM4ZWYiLCJwIjoiZXhjZWwtamlyYSJ9" TargetMode="External"/><Relationship Id="rId144" Type="http://schemas.openxmlformats.org/officeDocument/2006/relationships/hyperlink" Target="https://tataunistore.atlassian.net/browse/UCW-31063?atlOrigin=eyJpIjoiMjBhNWIzMmFjMjdiNGE1YzhhZTE4YmM0ZjA0MDM4ZWYiLCJwIjoiZXhjZWwtamlyYSJ9" TargetMode="External"/><Relationship Id="rId90" Type="http://schemas.openxmlformats.org/officeDocument/2006/relationships/hyperlink" Target="https://tataunistore.atlassian.net/browse/UCW-31400?atlOrigin=eyJpIjoiMjBhNWIzMmFjMjdiNGE1YzhhZTE4YmM0ZjA0MDM4ZWYiLCJwIjoiZXhjZWwtamlyYSJ9" TargetMode="External"/><Relationship Id="rId186" Type="http://schemas.openxmlformats.org/officeDocument/2006/relationships/hyperlink" Target="https://tataunistore.atlassian.net/browse/UCW-30861?atlOrigin=eyJpIjoiMjBhNWIzMmFjMjdiNGE1YzhhZTE4YmM0ZjA0MDM4ZWYiLCJwIjoiZXhjZWwtamlyYSJ9" TargetMode="External"/><Relationship Id="rId351" Type="http://schemas.openxmlformats.org/officeDocument/2006/relationships/hyperlink" Target="https://tataunistore.atlassian.net/browse/UCW-35328?atlOrigin=eyJpIjoiMjBhNWIzMmFjMjdiNGE1YzhhZTE4YmM0ZjA0MDM4ZWYiLCJwIjoiZXhjZWwtamlyYSJ9" TargetMode="External"/><Relationship Id="rId393" Type="http://schemas.openxmlformats.org/officeDocument/2006/relationships/hyperlink" Target="https://tataunistore.atlassian.net/browse/UCW-35093?atlOrigin=eyJpIjoiMjBhNWIzMmFjMjdiNGE1YzhhZTE4YmM0ZjA0MDM4ZWYiLCJwIjoiZXhjZWwtamlyYSJ9" TargetMode="External"/><Relationship Id="rId407" Type="http://schemas.openxmlformats.org/officeDocument/2006/relationships/hyperlink" Target="https://tataunistore.atlassian.net/browse/UCW-35033?atlOrigin=eyJpIjoiMjBhNWIzMmFjMjdiNGE1YzhhZTE4YmM0ZjA0MDM4ZWYiLCJwIjoiZXhjZWwtamlyYSJ9" TargetMode="External"/><Relationship Id="rId449" Type="http://schemas.openxmlformats.org/officeDocument/2006/relationships/hyperlink" Target="https://tataunistore.atlassian.net/browse/UCW-36017?atlOrigin=eyJpIjoiMjBhNWIzMmFjMjdiNGE1YzhhZTE4YmM0ZjA0MDM4ZWYiLCJwIjoiZXhjZWwtamlyYSJ9" TargetMode="External"/><Relationship Id="rId211" Type="http://schemas.openxmlformats.org/officeDocument/2006/relationships/hyperlink" Target="https://tataunistore.atlassian.net/browse/UCW-30752?atlOrigin=eyJpIjoiMjBhNWIzMmFjMjdiNGE1YzhhZTE4YmM0ZjA0MDM4ZWYiLCJwIjoiZXhjZWwtamlyYSJ9" TargetMode="External"/><Relationship Id="rId253" Type="http://schemas.openxmlformats.org/officeDocument/2006/relationships/hyperlink" Target="https://tataunistore.atlassian.net/browse/UCW-30557?atlOrigin=eyJpIjoiMjBhNWIzMmFjMjdiNGE1YzhhZTE4YmM0ZjA0MDM4ZWYiLCJwIjoiZXhjZWwtamlyYSJ9" TargetMode="External"/><Relationship Id="rId295" Type="http://schemas.openxmlformats.org/officeDocument/2006/relationships/hyperlink" Target="https://tataunistore.atlassian.net/browse/UCW-34399?atlOrigin=eyJpIjoiMjBhNWIzMmFjMjdiNGE1YzhhZTE4YmM0ZjA0MDM4ZWYiLCJwIjoiZXhjZWwtamlyYSJ9" TargetMode="External"/><Relationship Id="rId309" Type="http://schemas.openxmlformats.org/officeDocument/2006/relationships/hyperlink" Target="https://tataunistore.atlassian.net/browse/UCW-34336?atlOrigin=eyJpIjoiMjBhNWIzMmFjMjdiNGE1YzhhZTE4YmM0ZjA0MDM4ZWYiLCJwIjoiZXhjZWwtamlyYSJ9" TargetMode="External"/><Relationship Id="rId460" Type="http://schemas.openxmlformats.org/officeDocument/2006/relationships/hyperlink" Target="https://tataunistore.atlassian.net/browse/UCW-35972?atlOrigin=eyJpIjoiMjBhNWIzMmFjMjdiNGE1YzhhZTE4YmM0ZjA0MDM4ZWYiLCJwIjoiZXhjZWwtamlyYSJ9" TargetMode="External"/><Relationship Id="rId48" Type="http://schemas.openxmlformats.org/officeDocument/2006/relationships/hyperlink" Target="https://tataunistore.atlassian.net/browse/UCW-31705?atlOrigin=eyJpIjoiMjBhNWIzMmFjMjdiNGE1YzhhZTE4YmM0ZjA0MDM4ZWYiLCJwIjoiZXhjZWwtamlyYSJ9" TargetMode="External"/><Relationship Id="rId113" Type="http://schemas.openxmlformats.org/officeDocument/2006/relationships/hyperlink" Target="https://tataunistore.atlassian.net/browse/UCW-31245?atlOrigin=eyJpIjoiMjBhNWIzMmFjMjdiNGE1YzhhZTE4YmM0ZjA0MDM4ZWYiLCJwIjoiZXhjZWwtamlyYSJ9" TargetMode="External"/><Relationship Id="rId320" Type="http://schemas.openxmlformats.org/officeDocument/2006/relationships/hyperlink" Target="https://tataunistore.atlassian.net/browse/UCW-34280?atlOrigin=eyJpIjoiMjBhNWIzMmFjMjdiNGE1YzhhZTE4YmM0ZjA0MDM4ZWYiLCJwIjoiZXhjZWwtamlyYSJ9" TargetMode="External"/><Relationship Id="rId155" Type="http://schemas.openxmlformats.org/officeDocument/2006/relationships/hyperlink" Target="https://tataunistore.atlassian.net/browse/UCW-31011?atlOrigin=eyJpIjoiMjBhNWIzMmFjMjdiNGE1YzhhZTE4YmM0ZjA0MDM4ZWYiLCJwIjoiZXhjZWwtamlyYSJ9" TargetMode="External"/><Relationship Id="rId197" Type="http://schemas.openxmlformats.org/officeDocument/2006/relationships/hyperlink" Target="https://tataunistore.atlassian.net/browse/UCW-30818?atlOrigin=eyJpIjoiMjBhNWIzMmFjMjdiNGE1YzhhZTE4YmM0ZjA0MDM4ZWYiLCJwIjoiZXhjZWwtamlyYSJ9" TargetMode="External"/><Relationship Id="rId362" Type="http://schemas.openxmlformats.org/officeDocument/2006/relationships/hyperlink" Target="https://tataunistore.atlassian.net/browse/UCW-35221?atlOrigin=eyJpIjoiMjBhNWIzMmFjMjdiNGE1YzhhZTE4YmM0ZjA0MDM4ZWYiLCJwIjoiZXhjZWwtamlyYSJ9" TargetMode="External"/><Relationship Id="rId418" Type="http://schemas.openxmlformats.org/officeDocument/2006/relationships/hyperlink" Target="https://tataunistore.atlassian.net/browse/UCW-34980?atlOrigin=eyJpIjoiMjBhNWIzMmFjMjdiNGE1YzhhZTE4YmM0ZjA0MDM4ZWYiLCJwIjoiZXhjZWwtamlyYSJ9" TargetMode="External"/><Relationship Id="rId222" Type="http://schemas.openxmlformats.org/officeDocument/2006/relationships/hyperlink" Target="https://tataunistore.atlassian.net/browse/UCW-30696?atlOrigin=eyJpIjoiMjBhNWIzMmFjMjdiNGE1YzhhZTE4YmM0ZjA0MDM4ZWYiLCJwIjoiZXhjZWwtamlyYSJ9" TargetMode="External"/><Relationship Id="rId264" Type="http://schemas.openxmlformats.org/officeDocument/2006/relationships/hyperlink" Target="https://tataunistore.atlassian.net/browse/UCW-30530?atlOrigin=eyJpIjoiMjBhNWIzMmFjMjdiNGE1YzhhZTE4YmM0ZjA0MDM4ZWYiLCJwIjoiZXhjZWwtamlyYSJ9" TargetMode="External"/><Relationship Id="rId471" Type="http://schemas.openxmlformats.org/officeDocument/2006/relationships/hyperlink" Target="https://tataunistore.atlassian.net/browse/UCW-35922?atlOrigin=eyJpIjoiMjBhNWIzMmFjMjdiNGE1YzhhZTE4YmM0ZjA0MDM4ZWYiLCJwIjoiZXhjZWwtamlyYSJ9" TargetMode="External"/><Relationship Id="rId17" Type="http://schemas.openxmlformats.org/officeDocument/2006/relationships/hyperlink" Target="https://tataunistore.atlassian.net/browse/UCW-31862?atlOrigin=eyJpIjoiMjBhNWIzMmFjMjdiNGE1YzhhZTE4YmM0ZjA0MDM4ZWYiLCJwIjoiZXhjZWwtamlyYSJ9" TargetMode="External"/><Relationship Id="rId59" Type="http://schemas.openxmlformats.org/officeDocument/2006/relationships/hyperlink" Target="https://tataunistore.atlassian.net/browse/UCW-31591?atlOrigin=eyJpIjoiMjBhNWIzMmFjMjdiNGE1YzhhZTE4YmM0ZjA0MDM4ZWYiLCJwIjoiZXhjZWwtamlyYSJ9" TargetMode="External"/><Relationship Id="rId124" Type="http://schemas.openxmlformats.org/officeDocument/2006/relationships/hyperlink" Target="https://tataunistore.atlassian.net/browse/UCW-31162?atlOrigin=eyJpIjoiMjBhNWIzMmFjMjdiNGE1YzhhZTE4YmM0ZjA0MDM4ZWYiLCJwIjoiZXhjZWwtamlyYSJ9" TargetMode="External"/><Relationship Id="rId70" Type="http://schemas.openxmlformats.org/officeDocument/2006/relationships/hyperlink" Target="https://tataunistore.atlassian.net/browse/UCW-31521?atlOrigin=eyJpIjoiMjBhNWIzMmFjMjdiNGE1YzhhZTE4YmM0ZjA0MDM4ZWYiLCJwIjoiZXhjZWwtamlyYSJ9" TargetMode="External"/><Relationship Id="rId166" Type="http://schemas.openxmlformats.org/officeDocument/2006/relationships/hyperlink" Target="https://tataunistore.atlassian.net/browse/UCW-30970?atlOrigin=eyJpIjoiMjBhNWIzMmFjMjdiNGE1YzhhZTE4YmM0ZjA0MDM4ZWYiLCJwIjoiZXhjZWwtamlyYSJ9" TargetMode="External"/><Relationship Id="rId331" Type="http://schemas.openxmlformats.org/officeDocument/2006/relationships/hyperlink" Target="https://tataunistore.atlassian.net/browse/UCW-35394?atlOrigin=eyJpIjoiMjBhNWIzMmFjMjdiNGE1YzhhZTE4YmM0ZjA0MDM4ZWYiLCJwIjoiZXhjZWwtamlyYSJ9" TargetMode="External"/><Relationship Id="rId373" Type="http://schemas.openxmlformats.org/officeDocument/2006/relationships/hyperlink" Target="https://tataunistore.atlassian.net/browse/UCW-35172?atlOrigin=eyJpIjoiMjBhNWIzMmFjMjdiNGE1YzhhZTE4YmM0ZjA0MDM4ZWYiLCJwIjoiZXhjZWwtamlyYSJ9" TargetMode="External"/><Relationship Id="rId429" Type="http://schemas.openxmlformats.org/officeDocument/2006/relationships/hyperlink" Target="https://tataunistore.atlassian.net/browse/UCW-36110?atlOrigin=eyJpIjoiMjBhNWIzMmFjMjdiNGE1YzhhZTE4YmM0ZjA0MDM4ZWYiLCJwIjoiZXhjZWwtamlyYSJ9" TargetMode="External"/><Relationship Id="rId1" Type="http://schemas.openxmlformats.org/officeDocument/2006/relationships/hyperlink" Target="https://tataunistore.atlassian.net/browse/UCW-31981?atlOrigin=eyJpIjoiMjBhNWIzMmFjMjdiNGE1YzhhZTE4YmM0ZjA0MDM4ZWYiLCJwIjoiZXhjZWwtamlyYSJ9" TargetMode="External"/><Relationship Id="rId233" Type="http://schemas.openxmlformats.org/officeDocument/2006/relationships/hyperlink" Target="https://tataunistore.atlassian.net/browse/UCW-30657?atlOrigin=eyJpIjoiMjBhNWIzMmFjMjdiNGE1YzhhZTE4YmM0ZjA0MDM4ZWYiLCJwIjoiZXhjZWwtamlyYSJ9" TargetMode="External"/><Relationship Id="rId440" Type="http://schemas.openxmlformats.org/officeDocument/2006/relationships/hyperlink" Target="https://tataunistore.atlassian.net/browse/UCW-36063?atlOrigin=eyJpIjoiMjBhNWIzMmFjMjdiNGE1YzhhZTE4YmM0ZjA0MDM4ZWYiLCJwIjoiZXhjZWwtamlyYSJ9" TargetMode="External"/><Relationship Id="rId28" Type="http://schemas.openxmlformats.org/officeDocument/2006/relationships/hyperlink" Target="https://tataunistore.atlassian.net/browse/UCW-31767?atlOrigin=eyJpIjoiMjBhNWIzMmFjMjdiNGE1YzhhZTE4YmM0ZjA0MDM4ZWYiLCJwIjoiZXhjZWwtamlyYSJ9" TargetMode="External"/><Relationship Id="rId275" Type="http://schemas.openxmlformats.org/officeDocument/2006/relationships/hyperlink" Target="https://tataunistore.atlassian.net/browse/UCW-34533?atlOrigin=eyJpIjoiMjBhNWIzMmFjMjdiNGE1YzhhZTE4YmM0ZjA0MDM4ZWYiLCJwIjoiZXhjZWwtamlyYSJ9" TargetMode="External"/><Relationship Id="rId300" Type="http://schemas.openxmlformats.org/officeDocument/2006/relationships/hyperlink" Target="https://tataunistore.atlassian.net/browse/UCW-34389?atlOrigin=eyJpIjoiMjBhNWIzMmFjMjdiNGE1YzhhZTE4YmM0ZjA0MDM4ZWYiLCJwIjoiZXhjZWwtamlyYSJ9" TargetMode="External"/><Relationship Id="rId482" Type="http://schemas.openxmlformats.org/officeDocument/2006/relationships/hyperlink" Target="https://tataunistore.atlassian.net/browse/UCW-35873?atlOrigin=eyJpIjoiMjBhNWIzMmFjMjdiNGE1YzhhZTE4YmM0ZjA0MDM4ZWYiLCJwIjoiZXhjZWwtamlyYSJ9" TargetMode="External"/><Relationship Id="rId81" Type="http://schemas.openxmlformats.org/officeDocument/2006/relationships/hyperlink" Target="https://tataunistore.atlassian.net/browse/UCW-31468?atlOrigin=eyJpIjoiMjBhNWIzMmFjMjdiNGE1YzhhZTE4YmM0ZjA0MDM4ZWYiLCJwIjoiZXhjZWwtamlyYSJ9" TargetMode="External"/><Relationship Id="rId135" Type="http://schemas.openxmlformats.org/officeDocument/2006/relationships/hyperlink" Target="https://tataunistore.atlassian.net/browse/UCW-31115?atlOrigin=eyJpIjoiMjBhNWIzMmFjMjdiNGE1YzhhZTE4YmM0ZjA0MDM4ZWYiLCJwIjoiZXhjZWwtamlyYSJ9" TargetMode="External"/><Relationship Id="rId177" Type="http://schemas.openxmlformats.org/officeDocument/2006/relationships/hyperlink" Target="https://tataunistore.atlassian.net/browse/UCW-30915?atlOrigin=eyJpIjoiMjBhNWIzMmFjMjdiNGE1YzhhZTE4YmM0ZjA0MDM4ZWYiLCJwIjoiZXhjZWwtamlyYSJ9" TargetMode="External"/><Relationship Id="rId342" Type="http://schemas.openxmlformats.org/officeDocument/2006/relationships/hyperlink" Target="https://tataunistore.atlassian.net/browse/UCW-35356?atlOrigin=eyJpIjoiMjBhNWIzMmFjMjdiNGE1YzhhZTE4YmM0ZjA0MDM4ZWYiLCJwIjoiZXhjZWwtamlyYSJ9" TargetMode="External"/><Relationship Id="rId384" Type="http://schemas.openxmlformats.org/officeDocument/2006/relationships/hyperlink" Target="https://tataunistore.atlassian.net/browse/UCW-35123?atlOrigin=eyJpIjoiMjBhNWIzMmFjMjdiNGE1YzhhZTE4YmM0ZjA0MDM4ZWYiLCJwIjoiZXhjZWwtamlyYSJ9" TargetMode="External"/><Relationship Id="rId202" Type="http://schemas.openxmlformats.org/officeDocument/2006/relationships/hyperlink" Target="https://tataunistore.atlassian.net/browse/UCW-30797?atlOrigin=eyJpIjoiMjBhNWIzMmFjMjdiNGE1YzhhZTE4YmM0ZjA0MDM4ZWYiLCJwIjoiZXhjZWwtamlyYSJ9" TargetMode="External"/><Relationship Id="rId244" Type="http://schemas.openxmlformats.org/officeDocument/2006/relationships/hyperlink" Target="https://tataunistore.atlassian.net/browse/UCW-30612?atlOrigin=eyJpIjoiMjBhNWIzMmFjMjdiNGE1YzhhZTE4YmM0ZjA0MDM4ZWYiLCJwIjoiZXhjZWwtamlyYSJ9" TargetMode="External"/><Relationship Id="rId39" Type="http://schemas.openxmlformats.org/officeDocument/2006/relationships/hyperlink" Target="https://tataunistore.atlassian.net/browse/UCW-31739?atlOrigin=eyJpIjoiMjBhNWIzMmFjMjdiNGE1YzhhZTE4YmM0ZjA0MDM4ZWYiLCJwIjoiZXhjZWwtamlyYSJ9" TargetMode="External"/><Relationship Id="rId286" Type="http://schemas.openxmlformats.org/officeDocument/2006/relationships/hyperlink" Target="https://tataunistore.atlassian.net/browse/UCW-34441?atlOrigin=eyJpIjoiMjBhNWIzMmFjMjdiNGE1YzhhZTE4YmM0ZjA0MDM4ZWYiLCJwIjoiZXhjZWwtamlyYSJ9" TargetMode="External"/><Relationship Id="rId451" Type="http://schemas.openxmlformats.org/officeDocument/2006/relationships/hyperlink" Target="https://tataunistore.atlassian.net/browse/UCW-36011?atlOrigin=eyJpIjoiMjBhNWIzMmFjMjdiNGE1YzhhZTE4YmM0ZjA0MDM4ZWYiLCJwIjoiZXhjZWwtamlyYSJ9" TargetMode="External"/><Relationship Id="rId50" Type="http://schemas.openxmlformats.org/officeDocument/2006/relationships/hyperlink" Target="https://tataunistore.atlassian.net/browse/UCW-31699?atlOrigin=eyJpIjoiMjBhNWIzMmFjMjdiNGE1YzhhZTE4YmM0ZjA0MDM4ZWYiLCJwIjoiZXhjZWwtamlyYSJ9" TargetMode="External"/><Relationship Id="rId104" Type="http://schemas.openxmlformats.org/officeDocument/2006/relationships/hyperlink" Target="https://tataunistore.atlassian.net/browse/UCW-31292?atlOrigin=eyJpIjoiMjBhNWIzMmFjMjdiNGE1YzhhZTE4YmM0ZjA0MDM4ZWYiLCJwIjoiZXhjZWwtamlyYSJ9" TargetMode="External"/><Relationship Id="rId146" Type="http://schemas.openxmlformats.org/officeDocument/2006/relationships/hyperlink" Target="https://tataunistore.atlassian.net/browse/UCW-31050?atlOrigin=eyJpIjoiMjBhNWIzMmFjMjdiNGE1YzhhZTE4YmM0ZjA0MDM4ZWYiLCJwIjoiZXhjZWwtamlyYSJ9" TargetMode="External"/><Relationship Id="rId188" Type="http://schemas.openxmlformats.org/officeDocument/2006/relationships/hyperlink" Target="https://tataunistore.atlassian.net/browse/UCW-30848?atlOrigin=eyJpIjoiMjBhNWIzMmFjMjdiNGE1YzhhZTE4YmM0ZjA0MDM4ZWYiLCJwIjoiZXhjZWwtamlyYSJ9" TargetMode="External"/><Relationship Id="rId311" Type="http://schemas.openxmlformats.org/officeDocument/2006/relationships/hyperlink" Target="https://tataunistore.atlassian.net/browse/UCW-34325?atlOrigin=eyJpIjoiMjBhNWIzMmFjMjdiNGE1YzhhZTE4YmM0ZjA0MDM4ZWYiLCJwIjoiZXhjZWwtamlyYSJ9" TargetMode="External"/><Relationship Id="rId353" Type="http://schemas.openxmlformats.org/officeDocument/2006/relationships/hyperlink" Target="https://tataunistore.atlassian.net/browse/UCW-35309?atlOrigin=eyJpIjoiMjBhNWIzMmFjMjdiNGE1YzhhZTE4YmM0ZjA0MDM4ZWYiLCJwIjoiZXhjZWwtamlyYSJ9" TargetMode="External"/><Relationship Id="rId395" Type="http://schemas.openxmlformats.org/officeDocument/2006/relationships/hyperlink" Target="https://tataunistore.atlassian.net/browse/UCW-35082?atlOrigin=eyJpIjoiMjBhNWIzMmFjMjdiNGE1YzhhZTE4YmM0ZjA0MDM4ZWYiLCJwIjoiZXhjZWwtamlyYSJ9" TargetMode="External"/><Relationship Id="rId409" Type="http://schemas.openxmlformats.org/officeDocument/2006/relationships/hyperlink" Target="https://tataunistore.atlassian.net/browse/UCW-35018?atlOrigin=eyJpIjoiMjBhNWIzMmFjMjdiNGE1YzhhZTE4YmM0ZjA0MDM4ZWYiLCJwIjoiZXhjZWwtamlyYSJ9" TargetMode="External"/><Relationship Id="rId92" Type="http://schemas.openxmlformats.org/officeDocument/2006/relationships/hyperlink" Target="https://tataunistore.atlassian.net/browse/UCW-31386?atlOrigin=eyJpIjoiMjBhNWIzMmFjMjdiNGE1YzhhZTE4YmM0ZjA0MDM4ZWYiLCJwIjoiZXhjZWwtamlyYSJ9" TargetMode="External"/><Relationship Id="rId213" Type="http://schemas.openxmlformats.org/officeDocument/2006/relationships/hyperlink" Target="https://tataunistore.atlassian.net/browse/UCW-30748?atlOrigin=eyJpIjoiMjBhNWIzMmFjMjdiNGE1YzhhZTE4YmM0ZjA0MDM4ZWYiLCJwIjoiZXhjZWwtamlyYSJ9" TargetMode="External"/><Relationship Id="rId420" Type="http://schemas.openxmlformats.org/officeDocument/2006/relationships/hyperlink" Target="https://tataunistore.atlassian.net/browse/UCW-34966?atlOrigin=eyJpIjoiMjBhNWIzMmFjMjdiNGE1YzhhZTE4YmM0ZjA0MDM4ZWYiLCJwIjoiZXhjZWwtamlyYSJ9" TargetMode="External"/><Relationship Id="rId255" Type="http://schemas.openxmlformats.org/officeDocument/2006/relationships/hyperlink" Target="https://tataunistore.atlassian.net/browse/UCW-30550?atlOrigin=eyJpIjoiMjBhNWIzMmFjMjdiNGE1YzhhZTE4YmM0ZjA0MDM4ZWYiLCJwIjoiZXhjZWwtamlyYSJ9" TargetMode="External"/><Relationship Id="rId297" Type="http://schemas.openxmlformats.org/officeDocument/2006/relationships/hyperlink" Target="https://tataunistore.atlassian.net/browse/UCW-34393?atlOrigin=eyJpIjoiMjBhNWIzMmFjMjdiNGE1YzhhZTE4YmM0ZjA0MDM4ZWYiLCJwIjoiZXhjZWwtamlyYSJ9" TargetMode="External"/><Relationship Id="rId462" Type="http://schemas.openxmlformats.org/officeDocument/2006/relationships/hyperlink" Target="https://tataunistore.atlassian.net/browse/UCW-35966?atlOrigin=eyJpIjoiMjBhNWIzMmFjMjdiNGE1YzhhZTE4YmM0ZjA0MDM4ZWYiLCJwIjoiZXhjZWwtamlyYSJ9" TargetMode="External"/><Relationship Id="rId115" Type="http://schemas.openxmlformats.org/officeDocument/2006/relationships/hyperlink" Target="https://tataunistore.atlassian.net/browse/UCW-31227?atlOrigin=eyJpIjoiMjBhNWIzMmFjMjdiNGE1YzhhZTE4YmM0ZjA0MDM4ZWYiLCJwIjoiZXhjZWwtamlyYSJ9" TargetMode="External"/><Relationship Id="rId157" Type="http://schemas.openxmlformats.org/officeDocument/2006/relationships/hyperlink" Target="https://tataunistore.atlassian.net/browse/UCW-30997?atlOrigin=eyJpIjoiMjBhNWIzMmFjMjdiNGE1YzhhZTE4YmM0ZjA0MDM4ZWYiLCJwIjoiZXhjZWwtamlyYSJ9" TargetMode="External"/><Relationship Id="rId322" Type="http://schemas.openxmlformats.org/officeDocument/2006/relationships/hyperlink" Target="https://tataunistore.atlassian.net/browse/UCW-34270?atlOrigin=eyJpIjoiMjBhNWIzMmFjMjdiNGE1YzhhZTE4YmM0ZjA0MDM4ZWYiLCJwIjoiZXhjZWwtamlyYSJ9" TargetMode="External"/><Relationship Id="rId364" Type="http://schemas.openxmlformats.org/officeDocument/2006/relationships/hyperlink" Target="https://tataunistore.atlassian.net/browse/UCW-35215?atlOrigin=eyJpIjoiMjBhNWIzMmFjMjdiNGE1YzhhZTE4YmM0ZjA0MDM4ZWYiLCJwIjoiZXhjZWwtamlyYSJ9" TargetMode="External"/><Relationship Id="rId61" Type="http://schemas.openxmlformats.org/officeDocument/2006/relationships/hyperlink" Target="https://tataunistore.atlassian.net/browse/UCW-31562?atlOrigin=eyJpIjoiMjBhNWIzMmFjMjdiNGE1YzhhZTE4YmM0ZjA0MDM4ZWYiLCJwIjoiZXhjZWwtamlyYSJ9" TargetMode="External"/><Relationship Id="rId199" Type="http://schemas.openxmlformats.org/officeDocument/2006/relationships/hyperlink" Target="https://tataunistore.atlassian.net/browse/UCW-30813?atlOrigin=eyJpIjoiMjBhNWIzMmFjMjdiNGE1YzhhZTE4YmM0ZjA0MDM4ZWYiLCJwIjoiZXhjZWwtamlyYSJ9" TargetMode="External"/><Relationship Id="rId19" Type="http://schemas.openxmlformats.org/officeDocument/2006/relationships/hyperlink" Target="https://tataunistore.atlassian.net/browse/UCW-31831?atlOrigin=eyJpIjoiMjBhNWIzMmFjMjdiNGE1YzhhZTE4YmM0ZjA0MDM4ZWYiLCJwIjoiZXhjZWwtamlyYSJ9" TargetMode="External"/><Relationship Id="rId224" Type="http://schemas.openxmlformats.org/officeDocument/2006/relationships/hyperlink" Target="https://tataunistore.atlassian.net/browse/UCW-30686?atlOrigin=eyJpIjoiMjBhNWIzMmFjMjdiNGE1YzhhZTE4YmM0ZjA0MDM4ZWYiLCJwIjoiZXhjZWwtamlyYSJ9" TargetMode="External"/><Relationship Id="rId266" Type="http://schemas.openxmlformats.org/officeDocument/2006/relationships/hyperlink" Target="https://tataunistore.atlassian.net/browse/UCW-30497?atlOrigin=eyJpIjoiMjBhNWIzMmFjMjdiNGE1YzhhZTE4YmM0ZjA0MDM4ZWYiLCJwIjoiZXhjZWwtamlyYSJ9" TargetMode="External"/><Relationship Id="rId431" Type="http://schemas.openxmlformats.org/officeDocument/2006/relationships/hyperlink" Target="https://tataunistore.atlassian.net/browse/UCW-36104?atlOrigin=eyJpIjoiMjBhNWIzMmFjMjdiNGE1YzhhZTE4YmM0ZjA0MDM4ZWYiLCJwIjoiZXhjZWwtamlyYSJ9" TargetMode="External"/><Relationship Id="rId473" Type="http://schemas.openxmlformats.org/officeDocument/2006/relationships/hyperlink" Target="https://tataunistore.atlassian.net/browse/UCW-35917?atlOrigin=eyJpIjoiMjBhNWIzMmFjMjdiNGE1YzhhZTE4YmM0ZjA0MDM4ZWYiLCJwIjoiZXhjZWwtamlyYSJ9" TargetMode="External"/><Relationship Id="rId30" Type="http://schemas.openxmlformats.org/officeDocument/2006/relationships/hyperlink" Target="https://tataunistore.atlassian.net/browse/UCW-31765?atlOrigin=eyJpIjoiMjBhNWIzMmFjMjdiNGE1YzhhZTE4YmM0ZjA0MDM4ZWYiLCJwIjoiZXhjZWwtamlyYSJ9" TargetMode="External"/><Relationship Id="rId126" Type="http://schemas.openxmlformats.org/officeDocument/2006/relationships/hyperlink" Target="https://tataunistore.atlassian.net/browse/UCW-31158?atlOrigin=eyJpIjoiMjBhNWIzMmFjMjdiNGE1YzhhZTE4YmM0ZjA0MDM4ZWYiLCJwIjoiZXhjZWwtamlyYSJ9" TargetMode="External"/><Relationship Id="rId168" Type="http://schemas.openxmlformats.org/officeDocument/2006/relationships/hyperlink" Target="https://tataunistore.atlassian.net/browse/UCW-30955?atlOrigin=eyJpIjoiMjBhNWIzMmFjMjdiNGE1YzhhZTE4YmM0ZjA0MDM4ZWYiLCJwIjoiZXhjZWwtamlyYSJ9" TargetMode="External"/><Relationship Id="rId333" Type="http://schemas.openxmlformats.org/officeDocument/2006/relationships/hyperlink" Target="https://tataunistore.atlassian.net/browse/UCW-35387?atlOrigin=eyJpIjoiMjBhNWIzMmFjMjdiNGE1YzhhZTE4YmM0ZjA0MDM4ZWYiLCJwIjoiZXhjZWwtamlyYSJ9" TargetMode="External"/><Relationship Id="rId72" Type="http://schemas.openxmlformats.org/officeDocument/2006/relationships/hyperlink" Target="https://tataunistore.atlassian.net/browse/UCW-31506?atlOrigin=eyJpIjoiMjBhNWIzMmFjMjdiNGE1YzhhZTE4YmM0ZjA0MDM4ZWYiLCJwIjoiZXhjZWwtamlyYSJ9" TargetMode="External"/><Relationship Id="rId375" Type="http://schemas.openxmlformats.org/officeDocument/2006/relationships/hyperlink" Target="https://tataunistore.atlassian.net/browse/UCW-35149?atlOrigin=eyJpIjoiMjBhNWIzMmFjMjdiNGE1YzhhZTE4YmM0ZjA0MDM4ZWYiLCJwIjoiZXhjZWwtamlyYSJ9" TargetMode="External"/><Relationship Id="rId3" Type="http://schemas.openxmlformats.org/officeDocument/2006/relationships/hyperlink" Target="https://tataunistore.atlassian.net/browse/UCW-31978?atlOrigin=eyJpIjoiMjBhNWIzMmFjMjdiNGE1YzhhZTE4YmM0ZjA0MDM4ZWYiLCJwIjoiZXhjZWwtamlyYSJ9" TargetMode="External"/><Relationship Id="rId235" Type="http://schemas.openxmlformats.org/officeDocument/2006/relationships/hyperlink" Target="https://tataunistore.atlassian.net/browse/UCW-30646?atlOrigin=eyJpIjoiMjBhNWIzMmFjMjdiNGE1YzhhZTE4YmM0ZjA0MDM4ZWYiLCJwIjoiZXhjZWwtamlyYSJ9" TargetMode="External"/><Relationship Id="rId277" Type="http://schemas.openxmlformats.org/officeDocument/2006/relationships/hyperlink" Target="https://tataunistore.atlassian.net/browse/UCW-34526?atlOrigin=eyJpIjoiMjBhNWIzMmFjMjdiNGE1YzhhZTE4YmM0ZjA0MDM4ZWYiLCJwIjoiZXhjZWwtamlyYSJ9" TargetMode="External"/><Relationship Id="rId400" Type="http://schemas.openxmlformats.org/officeDocument/2006/relationships/hyperlink" Target="https://tataunistore.atlassian.net/browse/UCW-35063?atlOrigin=eyJpIjoiMjBhNWIzMmFjMjdiNGE1YzhhZTE4YmM0ZjA0MDM4ZWYiLCJwIjoiZXhjZWwtamlyYSJ9" TargetMode="External"/><Relationship Id="rId442" Type="http://schemas.openxmlformats.org/officeDocument/2006/relationships/hyperlink" Target="https://tataunistore.atlassian.net/browse/UCW-36047?atlOrigin=eyJpIjoiMjBhNWIzMmFjMjdiNGE1YzhhZTE4YmM0ZjA0MDM4ZWYiLCJwIjoiZXhjZWwtamlyYSJ9" TargetMode="External"/><Relationship Id="rId484" Type="http://schemas.openxmlformats.org/officeDocument/2006/relationships/hyperlink" Target="https://tataunistore.atlassian.net/browse/UCW-35869?atlOrigin=eyJpIjoiMjBhNWIzMmFjMjdiNGE1YzhhZTE4YmM0ZjA0MDM4ZWYiLCJwIjoiZXhjZWwtamlyYSJ9" TargetMode="External"/><Relationship Id="rId137" Type="http://schemas.openxmlformats.org/officeDocument/2006/relationships/hyperlink" Target="https://tataunistore.atlassian.net/browse/UCW-31092?atlOrigin=eyJpIjoiMjBhNWIzMmFjMjdiNGE1YzhhZTE4YmM0ZjA0MDM4ZWYiLCJwIjoiZXhjZWwtamlyYSJ9" TargetMode="External"/><Relationship Id="rId302" Type="http://schemas.openxmlformats.org/officeDocument/2006/relationships/hyperlink" Target="https://tataunistore.atlassian.net/browse/UCW-34378?atlOrigin=eyJpIjoiMjBhNWIzMmFjMjdiNGE1YzhhZTE4YmM0ZjA0MDM4ZWYiLCJwIjoiZXhjZWwtamlyYSJ9" TargetMode="External"/><Relationship Id="rId344" Type="http://schemas.openxmlformats.org/officeDocument/2006/relationships/hyperlink" Target="https://tataunistore.atlassian.net/browse/UCW-35352?atlOrigin=eyJpIjoiMjBhNWIzMmFjMjdiNGE1YzhhZTE4YmM0ZjA0MDM4ZWYiLCJwIjoiZXhjZWwtamlyY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heetViews>
  <sheetFormatPr defaultRowHeight="15" x14ac:dyDescent="0.25"/>
  <sheetData>
    <row r="1" spans="12:13" x14ac:dyDescent="0.25">
      <c r="L1" t="s">
        <v>0</v>
      </c>
      <c r="M1" t="s">
        <v>1</v>
      </c>
    </row>
    <row r="2" spans="12:13" x14ac:dyDescent="0.25">
      <c r="L2" t="s">
        <v>2</v>
      </c>
      <c r="M2" t="s">
        <v>3</v>
      </c>
    </row>
    <row r="3" spans="12:13" x14ac:dyDescent="0.25">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2"/>
  <sheetViews>
    <sheetView zoomScale="102" zoomScaleNormal="110" workbookViewId="0">
      <pane ySplit="1" topLeftCell="A2" activePane="bottomLeft" state="frozen"/>
      <selection activeCell="E1" sqref="E1"/>
      <selection pane="bottomLeft" activeCell="B9" sqref="B9"/>
    </sheetView>
  </sheetViews>
  <sheetFormatPr defaultRowHeight="15" x14ac:dyDescent="0.25"/>
  <cols>
    <col min="1" max="1" width="11" bestFit="1" customWidth="1"/>
    <col min="2" max="2" width="59.42578125" customWidth="1"/>
    <col min="3" max="3" width="21.7109375" customWidth="1"/>
    <col min="4" max="4" width="9.5703125" customWidth="1"/>
    <col min="5" max="5" width="16.85546875" customWidth="1"/>
    <col min="6" max="6" width="22.5703125" customWidth="1"/>
    <col min="7" max="7" width="15.5703125" customWidth="1"/>
    <col min="8" max="8" width="15.5703125" bestFit="1" customWidth="1"/>
    <col min="9" max="9" width="6.5703125" customWidth="1"/>
    <col min="10" max="10" width="5.7109375" customWidth="1"/>
    <col min="11" max="11" width="13.28515625" customWidth="1"/>
    <col min="12" max="12" width="12.42578125" customWidth="1"/>
    <col min="13" max="13" width="13.140625" customWidth="1"/>
    <col min="14" max="14" width="12.5703125" customWidth="1"/>
    <col min="15" max="15" width="9.7109375" customWidth="1"/>
    <col min="16" max="16" width="13.7109375" customWidth="1"/>
    <col min="17" max="17" width="11.140625" customWidth="1"/>
    <col min="18" max="18" width="11.5703125" customWidth="1"/>
    <col min="19" max="19" width="21" customWidth="1"/>
  </cols>
  <sheetData>
    <row r="1" spans="1:21" ht="15.75" thickBot="1" x14ac:dyDescent="0.3">
      <c r="A1" s="44" t="s">
        <v>6</v>
      </c>
      <c r="B1" s="45" t="s">
        <v>7</v>
      </c>
      <c r="C1" s="45" t="s">
        <v>8</v>
      </c>
      <c r="D1" s="45" t="s">
        <v>9</v>
      </c>
      <c r="E1" s="45" t="s">
        <v>10</v>
      </c>
      <c r="F1" s="45" t="s">
        <v>11</v>
      </c>
      <c r="G1" s="45" t="s">
        <v>12</v>
      </c>
      <c r="H1" s="45" t="s">
        <v>13</v>
      </c>
      <c r="I1" s="45" t="s">
        <v>14</v>
      </c>
      <c r="J1" s="45" t="s">
        <v>8353</v>
      </c>
      <c r="K1" s="45" t="s">
        <v>15</v>
      </c>
      <c r="L1" s="45" t="s">
        <v>16</v>
      </c>
      <c r="M1" s="45" t="s">
        <v>43</v>
      </c>
      <c r="N1" s="45" t="s">
        <v>1282</v>
      </c>
      <c r="O1" s="45" t="s">
        <v>1283</v>
      </c>
      <c r="P1" s="45" t="s">
        <v>1284</v>
      </c>
      <c r="Q1" s="45" t="s">
        <v>1510</v>
      </c>
      <c r="R1" s="45" t="s">
        <v>1511</v>
      </c>
      <c r="S1" s="45" t="s">
        <v>2375</v>
      </c>
      <c r="T1" s="45" t="s">
        <v>8408</v>
      </c>
      <c r="U1" s="45" t="s">
        <v>8410</v>
      </c>
    </row>
    <row r="2" spans="1:21" ht="16.5" thickTop="1" thickBot="1" x14ac:dyDescent="0.3">
      <c r="A2" s="51" t="s">
        <v>2142</v>
      </c>
      <c r="B2" s="52" t="s">
        <v>2143</v>
      </c>
      <c r="C2" s="52" t="s">
        <v>38</v>
      </c>
      <c r="D2" s="52" t="s">
        <v>17</v>
      </c>
      <c r="E2" s="52" t="s">
        <v>23</v>
      </c>
      <c r="F2" s="52" t="s">
        <v>23</v>
      </c>
      <c r="G2" s="53">
        <v>46143.041666666664</v>
      </c>
      <c r="H2" s="53">
        <v>46147.713888888888</v>
      </c>
      <c r="I2" s="52">
        <v>4</v>
      </c>
      <c r="J2" s="52" t="s">
        <v>1156</v>
      </c>
      <c r="K2" s="52" t="s">
        <v>1156</v>
      </c>
      <c r="L2" s="52" t="s">
        <v>36</v>
      </c>
      <c r="M2" s="52">
        <v>4</v>
      </c>
      <c r="N2" s="52">
        <v>4</v>
      </c>
      <c r="O2" s="52">
        <v>4</v>
      </c>
      <c r="P2" s="52" t="s">
        <v>1426</v>
      </c>
      <c r="Q2" s="52" t="s">
        <v>1517</v>
      </c>
      <c r="R2" s="52" t="s">
        <v>2479</v>
      </c>
      <c r="S2" s="52">
        <f t="shared" ref="S2:S65" si="0">IF(OR(G2="",H2=""),"",ROUND(H2-G2,2))</f>
        <v>4.67</v>
      </c>
      <c r="T2" s="52"/>
      <c r="U2" s="52"/>
    </row>
    <row r="3" spans="1:21" s="46" customFormat="1" ht="16.5" thickTop="1" thickBot="1" x14ac:dyDescent="0.3">
      <c r="A3" s="50" t="s">
        <v>2139</v>
      </c>
      <c r="B3" s="43" t="s">
        <v>2140</v>
      </c>
      <c r="C3" s="43" t="s">
        <v>39</v>
      </c>
      <c r="D3" s="43" t="s">
        <v>17</v>
      </c>
      <c r="E3" s="43" t="s">
        <v>19</v>
      </c>
      <c r="F3" s="43" t="s">
        <v>23</v>
      </c>
      <c r="G3" s="48">
        <v>46143.140972222223</v>
      </c>
      <c r="H3" s="48">
        <v>46155.545138888891</v>
      </c>
      <c r="I3" s="43">
        <v>1</v>
      </c>
      <c r="J3" s="43" t="s">
        <v>2373</v>
      </c>
      <c r="K3" s="43" t="s">
        <v>8317</v>
      </c>
      <c r="L3" s="43" t="s">
        <v>33</v>
      </c>
      <c r="M3" s="43">
        <v>0</v>
      </c>
      <c r="N3" s="43">
        <v>0</v>
      </c>
      <c r="O3" s="43">
        <v>1</v>
      </c>
      <c r="P3" s="43" t="s">
        <v>1491</v>
      </c>
      <c r="Q3" s="43" t="s">
        <v>1517</v>
      </c>
      <c r="R3" s="43" t="s">
        <v>2141</v>
      </c>
      <c r="S3" s="52">
        <f t="shared" si="0"/>
        <v>12.4</v>
      </c>
      <c r="T3" s="47"/>
      <c r="U3" s="47"/>
    </row>
    <row r="4" spans="1:21" ht="16.5" thickTop="1" thickBot="1" x14ac:dyDescent="0.3">
      <c r="A4" s="51" t="s">
        <v>2136</v>
      </c>
      <c r="B4" s="52" t="s">
        <v>2137</v>
      </c>
      <c r="C4" s="52" t="s">
        <v>38</v>
      </c>
      <c r="D4" s="52" t="s">
        <v>17</v>
      </c>
      <c r="E4" s="52" t="s">
        <v>18</v>
      </c>
      <c r="F4" s="52" t="s">
        <v>32</v>
      </c>
      <c r="G4" s="53">
        <v>46143.498611111114</v>
      </c>
      <c r="H4" s="53">
        <v>46158.65</v>
      </c>
      <c r="I4" s="52">
        <v>1</v>
      </c>
      <c r="J4" s="52" t="s">
        <v>2373</v>
      </c>
      <c r="K4" s="52" t="s">
        <v>8317</v>
      </c>
      <c r="L4" s="52" t="s">
        <v>33</v>
      </c>
      <c r="M4" s="52">
        <v>1</v>
      </c>
      <c r="N4" s="52">
        <v>1</v>
      </c>
      <c r="O4" s="52">
        <v>1</v>
      </c>
      <c r="P4" s="52" t="s">
        <v>1488</v>
      </c>
      <c r="Q4" s="52" t="s">
        <v>1517</v>
      </c>
      <c r="R4" s="52" t="s">
        <v>2138</v>
      </c>
      <c r="S4" s="52">
        <f t="shared" si="0"/>
        <v>15.15</v>
      </c>
      <c r="T4" s="52"/>
      <c r="U4" s="52"/>
    </row>
    <row r="5" spans="1:21" s="46" customFormat="1" ht="16.5" thickTop="1" thickBot="1" x14ac:dyDescent="0.3">
      <c r="A5" s="50" t="s">
        <v>2134</v>
      </c>
      <c r="B5" s="43" t="s">
        <v>2135</v>
      </c>
      <c r="C5" s="43" t="s">
        <v>38</v>
      </c>
      <c r="D5" s="43" t="s">
        <v>17</v>
      </c>
      <c r="E5" s="43" t="s">
        <v>19</v>
      </c>
      <c r="F5" s="43" t="s">
        <v>23</v>
      </c>
      <c r="G5" s="48">
        <v>46143.584722222222</v>
      </c>
      <c r="H5" s="48">
        <v>46155.713194444441</v>
      </c>
      <c r="I5" s="43">
        <v>310</v>
      </c>
      <c r="J5" s="43" t="s">
        <v>1156</v>
      </c>
      <c r="K5" s="43" t="s">
        <v>1156</v>
      </c>
      <c r="L5" s="43" t="s">
        <v>36</v>
      </c>
      <c r="M5" s="43">
        <v>310</v>
      </c>
      <c r="N5" s="43">
        <v>310</v>
      </c>
      <c r="O5" s="43">
        <v>310</v>
      </c>
      <c r="P5" s="43" t="s">
        <v>1484</v>
      </c>
      <c r="Q5" s="43" t="s">
        <v>1517</v>
      </c>
      <c r="R5" s="43" t="s">
        <v>2478</v>
      </c>
      <c r="S5" s="52">
        <f t="shared" si="0"/>
        <v>12.13</v>
      </c>
      <c r="T5" s="47"/>
      <c r="U5" s="47"/>
    </row>
    <row r="6" spans="1:21" ht="16.5" thickTop="1" thickBot="1" x14ac:dyDescent="0.3">
      <c r="A6" s="51" t="s">
        <v>2132</v>
      </c>
      <c r="B6" s="52" t="s">
        <v>2133</v>
      </c>
      <c r="C6" s="52" t="s">
        <v>38</v>
      </c>
      <c r="D6" s="52" t="s">
        <v>17</v>
      </c>
      <c r="E6" s="52" t="s">
        <v>19</v>
      </c>
      <c r="F6" s="52" t="s">
        <v>23</v>
      </c>
      <c r="G6" s="53">
        <v>46143.657638888886</v>
      </c>
      <c r="H6" s="53">
        <v>46155.713194444441</v>
      </c>
      <c r="I6" s="52">
        <v>468</v>
      </c>
      <c r="J6" s="52" t="s">
        <v>1156</v>
      </c>
      <c r="K6" s="52" t="s">
        <v>8350</v>
      </c>
      <c r="L6" s="52" t="s">
        <v>20</v>
      </c>
      <c r="M6" s="52">
        <v>36</v>
      </c>
      <c r="N6" s="52">
        <v>6</v>
      </c>
      <c r="O6" s="52">
        <v>78</v>
      </c>
      <c r="P6" s="52" t="s">
        <v>1442</v>
      </c>
      <c r="Q6" s="52" t="s">
        <v>1546</v>
      </c>
      <c r="R6" s="52" t="s">
        <v>2477</v>
      </c>
      <c r="S6" s="52">
        <f t="shared" si="0"/>
        <v>12.06</v>
      </c>
      <c r="T6" s="52"/>
      <c r="U6" s="52"/>
    </row>
    <row r="7" spans="1:21" s="46" customFormat="1" ht="16.5" thickTop="1" thickBot="1" x14ac:dyDescent="0.3">
      <c r="A7" s="50" t="s">
        <v>2130</v>
      </c>
      <c r="B7" s="43" t="s">
        <v>2131</v>
      </c>
      <c r="C7" s="43" t="s">
        <v>38</v>
      </c>
      <c r="D7" s="43" t="s">
        <v>17</v>
      </c>
      <c r="E7" s="43" t="s">
        <v>18</v>
      </c>
      <c r="F7" s="43" t="s">
        <v>28</v>
      </c>
      <c r="G7" s="48">
        <v>46143.80972222222</v>
      </c>
      <c r="H7" s="48">
        <v>46147.779861111114</v>
      </c>
      <c r="I7" s="43">
        <v>59</v>
      </c>
      <c r="J7" s="43" t="s">
        <v>1156</v>
      </c>
      <c r="K7" s="43" t="s">
        <v>8350</v>
      </c>
      <c r="L7" s="43" t="s">
        <v>20</v>
      </c>
      <c r="M7" s="43">
        <v>59</v>
      </c>
      <c r="N7" s="43">
        <v>11</v>
      </c>
      <c r="O7" s="43">
        <v>11</v>
      </c>
      <c r="P7" s="43" t="s">
        <v>1464</v>
      </c>
      <c r="Q7" s="43" t="s">
        <v>1546</v>
      </c>
      <c r="R7" s="43" t="s">
        <v>2476</v>
      </c>
      <c r="S7" s="52">
        <f t="shared" si="0"/>
        <v>3.97</v>
      </c>
      <c r="T7" s="47"/>
      <c r="U7" s="47"/>
    </row>
    <row r="8" spans="1:21" ht="16.5" thickTop="1" thickBot="1" x14ac:dyDescent="0.3">
      <c r="A8" s="51" t="s">
        <v>2128</v>
      </c>
      <c r="B8" s="52" t="s">
        <v>2129</v>
      </c>
      <c r="C8" s="52" t="s">
        <v>38</v>
      </c>
      <c r="D8" s="52" t="s">
        <v>17</v>
      </c>
      <c r="E8" s="52" t="s">
        <v>19</v>
      </c>
      <c r="F8" s="52" t="s">
        <v>42</v>
      </c>
      <c r="G8" s="53">
        <v>46143.864583333336</v>
      </c>
      <c r="H8" s="53">
        <v>46155.737500000003</v>
      </c>
      <c r="I8" s="52">
        <v>39</v>
      </c>
      <c r="J8" s="52" t="s">
        <v>2373</v>
      </c>
      <c r="K8" s="52" t="s">
        <v>8310</v>
      </c>
      <c r="L8" s="52" t="s">
        <v>37</v>
      </c>
      <c r="M8" s="52">
        <v>39</v>
      </c>
      <c r="N8" s="52">
        <v>39</v>
      </c>
      <c r="O8" s="52">
        <v>39</v>
      </c>
      <c r="P8" s="52" t="s">
        <v>1506</v>
      </c>
      <c r="Q8" s="52" t="s">
        <v>1517</v>
      </c>
      <c r="R8" s="52"/>
      <c r="S8" s="52">
        <f t="shared" si="0"/>
        <v>11.87</v>
      </c>
      <c r="T8" s="52"/>
      <c r="U8" s="52"/>
    </row>
    <row r="9" spans="1:21" s="46" customFormat="1" ht="16.5" thickTop="1" thickBot="1" x14ac:dyDescent="0.3">
      <c r="A9" s="50" t="s">
        <v>2126</v>
      </c>
      <c r="B9" s="43" t="s">
        <v>2127</v>
      </c>
      <c r="C9" s="43" t="s">
        <v>38</v>
      </c>
      <c r="D9" s="43" t="s">
        <v>17</v>
      </c>
      <c r="E9" s="43" t="s">
        <v>18</v>
      </c>
      <c r="F9" s="43" t="s">
        <v>42</v>
      </c>
      <c r="G9" s="48">
        <v>46143.898611111108</v>
      </c>
      <c r="H9" s="48">
        <v>46146.506944444445</v>
      </c>
      <c r="I9" s="43">
        <v>228</v>
      </c>
      <c r="J9" s="43" t="s">
        <v>1156</v>
      </c>
      <c r="K9" s="43" t="s">
        <v>1156</v>
      </c>
      <c r="L9" s="43" t="s">
        <v>25</v>
      </c>
      <c r="M9" s="43">
        <v>228</v>
      </c>
      <c r="N9" s="43">
        <v>228</v>
      </c>
      <c r="O9" s="43">
        <v>228</v>
      </c>
      <c r="P9" s="43" t="s">
        <v>1333</v>
      </c>
      <c r="Q9" s="43" t="s">
        <v>1517</v>
      </c>
      <c r="R9" s="43" t="s">
        <v>2475</v>
      </c>
      <c r="S9" s="52">
        <f t="shared" si="0"/>
        <v>2.61</v>
      </c>
      <c r="T9" s="47"/>
      <c r="U9" s="47"/>
    </row>
    <row r="10" spans="1:21" ht="16.5" thickTop="1" thickBot="1" x14ac:dyDescent="0.3">
      <c r="A10" s="51" t="s">
        <v>2124</v>
      </c>
      <c r="B10" s="52" t="s">
        <v>2125</v>
      </c>
      <c r="C10" s="52" t="s">
        <v>38</v>
      </c>
      <c r="D10" s="52" t="s">
        <v>17</v>
      </c>
      <c r="E10" s="52" t="s">
        <v>18</v>
      </c>
      <c r="F10" s="52" t="s">
        <v>42</v>
      </c>
      <c r="G10" s="53">
        <v>46143.946527777778</v>
      </c>
      <c r="H10" s="53">
        <v>46155.737500000003</v>
      </c>
      <c r="I10" s="52">
        <v>107</v>
      </c>
      <c r="J10" s="52" t="s">
        <v>1156</v>
      </c>
      <c r="K10" s="52" t="s">
        <v>1156</v>
      </c>
      <c r="L10" s="52" t="s">
        <v>25</v>
      </c>
      <c r="M10" s="52">
        <v>84</v>
      </c>
      <c r="N10" s="52">
        <v>17</v>
      </c>
      <c r="O10" s="52">
        <v>21</v>
      </c>
      <c r="P10" s="52" t="s">
        <v>1500</v>
      </c>
      <c r="Q10" s="52" t="s">
        <v>1517</v>
      </c>
      <c r="R10" s="52" t="s">
        <v>2474</v>
      </c>
      <c r="S10" s="52">
        <f t="shared" si="0"/>
        <v>11.79</v>
      </c>
      <c r="T10" s="52"/>
      <c r="U10" s="52"/>
    </row>
    <row r="11" spans="1:21" s="46" customFormat="1" ht="16.5" thickTop="1" thickBot="1" x14ac:dyDescent="0.3">
      <c r="A11" s="50" t="s">
        <v>2122</v>
      </c>
      <c r="B11" s="43" t="s">
        <v>2123</v>
      </c>
      <c r="C11" s="43" t="s">
        <v>38</v>
      </c>
      <c r="D11" s="43" t="s">
        <v>17</v>
      </c>
      <c r="E11" s="43" t="s">
        <v>18</v>
      </c>
      <c r="F11" s="43" t="s">
        <v>42</v>
      </c>
      <c r="G11" s="48">
        <v>46143.969444444447</v>
      </c>
      <c r="H11" s="48">
        <v>46150.598611111112</v>
      </c>
      <c r="I11" s="43">
        <v>342</v>
      </c>
      <c r="J11" s="43" t="s">
        <v>1156</v>
      </c>
      <c r="K11" s="43" t="s">
        <v>1156</v>
      </c>
      <c r="L11" s="43" t="s">
        <v>25</v>
      </c>
      <c r="M11" s="43">
        <v>332</v>
      </c>
      <c r="N11" s="43">
        <v>55</v>
      </c>
      <c r="O11" s="43">
        <v>57</v>
      </c>
      <c r="P11" s="43" t="s">
        <v>1509</v>
      </c>
      <c r="Q11" s="43" t="s">
        <v>1517</v>
      </c>
      <c r="R11" s="43" t="s">
        <v>2473</v>
      </c>
      <c r="S11" s="52">
        <f t="shared" si="0"/>
        <v>6.63</v>
      </c>
      <c r="T11" s="47"/>
      <c r="U11" s="47"/>
    </row>
    <row r="12" spans="1:21" ht="16.5" thickTop="1" thickBot="1" x14ac:dyDescent="0.3">
      <c r="A12" s="51" t="s">
        <v>2120</v>
      </c>
      <c r="B12" s="52" t="s">
        <v>2121</v>
      </c>
      <c r="C12" s="52" t="s">
        <v>38</v>
      </c>
      <c r="D12" s="52" t="s">
        <v>17</v>
      </c>
      <c r="E12" s="52" t="s">
        <v>18</v>
      </c>
      <c r="F12" s="52" t="s">
        <v>42</v>
      </c>
      <c r="G12" s="53">
        <v>46143.972916666666</v>
      </c>
      <c r="H12" s="53">
        <v>46155.737500000003</v>
      </c>
      <c r="I12" s="52">
        <v>88</v>
      </c>
      <c r="J12" s="52" t="s">
        <v>1156</v>
      </c>
      <c r="K12" s="52" t="s">
        <v>1156</v>
      </c>
      <c r="L12" s="52" t="s">
        <v>25</v>
      </c>
      <c r="M12" s="52">
        <v>88</v>
      </c>
      <c r="N12" s="52">
        <v>22</v>
      </c>
      <c r="O12" s="52">
        <v>22</v>
      </c>
      <c r="P12" s="52" t="s">
        <v>1498</v>
      </c>
      <c r="Q12" s="52" t="s">
        <v>1517</v>
      </c>
      <c r="R12" s="52" t="s">
        <v>2472</v>
      </c>
      <c r="S12" s="52">
        <f t="shared" si="0"/>
        <v>11.76</v>
      </c>
      <c r="T12" s="52"/>
      <c r="U12" s="52"/>
    </row>
    <row r="13" spans="1:21" s="46" customFormat="1" ht="16.5" thickTop="1" thickBot="1" x14ac:dyDescent="0.3">
      <c r="A13" s="50" t="s">
        <v>2118</v>
      </c>
      <c r="B13" s="43" t="s">
        <v>2119</v>
      </c>
      <c r="C13" s="43" t="s">
        <v>38</v>
      </c>
      <c r="D13" s="43" t="s">
        <v>17</v>
      </c>
      <c r="E13" s="43" t="s">
        <v>18</v>
      </c>
      <c r="F13" s="43" t="s">
        <v>42</v>
      </c>
      <c r="G13" s="48">
        <v>46143.980555555558</v>
      </c>
      <c r="H13" s="48">
        <v>46149.669444444444</v>
      </c>
      <c r="I13" s="43">
        <v>1</v>
      </c>
      <c r="J13" s="43" t="s">
        <v>1156</v>
      </c>
      <c r="K13" s="43" t="s">
        <v>1156</v>
      </c>
      <c r="L13" s="43" t="s">
        <v>33</v>
      </c>
      <c r="M13" s="43">
        <v>1</v>
      </c>
      <c r="N13" s="43">
        <v>1</v>
      </c>
      <c r="O13" s="43">
        <v>1</v>
      </c>
      <c r="P13" s="43" t="s">
        <v>1499</v>
      </c>
      <c r="Q13" s="43" t="s">
        <v>1546</v>
      </c>
      <c r="R13" s="43" t="s">
        <v>2471</v>
      </c>
      <c r="S13" s="52">
        <f t="shared" si="0"/>
        <v>5.69</v>
      </c>
      <c r="T13" s="47"/>
      <c r="U13" s="47"/>
    </row>
    <row r="14" spans="1:21" ht="16.5" thickTop="1" thickBot="1" x14ac:dyDescent="0.3">
      <c r="A14" s="51" t="s">
        <v>2116</v>
      </c>
      <c r="B14" s="52" t="s">
        <v>2117</v>
      </c>
      <c r="C14" s="52" t="s">
        <v>38</v>
      </c>
      <c r="D14" s="52" t="s">
        <v>17</v>
      </c>
      <c r="E14" s="52" t="s">
        <v>18</v>
      </c>
      <c r="F14" s="52" t="s">
        <v>42</v>
      </c>
      <c r="G14" s="53">
        <v>46143.98333333333</v>
      </c>
      <c r="H14" s="53">
        <v>46145.745138888888</v>
      </c>
      <c r="I14" s="52">
        <v>1</v>
      </c>
      <c r="J14" s="52" t="s">
        <v>2373</v>
      </c>
      <c r="K14" s="52" t="s">
        <v>8317</v>
      </c>
      <c r="L14" s="52" t="s">
        <v>33</v>
      </c>
      <c r="M14" s="52">
        <v>1</v>
      </c>
      <c r="N14" s="52">
        <v>1</v>
      </c>
      <c r="O14" s="52">
        <v>1</v>
      </c>
      <c r="P14" s="52" t="s">
        <v>1424</v>
      </c>
      <c r="Q14" s="52" t="s">
        <v>1517</v>
      </c>
      <c r="R14" s="52"/>
      <c r="S14" s="52">
        <f t="shared" si="0"/>
        <v>1.76</v>
      </c>
      <c r="T14" s="52"/>
      <c r="U14" s="52"/>
    </row>
    <row r="15" spans="1:21" s="46" customFormat="1" ht="16.5" thickTop="1" thickBot="1" x14ac:dyDescent="0.3">
      <c r="A15" s="50" t="s">
        <v>2112</v>
      </c>
      <c r="B15" s="43" t="s">
        <v>2113</v>
      </c>
      <c r="C15" s="43" t="s">
        <v>38</v>
      </c>
      <c r="D15" s="43" t="s">
        <v>17</v>
      </c>
      <c r="E15" s="43" t="s">
        <v>18</v>
      </c>
      <c r="F15" s="43" t="s">
        <v>24</v>
      </c>
      <c r="G15" s="48">
        <v>46144.603472222225</v>
      </c>
      <c r="H15" s="48">
        <v>46161.7</v>
      </c>
      <c r="I15" s="43">
        <v>2</v>
      </c>
      <c r="J15" s="43" t="s">
        <v>2373</v>
      </c>
      <c r="K15" s="43" t="s">
        <v>8317</v>
      </c>
      <c r="L15" s="43" t="s">
        <v>29</v>
      </c>
      <c r="M15" s="43">
        <v>2</v>
      </c>
      <c r="N15" s="43">
        <v>2</v>
      </c>
      <c r="O15" s="43">
        <v>2</v>
      </c>
      <c r="P15" s="43" t="s">
        <v>2114</v>
      </c>
      <c r="Q15" s="43" t="s">
        <v>1517</v>
      </c>
      <c r="R15" s="43" t="s">
        <v>2115</v>
      </c>
      <c r="S15" s="52">
        <f t="shared" si="0"/>
        <v>17.100000000000001</v>
      </c>
      <c r="T15" s="47"/>
      <c r="U15" s="47"/>
    </row>
    <row r="16" spans="1:21" ht="16.5" thickTop="1" thickBot="1" x14ac:dyDescent="0.3">
      <c r="A16" s="51" t="s">
        <v>2110</v>
      </c>
      <c r="B16" s="52" t="s">
        <v>2111</v>
      </c>
      <c r="C16" s="52" t="s">
        <v>38</v>
      </c>
      <c r="D16" s="52" t="s">
        <v>17</v>
      </c>
      <c r="E16" s="52" t="s">
        <v>18</v>
      </c>
      <c r="F16" s="52" t="s">
        <v>24</v>
      </c>
      <c r="G16" s="53">
        <v>46144.609722222223</v>
      </c>
      <c r="H16" s="53">
        <v>46155.662499999999</v>
      </c>
      <c r="I16" s="52">
        <v>10</v>
      </c>
      <c r="J16" s="52" t="s">
        <v>2373</v>
      </c>
      <c r="K16" s="52" t="s">
        <v>8278</v>
      </c>
      <c r="L16" s="52" t="s">
        <v>25</v>
      </c>
      <c r="M16" s="52">
        <v>10</v>
      </c>
      <c r="N16" s="52">
        <v>10</v>
      </c>
      <c r="O16" s="52">
        <v>10</v>
      </c>
      <c r="P16" s="52" t="s">
        <v>1408</v>
      </c>
      <c r="Q16" s="52" t="s">
        <v>1517</v>
      </c>
      <c r="R16" s="52"/>
      <c r="S16" s="52">
        <f t="shared" si="0"/>
        <v>11.05</v>
      </c>
      <c r="T16" s="52"/>
      <c r="U16" s="52"/>
    </row>
    <row r="17" spans="1:21" s="46" customFormat="1" ht="16.5" thickTop="1" thickBot="1" x14ac:dyDescent="0.3">
      <c r="A17" s="50" t="s">
        <v>2108</v>
      </c>
      <c r="B17" s="43" t="s">
        <v>2109</v>
      </c>
      <c r="C17" s="43" t="s">
        <v>38</v>
      </c>
      <c r="D17" s="43" t="s">
        <v>17</v>
      </c>
      <c r="E17" s="43" t="s">
        <v>18</v>
      </c>
      <c r="F17" s="43" t="s">
        <v>19</v>
      </c>
      <c r="G17" s="48">
        <v>46144.630555555559</v>
      </c>
      <c r="H17" s="48">
        <v>46144.638888888891</v>
      </c>
      <c r="I17" s="43">
        <v>0</v>
      </c>
      <c r="J17" s="43" t="s">
        <v>1156</v>
      </c>
      <c r="K17" s="43" t="s">
        <v>1156</v>
      </c>
      <c r="L17" s="43" t="s">
        <v>20</v>
      </c>
      <c r="M17" s="43">
        <v>0</v>
      </c>
      <c r="N17" s="43">
        <v>0</v>
      </c>
      <c r="O17" s="43">
        <v>0</v>
      </c>
      <c r="P17" s="43" t="s">
        <v>8432</v>
      </c>
      <c r="Q17" s="43" t="s">
        <v>1517</v>
      </c>
      <c r="R17" s="43"/>
      <c r="S17" s="52">
        <f t="shared" si="0"/>
        <v>0.01</v>
      </c>
      <c r="T17" s="47"/>
      <c r="U17" s="47" t="s">
        <v>8658</v>
      </c>
    </row>
    <row r="18" spans="1:21" ht="16.5" thickTop="1" thickBot="1" x14ac:dyDescent="0.3">
      <c r="A18" s="51" t="s">
        <v>2105</v>
      </c>
      <c r="B18" s="52" t="s">
        <v>2106</v>
      </c>
      <c r="C18" s="52" t="s">
        <v>38</v>
      </c>
      <c r="D18" s="52" t="s">
        <v>17</v>
      </c>
      <c r="E18" s="52" t="s">
        <v>18</v>
      </c>
      <c r="F18" s="52" t="s">
        <v>24</v>
      </c>
      <c r="G18" s="53">
        <v>46146.476388888892</v>
      </c>
      <c r="H18" s="53">
        <v>46158.538194444445</v>
      </c>
      <c r="I18" s="52">
        <v>5</v>
      </c>
      <c r="J18" s="52" t="s">
        <v>2373</v>
      </c>
      <c r="K18" s="52" t="s">
        <v>8352</v>
      </c>
      <c r="L18" s="52" t="s">
        <v>25</v>
      </c>
      <c r="M18" s="52">
        <v>5</v>
      </c>
      <c r="N18" s="52">
        <v>5</v>
      </c>
      <c r="O18" s="52">
        <v>5</v>
      </c>
      <c r="P18" s="52" t="s">
        <v>2107</v>
      </c>
      <c r="Q18" s="52" t="s">
        <v>1517</v>
      </c>
      <c r="R18" s="52"/>
      <c r="S18" s="52">
        <f t="shared" si="0"/>
        <v>12.06</v>
      </c>
      <c r="T18" s="52"/>
      <c r="U18" s="52"/>
    </row>
    <row r="19" spans="1:21" s="46" customFormat="1" ht="16.5" thickTop="1" thickBot="1" x14ac:dyDescent="0.3">
      <c r="A19" s="50" t="s">
        <v>2103</v>
      </c>
      <c r="B19" s="43" t="s">
        <v>2104</v>
      </c>
      <c r="C19" s="43" t="s">
        <v>38</v>
      </c>
      <c r="D19" s="43" t="s">
        <v>17</v>
      </c>
      <c r="E19" s="43" t="s">
        <v>18</v>
      </c>
      <c r="F19" s="43" t="s">
        <v>42</v>
      </c>
      <c r="G19" s="48">
        <v>46146.480555555558</v>
      </c>
      <c r="H19" s="48">
        <v>46163.626388888886</v>
      </c>
      <c r="I19" s="43">
        <v>21</v>
      </c>
      <c r="J19" s="43" t="s">
        <v>1156</v>
      </c>
      <c r="K19" s="43" t="s">
        <v>8351</v>
      </c>
      <c r="L19" s="43" t="s">
        <v>33</v>
      </c>
      <c r="M19" s="43">
        <v>18</v>
      </c>
      <c r="N19" s="43">
        <v>18</v>
      </c>
      <c r="O19" s="43">
        <v>21</v>
      </c>
      <c r="P19" s="43" t="s">
        <v>1355</v>
      </c>
      <c r="Q19" s="43" t="s">
        <v>1514</v>
      </c>
      <c r="R19" s="43" t="s">
        <v>2470</v>
      </c>
      <c r="S19" s="52">
        <f t="shared" si="0"/>
        <v>17.149999999999999</v>
      </c>
      <c r="T19" s="47"/>
      <c r="U19" s="47" t="s">
        <v>8414</v>
      </c>
    </row>
    <row r="20" spans="1:21" ht="16.5" thickTop="1" thickBot="1" x14ac:dyDescent="0.3">
      <c r="A20" s="51" t="s">
        <v>2100</v>
      </c>
      <c r="B20" s="52" t="s">
        <v>2101</v>
      </c>
      <c r="C20" s="52" t="s">
        <v>38</v>
      </c>
      <c r="D20" s="52" t="s">
        <v>17</v>
      </c>
      <c r="E20" s="52" t="s">
        <v>18</v>
      </c>
      <c r="F20" s="52" t="s">
        <v>42</v>
      </c>
      <c r="G20" s="53">
        <v>46146.53402777778</v>
      </c>
      <c r="H20" s="53">
        <v>46163.626388888886</v>
      </c>
      <c r="I20" s="52">
        <v>38</v>
      </c>
      <c r="J20" s="52" t="s">
        <v>1156</v>
      </c>
      <c r="K20" s="52" t="s">
        <v>1156</v>
      </c>
      <c r="L20" s="52" t="s">
        <v>33</v>
      </c>
      <c r="M20" s="52">
        <v>38</v>
      </c>
      <c r="N20" s="52">
        <v>38</v>
      </c>
      <c r="O20" s="52">
        <v>38</v>
      </c>
      <c r="P20" s="52" t="s">
        <v>2102</v>
      </c>
      <c r="Q20" s="52" t="s">
        <v>1517</v>
      </c>
      <c r="R20" s="52" t="s">
        <v>2469</v>
      </c>
      <c r="S20" s="52">
        <f t="shared" si="0"/>
        <v>17.09</v>
      </c>
      <c r="T20" s="52"/>
      <c r="U20" s="52" t="s">
        <v>8414</v>
      </c>
    </row>
    <row r="21" spans="1:21" s="46" customFormat="1" ht="16.5" thickTop="1" thickBot="1" x14ac:dyDescent="0.3">
      <c r="A21" s="50" t="s">
        <v>2099</v>
      </c>
      <c r="B21" s="43" t="s">
        <v>1041</v>
      </c>
      <c r="C21" s="43" t="s">
        <v>38</v>
      </c>
      <c r="D21" s="43" t="s">
        <v>17</v>
      </c>
      <c r="E21" s="43" t="s">
        <v>19</v>
      </c>
      <c r="F21" s="43" t="s">
        <v>19</v>
      </c>
      <c r="G21" s="48">
        <v>46146.588888888888</v>
      </c>
      <c r="H21" s="48">
        <v>46151.586805555555</v>
      </c>
      <c r="I21" s="43">
        <v>1205</v>
      </c>
      <c r="J21" s="43" t="s">
        <v>2373</v>
      </c>
      <c r="K21" s="43" t="s">
        <v>8278</v>
      </c>
      <c r="L21" s="43" t="s">
        <v>31</v>
      </c>
      <c r="M21" s="43">
        <v>1205</v>
      </c>
      <c r="N21" s="43">
        <v>1205</v>
      </c>
      <c r="O21" s="43">
        <v>1205</v>
      </c>
      <c r="P21" s="43" t="s">
        <v>1413</v>
      </c>
      <c r="Q21" s="43" t="s">
        <v>1546</v>
      </c>
      <c r="R21" s="43" t="s">
        <v>2468</v>
      </c>
      <c r="S21" s="52">
        <f t="shared" si="0"/>
        <v>5</v>
      </c>
      <c r="T21" s="47"/>
      <c r="U21" s="47"/>
    </row>
    <row r="22" spans="1:21" ht="16.5" thickTop="1" thickBot="1" x14ac:dyDescent="0.3">
      <c r="A22" s="51" t="s">
        <v>2097</v>
      </c>
      <c r="B22" s="52" t="s">
        <v>2098</v>
      </c>
      <c r="C22" s="52" t="s">
        <v>38</v>
      </c>
      <c r="D22" s="52" t="s">
        <v>17</v>
      </c>
      <c r="E22" s="52" t="s">
        <v>18</v>
      </c>
      <c r="F22" s="52" t="s">
        <v>42</v>
      </c>
      <c r="G22" s="53">
        <v>46146.616666666669</v>
      </c>
      <c r="H22" s="53">
        <v>46164.769444444442</v>
      </c>
      <c r="I22" s="52">
        <v>1</v>
      </c>
      <c r="J22" s="52" t="s">
        <v>1156</v>
      </c>
      <c r="K22" s="52" t="s">
        <v>1156</v>
      </c>
      <c r="L22" s="52" t="s">
        <v>33</v>
      </c>
      <c r="M22" s="52">
        <v>1</v>
      </c>
      <c r="N22" s="52">
        <v>1</v>
      </c>
      <c r="O22" s="52">
        <v>1</v>
      </c>
      <c r="P22" s="52" t="s">
        <v>1421</v>
      </c>
      <c r="Q22" s="52" t="s">
        <v>1517</v>
      </c>
      <c r="R22" s="52" t="s">
        <v>2467</v>
      </c>
      <c r="S22" s="52">
        <f t="shared" si="0"/>
        <v>18.149999999999999</v>
      </c>
      <c r="T22" s="52"/>
      <c r="U22" s="52" t="s">
        <v>8413</v>
      </c>
    </row>
    <row r="23" spans="1:21" s="46" customFormat="1" ht="16.5" thickTop="1" thickBot="1" x14ac:dyDescent="0.3">
      <c r="A23" s="50" t="s">
        <v>2094</v>
      </c>
      <c r="B23" s="43" t="s">
        <v>2095</v>
      </c>
      <c r="C23" s="43" t="s">
        <v>38</v>
      </c>
      <c r="D23" s="43" t="s">
        <v>17</v>
      </c>
      <c r="E23" s="43" t="s">
        <v>18</v>
      </c>
      <c r="F23" s="43" t="s">
        <v>42</v>
      </c>
      <c r="G23" s="48">
        <v>46146.618750000001</v>
      </c>
      <c r="H23" s="48">
        <v>46163.625</v>
      </c>
      <c r="I23" s="43">
        <v>45</v>
      </c>
      <c r="J23" s="43" t="s">
        <v>1156</v>
      </c>
      <c r="K23" s="43" t="s">
        <v>1156</v>
      </c>
      <c r="L23" s="43" t="s">
        <v>33</v>
      </c>
      <c r="M23" s="43">
        <v>45</v>
      </c>
      <c r="N23" s="43">
        <v>45</v>
      </c>
      <c r="O23" s="43">
        <v>45</v>
      </c>
      <c r="P23" s="43" t="s">
        <v>1439</v>
      </c>
      <c r="Q23" s="43" t="s">
        <v>1546</v>
      </c>
      <c r="R23" s="43" t="s">
        <v>2096</v>
      </c>
      <c r="S23" s="52">
        <f t="shared" si="0"/>
        <v>17.010000000000002</v>
      </c>
      <c r="T23" s="47"/>
      <c r="U23" s="47"/>
    </row>
    <row r="24" spans="1:21" ht="16.5" thickTop="1" thickBot="1" x14ac:dyDescent="0.3">
      <c r="A24" s="51" t="s">
        <v>2092</v>
      </c>
      <c r="B24" s="52" t="s">
        <v>2093</v>
      </c>
      <c r="C24" s="52" t="s">
        <v>38</v>
      </c>
      <c r="D24" s="52" t="s">
        <v>17</v>
      </c>
      <c r="E24" s="52" t="s">
        <v>18</v>
      </c>
      <c r="F24" s="52" t="s">
        <v>42</v>
      </c>
      <c r="G24" s="53">
        <v>46146.624305555553</v>
      </c>
      <c r="H24" s="53">
        <v>46151.634027777778</v>
      </c>
      <c r="I24" s="52">
        <v>3</v>
      </c>
      <c r="J24" s="52" t="s">
        <v>2373</v>
      </c>
      <c r="K24" s="52" t="s">
        <v>8326</v>
      </c>
      <c r="L24" s="52" t="s">
        <v>37</v>
      </c>
      <c r="M24" s="52">
        <v>3</v>
      </c>
      <c r="N24" s="52">
        <v>3</v>
      </c>
      <c r="O24" s="52">
        <v>3</v>
      </c>
      <c r="P24" s="52" t="s">
        <v>1441</v>
      </c>
      <c r="Q24" s="52" t="s">
        <v>1517</v>
      </c>
      <c r="R24" s="52" t="s">
        <v>2466</v>
      </c>
      <c r="S24" s="52">
        <f t="shared" si="0"/>
        <v>5.01</v>
      </c>
      <c r="T24" s="52"/>
      <c r="U24" s="52"/>
    </row>
    <row r="25" spans="1:21" s="46" customFormat="1" ht="16.5" thickTop="1" thickBot="1" x14ac:dyDescent="0.3">
      <c r="A25" s="50" t="s">
        <v>2090</v>
      </c>
      <c r="B25" s="43" t="s">
        <v>2091</v>
      </c>
      <c r="C25" s="43" t="s">
        <v>38</v>
      </c>
      <c r="D25" s="43" t="s">
        <v>17</v>
      </c>
      <c r="E25" s="43" t="s">
        <v>18</v>
      </c>
      <c r="F25" s="43" t="s">
        <v>42</v>
      </c>
      <c r="G25" s="48">
        <v>46146.627083333333</v>
      </c>
      <c r="H25" s="48">
        <v>46151.652083333334</v>
      </c>
      <c r="I25" s="43">
        <v>25</v>
      </c>
      <c r="J25" s="43" t="s">
        <v>2373</v>
      </c>
      <c r="K25" s="43" t="s">
        <v>8317</v>
      </c>
      <c r="L25" s="43" t="s">
        <v>37</v>
      </c>
      <c r="M25" s="43">
        <v>25</v>
      </c>
      <c r="N25" s="43">
        <v>25</v>
      </c>
      <c r="O25" s="43">
        <v>25</v>
      </c>
      <c r="P25" s="43" t="s">
        <v>1441</v>
      </c>
      <c r="Q25" s="43" t="s">
        <v>1517</v>
      </c>
      <c r="R25" s="43" t="s">
        <v>2465</v>
      </c>
      <c r="S25" s="52">
        <f t="shared" si="0"/>
        <v>5.03</v>
      </c>
      <c r="T25" s="47"/>
      <c r="U25" s="47"/>
    </row>
    <row r="26" spans="1:21" ht="16.5" thickTop="1" thickBot="1" x14ac:dyDescent="0.3">
      <c r="A26" s="51" t="s">
        <v>2088</v>
      </c>
      <c r="B26" s="52" t="s">
        <v>2089</v>
      </c>
      <c r="C26" s="52" t="s">
        <v>39</v>
      </c>
      <c r="D26" s="52" t="s">
        <v>17</v>
      </c>
      <c r="E26" s="52" t="s">
        <v>18</v>
      </c>
      <c r="F26" s="52" t="s">
        <v>42</v>
      </c>
      <c r="G26" s="53">
        <v>46146.632638888892</v>
      </c>
      <c r="H26" s="53">
        <v>46163.470138888886</v>
      </c>
      <c r="I26" s="52">
        <v>19</v>
      </c>
      <c r="J26" s="52" t="s">
        <v>1156</v>
      </c>
      <c r="K26" s="52" t="s">
        <v>1156</v>
      </c>
      <c r="L26" s="52" t="s">
        <v>33</v>
      </c>
      <c r="M26" s="52">
        <v>0</v>
      </c>
      <c r="N26" s="52">
        <v>0</v>
      </c>
      <c r="O26" s="52">
        <v>19</v>
      </c>
      <c r="P26" s="52" t="s">
        <v>1542</v>
      </c>
      <c r="Q26" s="52" t="s">
        <v>1517</v>
      </c>
      <c r="R26" s="52"/>
      <c r="S26" s="52">
        <f t="shared" si="0"/>
        <v>16.84</v>
      </c>
      <c r="T26" s="52"/>
      <c r="U26" s="52" t="s">
        <v>8412</v>
      </c>
    </row>
    <row r="27" spans="1:21" s="46" customFormat="1" ht="16.5" thickTop="1" thickBot="1" x14ac:dyDescent="0.3">
      <c r="A27" s="50" t="s">
        <v>2086</v>
      </c>
      <c r="B27" s="43" t="s">
        <v>2087</v>
      </c>
      <c r="C27" s="43" t="s">
        <v>38</v>
      </c>
      <c r="D27" s="43" t="s">
        <v>17</v>
      </c>
      <c r="E27" s="43" t="s">
        <v>18</v>
      </c>
      <c r="F27" s="43" t="s">
        <v>2067</v>
      </c>
      <c r="G27" s="48">
        <v>46146.645833333336</v>
      </c>
      <c r="H27" s="48">
        <v>46162.520138888889</v>
      </c>
      <c r="I27" s="43">
        <v>55</v>
      </c>
      <c r="J27" s="43" t="s">
        <v>2373</v>
      </c>
      <c r="K27" s="43" t="s">
        <v>8317</v>
      </c>
      <c r="L27" s="43" t="s">
        <v>25</v>
      </c>
      <c r="M27" s="43">
        <v>55</v>
      </c>
      <c r="N27" s="43">
        <v>55</v>
      </c>
      <c r="O27" s="43">
        <v>55</v>
      </c>
      <c r="P27" s="43" t="s">
        <v>1477</v>
      </c>
      <c r="Q27" s="43" t="s">
        <v>1517</v>
      </c>
      <c r="R27" s="43" t="s">
        <v>2464</v>
      </c>
      <c r="S27" s="52">
        <f t="shared" si="0"/>
        <v>15.87</v>
      </c>
      <c r="T27" s="47"/>
      <c r="U27" s="47"/>
    </row>
    <row r="28" spans="1:21" ht="16.5" thickTop="1" thickBot="1" x14ac:dyDescent="0.3">
      <c r="A28" s="51" t="s">
        <v>2084</v>
      </c>
      <c r="B28" s="52" t="s">
        <v>2085</v>
      </c>
      <c r="C28" s="52" t="s">
        <v>39</v>
      </c>
      <c r="D28" s="52" t="s">
        <v>17</v>
      </c>
      <c r="E28" s="52" t="s">
        <v>19</v>
      </c>
      <c r="F28" s="52" t="s">
        <v>19</v>
      </c>
      <c r="G28" s="53">
        <v>46146.647916666669</v>
      </c>
      <c r="H28" s="53">
        <v>46158.76666666667</v>
      </c>
      <c r="I28" s="52">
        <v>328</v>
      </c>
      <c r="J28" s="52" t="s">
        <v>1156</v>
      </c>
      <c r="K28" s="52" t="s">
        <v>1156</v>
      </c>
      <c r="L28" s="52" t="s">
        <v>20</v>
      </c>
      <c r="M28" s="52">
        <v>0</v>
      </c>
      <c r="N28" s="52">
        <v>0</v>
      </c>
      <c r="O28" s="52">
        <v>41</v>
      </c>
      <c r="P28" s="52" t="s">
        <v>1521</v>
      </c>
      <c r="Q28" s="52" t="s">
        <v>1514</v>
      </c>
      <c r="R28" s="52"/>
      <c r="S28" s="52">
        <f t="shared" si="0"/>
        <v>12.12</v>
      </c>
      <c r="T28" s="52"/>
      <c r="U28" s="52" t="s">
        <v>8412</v>
      </c>
    </row>
    <row r="29" spans="1:21" s="46" customFormat="1" ht="16.5" thickTop="1" thickBot="1" x14ac:dyDescent="0.3">
      <c r="A29" s="50" t="s">
        <v>2082</v>
      </c>
      <c r="B29" s="43" t="s">
        <v>2083</v>
      </c>
      <c r="C29" s="43" t="s">
        <v>38</v>
      </c>
      <c r="D29" s="43" t="s">
        <v>17</v>
      </c>
      <c r="E29" s="43" t="s">
        <v>18</v>
      </c>
      <c r="F29" s="43" t="s">
        <v>42</v>
      </c>
      <c r="G29" s="48">
        <v>46146.685416666667</v>
      </c>
      <c r="H29" s="48">
        <v>46155.944444444445</v>
      </c>
      <c r="I29" s="43">
        <v>162</v>
      </c>
      <c r="J29" s="43" t="s">
        <v>2373</v>
      </c>
      <c r="K29" s="43" t="s">
        <v>8317</v>
      </c>
      <c r="L29" s="43" t="s">
        <v>36</v>
      </c>
      <c r="M29" s="43">
        <v>162</v>
      </c>
      <c r="N29" s="43">
        <v>162</v>
      </c>
      <c r="O29" s="43">
        <v>162</v>
      </c>
      <c r="P29" s="43" t="s">
        <v>1479</v>
      </c>
      <c r="Q29" s="43" t="s">
        <v>1517</v>
      </c>
      <c r="R29" s="43"/>
      <c r="S29" s="52">
        <f t="shared" si="0"/>
        <v>9.26</v>
      </c>
      <c r="T29" s="47"/>
      <c r="U29" s="47"/>
    </row>
    <row r="30" spans="1:21" ht="16.5" thickTop="1" thickBot="1" x14ac:dyDescent="0.3">
      <c r="A30" s="51" t="s">
        <v>2080</v>
      </c>
      <c r="B30" s="52" t="s">
        <v>2081</v>
      </c>
      <c r="C30" s="52" t="s">
        <v>39</v>
      </c>
      <c r="D30" s="52" t="s">
        <v>17</v>
      </c>
      <c r="E30" s="52" t="s">
        <v>18</v>
      </c>
      <c r="F30" s="52" t="s">
        <v>42</v>
      </c>
      <c r="G30" s="53">
        <v>46146.689583333333</v>
      </c>
      <c r="H30" s="53">
        <v>46155.736111111109</v>
      </c>
      <c r="I30" s="52">
        <v>1</v>
      </c>
      <c r="J30" s="52" t="s">
        <v>1156</v>
      </c>
      <c r="K30" s="52" t="s">
        <v>1156</v>
      </c>
      <c r="L30" s="52" t="s">
        <v>33</v>
      </c>
      <c r="M30" s="52">
        <v>0</v>
      </c>
      <c r="N30" s="52">
        <v>0</v>
      </c>
      <c r="O30" s="52">
        <v>1</v>
      </c>
      <c r="P30" s="52" t="s">
        <v>1308</v>
      </c>
      <c r="Q30" s="52" t="s">
        <v>1514</v>
      </c>
      <c r="R30" s="52"/>
      <c r="S30" s="52">
        <f t="shared" si="0"/>
        <v>9.0500000000000007</v>
      </c>
      <c r="T30" s="52"/>
      <c r="U30" s="52"/>
    </row>
    <row r="31" spans="1:21" s="46" customFormat="1" ht="16.5" thickTop="1" thickBot="1" x14ac:dyDescent="0.3">
      <c r="A31" s="50" t="s">
        <v>2078</v>
      </c>
      <c r="B31" s="43" t="s">
        <v>2079</v>
      </c>
      <c r="C31" s="43" t="s">
        <v>38</v>
      </c>
      <c r="D31" s="43" t="s">
        <v>17</v>
      </c>
      <c r="E31" s="43" t="s">
        <v>18</v>
      </c>
      <c r="F31" s="43" t="s">
        <v>42</v>
      </c>
      <c r="G31" s="48">
        <v>46146.701388888891</v>
      </c>
      <c r="H31" s="48">
        <v>46157.80972222222</v>
      </c>
      <c r="I31" s="43">
        <v>34</v>
      </c>
      <c r="J31" s="43" t="s">
        <v>2373</v>
      </c>
      <c r="K31" s="43" t="s">
        <v>8264</v>
      </c>
      <c r="L31" s="43" t="s">
        <v>33</v>
      </c>
      <c r="M31" s="43">
        <v>32</v>
      </c>
      <c r="N31" s="43">
        <v>33</v>
      </c>
      <c r="O31" s="43">
        <v>34</v>
      </c>
      <c r="P31" s="43" t="s">
        <v>1468</v>
      </c>
      <c r="Q31" s="43" t="s">
        <v>1517</v>
      </c>
      <c r="R31" s="43"/>
      <c r="S31" s="52">
        <f t="shared" si="0"/>
        <v>11.11</v>
      </c>
      <c r="T31" s="47"/>
      <c r="U31" s="47"/>
    </row>
    <row r="32" spans="1:21" ht="16.5" thickTop="1" thickBot="1" x14ac:dyDescent="0.3">
      <c r="A32" s="51" t="s">
        <v>2076</v>
      </c>
      <c r="B32" s="52" t="s">
        <v>2077</v>
      </c>
      <c r="C32" s="52" t="s">
        <v>38</v>
      </c>
      <c r="D32" s="52" t="s">
        <v>17</v>
      </c>
      <c r="E32" s="52" t="s">
        <v>18</v>
      </c>
      <c r="F32" s="52" t="s">
        <v>42</v>
      </c>
      <c r="G32" s="53">
        <v>46146.740277777775</v>
      </c>
      <c r="H32" s="53">
        <v>46155.701388888891</v>
      </c>
      <c r="I32" s="52">
        <v>5</v>
      </c>
      <c r="J32" s="52" t="s">
        <v>1156</v>
      </c>
      <c r="K32" s="52" t="s">
        <v>1156</v>
      </c>
      <c r="L32" s="52" t="s">
        <v>33</v>
      </c>
      <c r="M32" s="52">
        <v>5</v>
      </c>
      <c r="N32" s="52">
        <v>5</v>
      </c>
      <c r="O32" s="52">
        <v>5</v>
      </c>
      <c r="P32" s="52" t="s">
        <v>1419</v>
      </c>
      <c r="Q32" s="52" t="s">
        <v>1517</v>
      </c>
      <c r="R32" s="52" t="s">
        <v>2463</v>
      </c>
      <c r="S32" s="52">
        <f t="shared" si="0"/>
        <v>8.9600000000000009</v>
      </c>
      <c r="T32" s="52"/>
      <c r="U32" s="52"/>
    </row>
    <row r="33" spans="1:21" s="46" customFormat="1" ht="16.5" thickTop="1" thickBot="1" x14ac:dyDescent="0.3">
      <c r="A33" s="50" t="s">
        <v>2074</v>
      </c>
      <c r="B33" s="43" t="s">
        <v>2075</v>
      </c>
      <c r="C33" s="43" t="s">
        <v>38</v>
      </c>
      <c r="D33" s="43" t="s">
        <v>17</v>
      </c>
      <c r="E33" s="43" t="s">
        <v>18</v>
      </c>
      <c r="F33" s="43" t="s">
        <v>42</v>
      </c>
      <c r="G33" s="48">
        <v>46146.745138888888</v>
      </c>
      <c r="H33" s="48">
        <v>46154.51458333333</v>
      </c>
      <c r="I33" s="43">
        <v>4</v>
      </c>
      <c r="J33" s="43" t="s">
        <v>1156</v>
      </c>
      <c r="K33" s="43" t="s">
        <v>1156</v>
      </c>
      <c r="L33" s="43" t="s">
        <v>33</v>
      </c>
      <c r="M33" s="43">
        <v>4</v>
      </c>
      <c r="N33" s="43">
        <v>4</v>
      </c>
      <c r="O33" s="43">
        <v>4</v>
      </c>
      <c r="P33" s="43" t="s">
        <v>1466</v>
      </c>
      <c r="Q33" s="43" t="s">
        <v>1517</v>
      </c>
      <c r="R33" s="43" t="s">
        <v>2462</v>
      </c>
      <c r="S33" s="52">
        <f t="shared" si="0"/>
        <v>7.77</v>
      </c>
      <c r="T33" s="47"/>
      <c r="U33" s="47"/>
    </row>
    <row r="34" spans="1:21" ht="16.5" thickTop="1" thickBot="1" x14ac:dyDescent="0.3">
      <c r="A34" s="51" t="s">
        <v>2071</v>
      </c>
      <c r="B34" s="52" t="s">
        <v>2072</v>
      </c>
      <c r="C34" s="52" t="s">
        <v>38</v>
      </c>
      <c r="D34" s="52" t="s">
        <v>17</v>
      </c>
      <c r="E34" s="52" t="s">
        <v>18</v>
      </c>
      <c r="F34" s="52" t="s">
        <v>42</v>
      </c>
      <c r="G34" s="53">
        <v>46146.746527777781</v>
      </c>
      <c r="H34" s="53">
        <v>46151.763888888891</v>
      </c>
      <c r="I34" s="52">
        <v>1</v>
      </c>
      <c r="J34" s="52" t="s">
        <v>2373</v>
      </c>
      <c r="K34" s="52" t="s">
        <v>8326</v>
      </c>
      <c r="L34" s="52" t="s">
        <v>33</v>
      </c>
      <c r="M34" s="52">
        <v>1</v>
      </c>
      <c r="N34" s="52">
        <v>1</v>
      </c>
      <c r="O34" s="52">
        <v>1</v>
      </c>
      <c r="P34" s="52" t="s">
        <v>2073</v>
      </c>
      <c r="Q34" s="52" t="s">
        <v>1517</v>
      </c>
      <c r="R34" s="52"/>
      <c r="S34" s="52">
        <f t="shared" si="0"/>
        <v>5.0199999999999996</v>
      </c>
      <c r="T34" s="52"/>
      <c r="U34" s="52"/>
    </row>
    <row r="35" spans="1:21" s="46" customFormat="1" ht="16.5" thickTop="1" thickBot="1" x14ac:dyDescent="0.3">
      <c r="A35" s="50" t="s">
        <v>2069</v>
      </c>
      <c r="B35" s="43" t="s">
        <v>2070</v>
      </c>
      <c r="C35" s="43" t="s">
        <v>38</v>
      </c>
      <c r="D35" s="43" t="s">
        <v>17</v>
      </c>
      <c r="E35" s="43" t="s">
        <v>18</v>
      </c>
      <c r="F35" s="43" t="s">
        <v>32</v>
      </c>
      <c r="G35" s="48">
        <v>46146.75277777778</v>
      </c>
      <c r="H35" s="48">
        <v>46154.624305555553</v>
      </c>
      <c r="I35" s="43">
        <v>1</v>
      </c>
      <c r="J35" s="43" t="s">
        <v>1156</v>
      </c>
      <c r="K35" s="43" t="s">
        <v>1156</v>
      </c>
      <c r="L35" s="43" t="s">
        <v>33</v>
      </c>
      <c r="M35" s="43">
        <v>1</v>
      </c>
      <c r="N35" s="43">
        <v>1</v>
      </c>
      <c r="O35" s="43">
        <v>1</v>
      </c>
      <c r="P35" s="43" t="s">
        <v>1471</v>
      </c>
      <c r="Q35" s="43" t="s">
        <v>1546</v>
      </c>
      <c r="R35" s="43" t="s">
        <v>2461</v>
      </c>
      <c r="S35" s="52">
        <f t="shared" si="0"/>
        <v>7.87</v>
      </c>
      <c r="T35" s="47"/>
      <c r="U35" s="47"/>
    </row>
    <row r="36" spans="1:21" ht="16.5" thickTop="1" thickBot="1" x14ac:dyDescent="0.3">
      <c r="A36" s="51" t="s">
        <v>2065</v>
      </c>
      <c r="B36" s="52" t="s">
        <v>2066</v>
      </c>
      <c r="C36" s="52" t="s">
        <v>38</v>
      </c>
      <c r="D36" s="52" t="s">
        <v>17</v>
      </c>
      <c r="E36" s="52" t="s">
        <v>19</v>
      </c>
      <c r="F36" s="52" t="s">
        <v>2067</v>
      </c>
      <c r="G36" s="53">
        <v>46146.79791666667</v>
      </c>
      <c r="H36" s="53">
        <v>46149.769444444442</v>
      </c>
      <c r="I36" s="52">
        <v>96</v>
      </c>
      <c r="J36" s="52" t="s">
        <v>1156</v>
      </c>
      <c r="K36" s="52" t="s">
        <v>1156</v>
      </c>
      <c r="L36" s="52" t="s">
        <v>20</v>
      </c>
      <c r="M36" s="52">
        <v>96</v>
      </c>
      <c r="N36" s="52">
        <v>16</v>
      </c>
      <c r="O36" s="52">
        <v>16</v>
      </c>
      <c r="P36" s="52" t="s">
        <v>2068</v>
      </c>
      <c r="Q36" s="52" t="s">
        <v>1517</v>
      </c>
      <c r="R36" s="52" t="s">
        <v>2460</v>
      </c>
      <c r="S36" s="52">
        <f t="shared" si="0"/>
        <v>2.97</v>
      </c>
      <c r="T36" s="52"/>
      <c r="U36" s="52"/>
    </row>
    <row r="37" spans="1:21" s="46" customFormat="1" ht="16.5" thickTop="1" thickBot="1" x14ac:dyDescent="0.3">
      <c r="A37" s="50" t="s">
        <v>2063</v>
      </c>
      <c r="B37" s="43" t="s">
        <v>2064</v>
      </c>
      <c r="C37" s="43" t="s">
        <v>38</v>
      </c>
      <c r="D37" s="43" t="s">
        <v>17</v>
      </c>
      <c r="E37" s="43" t="s">
        <v>18</v>
      </c>
      <c r="F37" s="43" t="s">
        <v>28</v>
      </c>
      <c r="G37" s="48">
        <v>46146.8</v>
      </c>
      <c r="H37" s="48">
        <v>46155.736111111109</v>
      </c>
      <c r="I37" s="43">
        <v>174</v>
      </c>
      <c r="J37" s="43" t="s">
        <v>1156</v>
      </c>
      <c r="K37" s="43" t="s">
        <v>1156</v>
      </c>
      <c r="L37" s="43" t="s">
        <v>20</v>
      </c>
      <c r="M37" s="43">
        <v>174</v>
      </c>
      <c r="N37" s="43">
        <v>27</v>
      </c>
      <c r="O37" s="43">
        <v>27</v>
      </c>
      <c r="P37" s="43" t="s">
        <v>1501</v>
      </c>
      <c r="Q37" s="43" t="s">
        <v>1514</v>
      </c>
      <c r="R37" s="43" t="s">
        <v>2459</v>
      </c>
      <c r="S37" s="52">
        <f t="shared" si="0"/>
        <v>8.94</v>
      </c>
      <c r="T37" s="47"/>
      <c r="U37" s="47"/>
    </row>
    <row r="38" spans="1:21" ht="16.5" thickTop="1" thickBot="1" x14ac:dyDescent="0.3">
      <c r="A38" s="51" t="s">
        <v>2060</v>
      </c>
      <c r="B38" s="52" t="s">
        <v>2061</v>
      </c>
      <c r="C38" s="52" t="s">
        <v>38</v>
      </c>
      <c r="D38" s="52" t="s">
        <v>17</v>
      </c>
      <c r="E38" s="52" t="s">
        <v>18</v>
      </c>
      <c r="F38" s="52" t="s">
        <v>42</v>
      </c>
      <c r="G38" s="53">
        <v>46147.459027777775</v>
      </c>
      <c r="H38" s="53">
        <v>46151.768750000003</v>
      </c>
      <c r="I38" s="52">
        <v>1</v>
      </c>
      <c r="J38" s="52" t="s">
        <v>2373</v>
      </c>
      <c r="K38" s="52" t="s">
        <v>8317</v>
      </c>
      <c r="L38" s="52" t="s">
        <v>33</v>
      </c>
      <c r="M38" s="52">
        <v>1</v>
      </c>
      <c r="N38" s="52">
        <v>1</v>
      </c>
      <c r="O38" s="52">
        <v>1</v>
      </c>
      <c r="P38" s="52" t="s">
        <v>2062</v>
      </c>
      <c r="Q38" s="52" t="s">
        <v>1546</v>
      </c>
      <c r="R38" s="52"/>
      <c r="S38" s="52">
        <f t="shared" si="0"/>
        <v>4.3099999999999996</v>
      </c>
      <c r="T38" s="52"/>
      <c r="U38" s="52"/>
    </row>
    <row r="39" spans="1:21" s="46" customFormat="1" ht="16.5" thickTop="1" thickBot="1" x14ac:dyDescent="0.3">
      <c r="A39" s="50" t="s">
        <v>2058</v>
      </c>
      <c r="B39" s="43" t="s">
        <v>2059</v>
      </c>
      <c r="C39" s="43" t="s">
        <v>38</v>
      </c>
      <c r="D39" s="43" t="s">
        <v>17</v>
      </c>
      <c r="E39" s="43" t="s">
        <v>18</v>
      </c>
      <c r="F39" s="43" t="s">
        <v>42</v>
      </c>
      <c r="G39" s="48">
        <v>46147.470138888886</v>
      </c>
      <c r="H39" s="48">
        <v>46154.624305555553</v>
      </c>
      <c r="I39" s="43">
        <v>1</v>
      </c>
      <c r="J39" s="43" t="s">
        <v>1156</v>
      </c>
      <c r="K39" s="43" t="s">
        <v>8351</v>
      </c>
      <c r="L39" s="43" t="s">
        <v>33</v>
      </c>
      <c r="M39" s="43">
        <v>1</v>
      </c>
      <c r="N39" s="43">
        <v>1</v>
      </c>
      <c r="O39" s="43">
        <v>1</v>
      </c>
      <c r="P39" s="43" t="s">
        <v>1460</v>
      </c>
      <c r="Q39" s="43" t="s">
        <v>1546</v>
      </c>
      <c r="R39" s="43" t="s">
        <v>2458</v>
      </c>
      <c r="S39" s="52">
        <f t="shared" si="0"/>
        <v>7.15</v>
      </c>
      <c r="T39" s="47"/>
      <c r="U39" s="47"/>
    </row>
    <row r="40" spans="1:21" ht="16.5" thickTop="1" thickBot="1" x14ac:dyDescent="0.3">
      <c r="A40" s="51" t="s">
        <v>2055</v>
      </c>
      <c r="B40" s="52" t="s">
        <v>2056</v>
      </c>
      <c r="C40" s="52" t="s">
        <v>38</v>
      </c>
      <c r="D40" s="52" t="s">
        <v>17</v>
      </c>
      <c r="E40" s="52" t="s">
        <v>19</v>
      </c>
      <c r="F40" s="52" t="s">
        <v>21</v>
      </c>
      <c r="G40" s="53">
        <v>46147.477083333331</v>
      </c>
      <c r="H40" s="53">
        <v>46151.771527777775</v>
      </c>
      <c r="I40" s="52">
        <v>1</v>
      </c>
      <c r="J40" s="52" t="s">
        <v>2373</v>
      </c>
      <c r="K40" s="52" t="s">
        <v>8317</v>
      </c>
      <c r="L40" s="52" t="s">
        <v>44</v>
      </c>
      <c r="M40" s="52">
        <v>1</v>
      </c>
      <c r="N40" s="52">
        <v>1</v>
      </c>
      <c r="O40" s="52">
        <v>1</v>
      </c>
      <c r="P40" s="52" t="s">
        <v>2057</v>
      </c>
      <c r="Q40" s="52" t="s">
        <v>1517</v>
      </c>
      <c r="R40" s="52"/>
      <c r="S40" s="52">
        <f t="shared" si="0"/>
        <v>4.29</v>
      </c>
      <c r="T40" s="52"/>
      <c r="U40" s="52"/>
    </row>
    <row r="41" spans="1:21" s="46" customFormat="1" ht="16.5" thickTop="1" thickBot="1" x14ac:dyDescent="0.3">
      <c r="A41" s="50" t="s">
        <v>2052</v>
      </c>
      <c r="B41" s="43" t="s">
        <v>2053</v>
      </c>
      <c r="C41" s="43" t="s">
        <v>38</v>
      </c>
      <c r="D41" s="43" t="s">
        <v>17</v>
      </c>
      <c r="E41" s="43" t="s">
        <v>19</v>
      </c>
      <c r="F41" s="43" t="s">
        <v>21</v>
      </c>
      <c r="G41" s="48">
        <v>46147.52847222222</v>
      </c>
      <c r="H41" s="48">
        <v>46153.560416666667</v>
      </c>
      <c r="I41" s="43">
        <v>57</v>
      </c>
      <c r="J41" s="43" t="s">
        <v>2373</v>
      </c>
      <c r="K41" s="43" t="s">
        <v>8317</v>
      </c>
      <c r="L41" s="43" t="s">
        <v>44</v>
      </c>
      <c r="M41" s="43">
        <v>57</v>
      </c>
      <c r="N41" s="43">
        <v>57</v>
      </c>
      <c r="O41" s="43">
        <v>57</v>
      </c>
      <c r="P41" s="43" t="s">
        <v>2054</v>
      </c>
      <c r="Q41" s="43" t="s">
        <v>1517</v>
      </c>
      <c r="R41" s="43"/>
      <c r="S41" s="52">
        <f t="shared" si="0"/>
        <v>6.03</v>
      </c>
      <c r="T41" s="47"/>
      <c r="U41" s="47"/>
    </row>
    <row r="42" spans="1:21" ht="16.5" thickTop="1" thickBot="1" x14ac:dyDescent="0.3">
      <c r="A42" s="51" t="s">
        <v>2050</v>
      </c>
      <c r="B42" s="52" t="s">
        <v>2051</v>
      </c>
      <c r="C42" s="52" t="s">
        <v>39</v>
      </c>
      <c r="D42" s="52" t="s">
        <v>17</v>
      </c>
      <c r="E42" s="52" t="s">
        <v>18</v>
      </c>
      <c r="F42" s="52" t="s">
        <v>42</v>
      </c>
      <c r="G42" s="53">
        <v>46147.529166666667</v>
      </c>
      <c r="H42" s="53">
        <v>46156.813194444447</v>
      </c>
      <c r="I42" s="52">
        <v>0</v>
      </c>
      <c r="J42" s="52" t="s">
        <v>1156</v>
      </c>
      <c r="K42" s="52" t="s">
        <v>1156</v>
      </c>
      <c r="L42" s="52" t="s">
        <v>33</v>
      </c>
      <c r="M42" s="52">
        <v>0</v>
      </c>
      <c r="N42" s="52">
        <v>0</v>
      </c>
      <c r="O42" s="52">
        <v>19</v>
      </c>
      <c r="P42" s="52" t="s">
        <v>1493</v>
      </c>
      <c r="Q42" s="52" t="s">
        <v>1517</v>
      </c>
      <c r="R42" s="52"/>
      <c r="S42" s="52">
        <f t="shared" si="0"/>
        <v>9.2799999999999994</v>
      </c>
      <c r="T42" s="52"/>
      <c r="U42" s="52"/>
    </row>
    <row r="43" spans="1:21" s="46" customFormat="1" ht="16.5" thickTop="1" thickBot="1" x14ac:dyDescent="0.3">
      <c r="A43" s="50" t="s">
        <v>2047</v>
      </c>
      <c r="B43" s="43" t="s">
        <v>2048</v>
      </c>
      <c r="C43" s="43" t="s">
        <v>38</v>
      </c>
      <c r="D43" s="43" t="s">
        <v>17</v>
      </c>
      <c r="E43" s="43" t="s">
        <v>18</v>
      </c>
      <c r="F43" s="43" t="s">
        <v>42</v>
      </c>
      <c r="G43" s="48">
        <v>46147.56527777778</v>
      </c>
      <c r="H43" s="48">
        <v>46163.623611111114</v>
      </c>
      <c r="I43" s="43">
        <v>7</v>
      </c>
      <c r="J43" s="43" t="s">
        <v>1156</v>
      </c>
      <c r="K43" s="43" t="s">
        <v>1156</v>
      </c>
      <c r="L43" s="43" t="s">
        <v>33</v>
      </c>
      <c r="M43" s="43">
        <v>7</v>
      </c>
      <c r="N43" s="43">
        <v>7</v>
      </c>
      <c r="O43" s="43">
        <v>7</v>
      </c>
      <c r="P43" s="43" t="s">
        <v>2049</v>
      </c>
      <c r="Q43" s="43" t="s">
        <v>1517</v>
      </c>
      <c r="R43" s="43" t="s">
        <v>2457</v>
      </c>
      <c r="S43" s="52">
        <f t="shared" si="0"/>
        <v>16.059999999999999</v>
      </c>
      <c r="T43" s="47"/>
      <c r="U43" s="47"/>
    </row>
    <row r="44" spans="1:21" ht="16.5" thickTop="1" thickBot="1" x14ac:dyDescent="0.3">
      <c r="A44" s="51" t="s">
        <v>2043</v>
      </c>
      <c r="B44" s="52" t="s">
        <v>2044</v>
      </c>
      <c r="C44" s="52" t="s">
        <v>38</v>
      </c>
      <c r="D44" s="52" t="s">
        <v>17</v>
      </c>
      <c r="E44" s="52" t="s">
        <v>19</v>
      </c>
      <c r="F44" s="52" t="s">
        <v>19</v>
      </c>
      <c r="G44" s="53">
        <v>46147.595138888886</v>
      </c>
      <c r="H44" s="53">
        <v>46157.623611111114</v>
      </c>
      <c r="I44" s="52">
        <v>28</v>
      </c>
      <c r="J44" s="52" t="s">
        <v>1156</v>
      </c>
      <c r="K44" s="52" t="s">
        <v>1156</v>
      </c>
      <c r="L44" s="52" t="s">
        <v>20</v>
      </c>
      <c r="M44" s="52">
        <v>28</v>
      </c>
      <c r="N44" s="52">
        <v>4</v>
      </c>
      <c r="O44" s="52">
        <v>4</v>
      </c>
      <c r="P44" s="52" t="s">
        <v>2045</v>
      </c>
      <c r="Q44" s="52" t="s">
        <v>1517</v>
      </c>
      <c r="R44" s="52" t="s">
        <v>2046</v>
      </c>
      <c r="S44" s="52">
        <f t="shared" si="0"/>
        <v>10.029999999999999</v>
      </c>
      <c r="T44" s="52"/>
      <c r="U44" s="52"/>
    </row>
    <row r="45" spans="1:21" s="46" customFormat="1" ht="16.5" thickTop="1" thickBot="1" x14ac:dyDescent="0.3">
      <c r="A45" s="50" t="s">
        <v>2041</v>
      </c>
      <c r="B45" s="43" t="s">
        <v>2042</v>
      </c>
      <c r="C45" s="43" t="s">
        <v>38</v>
      </c>
      <c r="D45" s="43" t="s">
        <v>17</v>
      </c>
      <c r="E45" s="43" t="s">
        <v>19</v>
      </c>
      <c r="F45" s="43" t="s">
        <v>19</v>
      </c>
      <c r="G45" s="48">
        <v>46147.601388888892</v>
      </c>
      <c r="H45" s="48">
        <v>46157.62222222222</v>
      </c>
      <c r="I45" s="43">
        <v>80</v>
      </c>
      <c r="J45" s="43" t="s">
        <v>1156</v>
      </c>
      <c r="K45" s="43" t="s">
        <v>1156</v>
      </c>
      <c r="L45" s="43" t="s">
        <v>20</v>
      </c>
      <c r="M45" s="43">
        <v>80</v>
      </c>
      <c r="N45" s="43">
        <v>16</v>
      </c>
      <c r="O45" s="43">
        <v>16</v>
      </c>
      <c r="P45" s="43" t="s">
        <v>1427</v>
      </c>
      <c r="Q45" s="43" t="s">
        <v>1517</v>
      </c>
      <c r="R45" s="43" t="s">
        <v>2456</v>
      </c>
      <c r="S45" s="52">
        <f t="shared" si="0"/>
        <v>10.02</v>
      </c>
      <c r="T45" s="47"/>
      <c r="U45" s="47"/>
    </row>
    <row r="46" spans="1:21" ht="16.5" thickTop="1" thickBot="1" x14ac:dyDescent="0.3">
      <c r="A46" s="51" t="s">
        <v>2038</v>
      </c>
      <c r="B46" s="52" t="s">
        <v>2039</v>
      </c>
      <c r="C46" s="52" t="s">
        <v>38</v>
      </c>
      <c r="D46" s="52" t="s">
        <v>17</v>
      </c>
      <c r="E46" s="52" t="s">
        <v>18</v>
      </c>
      <c r="F46" s="52" t="s">
        <v>42</v>
      </c>
      <c r="G46" s="53">
        <v>46147.664583333331</v>
      </c>
      <c r="H46" s="53">
        <v>46163.620138888888</v>
      </c>
      <c r="I46" s="52">
        <v>25</v>
      </c>
      <c r="J46" s="52" t="s">
        <v>1156</v>
      </c>
      <c r="K46" s="52" t="s">
        <v>1156</v>
      </c>
      <c r="L46" s="52" t="s">
        <v>33</v>
      </c>
      <c r="M46" s="52">
        <v>25</v>
      </c>
      <c r="N46" s="52">
        <v>25</v>
      </c>
      <c r="O46" s="52">
        <v>25</v>
      </c>
      <c r="P46" s="52" t="s">
        <v>2040</v>
      </c>
      <c r="Q46" s="52" t="s">
        <v>1517</v>
      </c>
      <c r="R46" s="52" t="s">
        <v>2455</v>
      </c>
      <c r="S46" s="52">
        <f t="shared" si="0"/>
        <v>15.96</v>
      </c>
      <c r="T46" s="52"/>
      <c r="U46" s="52"/>
    </row>
    <row r="47" spans="1:21" s="46" customFormat="1" ht="16.5" thickTop="1" thickBot="1" x14ac:dyDescent="0.3">
      <c r="A47" s="50" t="s">
        <v>2036</v>
      </c>
      <c r="B47" s="43" t="s">
        <v>2037</v>
      </c>
      <c r="C47" s="43" t="s">
        <v>38</v>
      </c>
      <c r="D47" s="43" t="s">
        <v>17</v>
      </c>
      <c r="E47" s="43" t="s">
        <v>19</v>
      </c>
      <c r="F47" s="43" t="s">
        <v>21</v>
      </c>
      <c r="G47" s="48">
        <v>46147.665277777778</v>
      </c>
      <c r="H47" s="48">
        <v>46157.618750000001</v>
      </c>
      <c r="I47" s="43">
        <v>286</v>
      </c>
      <c r="J47" s="43" t="s">
        <v>1156</v>
      </c>
      <c r="K47" s="43" t="s">
        <v>8343</v>
      </c>
      <c r="L47" s="43" t="s">
        <v>20</v>
      </c>
      <c r="M47" s="43">
        <v>246</v>
      </c>
      <c r="N47" s="43">
        <v>53</v>
      </c>
      <c r="O47" s="43">
        <v>61</v>
      </c>
      <c r="P47" s="43" t="s">
        <v>1341</v>
      </c>
      <c r="Q47" s="43" t="s">
        <v>1517</v>
      </c>
      <c r="R47" s="43" t="s">
        <v>2454</v>
      </c>
      <c r="S47" s="52">
        <f t="shared" si="0"/>
        <v>9.9499999999999993</v>
      </c>
      <c r="T47" s="47"/>
      <c r="U47" s="47"/>
    </row>
    <row r="48" spans="1:21" ht="16.5" thickTop="1" thickBot="1" x14ac:dyDescent="0.3">
      <c r="A48" s="51" t="s">
        <v>2033</v>
      </c>
      <c r="B48" s="52" t="s">
        <v>2034</v>
      </c>
      <c r="C48" s="52" t="s">
        <v>38</v>
      </c>
      <c r="D48" s="52" t="s">
        <v>17</v>
      </c>
      <c r="E48" s="52" t="s">
        <v>19</v>
      </c>
      <c r="F48" s="52" t="s">
        <v>42</v>
      </c>
      <c r="G48" s="53">
        <v>46147.669444444444</v>
      </c>
      <c r="H48" s="53">
        <v>46158.618750000001</v>
      </c>
      <c r="I48" s="52">
        <v>38</v>
      </c>
      <c r="J48" s="52" t="s">
        <v>1156</v>
      </c>
      <c r="K48" s="52" t="s">
        <v>1156</v>
      </c>
      <c r="L48" s="52" t="s">
        <v>33</v>
      </c>
      <c r="M48" s="52">
        <v>26</v>
      </c>
      <c r="N48" s="52">
        <v>26</v>
      </c>
      <c r="O48" s="52">
        <v>38</v>
      </c>
      <c r="P48" s="52" t="s">
        <v>2035</v>
      </c>
      <c r="Q48" s="52" t="s">
        <v>1517</v>
      </c>
      <c r="R48" s="52" t="s">
        <v>2453</v>
      </c>
      <c r="S48" s="52">
        <f t="shared" si="0"/>
        <v>10.95</v>
      </c>
      <c r="T48" s="52"/>
      <c r="U48" s="52"/>
    </row>
    <row r="49" spans="1:21" s="46" customFormat="1" ht="16.5" thickTop="1" thickBot="1" x14ac:dyDescent="0.3">
      <c r="A49" s="50" t="s">
        <v>2031</v>
      </c>
      <c r="B49" s="43" t="s">
        <v>2032</v>
      </c>
      <c r="C49" s="43" t="s">
        <v>38</v>
      </c>
      <c r="D49" s="43" t="s">
        <v>17</v>
      </c>
      <c r="E49" s="43" t="s">
        <v>19</v>
      </c>
      <c r="F49" s="43" t="s">
        <v>21</v>
      </c>
      <c r="G49" s="48">
        <v>46147.680555555555</v>
      </c>
      <c r="H49" s="48">
        <v>46150.617361111108</v>
      </c>
      <c r="I49" s="43">
        <v>120</v>
      </c>
      <c r="J49" s="43" t="s">
        <v>1156</v>
      </c>
      <c r="K49" s="43" t="s">
        <v>1156</v>
      </c>
      <c r="L49" s="43" t="s">
        <v>20</v>
      </c>
      <c r="M49" s="43">
        <v>120</v>
      </c>
      <c r="N49" s="43">
        <v>20</v>
      </c>
      <c r="O49" s="43">
        <v>20</v>
      </c>
      <c r="P49" s="43" t="s">
        <v>1456</v>
      </c>
      <c r="Q49" s="43" t="s">
        <v>1514</v>
      </c>
      <c r="R49" s="43" t="s">
        <v>2452</v>
      </c>
      <c r="S49" s="52">
        <f t="shared" si="0"/>
        <v>2.94</v>
      </c>
      <c r="T49" s="47"/>
      <c r="U49" s="47"/>
    </row>
    <row r="50" spans="1:21" ht="16.5" thickTop="1" thickBot="1" x14ac:dyDescent="0.3">
      <c r="A50" s="51" t="s">
        <v>2029</v>
      </c>
      <c r="B50" s="52" t="s">
        <v>2030</v>
      </c>
      <c r="C50" s="52" t="s">
        <v>38</v>
      </c>
      <c r="D50" s="52" t="s">
        <v>17</v>
      </c>
      <c r="E50" s="52" t="s">
        <v>18</v>
      </c>
      <c r="F50" s="52" t="s">
        <v>28</v>
      </c>
      <c r="G50" s="53">
        <v>46147.6875</v>
      </c>
      <c r="H50" s="53">
        <v>46155.73541666667</v>
      </c>
      <c r="I50" s="52">
        <v>157</v>
      </c>
      <c r="J50" s="52" t="s">
        <v>1156</v>
      </c>
      <c r="K50" s="52" t="s">
        <v>8350</v>
      </c>
      <c r="L50" s="52" t="s">
        <v>20</v>
      </c>
      <c r="M50" s="52">
        <v>157</v>
      </c>
      <c r="N50" s="52">
        <v>31</v>
      </c>
      <c r="O50" s="52">
        <v>31</v>
      </c>
      <c r="P50" s="52" t="s">
        <v>1452</v>
      </c>
      <c r="Q50" s="52" t="s">
        <v>1546</v>
      </c>
      <c r="R50" s="52" t="s">
        <v>2451</v>
      </c>
      <c r="S50" s="52">
        <f t="shared" si="0"/>
        <v>8.0500000000000007</v>
      </c>
      <c r="T50" s="52"/>
      <c r="U50" s="52"/>
    </row>
    <row r="51" spans="1:21" s="46" customFormat="1" ht="16.5" thickTop="1" thickBot="1" x14ac:dyDescent="0.3">
      <c r="A51" s="50" t="s">
        <v>2027</v>
      </c>
      <c r="B51" s="43" t="s">
        <v>2028</v>
      </c>
      <c r="C51" s="43" t="s">
        <v>38</v>
      </c>
      <c r="D51" s="43" t="s">
        <v>17</v>
      </c>
      <c r="E51" s="43" t="s">
        <v>19</v>
      </c>
      <c r="F51" s="43" t="s">
        <v>21</v>
      </c>
      <c r="G51" s="48">
        <v>46147.69027777778</v>
      </c>
      <c r="H51" s="48">
        <v>46149.70208333333</v>
      </c>
      <c r="I51" s="43">
        <v>76</v>
      </c>
      <c r="J51" s="43" t="s">
        <v>1156</v>
      </c>
      <c r="K51" s="43" t="s">
        <v>1156</v>
      </c>
      <c r="L51" s="43" t="s">
        <v>20</v>
      </c>
      <c r="M51" s="43">
        <v>76</v>
      </c>
      <c r="N51" s="43">
        <v>10</v>
      </c>
      <c r="O51" s="43">
        <v>10</v>
      </c>
      <c r="P51" s="43" t="s">
        <v>1321</v>
      </c>
      <c r="Q51" s="43" t="s">
        <v>1514</v>
      </c>
      <c r="R51" s="43" t="s">
        <v>2450</v>
      </c>
      <c r="S51" s="52">
        <f t="shared" si="0"/>
        <v>2.0099999999999998</v>
      </c>
      <c r="T51" s="47"/>
      <c r="U51" s="47"/>
    </row>
    <row r="52" spans="1:21" ht="16.5" thickTop="1" thickBot="1" x14ac:dyDescent="0.3">
      <c r="A52" s="51" t="s">
        <v>2024</v>
      </c>
      <c r="B52" s="52" t="s">
        <v>2025</v>
      </c>
      <c r="C52" s="52" t="s">
        <v>38</v>
      </c>
      <c r="D52" s="52" t="s">
        <v>17</v>
      </c>
      <c r="E52" s="52" t="s">
        <v>18</v>
      </c>
      <c r="F52" s="52" t="s">
        <v>32</v>
      </c>
      <c r="G52" s="53">
        <v>46147.74722222222</v>
      </c>
      <c r="H52" s="53">
        <v>46163.588194444441</v>
      </c>
      <c r="I52" s="52">
        <v>33</v>
      </c>
      <c r="J52" s="52" t="s">
        <v>1156</v>
      </c>
      <c r="K52" s="52" t="s">
        <v>1156</v>
      </c>
      <c r="L52" s="52" t="s">
        <v>33</v>
      </c>
      <c r="M52" s="52">
        <v>33</v>
      </c>
      <c r="N52" s="52">
        <v>33</v>
      </c>
      <c r="O52" s="52">
        <v>33</v>
      </c>
      <c r="P52" s="52" t="s">
        <v>2026</v>
      </c>
      <c r="Q52" s="52" t="s">
        <v>1517</v>
      </c>
      <c r="R52" s="52" t="s">
        <v>2449</v>
      </c>
      <c r="S52" s="52">
        <f t="shared" si="0"/>
        <v>15.84</v>
      </c>
      <c r="T52" s="52"/>
      <c r="U52" s="52"/>
    </row>
    <row r="53" spans="1:21" s="46" customFormat="1" ht="16.5" thickTop="1" thickBot="1" x14ac:dyDescent="0.3">
      <c r="A53" s="50" t="s">
        <v>2022</v>
      </c>
      <c r="B53" s="43" t="s">
        <v>2023</v>
      </c>
      <c r="C53" s="43" t="s">
        <v>38</v>
      </c>
      <c r="D53" s="43" t="s">
        <v>17</v>
      </c>
      <c r="E53" s="43" t="s">
        <v>18</v>
      </c>
      <c r="F53" s="43" t="s">
        <v>32</v>
      </c>
      <c r="G53" s="48">
        <v>46147.760416666664</v>
      </c>
      <c r="H53" s="48">
        <v>46163.463888888888</v>
      </c>
      <c r="I53" s="43">
        <v>14</v>
      </c>
      <c r="J53" s="43" t="s">
        <v>1156</v>
      </c>
      <c r="K53" s="43" t="s">
        <v>1156</v>
      </c>
      <c r="L53" s="43" t="s">
        <v>33</v>
      </c>
      <c r="M53" s="43">
        <v>6</v>
      </c>
      <c r="N53" s="43">
        <v>6</v>
      </c>
      <c r="O53" s="43">
        <v>14</v>
      </c>
      <c r="P53" s="43" t="s">
        <v>1483</v>
      </c>
      <c r="Q53" s="43" t="s">
        <v>1514</v>
      </c>
      <c r="R53" s="43" t="s">
        <v>2448</v>
      </c>
      <c r="S53" s="52">
        <f t="shared" si="0"/>
        <v>15.7</v>
      </c>
      <c r="T53" s="47"/>
      <c r="U53" s="47"/>
    </row>
    <row r="54" spans="1:21" ht="16.5" thickTop="1" thickBot="1" x14ac:dyDescent="0.3">
      <c r="A54" s="51" t="s">
        <v>2019</v>
      </c>
      <c r="B54" s="52" t="s">
        <v>2020</v>
      </c>
      <c r="C54" s="52" t="s">
        <v>38</v>
      </c>
      <c r="D54" s="52" t="s">
        <v>17</v>
      </c>
      <c r="E54" s="52" t="s">
        <v>19</v>
      </c>
      <c r="F54" s="52" t="s">
        <v>21</v>
      </c>
      <c r="G54" s="53">
        <v>46147.785416666666</v>
      </c>
      <c r="H54" s="53">
        <v>46153.427777777775</v>
      </c>
      <c r="I54" s="52">
        <v>12</v>
      </c>
      <c r="J54" s="52" t="s">
        <v>2373</v>
      </c>
      <c r="K54" s="52" t="s">
        <v>8317</v>
      </c>
      <c r="L54" s="52" t="s">
        <v>26</v>
      </c>
      <c r="M54" s="52">
        <v>12</v>
      </c>
      <c r="N54" s="52">
        <v>2</v>
      </c>
      <c r="O54" s="52">
        <v>2</v>
      </c>
      <c r="P54" s="52" t="s">
        <v>2021</v>
      </c>
      <c r="Q54" s="52" t="s">
        <v>1517</v>
      </c>
      <c r="R54" s="52"/>
      <c r="S54" s="52">
        <f t="shared" si="0"/>
        <v>5.64</v>
      </c>
      <c r="T54" s="52"/>
      <c r="U54" s="52"/>
    </row>
    <row r="55" spans="1:21" s="46" customFormat="1" ht="16.5" thickTop="1" thickBot="1" x14ac:dyDescent="0.3">
      <c r="A55" s="50" t="s">
        <v>2017</v>
      </c>
      <c r="B55" s="43" t="s">
        <v>2018</v>
      </c>
      <c r="C55" s="43" t="s">
        <v>38</v>
      </c>
      <c r="D55" s="43" t="s">
        <v>17</v>
      </c>
      <c r="E55" s="43" t="s">
        <v>18</v>
      </c>
      <c r="F55" s="43" t="s">
        <v>32</v>
      </c>
      <c r="G55" s="48">
        <v>46147.794444444444</v>
      </c>
      <c r="H55" s="48">
        <v>46154.679166666669</v>
      </c>
      <c r="I55" s="43">
        <v>12</v>
      </c>
      <c r="J55" s="43" t="s">
        <v>1156</v>
      </c>
      <c r="K55" s="43" t="s">
        <v>1156</v>
      </c>
      <c r="L55" s="43" t="s">
        <v>33</v>
      </c>
      <c r="M55" s="43">
        <v>12</v>
      </c>
      <c r="N55" s="43">
        <v>12</v>
      </c>
      <c r="O55" s="43">
        <v>12</v>
      </c>
      <c r="P55" s="43" t="s">
        <v>1502</v>
      </c>
      <c r="Q55" s="43" t="s">
        <v>1546</v>
      </c>
      <c r="R55" s="43" t="s">
        <v>2447</v>
      </c>
      <c r="S55" s="52">
        <f t="shared" si="0"/>
        <v>6.88</v>
      </c>
      <c r="T55" s="47"/>
      <c r="U55" s="47"/>
    </row>
    <row r="56" spans="1:21" ht="16.5" thickTop="1" thickBot="1" x14ac:dyDescent="0.3">
      <c r="A56" s="51" t="s">
        <v>2015</v>
      </c>
      <c r="B56" s="52" t="s">
        <v>2016</v>
      </c>
      <c r="C56" s="52" t="s">
        <v>38</v>
      </c>
      <c r="D56" s="52" t="s">
        <v>17</v>
      </c>
      <c r="E56" s="52" t="s">
        <v>19</v>
      </c>
      <c r="F56" s="52" t="s">
        <v>21</v>
      </c>
      <c r="G56" s="53">
        <v>46148.454861111109</v>
      </c>
      <c r="H56" s="53">
        <v>46154.616666666669</v>
      </c>
      <c r="I56" s="52">
        <v>104</v>
      </c>
      <c r="J56" s="52" t="s">
        <v>1156</v>
      </c>
      <c r="K56" s="52" t="s">
        <v>1156</v>
      </c>
      <c r="L56" s="52" t="s">
        <v>20</v>
      </c>
      <c r="M56" s="52">
        <v>104</v>
      </c>
      <c r="N56" s="52">
        <v>15</v>
      </c>
      <c r="O56" s="52">
        <v>15</v>
      </c>
      <c r="P56" s="52" t="s">
        <v>1411</v>
      </c>
      <c r="Q56" s="52" t="s">
        <v>1517</v>
      </c>
      <c r="R56" s="52" t="s">
        <v>2446</v>
      </c>
      <c r="S56" s="52">
        <f t="shared" si="0"/>
        <v>6.16</v>
      </c>
      <c r="T56" s="52"/>
      <c r="U56" s="52"/>
    </row>
    <row r="57" spans="1:21" s="46" customFormat="1" ht="16.5" thickTop="1" thickBot="1" x14ac:dyDescent="0.3">
      <c r="A57" s="50" t="s">
        <v>2013</v>
      </c>
      <c r="B57" s="43" t="s">
        <v>2014</v>
      </c>
      <c r="C57" s="43" t="s">
        <v>38</v>
      </c>
      <c r="D57" s="43" t="s">
        <v>17</v>
      </c>
      <c r="E57" s="43" t="s">
        <v>19</v>
      </c>
      <c r="F57" s="43" t="s">
        <v>19</v>
      </c>
      <c r="G57" s="48">
        <v>46148.456250000003</v>
      </c>
      <c r="H57" s="48">
        <v>46149.729166666664</v>
      </c>
      <c r="I57" s="43">
        <v>5</v>
      </c>
      <c r="J57" s="43" t="s">
        <v>1156</v>
      </c>
      <c r="K57" s="43" t="s">
        <v>1156</v>
      </c>
      <c r="L57" s="43" t="s">
        <v>36</v>
      </c>
      <c r="M57" s="43">
        <v>5</v>
      </c>
      <c r="N57" s="43">
        <v>5</v>
      </c>
      <c r="O57" s="43">
        <v>5</v>
      </c>
      <c r="P57" s="43" t="s">
        <v>1387</v>
      </c>
      <c r="Q57" s="43" t="s">
        <v>1514</v>
      </c>
      <c r="R57" s="43" t="s">
        <v>2445</v>
      </c>
      <c r="S57" s="52">
        <f t="shared" si="0"/>
        <v>1.27</v>
      </c>
      <c r="T57" s="47"/>
      <c r="U57" s="47"/>
    </row>
    <row r="58" spans="1:21" ht="16.5" thickTop="1" thickBot="1" x14ac:dyDescent="0.3">
      <c r="A58" s="51" t="s">
        <v>2011</v>
      </c>
      <c r="B58" s="52" t="s">
        <v>2012</v>
      </c>
      <c r="C58" s="52" t="s">
        <v>38</v>
      </c>
      <c r="D58" s="52" t="s">
        <v>17</v>
      </c>
      <c r="E58" s="52" t="s">
        <v>19</v>
      </c>
      <c r="F58" s="52" t="s">
        <v>21</v>
      </c>
      <c r="G58" s="53">
        <v>46148.462500000001</v>
      </c>
      <c r="H58" s="53">
        <v>46154.50277777778</v>
      </c>
      <c r="I58" s="52">
        <v>15</v>
      </c>
      <c r="J58" s="52" t="s">
        <v>1156</v>
      </c>
      <c r="K58" s="52" t="s">
        <v>1156</v>
      </c>
      <c r="L58" s="52" t="s">
        <v>26</v>
      </c>
      <c r="M58" s="52">
        <v>15</v>
      </c>
      <c r="N58" s="52">
        <v>15</v>
      </c>
      <c r="O58" s="52">
        <v>15</v>
      </c>
      <c r="P58" s="52" t="s">
        <v>1458</v>
      </c>
      <c r="Q58" s="52" t="s">
        <v>1517</v>
      </c>
      <c r="R58" s="52" t="s">
        <v>2444</v>
      </c>
      <c r="S58" s="52">
        <f t="shared" si="0"/>
        <v>6.04</v>
      </c>
      <c r="T58" s="52"/>
      <c r="U58" s="52"/>
    </row>
    <row r="59" spans="1:21" s="46" customFormat="1" ht="16.5" thickTop="1" thickBot="1" x14ac:dyDescent="0.3">
      <c r="A59" s="50" t="s">
        <v>2009</v>
      </c>
      <c r="B59" s="43" t="s">
        <v>2010</v>
      </c>
      <c r="C59" s="43" t="s">
        <v>38</v>
      </c>
      <c r="D59" s="43" t="s">
        <v>17</v>
      </c>
      <c r="E59" s="43" t="s">
        <v>19</v>
      </c>
      <c r="F59" s="43" t="s">
        <v>21</v>
      </c>
      <c r="G59" s="48">
        <v>46148.467361111114</v>
      </c>
      <c r="H59" s="48">
        <v>46154.52847222222</v>
      </c>
      <c r="I59" s="43">
        <v>17</v>
      </c>
      <c r="J59" s="43" t="s">
        <v>1156</v>
      </c>
      <c r="K59" s="43" t="s">
        <v>1156</v>
      </c>
      <c r="L59" s="43" t="s">
        <v>26</v>
      </c>
      <c r="M59" s="43">
        <v>17</v>
      </c>
      <c r="N59" s="43">
        <v>17</v>
      </c>
      <c r="O59" s="43">
        <v>17</v>
      </c>
      <c r="P59" s="43" t="s">
        <v>1458</v>
      </c>
      <c r="Q59" s="43" t="s">
        <v>1517</v>
      </c>
      <c r="R59" s="43" t="s">
        <v>2443</v>
      </c>
      <c r="S59" s="52">
        <f t="shared" si="0"/>
        <v>6.06</v>
      </c>
      <c r="T59" s="47"/>
      <c r="U59" s="47"/>
    </row>
    <row r="60" spans="1:21" ht="16.5" thickTop="1" thickBot="1" x14ac:dyDescent="0.3">
      <c r="A60" s="51" t="s">
        <v>2007</v>
      </c>
      <c r="B60" s="52" t="s">
        <v>2008</v>
      </c>
      <c r="C60" s="52" t="s">
        <v>38</v>
      </c>
      <c r="D60" s="52" t="s">
        <v>17</v>
      </c>
      <c r="E60" s="52" t="s">
        <v>19</v>
      </c>
      <c r="F60" s="52" t="s">
        <v>21</v>
      </c>
      <c r="G60" s="53">
        <v>46148.470833333333</v>
      </c>
      <c r="H60" s="53">
        <v>46154.616666666669</v>
      </c>
      <c r="I60" s="52">
        <v>20</v>
      </c>
      <c r="J60" s="52" t="s">
        <v>1156</v>
      </c>
      <c r="K60" s="52" t="s">
        <v>1156</v>
      </c>
      <c r="L60" s="52" t="s">
        <v>26</v>
      </c>
      <c r="M60" s="52">
        <v>19</v>
      </c>
      <c r="N60" s="52">
        <v>19</v>
      </c>
      <c r="O60" s="52">
        <v>20</v>
      </c>
      <c r="P60" s="52" t="s">
        <v>1458</v>
      </c>
      <c r="Q60" s="52" t="s">
        <v>1517</v>
      </c>
      <c r="R60" s="52" t="s">
        <v>2442</v>
      </c>
      <c r="S60" s="52">
        <f t="shared" si="0"/>
        <v>6.15</v>
      </c>
      <c r="T60" s="52"/>
      <c r="U60" s="52"/>
    </row>
    <row r="61" spans="1:21" s="46" customFormat="1" ht="16.5" thickTop="1" thickBot="1" x14ac:dyDescent="0.3">
      <c r="A61" s="50" t="s">
        <v>2005</v>
      </c>
      <c r="B61" s="43" t="s">
        <v>2006</v>
      </c>
      <c r="C61" s="43" t="s">
        <v>38</v>
      </c>
      <c r="D61" s="43" t="s">
        <v>17</v>
      </c>
      <c r="E61" s="43" t="s">
        <v>19</v>
      </c>
      <c r="F61" s="43" t="s">
        <v>19</v>
      </c>
      <c r="G61" s="48">
        <v>46148.472222222219</v>
      </c>
      <c r="H61" s="48">
        <v>46155.734722222223</v>
      </c>
      <c r="I61" s="43">
        <v>160</v>
      </c>
      <c r="J61" s="43" t="s">
        <v>1156</v>
      </c>
      <c r="K61" s="43" t="s">
        <v>1156</v>
      </c>
      <c r="L61" s="43" t="s">
        <v>20</v>
      </c>
      <c r="M61" s="43">
        <v>160</v>
      </c>
      <c r="N61" s="43">
        <v>25</v>
      </c>
      <c r="O61" s="43">
        <v>25</v>
      </c>
      <c r="P61" s="43" t="s">
        <v>1478</v>
      </c>
      <c r="Q61" s="43" t="s">
        <v>1517</v>
      </c>
      <c r="R61" s="43" t="s">
        <v>2441</v>
      </c>
      <c r="S61" s="52">
        <f t="shared" si="0"/>
        <v>7.26</v>
      </c>
      <c r="T61" s="47"/>
      <c r="U61" s="47"/>
    </row>
    <row r="62" spans="1:21" ht="16.5" thickTop="1" thickBot="1" x14ac:dyDescent="0.3">
      <c r="A62" s="51" t="s">
        <v>2001</v>
      </c>
      <c r="B62" s="52" t="s">
        <v>2002</v>
      </c>
      <c r="C62" s="52" t="s">
        <v>38</v>
      </c>
      <c r="D62" s="52" t="s">
        <v>17</v>
      </c>
      <c r="E62" s="52" t="s">
        <v>18</v>
      </c>
      <c r="F62" s="52" t="s">
        <v>42</v>
      </c>
      <c r="G62" s="53">
        <v>46148.475694444445</v>
      </c>
      <c r="H62" s="53">
        <v>46167.677777777775</v>
      </c>
      <c r="I62" s="52">
        <v>9</v>
      </c>
      <c r="J62" s="52" t="s">
        <v>2373</v>
      </c>
      <c r="K62" s="52" t="s">
        <v>8326</v>
      </c>
      <c r="L62" s="52" t="s">
        <v>33</v>
      </c>
      <c r="M62" s="52">
        <v>9</v>
      </c>
      <c r="N62" s="52">
        <v>9</v>
      </c>
      <c r="O62" s="52">
        <v>9</v>
      </c>
      <c r="P62" s="52" t="s">
        <v>2003</v>
      </c>
      <c r="Q62" s="52" t="s">
        <v>1514</v>
      </c>
      <c r="R62" s="52" t="s">
        <v>2004</v>
      </c>
      <c r="S62" s="52">
        <f t="shared" si="0"/>
        <v>19.2</v>
      </c>
      <c r="T62" s="52"/>
      <c r="U62" s="52" t="s">
        <v>8409</v>
      </c>
    </row>
    <row r="63" spans="1:21" s="46" customFormat="1" ht="16.5" thickTop="1" thickBot="1" x14ac:dyDescent="0.3">
      <c r="A63" s="50" t="s">
        <v>1997</v>
      </c>
      <c r="B63" s="43" t="s">
        <v>1998</v>
      </c>
      <c r="C63" s="43" t="s">
        <v>38</v>
      </c>
      <c r="D63" s="43" t="s">
        <v>17</v>
      </c>
      <c r="E63" s="43" t="s">
        <v>18</v>
      </c>
      <c r="F63" s="43" t="s">
        <v>42</v>
      </c>
      <c r="G63" s="48">
        <v>46148.50277777778</v>
      </c>
      <c r="H63" s="48">
        <v>46160.615972222222</v>
      </c>
      <c r="I63" s="43">
        <v>9</v>
      </c>
      <c r="J63" s="43" t="s">
        <v>2373</v>
      </c>
      <c r="K63" s="43" t="s">
        <v>8333</v>
      </c>
      <c r="L63" s="43" t="s">
        <v>37</v>
      </c>
      <c r="M63" s="43">
        <v>9</v>
      </c>
      <c r="N63" s="43">
        <v>6</v>
      </c>
      <c r="O63" s="43">
        <v>6</v>
      </c>
      <c r="P63" s="43" t="s">
        <v>1999</v>
      </c>
      <c r="Q63" s="43" t="s">
        <v>1517</v>
      </c>
      <c r="R63" s="43" t="s">
        <v>2000</v>
      </c>
      <c r="S63" s="52">
        <f t="shared" si="0"/>
        <v>12.11</v>
      </c>
      <c r="T63" s="47"/>
      <c r="U63" s="47"/>
    </row>
    <row r="64" spans="1:21" ht="16.5" thickTop="1" thickBot="1" x14ac:dyDescent="0.3">
      <c r="A64" s="51" t="s">
        <v>1994</v>
      </c>
      <c r="B64" s="52" t="s">
        <v>1995</v>
      </c>
      <c r="C64" s="52" t="s">
        <v>38</v>
      </c>
      <c r="D64" s="52" t="s">
        <v>17</v>
      </c>
      <c r="E64" s="52" t="s">
        <v>18</v>
      </c>
      <c r="F64" s="52" t="s">
        <v>42</v>
      </c>
      <c r="G64" s="53">
        <v>46148.518750000003</v>
      </c>
      <c r="H64" s="53">
        <v>46158.570833333331</v>
      </c>
      <c r="I64" s="52">
        <v>500</v>
      </c>
      <c r="J64" s="52" t="s">
        <v>2373</v>
      </c>
      <c r="K64" s="52" t="s">
        <v>8333</v>
      </c>
      <c r="L64" s="52" t="s">
        <v>25</v>
      </c>
      <c r="M64" s="52">
        <v>500</v>
      </c>
      <c r="N64" s="52">
        <v>84</v>
      </c>
      <c r="O64" s="52">
        <v>84</v>
      </c>
      <c r="P64" s="52" t="s">
        <v>1357</v>
      </c>
      <c r="Q64" s="52" t="s">
        <v>1517</v>
      </c>
      <c r="R64" s="52" t="s">
        <v>1996</v>
      </c>
      <c r="S64" s="52">
        <f t="shared" si="0"/>
        <v>10.050000000000001</v>
      </c>
      <c r="T64" s="52"/>
      <c r="U64" s="52"/>
    </row>
    <row r="65" spans="1:21" s="46" customFormat="1" ht="16.5" thickTop="1" thickBot="1" x14ac:dyDescent="0.3">
      <c r="A65" s="50" t="s">
        <v>1992</v>
      </c>
      <c r="B65" s="43" t="s">
        <v>1993</v>
      </c>
      <c r="C65" s="43" t="s">
        <v>38</v>
      </c>
      <c r="D65" s="43" t="s">
        <v>17</v>
      </c>
      <c r="E65" s="43" t="s">
        <v>19</v>
      </c>
      <c r="F65" s="43" t="s">
        <v>21</v>
      </c>
      <c r="G65" s="48">
        <v>46148.523611111108</v>
      </c>
      <c r="H65" s="48">
        <v>46160.76666666667</v>
      </c>
      <c r="I65" s="43">
        <v>70</v>
      </c>
      <c r="J65" s="43" t="s">
        <v>1156</v>
      </c>
      <c r="K65" s="43" t="s">
        <v>8294</v>
      </c>
      <c r="L65" s="43" t="s">
        <v>20</v>
      </c>
      <c r="M65" s="43">
        <v>59</v>
      </c>
      <c r="N65" s="43">
        <v>8</v>
      </c>
      <c r="O65" s="43">
        <v>11</v>
      </c>
      <c r="P65" s="43" t="s">
        <v>1422</v>
      </c>
      <c r="Q65" s="43" t="s">
        <v>1517</v>
      </c>
      <c r="R65" s="43" t="s">
        <v>2440</v>
      </c>
      <c r="S65" s="52">
        <f t="shared" si="0"/>
        <v>12.24</v>
      </c>
      <c r="T65" s="47"/>
      <c r="U65" s="47"/>
    </row>
    <row r="66" spans="1:21" ht="16.5" thickTop="1" thickBot="1" x14ac:dyDescent="0.3">
      <c r="A66" s="51" t="s">
        <v>1990</v>
      </c>
      <c r="B66" s="52" t="s">
        <v>1991</v>
      </c>
      <c r="C66" s="52" t="s">
        <v>38</v>
      </c>
      <c r="D66" s="52" t="s">
        <v>17</v>
      </c>
      <c r="E66" s="52" t="s">
        <v>19</v>
      </c>
      <c r="F66" s="52" t="s">
        <v>21</v>
      </c>
      <c r="G66" s="53">
        <v>46148.561111111114</v>
      </c>
      <c r="H66" s="53">
        <v>46155.954861111109</v>
      </c>
      <c r="I66" s="52">
        <v>36</v>
      </c>
      <c r="J66" s="52" t="s">
        <v>2373</v>
      </c>
      <c r="K66" s="52" t="s">
        <v>8317</v>
      </c>
      <c r="L66" s="52" t="s">
        <v>20</v>
      </c>
      <c r="M66" s="52">
        <v>36</v>
      </c>
      <c r="N66" s="52">
        <v>6</v>
      </c>
      <c r="O66" s="52">
        <v>6</v>
      </c>
      <c r="P66" s="52" t="s">
        <v>1463</v>
      </c>
      <c r="Q66" s="52" t="s">
        <v>1517</v>
      </c>
      <c r="R66" s="52"/>
      <c r="S66" s="52">
        <f t="shared" ref="S66:S129" si="1">IF(OR(G66="",H66=""),"",ROUND(H66-G66,2))</f>
        <v>7.39</v>
      </c>
      <c r="T66" s="52"/>
      <c r="U66" s="52"/>
    </row>
    <row r="67" spans="1:21" s="46" customFormat="1" ht="16.5" thickTop="1" thickBot="1" x14ac:dyDescent="0.3">
      <c r="A67" s="50" t="s">
        <v>1989</v>
      </c>
      <c r="B67" s="43" t="s">
        <v>882</v>
      </c>
      <c r="C67" s="43" t="s">
        <v>38</v>
      </c>
      <c r="D67" s="43" t="s">
        <v>17</v>
      </c>
      <c r="E67" s="43" t="s">
        <v>18</v>
      </c>
      <c r="F67" s="43" t="s">
        <v>42</v>
      </c>
      <c r="G67" s="48">
        <v>46148.5625</v>
      </c>
      <c r="H67" s="48">
        <v>46155.615277777775</v>
      </c>
      <c r="I67" s="43">
        <v>80</v>
      </c>
      <c r="J67" s="43" t="s">
        <v>1156</v>
      </c>
      <c r="K67" s="43" t="s">
        <v>1156</v>
      </c>
      <c r="L67" s="43" t="s">
        <v>44</v>
      </c>
      <c r="M67" s="43">
        <v>80</v>
      </c>
      <c r="N67" s="43">
        <v>80</v>
      </c>
      <c r="O67" s="43">
        <v>80</v>
      </c>
      <c r="P67" s="43" t="s">
        <v>884</v>
      </c>
      <c r="Q67" s="43" t="s">
        <v>1517</v>
      </c>
      <c r="R67" s="43" t="s">
        <v>2439</v>
      </c>
      <c r="S67" s="52">
        <f t="shared" si="1"/>
        <v>7.05</v>
      </c>
      <c r="T67" s="47"/>
      <c r="U67" s="47"/>
    </row>
    <row r="68" spans="1:21" ht="16.5" thickTop="1" thickBot="1" x14ac:dyDescent="0.3">
      <c r="A68" s="51" t="s">
        <v>1986</v>
      </c>
      <c r="B68" s="52" t="s">
        <v>1987</v>
      </c>
      <c r="C68" s="52" t="s">
        <v>38</v>
      </c>
      <c r="D68" s="52" t="s">
        <v>17</v>
      </c>
      <c r="E68" s="52" t="s">
        <v>19</v>
      </c>
      <c r="F68" s="52" t="s">
        <v>21</v>
      </c>
      <c r="G68" s="53">
        <v>46148.580555555556</v>
      </c>
      <c r="H68" s="53">
        <v>46154.615277777775</v>
      </c>
      <c r="I68" s="52">
        <v>62</v>
      </c>
      <c r="J68" s="52" t="s">
        <v>1156</v>
      </c>
      <c r="K68" s="52" t="s">
        <v>1156</v>
      </c>
      <c r="L68" s="52" t="s">
        <v>31</v>
      </c>
      <c r="M68" s="52">
        <v>62</v>
      </c>
      <c r="N68" s="52">
        <v>30</v>
      </c>
      <c r="O68" s="52">
        <v>30</v>
      </c>
      <c r="P68" s="52" t="s">
        <v>1988</v>
      </c>
      <c r="Q68" s="52" t="s">
        <v>1517</v>
      </c>
      <c r="R68" s="52" t="s">
        <v>2438</v>
      </c>
      <c r="S68" s="52">
        <f t="shared" si="1"/>
        <v>6.03</v>
      </c>
      <c r="T68" s="52"/>
      <c r="U68" s="52"/>
    </row>
    <row r="69" spans="1:21" s="46" customFormat="1" ht="16.5" thickTop="1" thickBot="1" x14ac:dyDescent="0.3">
      <c r="A69" s="50" t="s">
        <v>1981</v>
      </c>
      <c r="B69" s="43" t="s">
        <v>1982</v>
      </c>
      <c r="C69" s="43" t="s">
        <v>38</v>
      </c>
      <c r="D69" s="43" t="s">
        <v>17</v>
      </c>
      <c r="E69" s="43" t="s">
        <v>19</v>
      </c>
      <c r="F69" s="43" t="s">
        <v>21</v>
      </c>
      <c r="G69" s="48">
        <v>46148.662499999999</v>
      </c>
      <c r="H69" s="48">
        <v>46155.681250000001</v>
      </c>
      <c r="I69" s="43">
        <v>5</v>
      </c>
      <c r="J69" s="43" t="s">
        <v>2373</v>
      </c>
      <c r="K69" s="43" t="s">
        <v>8278</v>
      </c>
      <c r="L69" s="43" t="s">
        <v>25</v>
      </c>
      <c r="M69" s="43">
        <v>5</v>
      </c>
      <c r="N69" s="43">
        <v>5</v>
      </c>
      <c r="O69" s="43">
        <v>5</v>
      </c>
      <c r="P69" s="43" t="s">
        <v>1408</v>
      </c>
      <c r="Q69" s="43" t="s">
        <v>1517</v>
      </c>
      <c r="R69" s="43" t="s">
        <v>1983</v>
      </c>
      <c r="S69" s="52">
        <f t="shared" si="1"/>
        <v>7.02</v>
      </c>
      <c r="T69" s="47"/>
      <c r="U69" s="47"/>
    </row>
    <row r="70" spans="1:21" ht="16.5" thickTop="1" thickBot="1" x14ac:dyDescent="0.3">
      <c r="A70" s="51" t="s">
        <v>1979</v>
      </c>
      <c r="B70" s="52" t="s">
        <v>1980</v>
      </c>
      <c r="C70" s="52" t="s">
        <v>38</v>
      </c>
      <c r="D70" s="52" t="s">
        <v>17</v>
      </c>
      <c r="E70" s="52" t="s">
        <v>18</v>
      </c>
      <c r="F70" s="52" t="s">
        <v>32</v>
      </c>
      <c r="G70" s="53">
        <v>46148.663194444445</v>
      </c>
      <c r="H70" s="53">
        <v>46163.48333333333</v>
      </c>
      <c r="I70" s="52">
        <v>4</v>
      </c>
      <c r="J70" s="52" t="s">
        <v>1156</v>
      </c>
      <c r="K70" s="52" t="s">
        <v>1156</v>
      </c>
      <c r="L70" s="52" t="s">
        <v>33</v>
      </c>
      <c r="M70" s="52">
        <v>4</v>
      </c>
      <c r="N70" s="52">
        <v>4</v>
      </c>
      <c r="O70" s="52">
        <v>4</v>
      </c>
      <c r="P70" s="52" t="s">
        <v>1423</v>
      </c>
      <c r="Q70" s="52" t="s">
        <v>1514</v>
      </c>
      <c r="R70" s="52" t="s">
        <v>2437</v>
      </c>
      <c r="S70" s="52">
        <f t="shared" si="1"/>
        <v>14.82</v>
      </c>
      <c r="T70" s="52"/>
      <c r="U70" s="52"/>
    </row>
    <row r="71" spans="1:21" s="46" customFormat="1" ht="16.5" thickTop="1" thickBot="1" x14ac:dyDescent="0.3">
      <c r="A71" s="50" t="s">
        <v>1977</v>
      </c>
      <c r="B71" s="43" t="s">
        <v>1978</v>
      </c>
      <c r="C71" s="43" t="s">
        <v>39</v>
      </c>
      <c r="D71" s="43" t="s">
        <v>17</v>
      </c>
      <c r="E71" s="43" t="s">
        <v>18</v>
      </c>
      <c r="F71" s="43" t="s">
        <v>28</v>
      </c>
      <c r="G71" s="48">
        <v>46148.700694444444</v>
      </c>
      <c r="H71" s="48">
        <v>46157.754861111112</v>
      </c>
      <c r="I71" s="43">
        <v>288</v>
      </c>
      <c r="J71" s="43" t="s">
        <v>1156</v>
      </c>
      <c r="K71" s="43" t="s">
        <v>1156</v>
      </c>
      <c r="L71" s="43" t="s">
        <v>20</v>
      </c>
      <c r="M71" s="43">
        <v>0</v>
      </c>
      <c r="N71" s="43">
        <v>0</v>
      </c>
      <c r="O71" s="43">
        <v>53</v>
      </c>
      <c r="P71" s="43" t="s">
        <v>1481</v>
      </c>
      <c r="Q71" s="43" t="s">
        <v>1517</v>
      </c>
      <c r="R71" s="43"/>
      <c r="S71" s="52">
        <f t="shared" si="1"/>
        <v>9.0500000000000007</v>
      </c>
      <c r="T71" s="47"/>
      <c r="U71" s="47"/>
    </row>
    <row r="72" spans="1:21" ht="16.5" thickTop="1" thickBot="1" x14ac:dyDescent="0.3">
      <c r="A72" s="51" t="s">
        <v>1975</v>
      </c>
      <c r="B72" s="52" t="s">
        <v>1976</v>
      </c>
      <c r="C72" s="52" t="s">
        <v>38</v>
      </c>
      <c r="D72" s="52" t="s">
        <v>17</v>
      </c>
      <c r="E72" s="52" t="s">
        <v>18</v>
      </c>
      <c r="F72" s="52" t="s">
        <v>42</v>
      </c>
      <c r="G72" s="53">
        <v>46148.719444444447</v>
      </c>
      <c r="H72" s="53">
        <v>46155.941666666666</v>
      </c>
      <c r="I72" s="52">
        <v>18</v>
      </c>
      <c r="J72" s="52" t="s">
        <v>2373</v>
      </c>
      <c r="K72" s="52" t="s">
        <v>8317</v>
      </c>
      <c r="L72" s="52" t="s">
        <v>33</v>
      </c>
      <c r="M72" s="52">
        <v>18</v>
      </c>
      <c r="N72" s="52">
        <v>18</v>
      </c>
      <c r="O72" s="52">
        <v>18</v>
      </c>
      <c r="P72" s="52" t="s">
        <v>1302</v>
      </c>
      <c r="Q72" s="52" t="s">
        <v>1517</v>
      </c>
      <c r="R72" s="52"/>
      <c r="S72" s="52">
        <f t="shared" si="1"/>
        <v>7.22</v>
      </c>
      <c r="T72" s="52"/>
      <c r="U72" s="52"/>
    </row>
    <row r="73" spans="1:21" s="46" customFormat="1" ht="16.5" thickTop="1" thickBot="1" x14ac:dyDescent="0.3">
      <c r="A73" s="50" t="s">
        <v>1970</v>
      </c>
      <c r="B73" s="43" t="s">
        <v>1971</v>
      </c>
      <c r="C73" s="43" t="s">
        <v>39</v>
      </c>
      <c r="D73" s="43" t="s">
        <v>17</v>
      </c>
      <c r="E73" s="43" t="s">
        <v>19</v>
      </c>
      <c r="F73" s="43" t="s">
        <v>24</v>
      </c>
      <c r="G73" s="48">
        <v>46148.726388888892</v>
      </c>
      <c r="H73" s="48">
        <v>46161.606944444444</v>
      </c>
      <c r="I73" s="43">
        <v>0</v>
      </c>
      <c r="J73" s="43" t="s">
        <v>1156</v>
      </c>
      <c r="K73" s="43" t="s">
        <v>1156</v>
      </c>
      <c r="L73" s="43" t="s">
        <v>20</v>
      </c>
      <c r="M73" s="43">
        <v>0</v>
      </c>
      <c r="N73" s="43">
        <v>0</v>
      </c>
      <c r="O73" s="43">
        <v>905</v>
      </c>
      <c r="P73" s="43" t="s">
        <v>1440</v>
      </c>
      <c r="Q73" s="43" t="s">
        <v>1546</v>
      </c>
      <c r="R73" s="43" t="s">
        <v>1972</v>
      </c>
      <c r="S73" s="52">
        <f t="shared" si="1"/>
        <v>12.88</v>
      </c>
      <c r="T73" s="47"/>
      <c r="U73" s="47"/>
    </row>
    <row r="74" spans="1:21" ht="16.5" thickTop="1" thickBot="1" x14ac:dyDescent="0.3">
      <c r="A74" s="51" t="s">
        <v>1973</v>
      </c>
      <c r="B74" s="52" t="s">
        <v>1974</v>
      </c>
      <c r="C74" s="52" t="s">
        <v>38</v>
      </c>
      <c r="D74" s="52" t="s">
        <v>22</v>
      </c>
      <c r="E74" s="52" t="s">
        <v>19</v>
      </c>
      <c r="F74" s="52" t="s">
        <v>24</v>
      </c>
      <c r="G74" s="53">
        <v>46148.726388888892</v>
      </c>
      <c r="H74" s="53">
        <v>46161.606944444444</v>
      </c>
      <c r="I74" s="52">
        <v>21</v>
      </c>
      <c r="J74" s="52" t="s">
        <v>2373</v>
      </c>
      <c r="K74" s="52" t="s">
        <v>8326</v>
      </c>
      <c r="L74" s="52" t="s">
        <v>20</v>
      </c>
      <c r="M74" s="52">
        <v>21</v>
      </c>
      <c r="N74" s="52">
        <v>21</v>
      </c>
      <c r="O74" s="52">
        <v>21</v>
      </c>
      <c r="P74" s="52" t="s">
        <v>1440</v>
      </c>
      <c r="Q74" s="52" t="s">
        <v>1546</v>
      </c>
      <c r="R74" s="52" t="s">
        <v>2409</v>
      </c>
      <c r="S74" s="52">
        <f t="shared" si="1"/>
        <v>12.88</v>
      </c>
      <c r="T74" s="52"/>
      <c r="U74" s="52"/>
    </row>
    <row r="75" spans="1:21" s="46" customFormat="1" ht="16.5" thickTop="1" thickBot="1" x14ac:dyDescent="0.3">
      <c r="A75" s="50" t="s">
        <v>1969</v>
      </c>
      <c r="B75" s="43" t="s">
        <v>1731</v>
      </c>
      <c r="C75" s="43" t="s">
        <v>38</v>
      </c>
      <c r="D75" s="43" t="s">
        <v>17</v>
      </c>
      <c r="E75" s="43" t="s">
        <v>18</v>
      </c>
      <c r="F75" s="43" t="s">
        <v>32</v>
      </c>
      <c r="G75" s="48">
        <v>46148.769444444442</v>
      </c>
      <c r="H75" s="48">
        <v>46160.614583333336</v>
      </c>
      <c r="I75" s="43">
        <v>2</v>
      </c>
      <c r="J75" s="43" t="s">
        <v>1156</v>
      </c>
      <c r="K75" s="43" t="s">
        <v>1156</v>
      </c>
      <c r="L75" s="43" t="s">
        <v>33</v>
      </c>
      <c r="M75" s="43">
        <v>2</v>
      </c>
      <c r="N75" s="43">
        <v>2</v>
      </c>
      <c r="O75" s="43">
        <v>2</v>
      </c>
      <c r="P75" s="43" t="s">
        <v>1465</v>
      </c>
      <c r="Q75" s="43" t="s">
        <v>1517</v>
      </c>
      <c r="R75" s="43" t="s">
        <v>2436</v>
      </c>
      <c r="S75" s="52">
        <f t="shared" si="1"/>
        <v>11.85</v>
      </c>
      <c r="T75" s="47"/>
      <c r="U75" s="47"/>
    </row>
    <row r="76" spans="1:21" ht="16.5" thickTop="1" thickBot="1" x14ac:dyDescent="0.3">
      <c r="A76" s="51" t="s">
        <v>1967</v>
      </c>
      <c r="B76" s="52" t="s">
        <v>1968</v>
      </c>
      <c r="C76" s="52" t="s">
        <v>38</v>
      </c>
      <c r="D76" s="52" t="s">
        <v>17</v>
      </c>
      <c r="E76" s="52" t="s">
        <v>18</v>
      </c>
      <c r="F76" s="52" t="s">
        <v>42</v>
      </c>
      <c r="G76" s="53">
        <v>46148.777777777781</v>
      </c>
      <c r="H76" s="53">
        <v>46158.561111111114</v>
      </c>
      <c r="I76" s="52">
        <v>13</v>
      </c>
      <c r="J76" s="52" t="s">
        <v>2373</v>
      </c>
      <c r="K76" s="52" t="s">
        <v>8317</v>
      </c>
      <c r="L76" s="52" t="s">
        <v>25</v>
      </c>
      <c r="M76" s="52">
        <v>7</v>
      </c>
      <c r="N76" s="52">
        <v>1</v>
      </c>
      <c r="O76" s="52">
        <v>2</v>
      </c>
      <c r="P76" s="52" t="s">
        <v>1448</v>
      </c>
      <c r="Q76" s="52" t="s">
        <v>1517</v>
      </c>
      <c r="R76" s="52"/>
      <c r="S76" s="52">
        <f t="shared" si="1"/>
        <v>9.7799999999999994</v>
      </c>
      <c r="T76" s="52"/>
      <c r="U76" s="52"/>
    </row>
    <row r="77" spans="1:21" s="46" customFormat="1" ht="16.5" thickTop="1" thickBot="1" x14ac:dyDescent="0.3">
      <c r="A77" s="50" t="s">
        <v>1965</v>
      </c>
      <c r="B77" s="43" t="s">
        <v>1966</v>
      </c>
      <c r="C77" s="43" t="s">
        <v>38</v>
      </c>
      <c r="D77" s="43" t="s">
        <v>17</v>
      </c>
      <c r="E77" s="43" t="s">
        <v>18</v>
      </c>
      <c r="F77" s="43" t="s">
        <v>28</v>
      </c>
      <c r="G77" s="48">
        <v>46148.77847222222</v>
      </c>
      <c r="H77" s="48">
        <v>46157.614583333336</v>
      </c>
      <c r="I77" s="43">
        <v>21</v>
      </c>
      <c r="J77" s="43" t="s">
        <v>1156</v>
      </c>
      <c r="K77" s="43" t="s">
        <v>1156</v>
      </c>
      <c r="L77" s="43" t="s">
        <v>20</v>
      </c>
      <c r="M77" s="43">
        <v>21</v>
      </c>
      <c r="N77" s="43">
        <v>1</v>
      </c>
      <c r="O77" s="43">
        <v>1</v>
      </c>
      <c r="P77" s="43" t="s">
        <v>1486</v>
      </c>
      <c r="Q77" s="43" t="s">
        <v>1517</v>
      </c>
      <c r="R77" s="43" t="s">
        <v>2435</v>
      </c>
      <c r="S77" s="52">
        <f t="shared" si="1"/>
        <v>8.84</v>
      </c>
      <c r="T77" s="47"/>
      <c r="U77" s="47"/>
    </row>
    <row r="78" spans="1:21" ht="16.5" thickTop="1" thickBot="1" x14ac:dyDescent="0.3">
      <c r="A78" s="51" t="s">
        <v>1963</v>
      </c>
      <c r="B78" s="52" t="s">
        <v>1964</v>
      </c>
      <c r="C78" s="52" t="s">
        <v>38</v>
      </c>
      <c r="D78" s="52" t="s">
        <v>17</v>
      </c>
      <c r="E78" s="52" t="s">
        <v>18</v>
      </c>
      <c r="F78" s="52" t="s">
        <v>42</v>
      </c>
      <c r="G78" s="53">
        <v>46148.783333333333</v>
      </c>
      <c r="H78" s="53">
        <v>46158.613888888889</v>
      </c>
      <c r="I78" s="52">
        <v>4</v>
      </c>
      <c r="J78" s="52" t="s">
        <v>1156</v>
      </c>
      <c r="K78" s="52" t="s">
        <v>1156</v>
      </c>
      <c r="L78" s="52" t="s">
        <v>33</v>
      </c>
      <c r="M78" s="52">
        <v>4</v>
      </c>
      <c r="N78" s="52">
        <v>4</v>
      </c>
      <c r="O78" s="52">
        <v>4</v>
      </c>
      <c r="P78" s="52" t="s">
        <v>1400</v>
      </c>
      <c r="Q78" s="52" t="s">
        <v>1517</v>
      </c>
      <c r="R78" s="52" t="s">
        <v>2434</v>
      </c>
      <c r="S78" s="52">
        <f t="shared" si="1"/>
        <v>9.83</v>
      </c>
      <c r="T78" s="52"/>
      <c r="U78" s="52"/>
    </row>
    <row r="79" spans="1:21" s="46" customFormat="1" ht="16.5" thickTop="1" thickBot="1" x14ac:dyDescent="0.3">
      <c r="A79" s="50" t="s">
        <v>1961</v>
      </c>
      <c r="B79" s="43" t="s">
        <v>1962</v>
      </c>
      <c r="C79" s="43" t="s">
        <v>39</v>
      </c>
      <c r="D79" s="43" t="s">
        <v>17</v>
      </c>
      <c r="E79" s="43" t="s">
        <v>19</v>
      </c>
      <c r="F79" s="43" t="s">
        <v>21</v>
      </c>
      <c r="G79" s="48">
        <v>46148.8125</v>
      </c>
      <c r="H79" s="48">
        <v>46163.532638888886</v>
      </c>
      <c r="I79" s="43">
        <v>114</v>
      </c>
      <c r="J79" s="43" t="s">
        <v>1156</v>
      </c>
      <c r="K79" s="43" t="s">
        <v>1156</v>
      </c>
      <c r="L79" s="43" t="s">
        <v>20</v>
      </c>
      <c r="M79" s="43">
        <v>0</v>
      </c>
      <c r="N79" s="43">
        <v>0</v>
      </c>
      <c r="O79" s="43">
        <v>4</v>
      </c>
      <c r="P79" s="43" t="s">
        <v>1341</v>
      </c>
      <c r="Q79" s="43" t="s">
        <v>1517</v>
      </c>
      <c r="R79" s="43"/>
      <c r="S79" s="52">
        <f t="shared" si="1"/>
        <v>14.72</v>
      </c>
      <c r="T79" s="47"/>
      <c r="U79" s="47"/>
    </row>
    <row r="80" spans="1:21" ht="16.5" thickTop="1" thickBot="1" x14ac:dyDescent="0.3">
      <c r="A80" s="51" t="s">
        <v>1958</v>
      </c>
      <c r="B80" s="52" t="s">
        <v>1959</v>
      </c>
      <c r="C80" s="52" t="s">
        <v>38</v>
      </c>
      <c r="D80" s="52" t="s">
        <v>17</v>
      </c>
      <c r="E80" s="52" t="s">
        <v>19</v>
      </c>
      <c r="F80" s="52" t="s">
        <v>21</v>
      </c>
      <c r="G80" s="53">
        <v>46149.444444444445</v>
      </c>
      <c r="H80" s="53">
        <v>46157.518055555556</v>
      </c>
      <c r="I80" s="52">
        <v>5</v>
      </c>
      <c r="J80" s="52" t="s">
        <v>2373</v>
      </c>
      <c r="K80" s="52" t="s">
        <v>8278</v>
      </c>
      <c r="L80" s="52" t="s">
        <v>25</v>
      </c>
      <c r="M80" s="52">
        <v>5</v>
      </c>
      <c r="N80" s="52">
        <v>5</v>
      </c>
      <c r="O80" s="52">
        <v>5</v>
      </c>
      <c r="P80" s="52" t="s">
        <v>1408</v>
      </c>
      <c r="Q80" s="52" t="s">
        <v>1517</v>
      </c>
      <c r="R80" s="52" t="s">
        <v>1960</v>
      </c>
      <c r="S80" s="52">
        <f t="shared" si="1"/>
        <v>8.07</v>
      </c>
      <c r="T80" s="52"/>
      <c r="U80" s="52"/>
    </row>
    <row r="81" spans="1:21" s="46" customFormat="1" ht="16.5" thickTop="1" thickBot="1" x14ac:dyDescent="0.3">
      <c r="A81" s="50" t="s">
        <v>1956</v>
      </c>
      <c r="B81" s="43" t="s">
        <v>1957</v>
      </c>
      <c r="C81" s="43" t="s">
        <v>38</v>
      </c>
      <c r="D81" s="43" t="s">
        <v>17</v>
      </c>
      <c r="E81" s="43" t="s">
        <v>19</v>
      </c>
      <c r="F81" s="43" t="s">
        <v>21</v>
      </c>
      <c r="G81" s="48">
        <v>46149.449305555558</v>
      </c>
      <c r="H81" s="48">
        <v>46155.51458333333</v>
      </c>
      <c r="I81" s="43">
        <v>138</v>
      </c>
      <c r="J81" s="43" t="s">
        <v>1156</v>
      </c>
      <c r="K81" s="43" t="s">
        <v>1156</v>
      </c>
      <c r="L81" s="43" t="s">
        <v>20</v>
      </c>
      <c r="M81" s="43">
        <v>138</v>
      </c>
      <c r="N81" s="43">
        <v>23</v>
      </c>
      <c r="O81" s="43">
        <v>23</v>
      </c>
      <c r="P81" s="43" t="s">
        <v>1408</v>
      </c>
      <c r="Q81" s="43" t="s">
        <v>1517</v>
      </c>
      <c r="R81" s="43" t="s">
        <v>2433</v>
      </c>
      <c r="S81" s="52">
        <f t="shared" si="1"/>
        <v>6.07</v>
      </c>
      <c r="T81" s="47"/>
      <c r="U81" s="47"/>
    </row>
    <row r="82" spans="1:21" ht="16.5" thickTop="1" thickBot="1" x14ac:dyDescent="0.3">
      <c r="A82" s="51" t="s">
        <v>1954</v>
      </c>
      <c r="B82" s="52" t="s">
        <v>1955</v>
      </c>
      <c r="C82" s="52" t="s">
        <v>38</v>
      </c>
      <c r="D82" s="52" t="s">
        <v>17</v>
      </c>
      <c r="E82" s="52" t="s">
        <v>18</v>
      </c>
      <c r="F82" s="52" t="s">
        <v>42</v>
      </c>
      <c r="G82" s="53">
        <v>46149.470138888886</v>
      </c>
      <c r="H82" s="53">
        <v>46150.513888888891</v>
      </c>
      <c r="I82" s="52">
        <v>329</v>
      </c>
      <c r="J82" s="52" t="s">
        <v>1156</v>
      </c>
      <c r="K82" s="52" t="s">
        <v>1156</v>
      </c>
      <c r="L82" s="52" t="s">
        <v>25</v>
      </c>
      <c r="M82" s="52">
        <v>299</v>
      </c>
      <c r="N82" s="52">
        <v>299</v>
      </c>
      <c r="O82" s="52">
        <v>329</v>
      </c>
      <c r="P82" s="52" t="s">
        <v>1459</v>
      </c>
      <c r="Q82" s="52" t="s">
        <v>1517</v>
      </c>
      <c r="R82" s="52" t="s">
        <v>2432</v>
      </c>
      <c r="S82" s="52">
        <f t="shared" si="1"/>
        <v>1.04</v>
      </c>
      <c r="T82" s="52"/>
      <c r="U82" s="52"/>
    </row>
    <row r="83" spans="1:21" s="46" customFormat="1" ht="16.5" thickTop="1" thickBot="1" x14ac:dyDescent="0.3">
      <c r="A83" s="50" t="s">
        <v>1951</v>
      </c>
      <c r="B83" s="43" t="s">
        <v>1952</v>
      </c>
      <c r="C83" s="43" t="s">
        <v>38</v>
      </c>
      <c r="D83" s="43" t="s">
        <v>17</v>
      </c>
      <c r="E83" s="43" t="s">
        <v>18</v>
      </c>
      <c r="F83" s="43" t="s">
        <v>42</v>
      </c>
      <c r="G83" s="48">
        <v>46149.472916666666</v>
      </c>
      <c r="H83" s="48">
        <v>46150.513194444444</v>
      </c>
      <c r="I83" s="43">
        <v>275</v>
      </c>
      <c r="J83" s="43" t="s">
        <v>1156</v>
      </c>
      <c r="K83" s="43" t="s">
        <v>1156</v>
      </c>
      <c r="L83" s="43" t="s">
        <v>33</v>
      </c>
      <c r="M83" s="43">
        <v>257</v>
      </c>
      <c r="N83" s="43">
        <v>257</v>
      </c>
      <c r="O83" s="43">
        <v>275</v>
      </c>
      <c r="P83" s="43" t="s">
        <v>1953</v>
      </c>
      <c r="Q83" s="43" t="s">
        <v>1517</v>
      </c>
      <c r="R83" s="43" t="s">
        <v>2431</v>
      </c>
      <c r="S83" s="52">
        <f t="shared" si="1"/>
        <v>1.04</v>
      </c>
      <c r="T83" s="47"/>
      <c r="U83" s="47"/>
    </row>
    <row r="84" spans="1:21" ht="16.5" thickTop="1" thickBot="1" x14ac:dyDescent="0.3">
      <c r="A84" s="51" t="s">
        <v>1948</v>
      </c>
      <c r="B84" s="52" t="s">
        <v>1949</v>
      </c>
      <c r="C84" s="52" t="s">
        <v>38</v>
      </c>
      <c r="D84" s="52" t="s">
        <v>17</v>
      </c>
      <c r="E84" s="52" t="s">
        <v>18</v>
      </c>
      <c r="F84" s="52" t="s">
        <v>42</v>
      </c>
      <c r="G84" s="53">
        <v>46149.535416666666</v>
      </c>
      <c r="H84" s="53">
        <v>46160.513194444444</v>
      </c>
      <c r="I84" s="52">
        <v>6</v>
      </c>
      <c r="J84" s="52" t="s">
        <v>1156</v>
      </c>
      <c r="K84" s="52" t="s">
        <v>1156</v>
      </c>
      <c r="L84" s="52" t="s">
        <v>33</v>
      </c>
      <c r="M84" s="52">
        <v>4</v>
      </c>
      <c r="N84" s="52">
        <v>4</v>
      </c>
      <c r="O84" s="52">
        <v>6</v>
      </c>
      <c r="P84" s="52" t="s">
        <v>1950</v>
      </c>
      <c r="Q84" s="52" t="s">
        <v>1517</v>
      </c>
      <c r="R84" s="52" t="s">
        <v>2430</v>
      </c>
      <c r="S84" s="52">
        <f t="shared" si="1"/>
        <v>10.98</v>
      </c>
      <c r="T84" s="52"/>
      <c r="U84" s="52"/>
    </row>
    <row r="85" spans="1:21" s="46" customFormat="1" ht="16.5" thickTop="1" thickBot="1" x14ac:dyDescent="0.3">
      <c r="A85" s="50" t="s">
        <v>1946</v>
      </c>
      <c r="B85" s="43" t="s">
        <v>1947</v>
      </c>
      <c r="C85" s="43" t="s">
        <v>38</v>
      </c>
      <c r="D85" s="43" t="s">
        <v>17</v>
      </c>
      <c r="E85" s="43" t="s">
        <v>18</v>
      </c>
      <c r="F85" s="43" t="s">
        <v>32</v>
      </c>
      <c r="G85" s="48">
        <v>46149.563194444447</v>
      </c>
      <c r="H85" s="48">
        <v>46160.512499999997</v>
      </c>
      <c r="I85" s="43">
        <v>1</v>
      </c>
      <c r="J85" s="43" t="s">
        <v>1156</v>
      </c>
      <c r="K85" s="43" t="s">
        <v>1156</v>
      </c>
      <c r="L85" s="43" t="s">
        <v>33</v>
      </c>
      <c r="M85" s="43">
        <v>1</v>
      </c>
      <c r="N85" s="43">
        <v>1</v>
      </c>
      <c r="O85" s="43">
        <v>1</v>
      </c>
      <c r="P85" s="43" t="s">
        <v>1308</v>
      </c>
      <c r="Q85" s="43" t="s">
        <v>1514</v>
      </c>
      <c r="R85" s="43" t="s">
        <v>2429</v>
      </c>
      <c r="S85" s="52">
        <f t="shared" si="1"/>
        <v>10.95</v>
      </c>
      <c r="T85" s="47"/>
      <c r="U85" s="47"/>
    </row>
    <row r="86" spans="1:21" ht="16.5" thickTop="1" thickBot="1" x14ac:dyDescent="0.3">
      <c r="A86" s="51" t="s">
        <v>1943</v>
      </c>
      <c r="B86" s="52" t="s">
        <v>1944</v>
      </c>
      <c r="C86" s="52" t="s">
        <v>38</v>
      </c>
      <c r="D86" s="52" t="s">
        <v>17</v>
      </c>
      <c r="E86" s="52" t="s">
        <v>19</v>
      </c>
      <c r="F86" s="52" t="s">
        <v>21</v>
      </c>
      <c r="G86" s="53">
        <v>46149.695138888892</v>
      </c>
      <c r="H86" s="53">
        <v>46151.512499999997</v>
      </c>
      <c r="I86" s="52">
        <v>5153</v>
      </c>
      <c r="J86" s="52" t="s">
        <v>1156</v>
      </c>
      <c r="K86" s="52" t="s">
        <v>1156</v>
      </c>
      <c r="L86" s="52" t="s">
        <v>20</v>
      </c>
      <c r="M86" s="52">
        <v>3181</v>
      </c>
      <c r="N86" s="52">
        <v>423</v>
      </c>
      <c r="O86" s="52">
        <v>856</v>
      </c>
      <c r="P86" s="52" t="s">
        <v>1945</v>
      </c>
      <c r="Q86" s="52" t="s">
        <v>1517</v>
      </c>
      <c r="R86" s="52" t="s">
        <v>2428</v>
      </c>
      <c r="S86" s="52">
        <f t="shared" si="1"/>
        <v>1.82</v>
      </c>
      <c r="T86" s="52"/>
      <c r="U86" s="52"/>
    </row>
    <row r="87" spans="1:21" s="46" customFormat="1" ht="16.5" thickTop="1" thickBot="1" x14ac:dyDescent="0.3">
      <c r="A87" s="50" t="s">
        <v>1940</v>
      </c>
      <c r="B87" s="43" t="s">
        <v>1941</v>
      </c>
      <c r="C87" s="43" t="s">
        <v>38</v>
      </c>
      <c r="D87" s="43" t="s">
        <v>17</v>
      </c>
      <c r="E87" s="43" t="s">
        <v>18</v>
      </c>
      <c r="F87" s="43" t="s">
        <v>32</v>
      </c>
      <c r="G87" s="48">
        <v>46149.729166666664</v>
      </c>
      <c r="H87" s="48">
        <v>46156.560416666667</v>
      </c>
      <c r="I87" s="43">
        <v>6</v>
      </c>
      <c r="J87" s="43" t="s">
        <v>2373</v>
      </c>
      <c r="K87" s="43" t="s">
        <v>8317</v>
      </c>
      <c r="L87" s="43" t="s">
        <v>33</v>
      </c>
      <c r="M87" s="43">
        <v>6</v>
      </c>
      <c r="N87" s="43">
        <v>6</v>
      </c>
      <c r="O87" s="43">
        <v>6</v>
      </c>
      <c r="P87" s="43" t="s">
        <v>1942</v>
      </c>
      <c r="Q87" s="43" t="s">
        <v>1546</v>
      </c>
      <c r="R87" s="43"/>
      <c r="S87" s="52">
        <f t="shared" si="1"/>
        <v>6.83</v>
      </c>
      <c r="T87" s="47"/>
      <c r="U87" s="47"/>
    </row>
    <row r="88" spans="1:21" ht="16.5" thickTop="1" thickBot="1" x14ac:dyDescent="0.3">
      <c r="A88" s="51" t="s">
        <v>1938</v>
      </c>
      <c r="B88" s="52" t="s">
        <v>1939</v>
      </c>
      <c r="C88" s="52" t="s">
        <v>38</v>
      </c>
      <c r="D88" s="52" t="s">
        <v>17</v>
      </c>
      <c r="E88" s="52" t="s">
        <v>18</v>
      </c>
      <c r="F88" s="52" t="s">
        <v>42</v>
      </c>
      <c r="G88" s="53">
        <v>46149.742361111108</v>
      </c>
      <c r="H88" s="53">
        <v>46158.511805555558</v>
      </c>
      <c r="I88" s="52">
        <v>1</v>
      </c>
      <c r="J88" s="52" t="s">
        <v>1156</v>
      </c>
      <c r="K88" s="52" t="s">
        <v>1156</v>
      </c>
      <c r="L88" s="52" t="s">
        <v>33</v>
      </c>
      <c r="M88" s="52">
        <v>1</v>
      </c>
      <c r="N88" s="52">
        <v>1</v>
      </c>
      <c r="O88" s="52">
        <v>1</v>
      </c>
      <c r="P88" s="52" t="s">
        <v>1492</v>
      </c>
      <c r="Q88" s="52" t="s">
        <v>1546</v>
      </c>
      <c r="R88" s="52" t="s">
        <v>2427</v>
      </c>
      <c r="S88" s="52">
        <f t="shared" si="1"/>
        <v>8.77</v>
      </c>
      <c r="T88" s="52"/>
      <c r="U88" s="52"/>
    </row>
    <row r="89" spans="1:21" s="46" customFormat="1" ht="16.5" thickTop="1" thickBot="1" x14ac:dyDescent="0.3">
      <c r="A89" s="50" t="s">
        <v>1936</v>
      </c>
      <c r="B89" s="43" t="s">
        <v>1937</v>
      </c>
      <c r="C89" s="43" t="s">
        <v>39</v>
      </c>
      <c r="D89" s="43" t="s">
        <v>17</v>
      </c>
      <c r="E89" s="43" t="s">
        <v>18</v>
      </c>
      <c r="F89" s="43" t="s">
        <v>32</v>
      </c>
      <c r="G89" s="48">
        <v>46149.745833333334</v>
      </c>
      <c r="H89" s="48">
        <v>46163.43472222222</v>
      </c>
      <c r="I89" s="43">
        <v>3</v>
      </c>
      <c r="J89" s="43" t="s">
        <v>1156</v>
      </c>
      <c r="K89" s="43" t="s">
        <v>1156</v>
      </c>
      <c r="L89" s="43" t="s">
        <v>33</v>
      </c>
      <c r="M89" s="43">
        <v>0</v>
      </c>
      <c r="N89" s="43">
        <v>0</v>
      </c>
      <c r="O89" s="43">
        <v>3</v>
      </c>
      <c r="P89" s="43" t="s">
        <v>1485</v>
      </c>
      <c r="Q89" s="43" t="s">
        <v>1517</v>
      </c>
      <c r="R89" s="43"/>
      <c r="S89" s="52">
        <f t="shared" si="1"/>
        <v>13.69</v>
      </c>
      <c r="T89" s="47"/>
      <c r="U89" s="47"/>
    </row>
    <row r="90" spans="1:21" ht="16.5" thickTop="1" thickBot="1" x14ac:dyDescent="0.3">
      <c r="A90" s="51" t="s">
        <v>1933</v>
      </c>
      <c r="B90" s="52" t="s">
        <v>1934</v>
      </c>
      <c r="C90" s="52" t="s">
        <v>38</v>
      </c>
      <c r="D90" s="52" t="s">
        <v>17</v>
      </c>
      <c r="E90" s="52" t="s">
        <v>18</v>
      </c>
      <c r="F90" s="52" t="s">
        <v>42</v>
      </c>
      <c r="G90" s="53">
        <v>46149.765972222223</v>
      </c>
      <c r="H90" s="53">
        <v>46171.650694444441</v>
      </c>
      <c r="I90" s="52">
        <v>153</v>
      </c>
      <c r="J90" s="52" t="s">
        <v>2373</v>
      </c>
      <c r="K90" s="52" t="s">
        <v>8317</v>
      </c>
      <c r="L90" s="52" t="s">
        <v>33</v>
      </c>
      <c r="M90" s="52">
        <v>153</v>
      </c>
      <c r="N90" s="52">
        <v>153</v>
      </c>
      <c r="O90" s="52">
        <v>153</v>
      </c>
      <c r="P90" s="52" t="s">
        <v>1935</v>
      </c>
      <c r="Q90" s="52" t="s">
        <v>1514</v>
      </c>
      <c r="R90" s="52" t="s">
        <v>8348</v>
      </c>
      <c r="S90" s="52">
        <f t="shared" si="1"/>
        <v>21.88</v>
      </c>
      <c r="T90" s="52"/>
      <c r="U90" s="52" t="s">
        <v>8409</v>
      </c>
    </row>
    <row r="91" spans="1:21" s="46" customFormat="1" ht="16.5" thickTop="1" thickBot="1" x14ac:dyDescent="0.3">
      <c r="A91" s="50" t="s">
        <v>1930</v>
      </c>
      <c r="B91" s="43" t="s">
        <v>1931</v>
      </c>
      <c r="C91" s="43" t="s">
        <v>38</v>
      </c>
      <c r="D91" s="43" t="s">
        <v>17</v>
      </c>
      <c r="E91" s="43" t="s">
        <v>18</v>
      </c>
      <c r="F91" s="43" t="s">
        <v>42</v>
      </c>
      <c r="G91" s="48">
        <v>46149.780555555553</v>
      </c>
      <c r="H91" s="48">
        <v>46155.715277777781</v>
      </c>
      <c r="I91" s="43">
        <v>10</v>
      </c>
      <c r="J91" s="43" t="s">
        <v>1156</v>
      </c>
      <c r="K91" s="43" t="s">
        <v>1156</v>
      </c>
      <c r="L91" s="43" t="s">
        <v>37</v>
      </c>
      <c r="M91" s="43">
        <v>10</v>
      </c>
      <c r="N91" s="43">
        <v>10</v>
      </c>
      <c r="O91" s="43">
        <v>10</v>
      </c>
      <c r="P91" s="43" t="s">
        <v>1932</v>
      </c>
      <c r="Q91" s="43" t="s">
        <v>1517</v>
      </c>
      <c r="R91" s="43" t="s">
        <v>2426</v>
      </c>
      <c r="S91" s="52">
        <f t="shared" si="1"/>
        <v>5.93</v>
      </c>
      <c r="T91" s="47"/>
      <c r="U91" s="47"/>
    </row>
    <row r="92" spans="1:21" ht="16.5" thickTop="1" thickBot="1" x14ac:dyDescent="0.3">
      <c r="A92" s="51" t="s">
        <v>1928</v>
      </c>
      <c r="B92" s="52" t="s">
        <v>1929</v>
      </c>
      <c r="C92" s="52" t="s">
        <v>38</v>
      </c>
      <c r="D92" s="52" t="s">
        <v>17</v>
      </c>
      <c r="E92" s="52" t="s">
        <v>18</v>
      </c>
      <c r="F92" s="52" t="s">
        <v>42</v>
      </c>
      <c r="G92" s="53">
        <v>46149.784722222219</v>
      </c>
      <c r="H92" s="53">
        <v>46161.572916666664</v>
      </c>
      <c r="I92" s="52">
        <v>306</v>
      </c>
      <c r="J92" s="52" t="s">
        <v>2373</v>
      </c>
      <c r="K92" s="52" t="s">
        <v>8317</v>
      </c>
      <c r="L92" s="52" t="s">
        <v>25</v>
      </c>
      <c r="M92" s="52">
        <v>306</v>
      </c>
      <c r="N92" s="52">
        <v>47</v>
      </c>
      <c r="O92" s="52">
        <v>47</v>
      </c>
      <c r="P92" s="52" t="s">
        <v>1454</v>
      </c>
      <c r="Q92" s="52" t="s">
        <v>1517</v>
      </c>
      <c r="R92" s="52" t="s">
        <v>2425</v>
      </c>
      <c r="S92" s="52">
        <f t="shared" si="1"/>
        <v>11.79</v>
      </c>
      <c r="T92" s="52"/>
      <c r="U92" s="52"/>
    </row>
    <row r="93" spans="1:21" s="46" customFormat="1" ht="16.5" thickTop="1" thickBot="1" x14ac:dyDescent="0.3">
      <c r="A93" s="50" t="s">
        <v>1927</v>
      </c>
      <c r="B93" s="43" t="s">
        <v>1840</v>
      </c>
      <c r="C93" s="43" t="s">
        <v>38</v>
      </c>
      <c r="D93" s="43" t="s">
        <v>17</v>
      </c>
      <c r="E93" s="43" t="s">
        <v>18</v>
      </c>
      <c r="F93" s="43" t="s">
        <v>32</v>
      </c>
      <c r="G93" s="48">
        <v>46149.806250000001</v>
      </c>
      <c r="H93" s="48">
        <v>46156.555555555555</v>
      </c>
      <c r="I93" s="43">
        <v>3</v>
      </c>
      <c r="J93" s="43" t="s">
        <v>2373</v>
      </c>
      <c r="K93" s="43" t="s">
        <v>8317</v>
      </c>
      <c r="L93" s="43" t="s">
        <v>33</v>
      </c>
      <c r="M93" s="43">
        <v>3</v>
      </c>
      <c r="N93" s="43">
        <v>3</v>
      </c>
      <c r="O93" s="43">
        <v>3</v>
      </c>
      <c r="P93" s="43" t="s">
        <v>1490</v>
      </c>
      <c r="Q93" s="43" t="s">
        <v>1514</v>
      </c>
      <c r="R93" s="43"/>
      <c r="S93" s="52">
        <f t="shared" si="1"/>
        <v>6.75</v>
      </c>
      <c r="T93" s="47"/>
      <c r="U93" s="47"/>
    </row>
    <row r="94" spans="1:21" ht="16.5" thickTop="1" thickBot="1" x14ac:dyDescent="0.3">
      <c r="A94" s="51" t="s">
        <v>1925</v>
      </c>
      <c r="B94" s="52" t="s">
        <v>1926</v>
      </c>
      <c r="C94" s="52" t="s">
        <v>38</v>
      </c>
      <c r="D94" s="52" t="s">
        <v>17</v>
      </c>
      <c r="E94" s="52" t="s">
        <v>19</v>
      </c>
      <c r="F94" s="52" t="s">
        <v>19</v>
      </c>
      <c r="G94" s="53">
        <v>46150.652083333334</v>
      </c>
      <c r="H94" s="53">
        <v>46157.510416666664</v>
      </c>
      <c r="I94" s="52">
        <v>198</v>
      </c>
      <c r="J94" s="52" t="s">
        <v>1156</v>
      </c>
      <c r="K94" s="52" t="s">
        <v>1156</v>
      </c>
      <c r="L94" s="52" t="s">
        <v>33</v>
      </c>
      <c r="M94" s="52">
        <v>157</v>
      </c>
      <c r="N94" s="52">
        <v>157</v>
      </c>
      <c r="O94" s="52">
        <v>198</v>
      </c>
      <c r="P94" s="52" t="s">
        <v>1472</v>
      </c>
      <c r="Q94" s="52" t="s">
        <v>1517</v>
      </c>
      <c r="R94" s="52" t="s">
        <v>2424</v>
      </c>
      <c r="S94" s="52">
        <f t="shared" si="1"/>
        <v>6.86</v>
      </c>
      <c r="T94" s="52"/>
      <c r="U94" s="52"/>
    </row>
    <row r="95" spans="1:21" s="46" customFormat="1" ht="16.5" thickTop="1" thickBot="1" x14ac:dyDescent="0.3">
      <c r="A95" s="50" t="s">
        <v>1923</v>
      </c>
      <c r="B95" s="43" t="s">
        <v>1924</v>
      </c>
      <c r="C95" s="43" t="s">
        <v>38</v>
      </c>
      <c r="D95" s="43" t="s">
        <v>17</v>
      </c>
      <c r="E95" s="43" t="s">
        <v>19</v>
      </c>
      <c r="F95" s="43" t="s">
        <v>21</v>
      </c>
      <c r="G95" s="48">
        <v>46150.678472222222</v>
      </c>
      <c r="H95" s="48">
        <v>46168.510416666664</v>
      </c>
      <c r="I95" s="43">
        <v>706</v>
      </c>
      <c r="J95" s="43" t="s">
        <v>1156</v>
      </c>
      <c r="K95" s="43" t="s">
        <v>8294</v>
      </c>
      <c r="L95" s="43" t="s">
        <v>20</v>
      </c>
      <c r="M95" s="43">
        <v>706</v>
      </c>
      <c r="N95" s="43">
        <v>126</v>
      </c>
      <c r="O95" s="43">
        <v>126</v>
      </c>
      <c r="P95" s="43" t="s">
        <v>1434</v>
      </c>
      <c r="Q95" s="43" t="s">
        <v>1546</v>
      </c>
      <c r="R95" s="43" t="s">
        <v>2423</v>
      </c>
      <c r="S95" s="52">
        <f t="shared" si="1"/>
        <v>17.829999999999998</v>
      </c>
      <c r="T95" s="47"/>
      <c r="U95" s="47"/>
    </row>
    <row r="96" spans="1:21" ht="16.5" thickTop="1" thickBot="1" x14ac:dyDescent="0.3">
      <c r="A96" s="51" t="s">
        <v>1921</v>
      </c>
      <c r="B96" s="52" t="s">
        <v>1922</v>
      </c>
      <c r="C96" s="52" t="s">
        <v>38</v>
      </c>
      <c r="D96" s="52" t="s">
        <v>17</v>
      </c>
      <c r="E96" s="52" t="s">
        <v>18</v>
      </c>
      <c r="F96" s="52" t="s">
        <v>32</v>
      </c>
      <c r="G96" s="53">
        <v>46150.727777777778</v>
      </c>
      <c r="H96" s="53">
        <v>46154.507638888892</v>
      </c>
      <c r="I96" s="52">
        <v>598</v>
      </c>
      <c r="J96" s="52" t="s">
        <v>1156</v>
      </c>
      <c r="K96" s="52" t="s">
        <v>1156</v>
      </c>
      <c r="L96" s="52" t="s">
        <v>25</v>
      </c>
      <c r="M96" s="52">
        <v>528</v>
      </c>
      <c r="N96" s="52">
        <v>305</v>
      </c>
      <c r="O96" s="52">
        <v>340</v>
      </c>
      <c r="P96" s="52" t="s">
        <v>1445</v>
      </c>
      <c r="Q96" s="52" t="s">
        <v>1517</v>
      </c>
      <c r="R96" s="52" t="s">
        <v>2422</v>
      </c>
      <c r="S96" s="52">
        <f t="shared" si="1"/>
        <v>3.78</v>
      </c>
      <c r="T96" s="52"/>
      <c r="U96" s="52"/>
    </row>
    <row r="97" spans="1:21" s="46" customFormat="1" ht="16.5" thickTop="1" thickBot="1" x14ac:dyDescent="0.3">
      <c r="A97" s="50" t="s">
        <v>1919</v>
      </c>
      <c r="B97" s="43" t="s">
        <v>1920</v>
      </c>
      <c r="C97" s="43" t="s">
        <v>38</v>
      </c>
      <c r="D97" s="43" t="s">
        <v>17</v>
      </c>
      <c r="E97" s="43" t="s">
        <v>19</v>
      </c>
      <c r="F97" s="43" t="s">
        <v>21</v>
      </c>
      <c r="G97" s="48">
        <v>46150.760416666664</v>
      </c>
      <c r="H97" s="48">
        <v>46154.554166666669</v>
      </c>
      <c r="I97" s="43">
        <v>119</v>
      </c>
      <c r="J97" s="43" t="s">
        <v>1156</v>
      </c>
      <c r="K97" s="43" t="s">
        <v>1156</v>
      </c>
      <c r="L97" s="43" t="s">
        <v>20</v>
      </c>
      <c r="M97" s="43">
        <v>119</v>
      </c>
      <c r="N97" s="43">
        <v>17</v>
      </c>
      <c r="O97" s="43">
        <v>17</v>
      </c>
      <c r="P97" s="43" t="s">
        <v>1407</v>
      </c>
      <c r="Q97" s="43" t="s">
        <v>1514</v>
      </c>
      <c r="R97" s="43" t="s">
        <v>2421</v>
      </c>
      <c r="S97" s="52">
        <f t="shared" si="1"/>
        <v>3.79</v>
      </c>
      <c r="T97" s="47"/>
      <c r="U97" s="47"/>
    </row>
    <row r="98" spans="1:21" ht="16.5" thickTop="1" thickBot="1" x14ac:dyDescent="0.3">
      <c r="A98" s="51" t="s">
        <v>1917</v>
      </c>
      <c r="B98" s="52" t="s">
        <v>1918</v>
      </c>
      <c r="C98" s="52" t="s">
        <v>38</v>
      </c>
      <c r="D98" s="52" t="s">
        <v>17</v>
      </c>
      <c r="E98" s="52" t="s">
        <v>19</v>
      </c>
      <c r="F98" s="52" t="s">
        <v>21</v>
      </c>
      <c r="G98" s="53">
        <v>46150.770833333336</v>
      </c>
      <c r="H98" s="53">
        <v>46157.506249999999</v>
      </c>
      <c r="I98" s="52">
        <v>30</v>
      </c>
      <c r="J98" s="52" t="s">
        <v>1156</v>
      </c>
      <c r="K98" s="52" t="s">
        <v>1156</v>
      </c>
      <c r="L98" s="52" t="s">
        <v>20</v>
      </c>
      <c r="M98" s="52">
        <v>30</v>
      </c>
      <c r="N98" s="52">
        <v>5</v>
      </c>
      <c r="O98" s="52">
        <v>5</v>
      </c>
      <c r="P98" s="52" t="s">
        <v>1427</v>
      </c>
      <c r="Q98" s="52" t="s">
        <v>1517</v>
      </c>
      <c r="R98" s="52" t="s">
        <v>2420</v>
      </c>
      <c r="S98" s="52">
        <f t="shared" si="1"/>
        <v>6.74</v>
      </c>
      <c r="T98" s="52"/>
      <c r="U98" s="52"/>
    </row>
    <row r="99" spans="1:21" s="46" customFormat="1" ht="16.5" thickTop="1" thickBot="1" x14ac:dyDescent="0.3">
      <c r="A99" s="50" t="s">
        <v>1915</v>
      </c>
      <c r="B99" s="43" t="s">
        <v>1916</v>
      </c>
      <c r="C99" s="43" t="s">
        <v>38</v>
      </c>
      <c r="D99" s="43" t="s">
        <v>17</v>
      </c>
      <c r="E99" s="43" t="s">
        <v>19</v>
      </c>
      <c r="F99" s="43" t="s">
        <v>21</v>
      </c>
      <c r="G99" s="48">
        <v>46150.791666666664</v>
      </c>
      <c r="H99" s="48">
        <v>46155.506249999999</v>
      </c>
      <c r="I99" s="43">
        <v>58</v>
      </c>
      <c r="J99" s="43" t="s">
        <v>1156</v>
      </c>
      <c r="K99" s="43" t="s">
        <v>1156</v>
      </c>
      <c r="L99" s="43" t="s">
        <v>20</v>
      </c>
      <c r="M99" s="43">
        <v>58</v>
      </c>
      <c r="N99" s="43">
        <v>9</v>
      </c>
      <c r="O99" s="43">
        <v>9</v>
      </c>
      <c r="P99" s="43" t="s">
        <v>1414</v>
      </c>
      <c r="Q99" s="43" t="s">
        <v>1517</v>
      </c>
      <c r="R99" s="43" t="s">
        <v>2419</v>
      </c>
      <c r="S99" s="52">
        <f t="shared" si="1"/>
        <v>4.71</v>
      </c>
      <c r="T99" s="47"/>
      <c r="U99" s="47"/>
    </row>
    <row r="100" spans="1:21" ht="16.5" thickTop="1" thickBot="1" x14ac:dyDescent="0.3">
      <c r="A100" s="51" t="s">
        <v>1912</v>
      </c>
      <c r="B100" s="52" t="s">
        <v>1913</v>
      </c>
      <c r="C100" s="52" t="s">
        <v>38</v>
      </c>
      <c r="D100" s="52" t="s">
        <v>17</v>
      </c>
      <c r="E100" s="52" t="s">
        <v>18</v>
      </c>
      <c r="F100" s="52" t="s">
        <v>42</v>
      </c>
      <c r="G100" s="53">
        <v>46150.834027777775</v>
      </c>
      <c r="H100" s="53">
        <v>46155.777083333334</v>
      </c>
      <c r="I100" s="52">
        <v>243</v>
      </c>
      <c r="J100" s="52" t="s">
        <v>1156</v>
      </c>
      <c r="K100" s="52" t="s">
        <v>1156</v>
      </c>
      <c r="L100" s="52" t="s">
        <v>36</v>
      </c>
      <c r="M100" s="52">
        <v>243</v>
      </c>
      <c r="N100" s="52">
        <v>243</v>
      </c>
      <c r="O100" s="52">
        <v>243</v>
      </c>
      <c r="P100" s="52" t="s">
        <v>1914</v>
      </c>
      <c r="Q100" s="52" t="s">
        <v>1517</v>
      </c>
      <c r="R100" s="52" t="s">
        <v>2418</v>
      </c>
      <c r="S100" s="52">
        <f t="shared" si="1"/>
        <v>4.9400000000000004</v>
      </c>
      <c r="T100" s="52"/>
      <c r="U100" s="52"/>
    </row>
    <row r="101" spans="1:21" s="46" customFormat="1" ht="16.5" thickTop="1" thickBot="1" x14ac:dyDescent="0.3">
      <c r="A101" s="50" t="s">
        <v>1910</v>
      </c>
      <c r="B101" s="43" t="s">
        <v>1911</v>
      </c>
      <c r="C101" s="43" t="s">
        <v>38</v>
      </c>
      <c r="D101" s="43" t="s">
        <v>17</v>
      </c>
      <c r="E101" s="43" t="s">
        <v>18</v>
      </c>
      <c r="F101" s="43" t="s">
        <v>42</v>
      </c>
      <c r="G101" s="48">
        <v>46150.84097222222</v>
      </c>
      <c r="H101" s="48">
        <v>46155.784722222219</v>
      </c>
      <c r="I101" s="43">
        <v>499</v>
      </c>
      <c r="J101" s="43" t="s">
        <v>1156</v>
      </c>
      <c r="K101" s="43" t="s">
        <v>1156</v>
      </c>
      <c r="L101" s="43" t="s">
        <v>36</v>
      </c>
      <c r="M101" s="43">
        <v>443</v>
      </c>
      <c r="N101" s="43">
        <v>443</v>
      </c>
      <c r="O101" s="43">
        <v>499</v>
      </c>
      <c r="P101" s="43" t="s">
        <v>1429</v>
      </c>
      <c r="Q101" s="43" t="s">
        <v>1517</v>
      </c>
      <c r="R101" s="43" t="s">
        <v>2417</v>
      </c>
      <c r="S101" s="52">
        <f t="shared" si="1"/>
        <v>4.9400000000000004</v>
      </c>
      <c r="T101" s="47"/>
      <c r="U101" s="47"/>
    </row>
    <row r="102" spans="1:21" ht="16.5" thickTop="1" thickBot="1" x14ac:dyDescent="0.3">
      <c r="A102" s="51" t="s">
        <v>1908</v>
      </c>
      <c r="B102" s="52" t="s">
        <v>1909</v>
      </c>
      <c r="C102" s="52" t="s">
        <v>38</v>
      </c>
      <c r="D102" s="52" t="s">
        <v>22</v>
      </c>
      <c r="E102" s="52" t="s">
        <v>19</v>
      </c>
      <c r="F102" s="52" t="s">
        <v>21</v>
      </c>
      <c r="G102" s="53">
        <v>46151.525694444441</v>
      </c>
      <c r="H102" s="53">
        <v>46157.456250000003</v>
      </c>
      <c r="I102" s="52">
        <v>22</v>
      </c>
      <c r="J102" s="52" t="s">
        <v>2373</v>
      </c>
      <c r="K102" s="52" t="s">
        <v>8278</v>
      </c>
      <c r="L102" s="52" t="s">
        <v>20</v>
      </c>
      <c r="M102" s="52">
        <v>22</v>
      </c>
      <c r="N102" s="52">
        <v>22</v>
      </c>
      <c r="O102" s="52">
        <v>22</v>
      </c>
      <c r="P102" s="52" t="s">
        <v>1440</v>
      </c>
      <c r="Q102" s="52" t="s">
        <v>1546</v>
      </c>
      <c r="R102" s="52"/>
      <c r="S102" s="52">
        <f t="shared" si="1"/>
        <v>5.93</v>
      </c>
      <c r="T102" s="52"/>
      <c r="U102" s="52"/>
    </row>
    <row r="103" spans="1:21" s="46" customFormat="1" ht="16.5" thickTop="1" thickBot="1" x14ac:dyDescent="0.3">
      <c r="A103" s="50" t="s">
        <v>1906</v>
      </c>
      <c r="B103" s="43" t="s">
        <v>1907</v>
      </c>
      <c r="C103" s="43" t="s">
        <v>38</v>
      </c>
      <c r="D103" s="43" t="s">
        <v>17</v>
      </c>
      <c r="E103" s="43" t="s">
        <v>19</v>
      </c>
      <c r="F103" s="43" t="s">
        <v>19</v>
      </c>
      <c r="G103" s="48">
        <v>46151.602083333331</v>
      </c>
      <c r="H103" s="48">
        <v>46153.656944444447</v>
      </c>
      <c r="I103" s="43">
        <v>116</v>
      </c>
      <c r="J103" s="43" t="s">
        <v>1156</v>
      </c>
      <c r="K103" s="43" t="s">
        <v>1156</v>
      </c>
      <c r="L103" s="43" t="s">
        <v>20</v>
      </c>
      <c r="M103" s="43">
        <v>116</v>
      </c>
      <c r="N103" s="43">
        <v>17</v>
      </c>
      <c r="O103" s="43">
        <v>17</v>
      </c>
      <c r="P103" s="43" t="s">
        <v>1478</v>
      </c>
      <c r="Q103" s="43" t="s">
        <v>1517</v>
      </c>
      <c r="R103" s="43" t="s">
        <v>2416</v>
      </c>
      <c r="S103" s="52">
        <f t="shared" si="1"/>
        <v>2.0499999999999998</v>
      </c>
      <c r="T103" s="47"/>
      <c r="U103" s="47"/>
    </row>
    <row r="104" spans="1:21" ht="16.5" thickTop="1" thickBot="1" x14ac:dyDescent="0.3">
      <c r="A104" s="51" t="s">
        <v>1904</v>
      </c>
      <c r="B104" s="52" t="s">
        <v>1905</v>
      </c>
      <c r="C104" s="52" t="s">
        <v>38</v>
      </c>
      <c r="D104" s="52" t="s">
        <v>17</v>
      </c>
      <c r="E104" s="52" t="s">
        <v>19</v>
      </c>
      <c r="F104" s="52" t="s">
        <v>42</v>
      </c>
      <c r="G104" s="53">
        <v>46152.493055555555</v>
      </c>
      <c r="H104" s="53">
        <v>46164.47152777778</v>
      </c>
      <c r="I104" s="52">
        <v>105</v>
      </c>
      <c r="J104" s="52" t="s">
        <v>2373</v>
      </c>
      <c r="K104" s="52" t="s">
        <v>8264</v>
      </c>
      <c r="L104" s="52" t="s">
        <v>33</v>
      </c>
      <c r="M104" s="52">
        <v>103</v>
      </c>
      <c r="N104" s="52">
        <v>105</v>
      </c>
      <c r="O104" s="52">
        <v>105</v>
      </c>
      <c r="P104" s="52" t="s">
        <v>1415</v>
      </c>
      <c r="Q104" s="52" t="s">
        <v>1546</v>
      </c>
      <c r="R104" s="52"/>
      <c r="S104" s="52">
        <f t="shared" si="1"/>
        <v>11.98</v>
      </c>
      <c r="T104" s="52"/>
      <c r="U104" s="52"/>
    </row>
    <row r="105" spans="1:21" s="46" customFormat="1" ht="16.5" thickTop="1" thickBot="1" x14ac:dyDescent="0.3">
      <c r="A105" s="50" t="s">
        <v>1902</v>
      </c>
      <c r="B105" s="43" t="s">
        <v>1017</v>
      </c>
      <c r="C105" s="43" t="s">
        <v>38</v>
      </c>
      <c r="D105" s="43" t="s">
        <v>17</v>
      </c>
      <c r="E105" s="43" t="s">
        <v>19</v>
      </c>
      <c r="F105" s="43" t="s">
        <v>19</v>
      </c>
      <c r="G105" s="48">
        <v>46153.453472222223</v>
      </c>
      <c r="H105" s="48">
        <v>46169.554166666669</v>
      </c>
      <c r="I105" s="43">
        <v>707</v>
      </c>
      <c r="J105" s="43" t="s">
        <v>1156</v>
      </c>
      <c r="K105" s="43" t="s">
        <v>1156</v>
      </c>
      <c r="L105" s="43" t="s">
        <v>20</v>
      </c>
      <c r="M105" s="43">
        <v>0</v>
      </c>
      <c r="N105" s="43">
        <v>0</v>
      </c>
      <c r="O105" s="43">
        <v>52</v>
      </c>
      <c r="P105" s="43" t="s">
        <v>1413</v>
      </c>
      <c r="Q105" s="43" t="s">
        <v>1546</v>
      </c>
      <c r="R105" s="43" t="s">
        <v>1903</v>
      </c>
      <c r="S105" s="52">
        <f t="shared" si="1"/>
        <v>16.100000000000001</v>
      </c>
      <c r="T105" s="47"/>
      <c r="U105" s="47"/>
    </row>
    <row r="106" spans="1:21" ht="16.5" thickTop="1" thickBot="1" x14ac:dyDescent="0.3">
      <c r="A106" s="51" t="s">
        <v>1900</v>
      </c>
      <c r="B106" s="52" t="s">
        <v>1901</v>
      </c>
      <c r="C106" s="52" t="s">
        <v>39</v>
      </c>
      <c r="D106" s="52" t="s">
        <v>17</v>
      </c>
      <c r="E106" s="52" t="s">
        <v>18</v>
      </c>
      <c r="F106" s="52" t="s">
        <v>42</v>
      </c>
      <c r="G106" s="53">
        <v>46153.467361111114</v>
      </c>
      <c r="H106" s="53">
        <v>46165.418055555558</v>
      </c>
      <c r="I106" s="52">
        <v>3</v>
      </c>
      <c r="J106" s="52" t="s">
        <v>1156</v>
      </c>
      <c r="K106" s="52" t="s">
        <v>1156</v>
      </c>
      <c r="L106" s="52" t="s">
        <v>33</v>
      </c>
      <c r="M106" s="52">
        <v>0</v>
      </c>
      <c r="N106" s="52">
        <v>0</v>
      </c>
      <c r="O106" s="52">
        <v>3</v>
      </c>
      <c r="P106" s="52" t="s">
        <v>1485</v>
      </c>
      <c r="Q106" s="52" t="s">
        <v>1546</v>
      </c>
      <c r="R106" s="52"/>
      <c r="S106" s="52">
        <f t="shared" si="1"/>
        <v>11.95</v>
      </c>
      <c r="T106" s="52"/>
      <c r="U106" s="52"/>
    </row>
    <row r="107" spans="1:21" s="46" customFormat="1" ht="16.5" thickTop="1" thickBot="1" x14ac:dyDescent="0.3">
      <c r="A107" s="50" t="s">
        <v>1898</v>
      </c>
      <c r="B107" s="43" t="s">
        <v>1899</v>
      </c>
      <c r="C107" s="43" t="s">
        <v>38</v>
      </c>
      <c r="D107" s="43" t="s">
        <v>17</v>
      </c>
      <c r="E107" s="43" t="s">
        <v>19</v>
      </c>
      <c r="F107" s="43" t="s">
        <v>21</v>
      </c>
      <c r="G107" s="48">
        <v>46153.554166666669</v>
      </c>
      <c r="H107" s="48">
        <v>46160.505555555559</v>
      </c>
      <c r="I107" s="43">
        <v>378</v>
      </c>
      <c r="J107" s="43" t="s">
        <v>1156</v>
      </c>
      <c r="K107" s="43" t="s">
        <v>8343</v>
      </c>
      <c r="L107" s="43" t="s">
        <v>20</v>
      </c>
      <c r="M107" s="43">
        <v>343</v>
      </c>
      <c r="N107" s="43">
        <v>70</v>
      </c>
      <c r="O107" s="43">
        <v>78</v>
      </c>
      <c r="P107" s="43" t="s">
        <v>1412</v>
      </c>
      <c r="Q107" s="43" t="s">
        <v>1517</v>
      </c>
      <c r="R107" s="43" t="s">
        <v>2415</v>
      </c>
      <c r="S107" s="52">
        <f t="shared" si="1"/>
        <v>6.95</v>
      </c>
      <c r="T107" s="47"/>
      <c r="U107" s="47"/>
    </row>
    <row r="108" spans="1:21" ht="16.5" thickTop="1" thickBot="1" x14ac:dyDescent="0.3">
      <c r="A108" s="51" t="s">
        <v>1896</v>
      </c>
      <c r="B108" s="52" t="s">
        <v>1897</v>
      </c>
      <c r="C108" s="52" t="s">
        <v>38</v>
      </c>
      <c r="D108" s="52" t="s">
        <v>17</v>
      </c>
      <c r="E108" s="52" t="s">
        <v>18</v>
      </c>
      <c r="F108" s="52" t="s">
        <v>19</v>
      </c>
      <c r="G108" s="53">
        <v>46153.563194444447</v>
      </c>
      <c r="H108" s="53">
        <v>46160.50277777778</v>
      </c>
      <c r="I108" s="52">
        <v>1</v>
      </c>
      <c r="J108" s="52" t="s">
        <v>1156</v>
      </c>
      <c r="K108" s="52" t="s">
        <v>1156</v>
      </c>
      <c r="L108" s="52" t="s">
        <v>31</v>
      </c>
      <c r="M108" s="52">
        <v>1</v>
      </c>
      <c r="N108" s="52">
        <v>1</v>
      </c>
      <c r="O108" s="52">
        <v>1</v>
      </c>
      <c r="P108" s="52" t="s">
        <v>1413</v>
      </c>
      <c r="Q108" s="52" t="s">
        <v>1546</v>
      </c>
      <c r="R108" s="52" t="s">
        <v>2414</v>
      </c>
      <c r="S108" s="52">
        <f t="shared" si="1"/>
        <v>6.94</v>
      </c>
      <c r="T108" s="52"/>
      <c r="U108" s="52"/>
    </row>
    <row r="109" spans="1:21" s="46" customFormat="1" ht="16.5" thickTop="1" thickBot="1" x14ac:dyDescent="0.3">
      <c r="A109" s="50" t="s">
        <v>1894</v>
      </c>
      <c r="B109" s="43" t="s">
        <v>1895</v>
      </c>
      <c r="C109" s="43" t="s">
        <v>38</v>
      </c>
      <c r="D109" s="43" t="s">
        <v>17</v>
      </c>
      <c r="E109" s="43" t="s">
        <v>18</v>
      </c>
      <c r="F109" s="43" t="s">
        <v>42</v>
      </c>
      <c r="G109" s="48">
        <v>46153.592361111114</v>
      </c>
      <c r="H109" s="48">
        <v>46161.571527777778</v>
      </c>
      <c r="I109" s="43">
        <v>1</v>
      </c>
      <c r="J109" s="43" t="s">
        <v>2373</v>
      </c>
      <c r="K109" s="43" t="s">
        <v>8317</v>
      </c>
      <c r="L109" s="43" t="s">
        <v>37</v>
      </c>
      <c r="M109" s="43">
        <v>1</v>
      </c>
      <c r="N109" s="43">
        <v>1</v>
      </c>
      <c r="O109" s="43">
        <v>1</v>
      </c>
      <c r="P109" s="43" t="s">
        <v>1480</v>
      </c>
      <c r="Q109" s="43" t="s">
        <v>1517</v>
      </c>
      <c r="R109" s="43" t="s">
        <v>2413</v>
      </c>
      <c r="S109" s="52">
        <f t="shared" si="1"/>
        <v>7.98</v>
      </c>
      <c r="T109" s="47"/>
      <c r="U109" s="47"/>
    </row>
    <row r="110" spans="1:21" ht="16.5" thickTop="1" thickBot="1" x14ac:dyDescent="0.3">
      <c r="A110" s="51" t="s">
        <v>1892</v>
      </c>
      <c r="B110" s="52" t="s">
        <v>1893</v>
      </c>
      <c r="C110" s="52" t="s">
        <v>38</v>
      </c>
      <c r="D110" s="52" t="s">
        <v>17</v>
      </c>
      <c r="E110" s="52" t="s">
        <v>18</v>
      </c>
      <c r="F110" s="52" t="s">
        <v>42</v>
      </c>
      <c r="G110" s="53">
        <v>46153.599305555559</v>
      </c>
      <c r="H110" s="53">
        <v>46162.756944444445</v>
      </c>
      <c r="I110" s="52">
        <v>7</v>
      </c>
      <c r="J110" s="52" t="s">
        <v>2373</v>
      </c>
      <c r="K110" s="52" t="s">
        <v>8326</v>
      </c>
      <c r="L110" s="52" t="s">
        <v>33</v>
      </c>
      <c r="M110" s="52">
        <v>7</v>
      </c>
      <c r="N110" s="52">
        <v>7</v>
      </c>
      <c r="O110" s="52">
        <v>7</v>
      </c>
      <c r="P110" s="52" t="s">
        <v>1424</v>
      </c>
      <c r="Q110" s="52" t="s">
        <v>1517</v>
      </c>
      <c r="R110" s="52"/>
      <c r="S110" s="52">
        <f t="shared" si="1"/>
        <v>9.16</v>
      </c>
      <c r="T110" s="52"/>
      <c r="U110" s="52"/>
    </row>
    <row r="111" spans="1:21" s="46" customFormat="1" ht="16.5" thickTop="1" thickBot="1" x14ac:dyDescent="0.3">
      <c r="A111" s="50" t="s">
        <v>1890</v>
      </c>
      <c r="B111" s="43" t="s">
        <v>1891</v>
      </c>
      <c r="C111" s="43" t="s">
        <v>38</v>
      </c>
      <c r="D111" s="43" t="s">
        <v>17</v>
      </c>
      <c r="E111" s="43" t="s">
        <v>18</v>
      </c>
      <c r="F111" s="43" t="s">
        <v>42</v>
      </c>
      <c r="G111" s="48">
        <v>46153.604861111111</v>
      </c>
      <c r="H111" s="48">
        <v>46161.583333333336</v>
      </c>
      <c r="I111" s="43">
        <v>11</v>
      </c>
      <c r="J111" s="43" t="s">
        <v>2373</v>
      </c>
      <c r="K111" s="43" t="s">
        <v>8317</v>
      </c>
      <c r="L111" s="43" t="s">
        <v>25</v>
      </c>
      <c r="M111" s="43">
        <v>11</v>
      </c>
      <c r="N111" s="43">
        <v>5</v>
      </c>
      <c r="O111" s="43">
        <v>5</v>
      </c>
      <c r="P111" s="43" t="s">
        <v>1445</v>
      </c>
      <c r="Q111" s="43" t="s">
        <v>1517</v>
      </c>
      <c r="R111" s="43" t="s">
        <v>2412</v>
      </c>
      <c r="S111" s="52">
        <f t="shared" si="1"/>
        <v>7.98</v>
      </c>
      <c r="T111" s="47"/>
      <c r="U111" s="47"/>
    </row>
    <row r="112" spans="1:21" ht="16.5" thickTop="1" thickBot="1" x14ac:dyDescent="0.3">
      <c r="A112" s="51" t="s">
        <v>1888</v>
      </c>
      <c r="B112" s="52" t="s">
        <v>1889</v>
      </c>
      <c r="C112" s="52" t="s">
        <v>38</v>
      </c>
      <c r="D112" s="52" t="s">
        <v>17</v>
      </c>
      <c r="E112" s="52" t="s">
        <v>18</v>
      </c>
      <c r="F112" s="52" t="s">
        <v>42</v>
      </c>
      <c r="G112" s="53">
        <v>46153.611805555556</v>
      </c>
      <c r="H112" s="53">
        <v>46156.50277777778</v>
      </c>
      <c r="I112" s="52">
        <v>413</v>
      </c>
      <c r="J112" s="52" t="s">
        <v>1156</v>
      </c>
      <c r="K112" s="52" t="s">
        <v>1156</v>
      </c>
      <c r="L112" s="52" t="s">
        <v>25</v>
      </c>
      <c r="M112" s="52">
        <v>402</v>
      </c>
      <c r="N112" s="52">
        <v>73</v>
      </c>
      <c r="O112" s="52">
        <v>75</v>
      </c>
      <c r="P112" s="52" t="s">
        <v>1333</v>
      </c>
      <c r="Q112" s="52" t="s">
        <v>1517</v>
      </c>
      <c r="R112" s="52" t="s">
        <v>2411</v>
      </c>
      <c r="S112" s="52">
        <f t="shared" si="1"/>
        <v>2.89</v>
      </c>
      <c r="T112" s="52"/>
      <c r="U112" s="52"/>
    </row>
    <row r="113" spans="1:21" s="46" customFormat="1" ht="16.5" thickTop="1" thickBot="1" x14ac:dyDescent="0.3">
      <c r="A113" s="50" t="s">
        <v>1886</v>
      </c>
      <c r="B113" s="43" t="s">
        <v>1887</v>
      </c>
      <c r="C113" s="43" t="s">
        <v>38</v>
      </c>
      <c r="D113" s="43" t="s">
        <v>17</v>
      </c>
      <c r="E113" s="43" t="s">
        <v>19</v>
      </c>
      <c r="F113" s="43" t="s">
        <v>21</v>
      </c>
      <c r="G113" s="48">
        <v>46153.638888888891</v>
      </c>
      <c r="H113" s="48">
        <v>46155.504166666666</v>
      </c>
      <c r="I113" s="43">
        <v>1090</v>
      </c>
      <c r="J113" s="43" t="s">
        <v>1156</v>
      </c>
      <c r="K113" s="43" t="s">
        <v>1156</v>
      </c>
      <c r="L113" s="43" t="s">
        <v>20</v>
      </c>
      <c r="M113" s="43">
        <v>1077</v>
      </c>
      <c r="N113" s="43">
        <v>140</v>
      </c>
      <c r="O113" s="43">
        <v>142</v>
      </c>
      <c r="P113" s="43" t="s">
        <v>1300</v>
      </c>
      <c r="Q113" s="43" t="s">
        <v>1517</v>
      </c>
      <c r="R113" s="43" t="s">
        <v>2410</v>
      </c>
      <c r="S113" s="52">
        <f t="shared" si="1"/>
        <v>1.87</v>
      </c>
      <c r="T113" s="47"/>
      <c r="U113" s="47"/>
    </row>
    <row r="114" spans="1:21" ht="16.5" thickTop="1" thickBot="1" x14ac:dyDescent="0.3">
      <c r="A114" s="51" t="s">
        <v>1883</v>
      </c>
      <c r="B114" s="52" t="s">
        <v>1884</v>
      </c>
      <c r="C114" s="52" t="s">
        <v>38</v>
      </c>
      <c r="D114" s="52" t="s">
        <v>17</v>
      </c>
      <c r="E114" s="52" t="s">
        <v>19</v>
      </c>
      <c r="F114" s="52" t="s">
        <v>21</v>
      </c>
      <c r="G114" s="53">
        <v>46153.644444444442</v>
      </c>
      <c r="H114" s="53">
        <v>46155.500694444447</v>
      </c>
      <c r="I114" s="52">
        <v>16</v>
      </c>
      <c r="J114" s="52" t="s">
        <v>1156</v>
      </c>
      <c r="K114" s="52" t="s">
        <v>1156</v>
      </c>
      <c r="L114" s="52" t="s">
        <v>20</v>
      </c>
      <c r="M114" s="52">
        <v>1</v>
      </c>
      <c r="N114" s="52">
        <v>0</v>
      </c>
      <c r="O114" s="52">
        <v>3</v>
      </c>
      <c r="P114" s="52" t="s">
        <v>1362</v>
      </c>
      <c r="Q114" s="52" t="s">
        <v>1546</v>
      </c>
      <c r="R114" s="52" t="s">
        <v>1885</v>
      </c>
      <c r="S114" s="52">
        <f t="shared" si="1"/>
        <v>1.86</v>
      </c>
      <c r="T114" s="52"/>
      <c r="U114" s="52"/>
    </row>
    <row r="115" spans="1:21" s="46" customFormat="1" ht="16.5" thickTop="1" thickBot="1" x14ac:dyDescent="0.3">
      <c r="A115" s="50" t="s">
        <v>1880</v>
      </c>
      <c r="B115" s="43" t="s">
        <v>1881</v>
      </c>
      <c r="C115" s="43" t="s">
        <v>39</v>
      </c>
      <c r="D115" s="43" t="s">
        <v>17</v>
      </c>
      <c r="E115" s="43" t="s">
        <v>18</v>
      </c>
      <c r="F115" s="43" t="s">
        <v>28</v>
      </c>
      <c r="G115" s="48">
        <v>46153.722222222219</v>
      </c>
      <c r="H115" s="48">
        <v>46157.465277777781</v>
      </c>
      <c r="I115" s="43">
        <v>1686</v>
      </c>
      <c r="J115" s="43" t="s">
        <v>1156</v>
      </c>
      <c r="K115" s="43" t="s">
        <v>1156</v>
      </c>
      <c r="L115" s="43" t="s">
        <v>20</v>
      </c>
      <c r="M115" s="43">
        <v>0</v>
      </c>
      <c r="N115" s="43">
        <v>0</v>
      </c>
      <c r="O115" s="43">
        <v>281</v>
      </c>
      <c r="P115" s="43" t="s">
        <v>1462</v>
      </c>
      <c r="Q115" s="43" t="s">
        <v>1517</v>
      </c>
      <c r="R115" s="43" t="s">
        <v>1882</v>
      </c>
      <c r="S115" s="52">
        <f t="shared" si="1"/>
        <v>3.74</v>
      </c>
      <c r="T115" s="47"/>
      <c r="U115" s="47"/>
    </row>
    <row r="116" spans="1:21" ht="16.5" thickTop="1" thickBot="1" x14ac:dyDescent="0.3">
      <c r="A116" s="51" t="s">
        <v>1877</v>
      </c>
      <c r="B116" s="52" t="s">
        <v>1878</v>
      </c>
      <c r="C116" s="52" t="s">
        <v>38</v>
      </c>
      <c r="D116" s="52" t="s">
        <v>17</v>
      </c>
      <c r="E116" s="52" t="s">
        <v>19</v>
      </c>
      <c r="F116" s="52" t="s">
        <v>23</v>
      </c>
      <c r="G116" s="53">
        <v>46153.723611111112</v>
      </c>
      <c r="H116" s="53">
        <v>46164.755555555559</v>
      </c>
      <c r="I116" s="52">
        <v>7</v>
      </c>
      <c r="J116" s="52" t="s">
        <v>2373</v>
      </c>
      <c r="K116" s="52" t="s">
        <v>8278</v>
      </c>
      <c r="L116" s="52" t="s">
        <v>31</v>
      </c>
      <c r="M116" s="52">
        <v>7</v>
      </c>
      <c r="N116" s="52">
        <v>7</v>
      </c>
      <c r="O116" s="52">
        <v>7</v>
      </c>
      <c r="P116" s="52" t="s">
        <v>1295</v>
      </c>
      <c r="Q116" s="52" t="s">
        <v>1517</v>
      </c>
      <c r="R116" s="52" t="s">
        <v>1879</v>
      </c>
      <c r="S116" s="52">
        <f t="shared" si="1"/>
        <v>11.03</v>
      </c>
      <c r="T116" s="52"/>
      <c r="U116" s="52"/>
    </row>
    <row r="117" spans="1:21" s="46" customFormat="1" ht="16.5" thickTop="1" thickBot="1" x14ac:dyDescent="0.3">
      <c r="A117" s="50" t="s">
        <v>1874</v>
      </c>
      <c r="B117" s="43" t="s">
        <v>1875</v>
      </c>
      <c r="C117" s="43" t="s">
        <v>38</v>
      </c>
      <c r="D117" s="43" t="s">
        <v>17</v>
      </c>
      <c r="E117" s="43" t="s">
        <v>18</v>
      </c>
      <c r="F117" s="43" t="s">
        <v>42</v>
      </c>
      <c r="G117" s="48">
        <v>46153.762499999997</v>
      </c>
      <c r="H117" s="48">
        <v>46161.625694444447</v>
      </c>
      <c r="I117" s="43">
        <v>9</v>
      </c>
      <c r="J117" s="43" t="s">
        <v>2373</v>
      </c>
      <c r="K117" s="43" t="s">
        <v>8317</v>
      </c>
      <c r="L117" s="43" t="s">
        <v>33</v>
      </c>
      <c r="M117" s="43">
        <v>9</v>
      </c>
      <c r="N117" s="43">
        <v>9</v>
      </c>
      <c r="O117" s="43">
        <v>9</v>
      </c>
      <c r="P117" s="43" t="s">
        <v>1876</v>
      </c>
      <c r="Q117" s="43" t="s">
        <v>1546</v>
      </c>
      <c r="R117" s="43"/>
      <c r="S117" s="52">
        <f t="shared" si="1"/>
        <v>7.86</v>
      </c>
      <c r="T117" s="47"/>
      <c r="U117" s="47"/>
    </row>
    <row r="118" spans="1:21" ht="16.5" thickTop="1" thickBot="1" x14ac:dyDescent="0.3">
      <c r="A118" s="51" t="s">
        <v>1872</v>
      </c>
      <c r="B118" s="52" t="s">
        <v>1873</v>
      </c>
      <c r="C118" s="52" t="s">
        <v>38</v>
      </c>
      <c r="D118" s="52" t="s">
        <v>17</v>
      </c>
      <c r="E118" s="52" t="s">
        <v>18</v>
      </c>
      <c r="F118" s="52" t="s">
        <v>42</v>
      </c>
      <c r="G118" s="53">
        <v>46153.775694444441</v>
      </c>
      <c r="H118" s="53">
        <v>46168.826388888891</v>
      </c>
      <c r="I118" s="52">
        <v>809</v>
      </c>
      <c r="J118" s="52" t="s">
        <v>2373</v>
      </c>
      <c r="K118" s="52" t="s">
        <v>8264</v>
      </c>
      <c r="L118" s="52" t="s">
        <v>36</v>
      </c>
      <c r="M118" s="52">
        <v>697</v>
      </c>
      <c r="N118" s="52">
        <v>697</v>
      </c>
      <c r="O118" s="52">
        <v>740</v>
      </c>
      <c r="P118" s="52" t="s">
        <v>1505</v>
      </c>
      <c r="Q118" s="52" t="s">
        <v>1517</v>
      </c>
      <c r="R118" s="52" t="s">
        <v>8347</v>
      </c>
      <c r="S118" s="52">
        <f t="shared" si="1"/>
        <v>15.05</v>
      </c>
      <c r="T118" s="52"/>
      <c r="U118" s="52"/>
    </row>
    <row r="119" spans="1:21" s="46" customFormat="1" ht="16.5" thickTop="1" thickBot="1" x14ac:dyDescent="0.3">
      <c r="A119" s="50" t="s">
        <v>1870</v>
      </c>
      <c r="B119" s="43" t="s">
        <v>1871</v>
      </c>
      <c r="C119" s="43" t="s">
        <v>38</v>
      </c>
      <c r="D119" s="43" t="s">
        <v>17</v>
      </c>
      <c r="E119" s="43" t="s">
        <v>18</v>
      </c>
      <c r="F119" s="43" t="s">
        <v>42</v>
      </c>
      <c r="G119" s="48">
        <v>46153.777777777781</v>
      </c>
      <c r="H119" s="48">
        <v>46161.635416666664</v>
      </c>
      <c r="I119" s="43">
        <v>1</v>
      </c>
      <c r="J119" s="43" t="s">
        <v>2373</v>
      </c>
      <c r="K119" s="43" t="s">
        <v>8317</v>
      </c>
      <c r="L119" s="43" t="s">
        <v>33</v>
      </c>
      <c r="M119" s="43">
        <v>1</v>
      </c>
      <c r="N119" s="43">
        <v>1</v>
      </c>
      <c r="O119" s="43">
        <v>1</v>
      </c>
      <c r="P119" s="43" t="s">
        <v>1467</v>
      </c>
      <c r="Q119" s="43" t="s">
        <v>1546</v>
      </c>
      <c r="R119" s="43"/>
      <c r="S119" s="52">
        <f t="shared" si="1"/>
        <v>7.86</v>
      </c>
      <c r="T119" s="47"/>
      <c r="U119" s="47"/>
    </row>
    <row r="120" spans="1:21" ht="16.5" thickTop="1" thickBot="1" x14ac:dyDescent="0.3">
      <c r="A120" s="51" t="s">
        <v>1868</v>
      </c>
      <c r="B120" s="52" t="s">
        <v>1869</v>
      </c>
      <c r="C120" s="52" t="s">
        <v>39</v>
      </c>
      <c r="D120" s="52" t="s">
        <v>17</v>
      </c>
      <c r="E120" s="52" t="s">
        <v>18</v>
      </c>
      <c r="F120" s="52" t="s">
        <v>32</v>
      </c>
      <c r="G120" s="53">
        <v>46154.44027777778</v>
      </c>
      <c r="H120" s="53">
        <v>46162.520833333336</v>
      </c>
      <c r="I120" s="52">
        <v>300</v>
      </c>
      <c r="J120" s="52" t="s">
        <v>1156</v>
      </c>
      <c r="K120" s="52" t="s">
        <v>1156</v>
      </c>
      <c r="L120" s="52" t="s">
        <v>20</v>
      </c>
      <c r="M120" s="52">
        <v>0</v>
      </c>
      <c r="N120" s="52">
        <v>0</v>
      </c>
      <c r="O120" s="52">
        <v>51</v>
      </c>
      <c r="P120" s="52" t="s">
        <v>1337</v>
      </c>
      <c r="Q120" s="52" t="s">
        <v>1517</v>
      </c>
      <c r="R120" s="52"/>
      <c r="S120" s="52">
        <f t="shared" si="1"/>
        <v>8.08</v>
      </c>
      <c r="T120" s="52"/>
      <c r="U120" s="52"/>
    </row>
    <row r="121" spans="1:21" s="46" customFormat="1" ht="16.5" thickTop="1" thickBot="1" x14ac:dyDescent="0.3">
      <c r="A121" s="50" t="s">
        <v>1865</v>
      </c>
      <c r="B121" s="43" t="s">
        <v>1691</v>
      </c>
      <c r="C121" s="43" t="s">
        <v>38</v>
      </c>
      <c r="D121" s="43" t="s">
        <v>17</v>
      </c>
      <c r="E121" s="43" t="s">
        <v>19</v>
      </c>
      <c r="F121" s="43" t="s">
        <v>24</v>
      </c>
      <c r="G121" s="48">
        <v>46154.448611111111</v>
      </c>
      <c r="H121" s="48">
        <v>46158.647916666669</v>
      </c>
      <c r="I121" s="43">
        <v>0</v>
      </c>
      <c r="J121" s="43" t="s">
        <v>1156</v>
      </c>
      <c r="K121" s="43" t="s">
        <v>1156</v>
      </c>
      <c r="L121" s="43" t="s">
        <v>20</v>
      </c>
      <c r="M121" s="43">
        <v>0</v>
      </c>
      <c r="N121" s="43">
        <v>313</v>
      </c>
      <c r="O121" s="43">
        <v>905</v>
      </c>
      <c r="P121" s="43" t="s">
        <v>1440</v>
      </c>
      <c r="Q121" s="43" t="s">
        <v>1546</v>
      </c>
      <c r="R121" s="43"/>
      <c r="S121" s="52">
        <f t="shared" si="1"/>
        <v>4.2</v>
      </c>
      <c r="T121" s="47"/>
      <c r="U121" s="47" t="s">
        <v>8659</v>
      </c>
    </row>
    <row r="122" spans="1:21" ht="16.5" thickTop="1" thickBot="1" x14ac:dyDescent="0.3">
      <c r="A122" s="51" t="s">
        <v>1866</v>
      </c>
      <c r="B122" s="52" t="s">
        <v>1867</v>
      </c>
      <c r="C122" s="52" t="s">
        <v>38</v>
      </c>
      <c r="D122" s="52" t="s">
        <v>22</v>
      </c>
      <c r="E122" s="52" t="s">
        <v>40</v>
      </c>
      <c r="F122" s="52" t="s">
        <v>24</v>
      </c>
      <c r="G122" s="53">
        <v>46154.448611111111</v>
      </c>
      <c r="H122" s="53">
        <v>46161.918749999997</v>
      </c>
      <c r="I122" s="52">
        <v>674</v>
      </c>
      <c r="J122" s="52" t="s">
        <v>2373</v>
      </c>
      <c r="K122" s="52" t="s">
        <v>8326</v>
      </c>
      <c r="L122" s="52" t="s">
        <v>20</v>
      </c>
      <c r="M122" s="52">
        <v>53</v>
      </c>
      <c r="N122" s="52">
        <v>6</v>
      </c>
      <c r="O122" s="52">
        <v>80</v>
      </c>
      <c r="P122" s="52" t="s">
        <v>1440</v>
      </c>
      <c r="Q122" s="52" t="s">
        <v>1546</v>
      </c>
      <c r="R122" s="52" t="s">
        <v>2409</v>
      </c>
      <c r="S122" s="52">
        <f t="shared" si="1"/>
        <v>7.47</v>
      </c>
      <c r="T122" s="52"/>
      <c r="U122" s="52"/>
    </row>
    <row r="123" spans="1:21" s="46" customFormat="1" ht="16.5" thickTop="1" thickBot="1" x14ac:dyDescent="0.3">
      <c r="A123" s="50" t="s">
        <v>1863</v>
      </c>
      <c r="B123" s="43" t="s">
        <v>1864</v>
      </c>
      <c r="C123" s="43" t="s">
        <v>38</v>
      </c>
      <c r="D123" s="43" t="s">
        <v>17</v>
      </c>
      <c r="E123" s="43" t="s">
        <v>19</v>
      </c>
      <c r="F123" s="43" t="s">
        <v>32</v>
      </c>
      <c r="G123" s="48">
        <v>46154.465277777781</v>
      </c>
      <c r="H123" s="48">
        <v>46163.493055555555</v>
      </c>
      <c r="I123" s="43">
        <v>1</v>
      </c>
      <c r="J123" s="43" t="s">
        <v>1156</v>
      </c>
      <c r="K123" s="43" t="s">
        <v>1156</v>
      </c>
      <c r="L123" s="43" t="s">
        <v>33</v>
      </c>
      <c r="M123" s="43">
        <v>0</v>
      </c>
      <c r="N123" s="43">
        <v>10</v>
      </c>
      <c r="O123" s="43">
        <v>10</v>
      </c>
      <c r="P123" s="43" t="s">
        <v>1420</v>
      </c>
      <c r="Q123" s="43" t="s">
        <v>1517</v>
      </c>
      <c r="R123" s="43" t="s">
        <v>2408</v>
      </c>
      <c r="S123" s="52">
        <f t="shared" si="1"/>
        <v>9.0299999999999994</v>
      </c>
      <c r="T123" s="47"/>
      <c r="U123" s="47"/>
    </row>
    <row r="124" spans="1:21" ht="16.5" thickTop="1" thickBot="1" x14ac:dyDescent="0.3">
      <c r="A124" s="51" t="s">
        <v>1860</v>
      </c>
      <c r="B124" s="52" t="s">
        <v>1861</v>
      </c>
      <c r="C124" s="52" t="s">
        <v>39</v>
      </c>
      <c r="D124" s="52" t="s">
        <v>17</v>
      </c>
      <c r="E124" s="52" t="s">
        <v>19</v>
      </c>
      <c r="F124" s="52" t="s">
        <v>19</v>
      </c>
      <c r="G124" s="53">
        <v>46154.467361111114</v>
      </c>
      <c r="H124" s="53">
        <v>46155.673611111109</v>
      </c>
      <c r="I124" s="52">
        <v>10</v>
      </c>
      <c r="J124" s="52" t="s">
        <v>1156</v>
      </c>
      <c r="K124" s="52" t="s">
        <v>1156</v>
      </c>
      <c r="L124" s="52" t="s">
        <v>33</v>
      </c>
      <c r="M124" s="52">
        <v>0</v>
      </c>
      <c r="N124" s="52">
        <v>0</v>
      </c>
      <c r="O124" s="52">
        <v>10</v>
      </c>
      <c r="P124" s="52" t="s">
        <v>1420</v>
      </c>
      <c r="Q124" s="52" t="s">
        <v>1517</v>
      </c>
      <c r="R124" s="52" t="s">
        <v>1862</v>
      </c>
      <c r="S124" s="52">
        <f t="shared" si="1"/>
        <v>1.21</v>
      </c>
      <c r="T124" s="52"/>
      <c r="U124" s="52"/>
    </row>
    <row r="125" spans="1:21" s="46" customFormat="1" ht="16.5" thickTop="1" thickBot="1" x14ac:dyDescent="0.3">
      <c r="A125" s="50" t="s">
        <v>1857</v>
      </c>
      <c r="B125" s="43" t="s">
        <v>1858</v>
      </c>
      <c r="C125" s="43" t="s">
        <v>39</v>
      </c>
      <c r="D125" s="43" t="s">
        <v>17</v>
      </c>
      <c r="E125" s="43" t="s">
        <v>18</v>
      </c>
      <c r="F125" s="43" t="s">
        <v>42</v>
      </c>
      <c r="G125" s="48">
        <v>46154.479166666664</v>
      </c>
      <c r="H125" s="48">
        <v>46164.770138888889</v>
      </c>
      <c r="I125" s="43">
        <v>64</v>
      </c>
      <c r="J125" s="43" t="s">
        <v>1156</v>
      </c>
      <c r="K125" s="43" t="s">
        <v>1156</v>
      </c>
      <c r="L125" s="43" t="s">
        <v>36</v>
      </c>
      <c r="M125" s="43">
        <v>0</v>
      </c>
      <c r="N125" s="43">
        <v>0</v>
      </c>
      <c r="O125" s="43">
        <v>64</v>
      </c>
      <c r="P125" s="43" t="s">
        <v>1503</v>
      </c>
      <c r="Q125" s="43" t="s">
        <v>1517</v>
      </c>
      <c r="R125" s="43" t="s">
        <v>1859</v>
      </c>
      <c r="S125" s="52">
        <f t="shared" si="1"/>
        <v>10.29</v>
      </c>
      <c r="T125" s="47"/>
      <c r="U125" s="47"/>
    </row>
    <row r="126" spans="1:21" ht="16.5" thickTop="1" thickBot="1" x14ac:dyDescent="0.3">
      <c r="A126" s="51" t="s">
        <v>1855</v>
      </c>
      <c r="B126" s="52" t="s">
        <v>1856</v>
      </c>
      <c r="C126" s="52" t="s">
        <v>38</v>
      </c>
      <c r="D126" s="52" t="s">
        <v>17</v>
      </c>
      <c r="E126" s="52" t="s">
        <v>18</v>
      </c>
      <c r="F126" s="52" t="s">
        <v>42</v>
      </c>
      <c r="G126" s="53">
        <v>46154.511805555558</v>
      </c>
      <c r="H126" s="53">
        <v>46155.706944444442</v>
      </c>
      <c r="I126" s="52">
        <v>90</v>
      </c>
      <c r="J126" s="52" t="s">
        <v>2373</v>
      </c>
      <c r="K126" s="52" t="s">
        <v>8315</v>
      </c>
      <c r="L126" s="52" t="s">
        <v>33</v>
      </c>
      <c r="M126" s="52">
        <v>90</v>
      </c>
      <c r="N126" s="52">
        <v>90</v>
      </c>
      <c r="O126" s="52">
        <v>90</v>
      </c>
      <c r="P126" s="52" t="s">
        <v>1494</v>
      </c>
      <c r="Q126" s="52" t="s">
        <v>1546</v>
      </c>
      <c r="R126" s="52"/>
      <c r="S126" s="52">
        <f t="shared" si="1"/>
        <v>1.2</v>
      </c>
      <c r="T126" s="52"/>
      <c r="U126" s="52"/>
    </row>
    <row r="127" spans="1:21" s="46" customFormat="1" ht="16.5" thickTop="1" thickBot="1" x14ac:dyDescent="0.3">
      <c r="A127" s="50" t="s">
        <v>1852</v>
      </c>
      <c r="B127" s="43" t="s">
        <v>1853</v>
      </c>
      <c r="C127" s="43" t="s">
        <v>38</v>
      </c>
      <c r="D127" s="43" t="s">
        <v>17</v>
      </c>
      <c r="E127" s="43" t="s">
        <v>19</v>
      </c>
      <c r="F127" s="43" t="s">
        <v>21</v>
      </c>
      <c r="G127" s="48">
        <v>46154.540277777778</v>
      </c>
      <c r="H127" s="48">
        <v>46158.5</v>
      </c>
      <c r="I127" s="43">
        <v>181</v>
      </c>
      <c r="J127" s="43" t="s">
        <v>1156</v>
      </c>
      <c r="K127" s="43" t="s">
        <v>1156</v>
      </c>
      <c r="L127" s="43" t="s">
        <v>20</v>
      </c>
      <c r="M127" s="43">
        <v>173</v>
      </c>
      <c r="N127" s="43">
        <v>22</v>
      </c>
      <c r="O127" s="43">
        <v>27</v>
      </c>
      <c r="P127" s="43" t="s">
        <v>1854</v>
      </c>
      <c r="Q127" s="43" t="s">
        <v>1517</v>
      </c>
      <c r="R127" s="43" t="s">
        <v>2407</v>
      </c>
      <c r="S127" s="52">
        <f t="shared" si="1"/>
        <v>3.96</v>
      </c>
      <c r="T127" s="47"/>
      <c r="U127" s="47"/>
    </row>
    <row r="128" spans="1:21" ht="16.5" thickTop="1" thickBot="1" x14ac:dyDescent="0.3">
      <c r="A128" s="51" t="s">
        <v>1850</v>
      </c>
      <c r="B128" s="52" t="s">
        <v>1851</v>
      </c>
      <c r="C128" s="52" t="s">
        <v>38</v>
      </c>
      <c r="D128" s="52" t="s">
        <v>17</v>
      </c>
      <c r="E128" s="52" t="s">
        <v>18</v>
      </c>
      <c r="F128" s="52" t="s">
        <v>19</v>
      </c>
      <c r="G128" s="53">
        <v>46154.59652777778</v>
      </c>
      <c r="H128" s="53">
        <v>46157.499305555553</v>
      </c>
      <c r="I128" s="52">
        <v>194</v>
      </c>
      <c r="J128" s="52" t="s">
        <v>1156</v>
      </c>
      <c r="K128" s="52" t="s">
        <v>1156</v>
      </c>
      <c r="L128" s="52" t="s">
        <v>20</v>
      </c>
      <c r="M128" s="52">
        <v>134</v>
      </c>
      <c r="N128" s="52">
        <v>23</v>
      </c>
      <c r="O128" s="52">
        <v>23</v>
      </c>
      <c r="P128" s="52" t="s">
        <v>1318</v>
      </c>
      <c r="Q128" s="52" t="s">
        <v>1517</v>
      </c>
      <c r="R128" s="52" t="s">
        <v>2406</v>
      </c>
      <c r="S128" s="52">
        <f t="shared" si="1"/>
        <v>2.9</v>
      </c>
      <c r="T128" s="52"/>
      <c r="U128" s="52"/>
    </row>
    <row r="129" spans="1:21" s="46" customFormat="1" ht="16.5" thickTop="1" thickBot="1" x14ac:dyDescent="0.3">
      <c r="A129" s="50" t="s">
        <v>1848</v>
      </c>
      <c r="B129" s="43" t="s">
        <v>1849</v>
      </c>
      <c r="C129" s="43" t="s">
        <v>38</v>
      </c>
      <c r="D129" s="43" t="s">
        <v>17</v>
      </c>
      <c r="E129" s="43" t="s">
        <v>19</v>
      </c>
      <c r="F129" s="43" t="s">
        <v>21</v>
      </c>
      <c r="G129" s="48">
        <v>46154.652083333334</v>
      </c>
      <c r="H129" s="48">
        <v>46157.54583333333</v>
      </c>
      <c r="I129" s="43">
        <v>148</v>
      </c>
      <c r="J129" s="43" t="s">
        <v>1156</v>
      </c>
      <c r="K129" s="43" t="s">
        <v>1156</v>
      </c>
      <c r="L129" s="43" t="s">
        <v>20</v>
      </c>
      <c r="M129" s="43">
        <v>64</v>
      </c>
      <c r="N129" s="43">
        <v>5</v>
      </c>
      <c r="O129" s="43">
        <v>11</v>
      </c>
      <c r="P129" s="43" t="s">
        <v>1369</v>
      </c>
      <c r="Q129" s="43" t="s">
        <v>1517</v>
      </c>
      <c r="R129" s="43" t="s">
        <v>2405</v>
      </c>
      <c r="S129" s="52">
        <f t="shared" si="1"/>
        <v>2.89</v>
      </c>
      <c r="T129" s="47"/>
      <c r="U129" s="47"/>
    </row>
    <row r="130" spans="1:21" ht="16.5" thickTop="1" thickBot="1" x14ac:dyDescent="0.3">
      <c r="A130" s="51" t="s">
        <v>1846</v>
      </c>
      <c r="B130" s="52" t="s">
        <v>1847</v>
      </c>
      <c r="C130" s="52" t="s">
        <v>38</v>
      </c>
      <c r="D130" s="52" t="s">
        <v>17</v>
      </c>
      <c r="E130" s="52" t="s">
        <v>18</v>
      </c>
      <c r="F130" s="52" t="s">
        <v>42</v>
      </c>
      <c r="G130" s="53">
        <v>46154.656944444447</v>
      </c>
      <c r="H130" s="53">
        <v>46158.511805555558</v>
      </c>
      <c r="I130" s="52">
        <v>9</v>
      </c>
      <c r="J130" s="52" t="s">
        <v>1156</v>
      </c>
      <c r="K130" s="52" t="s">
        <v>1156</v>
      </c>
      <c r="L130" s="52" t="s">
        <v>33</v>
      </c>
      <c r="M130" s="52">
        <v>9</v>
      </c>
      <c r="N130" s="52">
        <v>9</v>
      </c>
      <c r="O130" s="52">
        <v>9</v>
      </c>
      <c r="P130" s="52" t="s">
        <v>1424</v>
      </c>
      <c r="Q130" s="52" t="s">
        <v>1517</v>
      </c>
      <c r="R130" s="52" t="s">
        <v>2404</v>
      </c>
      <c r="S130" s="52">
        <f t="shared" ref="S130:S193" si="2">IF(OR(G130="",H130=""),"",ROUND(H130-G130,2))</f>
        <v>3.85</v>
      </c>
      <c r="T130" s="52"/>
      <c r="U130" s="52"/>
    </row>
    <row r="131" spans="1:21" s="46" customFormat="1" ht="16.5" thickTop="1" thickBot="1" x14ac:dyDescent="0.3">
      <c r="A131" s="50" t="s">
        <v>1844</v>
      </c>
      <c r="B131" s="43" t="s">
        <v>1845</v>
      </c>
      <c r="C131" s="43" t="s">
        <v>38</v>
      </c>
      <c r="D131" s="43" t="s">
        <v>17</v>
      </c>
      <c r="E131" s="43" t="s">
        <v>18</v>
      </c>
      <c r="F131" s="43" t="s">
        <v>42</v>
      </c>
      <c r="G131" s="48">
        <v>46154.662499999999</v>
      </c>
      <c r="H131" s="48">
        <v>46163.769444444442</v>
      </c>
      <c r="I131" s="43">
        <v>73</v>
      </c>
      <c r="J131" s="43" t="s">
        <v>2373</v>
      </c>
      <c r="K131" s="43" t="s">
        <v>8317</v>
      </c>
      <c r="L131" s="43" t="s">
        <v>33</v>
      </c>
      <c r="M131" s="43">
        <v>70</v>
      </c>
      <c r="N131" s="43">
        <v>70</v>
      </c>
      <c r="O131" s="43">
        <v>73</v>
      </c>
      <c r="P131" s="43" t="s">
        <v>1489</v>
      </c>
      <c r="Q131" s="43" t="s">
        <v>1517</v>
      </c>
      <c r="R131" s="43"/>
      <c r="S131" s="52">
        <f t="shared" si="2"/>
        <v>9.11</v>
      </c>
      <c r="T131" s="47"/>
      <c r="U131" s="47"/>
    </row>
    <row r="132" spans="1:21" ht="16.5" thickTop="1" thickBot="1" x14ac:dyDescent="0.3">
      <c r="A132" s="51" t="s">
        <v>1841</v>
      </c>
      <c r="B132" s="52" t="s">
        <v>1842</v>
      </c>
      <c r="C132" s="52" t="s">
        <v>38</v>
      </c>
      <c r="D132" s="52" t="s">
        <v>17</v>
      </c>
      <c r="E132" s="52" t="s">
        <v>18</v>
      </c>
      <c r="F132" s="52" t="s">
        <v>42</v>
      </c>
      <c r="G132" s="53">
        <v>46154.67083333333</v>
      </c>
      <c r="H132" s="53">
        <v>46162.527083333334</v>
      </c>
      <c r="I132" s="52">
        <v>8</v>
      </c>
      <c r="J132" s="52" t="s">
        <v>2373</v>
      </c>
      <c r="K132" s="52" t="s">
        <v>8317</v>
      </c>
      <c r="L132" s="52" t="s">
        <v>37</v>
      </c>
      <c r="M132" s="52">
        <v>8</v>
      </c>
      <c r="N132" s="52">
        <v>8</v>
      </c>
      <c r="O132" s="52">
        <v>8</v>
      </c>
      <c r="P132" s="52" t="s">
        <v>1508</v>
      </c>
      <c r="Q132" s="52" t="s">
        <v>1517</v>
      </c>
      <c r="R132" s="52" t="s">
        <v>1843</v>
      </c>
      <c r="S132" s="52">
        <f t="shared" si="2"/>
        <v>7.86</v>
      </c>
      <c r="T132" s="52"/>
      <c r="U132" s="52"/>
    </row>
    <row r="133" spans="1:21" s="46" customFormat="1" ht="16.5" thickTop="1" thickBot="1" x14ac:dyDescent="0.3">
      <c r="A133" s="50" t="s">
        <v>1839</v>
      </c>
      <c r="B133" s="43" t="s">
        <v>1840</v>
      </c>
      <c r="C133" s="43" t="s">
        <v>38</v>
      </c>
      <c r="D133" s="43" t="s">
        <v>17</v>
      </c>
      <c r="E133" s="43" t="s">
        <v>18</v>
      </c>
      <c r="F133" s="43" t="s">
        <v>42</v>
      </c>
      <c r="G133" s="48">
        <v>46154.675000000003</v>
      </c>
      <c r="H133" s="48">
        <v>46161.710416666669</v>
      </c>
      <c r="I133" s="43">
        <v>3</v>
      </c>
      <c r="J133" s="43" t="s">
        <v>2373</v>
      </c>
      <c r="K133" s="43" t="s">
        <v>8317</v>
      </c>
      <c r="L133" s="43" t="s">
        <v>33</v>
      </c>
      <c r="M133" s="43">
        <v>3</v>
      </c>
      <c r="N133" s="43">
        <v>3</v>
      </c>
      <c r="O133" s="43">
        <v>3</v>
      </c>
      <c r="P133" s="43" t="s">
        <v>1490</v>
      </c>
      <c r="Q133" s="43" t="s">
        <v>1514</v>
      </c>
      <c r="R133" s="43"/>
      <c r="S133" s="52">
        <f t="shared" si="2"/>
        <v>7.04</v>
      </c>
      <c r="T133" s="47"/>
      <c r="U133" s="47"/>
    </row>
    <row r="134" spans="1:21" ht="16.5" thickTop="1" thickBot="1" x14ac:dyDescent="0.3">
      <c r="A134" s="51" t="s">
        <v>1836</v>
      </c>
      <c r="B134" s="52" t="s">
        <v>1837</v>
      </c>
      <c r="C134" s="52" t="s">
        <v>38</v>
      </c>
      <c r="D134" s="52" t="s">
        <v>17</v>
      </c>
      <c r="E134" s="52" t="s">
        <v>18</v>
      </c>
      <c r="F134" s="52" t="s">
        <v>42</v>
      </c>
      <c r="G134" s="53">
        <v>46154.684027777781</v>
      </c>
      <c r="H134" s="53">
        <v>46169.750694444447</v>
      </c>
      <c r="I134" s="52">
        <v>62</v>
      </c>
      <c r="J134" s="52" t="s">
        <v>2373</v>
      </c>
      <c r="K134" s="52" t="s">
        <v>8346</v>
      </c>
      <c r="L134" s="52" t="s">
        <v>33</v>
      </c>
      <c r="M134" s="52">
        <v>62</v>
      </c>
      <c r="N134" s="52">
        <v>62</v>
      </c>
      <c r="O134" s="52">
        <v>62</v>
      </c>
      <c r="P134" s="52" t="s">
        <v>1418</v>
      </c>
      <c r="Q134" s="52" t="s">
        <v>1514</v>
      </c>
      <c r="R134" s="52" t="s">
        <v>1838</v>
      </c>
      <c r="S134" s="52">
        <f t="shared" si="2"/>
        <v>15.07</v>
      </c>
      <c r="T134" s="52"/>
      <c r="U134" s="52"/>
    </row>
    <row r="135" spans="1:21" s="46" customFormat="1" ht="16.5" thickTop="1" thickBot="1" x14ac:dyDescent="0.3">
      <c r="A135" s="50" t="s">
        <v>1834</v>
      </c>
      <c r="B135" s="43" t="s">
        <v>1835</v>
      </c>
      <c r="C135" s="43" t="s">
        <v>38</v>
      </c>
      <c r="D135" s="43" t="s">
        <v>17</v>
      </c>
      <c r="E135" s="43" t="s">
        <v>18</v>
      </c>
      <c r="F135" s="43" t="s">
        <v>42</v>
      </c>
      <c r="G135" s="48">
        <v>46154.750694444447</v>
      </c>
      <c r="H135" s="48">
        <v>46163.544444444444</v>
      </c>
      <c r="I135" s="43">
        <v>33</v>
      </c>
      <c r="J135" s="43" t="s">
        <v>2373</v>
      </c>
      <c r="K135" s="43" t="s">
        <v>8310</v>
      </c>
      <c r="L135" s="43" t="s">
        <v>33</v>
      </c>
      <c r="M135" s="43">
        <v>23</v>
      </c>
      <c r="N135" s="43">
        <v>23</v>
      </c>
      <c r="O135" s="43">
        <v>33</v>
      </c>
      <c r="P135" s="43" t="s">
        <v>1450</v>
      </c>
      <c r="Q135" s="43" t="s">
        <v>1546</v>
      </c>
      <c r="R135" s="43" t="s">
        <v>2403</v>
      </c>
      <c r="S135" s="52">
        <f t="shared" si="2"/>
        <v>8.7899999999999991</v>
      </c>
      <c r="T135" s="47"/>
      <c r="U135" s="47"/>
    </row>
    <row r="136" spans="1:21" ht="16.5" thickTop="1" thickBot="1" x14ac:dyDescent="0.3">
      <c r="A136" s="51" t="s">
        <v>1831</v>
      </c>
      <c r="B136" s="52" t="s">
        <v>1832</v>
      </c>
      <c r="C136" s="52" t="s">
        <v>38</v>
      </c>
      <c r="D136" s="52" t="s">
        <v>17</v>
      </c>
      <c r="E136" s="52" t="s">
        <v>18</v>
      </c>
      <c r="F136" s="52" t="s">
        <v>32</v>
      </c>
      <c r="G136" s="53">
        <v>46154.774305555555</v>
      </c>
      <c r="H136" s="53">
        <v>46158.543055555558</v>
      </c>
      <c r="I136" s="52">
        <v>17</v>
      </c>
      <c r="J136" s="52" t="s">
        <v>1156</v>
      </c>
      <c r="K136" s="52" t="s">
        <v>1156</v>
      </c>
      <c r="L136" s="52" t="s">
        <v>33</v>
      </c>
      <c r="M136" s="52">
        <v>5</v>
      </c>
      <c r="N136" s="52">
        <v>5</v>
      </c>
      <c r="O136" s="52">
        <v>17</v>
      </c>
      <c r="P136" s="52" t="s">
        <v>1833</v>
      </c>
      <c r="Q136" s="52" t="s">
        <v>1517</v>
      </c>
      <c r="R136" s="52" t="s">
        <v>2402</v>
      </c>
      <c r="S136" s="52">
        <f t="shared" si="2"/>
        <v>3.77</v>
      </c>
      <c r="T136" s="52"/>
      <c r="U136" s="52"/>
    </row>
    <row r="137" spans="1:21" s="46" customFormat="1" ht="16.5" thickTop="1" thickBot="1" x14ac:dyDescent="0.3">
      <c r="A137" s="50" t="s">
        <v>1828</v>
      </c>
      <c r="B137" s="43" t="s">
        <v>1829</v>
      </c>
      <c r="C137" s="43" t="s">
        <v>38</v>
      </c>
      <c r="D137" s="43" t="s">
        <v>17</v>
      </c>
      <c r="E137" s="43" t="s">
        <v>18</v>
      </c>
      <c r="F137" s="43" t="s">
        <v>32</v>
      </c>
      <c r="G137" s="48">
        <v>46154.779861111114</v>
      </c>
      <c r="H137" s="48">
        <v>46162.533333333333</v>
      </c>
      <c r="I137" s="43">
        <v>5</v>
      </c>
      <c r="J137" s="43" t="s">
        <v>2373</v>
      </c>
      <c r="K137" s="43" t="s">
        <v>8317</v>
      </c>
      <c r="L137" s="43" t="s">
        <v>25</v>
      </c>
      <c r="M137" s="43">
        <v>5</v>
      </c>
      <c r="N137" s="43">
        <v>1</v>
      </c>
      <c r="O137" s="43">
        <v>1</v>
      </c>
      <c r="P137" s="43" t="s">
        <v>1477</v>
      </c>
      <c r="Q137" s="43" t="s">
        <v>1517</v>
      </c>
      <c r="R137" s="43" t="s">
        <v>1830</v>
      </c>
      <c r="S137" s="52">
        <f t="shared" si="2"/>
        <v>7.75</v>
      </c>
      <c r="T137" s="47"/>
      <c r="U137" s="47"/>
    </row>
    <row r="138" spans="1:21" ht="16.5" thickTop="1" thickBot="1" x14ac:dyDescent="0.3">
      <c r="A138" s="51" t="s">
        <v>1826</v>
      </c>
      <c r="B138" s="52" t="s">
        <v>1827</v>
      </c>
      <c r="C138" s="52" t="s">
        <v>38</v>
      </c>
      <c r="D138" s="52" t="s">
        <v>17</v>
      </c>
      <c r="E138" s="52" t="s">
        <v>18</v>
      </c>
      <c r="F138" s="52" t="s">
        <v>32</v>
      </c>
      <c r="G138" s="53">
        <v>46154.798611111109</v>
      </c>
      <c r="H138" s="53">
        <v>46160.510416666664</v>
      </c>
      <c r="I138" s="52">
        <v>3</v>
      </c>
      <c r="J138" s="52" t="s">
        <v>1156</v>
      </c>
      <c r="K138" s="52" t="s">
        <v>1156</v>
      </c>
      <c r="L138" s="52" t="s">
        <v>33</v>
      </c>
      <c r="M138" s="52">
        <v>3</v>
      </c>
      <c r="N138" s="52">
        <v>3</v>
      </c>
      <c r="O138" s="52">
        <v>3</v>
      </c>
      <c r="P138" s="52" t="s">
        <v>1444</v>
      </c>
      <c r="Q138" s="52" t="s">
        <v>1517</v>
      </c>
      <c r="R138" s="52" t="s">
        <v>2401</v>
      </c>
      <c r="S138" s="52">
        <f t="shared" si="2"/>
        <v>5.71</v>
      </c>
      <c r="T138" s="52"/>
      <c r="U138" s="52"/>
    </row>
    <row r="139" spans="1:21" s="46" customFormat="1" ht="16.5" thickTop="1" thickBot="1" x14ac:dyDescent="0.3">
      <c r="A139" s="50" t="s">
        <v>1823</v>
      </c>
      <c r="B139" s="43" t="s">
        <v>1824</v>
      </c>
      <c r="C139" s="43" t="s">
        <v>38</v>
      </c>
      <c r="D139" s="43" t="s">
        <v>17</v>
      </c>
      <c r="E139" s="43" t="s">
        <v>18</v>
      </c>
      <c r="F139" s="43" t="s">
        <v>42</v>
      </c>
      <c r="G139" s="48">
        <v>46154.798611111109</v>
      </c>
      <c r="H139" s="48">
        <v>46160.542361111111</v>
      </c>
      <c r="I139" s="43">
        <v>16</v>
      </c>
      <c r="J139" s="43" t="s">
        <v>1156</v>
      </c>
      <c r="K139" s="43" t="s">
        <v>1156</v>
      </c>
      <c r="L139" s="43" t="s">
        <v>33</v>
      </c>
      <c r="M139" s="43">
        <v>13</v>
      </c>
      <c r="N139" s="43">
        <v>13</v>
      </c>
      <c r="O139" s="43">
        <v>16</v>
      </c>
      <c r="P139" s="43" t="s">
        <v>1825</v>
      </c>
      <c r="Q139" s="43" t="s">
        <v>1517</v>
      </c>
      <c r="R139" s="43" t="s">
        <v>2400</v>
      </c>
      <c r="S139" s="52">
        <f t="shared" si="2"/>
        <v>5.74</v>
      </c>
      <c r="T139" s="47"/>
      <c r="U139" s="47"/>
    </row>
    <row r="140" spans="1:21" ht="16.5" thickTop="1" thickBot="1" x14ac:dyDescent="0.3">
      <c r="A140" s="51" t="s">
        <v>1819</v>
      </c>
      <c r="B140" s="52" t="s">
        <v>1820</v>
      </c>
      <c r="C140" s="52" t="s">
        <v>39</v>
      </c>
      <c r="D140" s="52" t="s">
        <v>17</v>
      </c>
      <c r="E140" s="52" t="s">
        <v>18</v>
      </c>
      <c r="F140" s="52" t="s">
        <v>42</v>
      </c>
      <c r="G140" s="53">
        <v>46154.805555555555</v>
      </c>
      <c r="H140" s="53">
        <v>46162.54791666667</v>
      </c>
      <c r="I140" s="52">
        <v>44</v>
      </c>
      <c r="J140" s="52" t="s">
        <v>1156</v>
      </c>
      <c r="K140" s="52" t="s">
        <v>1156</v>
      </c>
      <c r="L140" s="52" t="s">
        <v>33</v>
      </c>
      <c r="M140" s="52">
        <v>0</v>
      </c>
      <c r="N140" s="52">
        <v>0</v>
      </c>
      <c r="O140" s="52">
        <v>44</v>
      </c>
      <c r="P140" s="52" t="s">
        <v>1821</v>
      </c>
      <c r="Q140" s="52" t="s">
        <v>1517</v>
      </c>
      <c r="R140" s="52" t="s">
        <v>1822</v>
      </c>
      <c r="S140" s="52">
        <f t="shared" si="2"/>
        <v>7.74</v>
      </c>
      <c r="T140" s="52"/>
      <c r="U140" s="52"/>
    </row>
    <row r="141" spans="1:21" s="46" customFormat="1" ht="16.5" thickTop="1" thickBot="1" x14ac:dyDescent="0.3">
      <c r="A141" s="50" t="s">
        <v>1816</v>
      </c>
      <c r="B141" s="43" t="s">
        <v>1817</v>
      </c>
      <c r="C141" s="43" t="s">
        <v>38</v>
      </c>
      <c r="D141" s="43" t="s">
        <v>17</v>
      </c>
      <c r="E141" s="43" t="s">
        <v>18</v>
      </c>
      <c r="F141" s="43" t="s">
        <v>42</v>
      </c>
      <c r="G141" s="48">
        <v>46154.807638888888</v>
      </c>
      <c r="H141" s="48">
        <v>46168.509722222225</v>
      </c>
      <c r="I141" s="43">
        <v>166</v>
      </c>
      <c r="J141" s="43" t="s">
        <v>1156</v>
      </c>
      <c r="K141" s="43" t="s">
        <v>1156</v>
      </c>
      <c r="L141" s="43" t="s">
        <v>37</v>
      </c>
      <c r="M141" s="43">
        <v>166</v>
      </c>
      <c r="N141" s="43">
        <v>166</v>
      </c>
      <c r="O141" s="43">
        <v>166</v>
      </c>
      <c r="P141" s="43" t="s">
        <v>1818</v>
      </c>
      <c r="Q141" s="43" t="s">
        <v>1546</v>
      </c>
      <c r="R141" s="43" t="s">
        <v>8345</v>
      </c>
      <c r="S141" s="52">
        <f t="shared" si="2"/>
        <v>13.7</v>
      </c>
      <c r="T141" s="47"/>
      <c r="U141" s="47"/>
    </row>
    <row r="142" spans="1:21" ht="16.5" thickTop="1" thickBot="1" x14ac:dyDescent="0.3">
      <c r="A142" s="51" t="s">
        <v>1812</v>
      </c>
      <c r="B142" s="52" t="s">
        <v>1813</v>
      </c>
      <c r="C142" s="52" t="s">
        <v>39</v>
      </c>
      <c r="D142" s="52" t="s">
        <v>17</v>
      </c>
      <c r="E142" s="52" t="s">
        <v>18</v>
      </c>
      <c r="F142" s="52" t="s">
        <v>42</v>
      </c>
      <c r="G142" s="53">
        <v>46154.811111111114</v>
      </c>
      <c r="H142" s="53">
        <v>46170.571527777778</v>
      </c>
      <c r="I142" s="52">
        <v>1</v>
      </c>
      <c r="J142" s="52" t="s">
        <v>1156</v>
      </c>
      <c r="K142" s="52" t="s">
        <v>1156</v>
      </c>
      <c r="L142" s="52" t="s">
        <v>33</v>
      </c>
      <c r="M142" s="52">
        <v>0</v>
      </c>
      <c r="N142" s="52">
        <v>0</v>
      </c>
      <c r="O142" s="52">
        <v>1</v>
      </c>
      <c r="P142" s="52" t="s">
        <v>1814</v>
      </c>
      <c r="Q142" s="52" t="s">
        <v>1517</v>
      </c>
      <c r="R142" s="52" t="s">
        <v>1815</v>
      </c>
      <c r="S142" s="52">
        <f t="shared" si="2"/>
        <v>15.76</v>
      </c>
      <c r="T142" s="52"/>
      <c r="U142" s="52"/>
    </row>
    <row r="143" spans="1:21" s="46" customFormat="1" ht="16.5" thickTop="1" thickBot="1" x14ac:dyDescent="0.3">
      <c r="A143" s="50" t="s">
        <v>1810</v>
      </c>
      <c r="B143" s="43" t="s">
        <v>1811</v>
      </c>
      <c r="C143" s="43" t="s">
        <v>38</v>
      </c>
      <c r="D143" s="43" t="s">
        <v>17</v>
      </c>
      <c r="E143" s="43" t="s">
        <v>19</v>
      </c>
      <c r="F143" s="43" t="s">
        <v>21</v>
      </c>
      <c r="G143" s="48">
        <v>46155.474999999999</v>
      </c>
      <c r="H143" s="48">
        <v>46164.509722222225</v>
      </c>
      <c r="I143" s="43">
        <v>438</v>
      </c>
      <c r="J143" s="43" t="s">
        <v>1156</v>
      </c>
      <c r="K143" s="43" t="s">
        <v>1156</v>
      </c>
      <c r="L143" s="43" t="s">
        <v>20</v>
      </c>
      <c r="M143" s="43">
        <v>438</v>
      </c>
      <c r="N143" s="43">
        <v>73</v>
      </c>
      <c r="O143" s="43">
        <v>73</v>
      </c>
      <c r="P143" s="43" t="s">
        <v>1473</v>
      </c>
      <c r="Q143" s="43" t="s">
        <v>1517</v>
      </c>
      <c r="R143" s="43" t="s">
        <v>2399</v>
      </c>
      <c r="S143" s="52">
        <f t="shared" si="2"/>
        <v>9.0299999999999994</v>
      </c>
      <c r="T143" s="47"/>
      <c r="U143" s="47"/>
    </row>
    <row r="144" spans="1:21" ht="16.5" thickTop="1" thickBot="1" x14ac:dyDescent="0.3">
      <c r="A144" s="51" t="s">
        <v>1808</v>
      </c>
      <c r="B144" s="52" t="s">
        <v>1809</v>
      </c>
      <c r="C144" s="52" t="s">
        <v>38</v>
      </c>
      <c r="D144" s="52" t="s">
        <v>17</v>
      </c>
      <c r="E144" s="52" t="s">
        <v>19</v>
      </c>
      <c r="F144" s="52" t="s">
        <v>21</v>
      </c>
      <c r="G144" s="53">
        <v>46155.525000000001</v>
      </c>
      <c r="H144" s="53">
        <v>46158.509027777778</v>
      </c>
      <c r="I144" s="52">
        <v>359</v>
      </c>
      <c r="J144" s="52" t="s">
        <v>1156</v>
      </c>
      <c r="K144" s="52" t="s">
        <v>1156</v>
      </c>
      <c r="L144" s="52" t="s">
        <v>20</v>
      </c>
      <c r="M144" s="52">
        <v>359</v>
      </c>
      <c r="N144" s="52">
        <v>71</v>
      </c>
      <c r="O144" s="52">
        <v>71</v>
      </c>
      <c r="P144" s="52" t="s">
        <v>1389</v>
      </c>
      <c r="Q144" s="52" t="s">
        <v>1517</v>
      </c>
      <c r="R144" s="52" t="s">
        <v>2398</v>
      </c>
      <c r="S144" s="52">
        <f t="shared" si="2"/>
        <v>2.98</v>
      </c>
      <c r="T144" s="52"/>
      <c r="U144" s="52"/>
    </row>
    <row r="145" spans="1:21" s="46" customFormat="1" ht="16.5" thickTop="1" thickBot="1" x14ac:dyDescent="0.3">
      <c r="A145" s="50" t="s">
        <v>1805</v>
      </c>
      <c r="B145" s="43" t="s">
        <v>1806</v>
      </c>
      <c r="C145" s="43" t="s">
        <v>38</v>
      </c>
      <c r="D145" s="43" t="s">
        <v>17</v>
      </c>
      <c r="E145" s="43" t="s">
        <v>19</v>
      </c>
      <c r="F145" s="43" t="s">
        <v>21</v>
      </c>
      <c r="G145" s="48">
        <v>46155.543055555558</v>
      </c>
      <c r="H145" s="48">
        <v>46161.509027777778</v>
      </c>
      <c r="I145" s="43">
        <v>77</v>
      </c>
      <c r="J145" s="43" t="s">
        <v>1156</v>
      </c>
      <c r="K145" s="43" t="s">
        <v>1156</v>
      </c>
      <c r="L145" s="43" t="s">
        <v>20</v>
      </c>
      <c r="M145" s="43">
        <v>77</v>
      </c>
      <c r="N145" s="43">
        <v>14</v>
      </c>
      <c r="O145" s="43">
        <v>14</v>
      </c>
      <c r="P145" s="43" t="s">
        <v>1807</v>
      </c>
      <c r="Q145" s="43" t="s">
        <v>1517</v>
      </c>
      <c r="R145" s="43" t="s">
        <v>2397</v>
      </c>
      <c r="S145" s="52">
        <f t="shared" si="2"/>
        <v>5.97</v>
      </c>
      <c r="T145" s="47"/>
      <c r="U145" s="47"/>
    </row>
    <row r="146" spans="1:21" ht="16.5" thickTop="1" thickBot="1" x14ac:dyDescent="0.3">
      <c r="A146" s="51" t="s">
        <v>1803</v>
      </c>
      <c r="B146" s="52" t="s">
        <v>1804</v>
      </c>
      <c r="C146" s="52" t="s">
        <v>38</v>
      </c>
      <c r="D146" s="52" t="s">
        <v>17</v>
      </c>
      <c r="E146" s="52" t="s">
        <v>19</v>
      </c>
      <c r="F146" s="52" t="s">
        <v>21</v>
      </c>
      <c r="G146" s="53">
        <v>46155.552777777775</v>
      </c>
      <c r="H146" s="53">
        <v>46158.574999999997</v>
      </c>
      <c r="I146" s="52">
        <v>44</v>
      </c>
      <c r="J146" s="52" t="s">
        <v>1156</v>
      </c>
      <c r="K146" s="52" t="s">
        <v>1156</v>
      </c>
      <c r="L146" s="52" t="s">
        <v>20</v>
      </c>
      <c r="M146" s="52">
        <v>44</v>
      </c>
      <c r="N146" s="52">
        <v>4</v>
      </c>
      <c r="O146" s="52">
        <v>4</v>
      </c>
      <c r="P146" s="52" t="s">
        <v>1287</v>
      </c>
      <c r="Q146" s="52" t="s">
        <v>1514</v>
      </c>
      <c r="R146" s="52" t="s">
        <v>2396</v>
      </c>
      <c r="S146" s="52">
        <f t="shared" si="2"/>
        <v>3.02</v>
      </c>
      <c r="T146" s="52"/>
      <c r="U146" s="52"/>
    </row>
    <row r="147" spans="1:21" s="46" customFormat="1" ht="16.5" thickTop="1" thickBot="1" x14ac:dyDescent="0.3">
      <c r="A147" s="50" t="s">
        <v>1801</v>
      </c>
      <c r="B147" s="43" t="s">
        <v>1802</v>
      </c>
      <c r="C147" s="43" t="s">
        <v>38</v>
      </c>
      <c r="D147" s="43" t="s">
        <v>17</v>
      </c>
      <c r="E147" s="43" t="s">
        <v>19</v>
      </c>
      <c r="F147" s="43" t="s">
        <v>21</v>
      </c>
      <c r="G147" s="48">
        <v>46155.602083333331</v>
      </c>
      <c r="H147" s="48">
        <v>46164.508333333331</v>
      </c>
      <c r="I147" s="43">
        <v>127</v>
      </c>
      <c r="J147" s="43" t="s">
        <v>1156</v>
      </c>
      <c r="K147" s="43" t="s">
        <v>1156</v>
      </c>
      <c r="L147" s="43" t="s">
        <v>20</v>
      </c>
      <c r="M147" s="43">
        <v>127</v>
      </c>
      <c r="N147" s="43">
        <v>15</v>
      </c>
      <c r="O147" s="43">
        <v>15</v>
      </c>
      <c r="P147" s="43" t="s">
        <v>1321</v>
      </c>
      <c r="Q147" s="43" t="s">
        <v>1514</v>
      </c>
      <c r="R147" s="43" t="s">
        <v>2395</v>
      </c>
      <c r="S147" s="52">
        <f t="shared" si="2"/>
        <v>8.91</v>
      </c>
      <c r="T147" s="47"/>
      <c r="U147" s="47"/>
    </row>
    <row r="148" spans="1:21" ht="16.5" thickTop="1" thickBot="1" x14ac:dyDescent="0.3">
      <c r="A148" s="51" t="s">
        <v>1984</v>
      </c>
      <c r="B148" s="52" t="s">
        <v>1985</v>
      </c>
      <c r="C148" s="52" t="s">
        <v>38</v>
      </c>
      <c r="D148" s="52" t="s">
        <v>17</v>
      </c>
      <c r="E148" s="52" t="s">
        <v>18</v>
      </c>
      <c r="F148" s="52" t="s">
        <v>42</v>
      </c>
      <c r="G148" s="53">
        <v>46155.629166666666</v>
      </c>
      <c r="H148" s="53">
        <v>46171.511111111111</v>
      </c>
      <c r="I148" s="52">
        <v>3</v>
      </c>
      <c r="J148" s="52" t="s">
        <v>1156</v>
      </c>
      <c r="K148" s="52" t="s">
        <v>1156</v>
      </c>
      <c r="L148" s="52" t="s">
        <v>33</v>
      </c>
      <c r="M148" s="52">
        <v>3</v>
      </c>
      <c r="N148" s="52">
        <v>3</v>
      </c>
      <c r="O148" s="52">
        <v>3</v>
      </c>
      <c r="P148" s="52" t="s">
        <v>1461</v>
      </c>
      <c r="Q148" s="52" t="s">
        <v>1517</v>
      </c>
      <c r="R148" s="52" t="s">
        <v>8349</v>
      </c>
      <c r="S148" s="52">
        <f t="shared" si="2"/>
        <v>15.88</v>
      </c>
      <c r="T148" s="52"/>
      <c r="U148" s="52" t="s">
        <v>8411</v>
      </c>
    </row>
    <row r="149" spans="1:21" s="46" customFormat="1" ht="16.5" thickTop="1" thickBot="1" x14ac:dyDescent="0.3">
      <c r="A149" s="50" t="s">
        <v>1798</v>
      </c>
      <c r="B149" s="43" t="s">
        <v>1799</v>
      </c>
      <c r="C149" s="43" t="s">
        <v>38</v>
      </c>
      <c r="D149" s="43" t="s">
        <v>17</v>
      </c>
      <c r="E149" s="43" t="s">
        <v>19</v>
      </c>
      <c r="F149" s="43" t="s">
        <v>21</v>
      </c>
      <c r="G149" s="48">
        <v>46155.640277777777</v>
      </c>
      <c r="H149" s="48">
        <v>46165.584027777775</v>
      </c>
      <c r="I149" s="43">
        <v>395</v>
      </c>
      <c r="J149" s="43" t="s">
        <v>2373</v>
      </c>
      <c r="K149" s="43" t="s">
        <v>8278</v>
      </c>
      <c r="L149" s="43" t="s">
        <v>20</v>
      </c>
      <c r="M149" s="43">
        <v>395</v>
      </c>
      <c r="N149" s="43">
        <v>395</v>
      </c>
      <c r="O149" s="43">
        <v>395</v>
      </c>
      <c r="P149" s="43" t="s">
        <v>1362</v>
      </c>
      <c r="Q149" s="43" t="s">
        <v>1546</v>
      </c>
      <c r="R149" s="43" t="s">
        <v>1800</v>
      </c>
      <c r="S149" s="52">
        <f t="shared" si="2"/>
        <v>9.94</v>
      </c>
      <c r="T149" s="47"/>
      <c r="U149" s="47"/>
    </row>
    <row r="150" spans="1:21" ht="16.5" thickTop="1" thickBot="1" x14ac:dyDescent="0.3">
      <c r="A150" s="51" t="s">
        <v>1796</v>
      </c>
      <c r="B150" s="52" t="s">
        <v>1797</v>
      </c>
      <c r="C150" s="52" t="s">
        <v>38</v>
      </c>
      <c r="D150" s="52" t="s">
        <v>17</v>
      </c>
      <c r="E150" s="52" t="s">
        <v>18</v>
      </c>
      <c r="F150" s="52" t="s">
        <v>42</v>
      </c>
      <c r="G150" s="53">
        <v>46155.740277777775</v>
      </c>
      <c r="H150" s="53">
        <v>46158.57916666667</v>
      </c>
      <c r="I150" s="52">
        <v>21</v>
      </c>
      <c r="J150" s="52" t="s">
        <v>1156</v>
      </c>
      <c r="K150" s="52" t="s">
        <v>1156</v>
      </c>
      <c r="L150" s="52" t="s">
        <v>36</v>
      </c>
      <c r="M150" s="52">
        <v>21</v>
      </c>
      <c r="N150" s="52">
        <v>21</v>
      </c>
      <c r="O150" s="52">
        <v>21</v>
      </c>
      <c r="P150" s="52" t="s">
        <v>1650</v>
      </c>
      <c r="Q150" s="52" t="s">
        <v>1517</v>
      </c>
      <c r="R150" s="52" t="s">
        <v>2394</v>
      </c>
      <c r="S150" s="52">
        <f t="shared" si="2"/>
        <v>2.84</v>
      </c>
      <c r="T150" s="52"/>
      <c r="U150" s="52"/>
    </row>
    <row r="151" spans="1:21" s="46" customFormat="1" ht="16.5" thickTop="1" thickBot="1" x14ac:dyDescent="0.3">
      <c r="A151" s="50" t="s">
        <v>1792</v>
      </c>
      <c r="B151" s="43" t="s">
        <v>1793</v>
      </c>
      <c r="C151" s="43" t="s">
        <v>38</v>
      </c>
      <c r="D151" s="43" t="s">
        <v>17</v>
      </c>
      <c r="E151" s="43" t="s">
        <v>18</v>
      </c>
      <c r="F151" s="43" t="s">
        <v>42</v>
      </c>
      <c r="G151" s="48">
        <v>46155.743750000001</v>
      </c>
      <c r="H151" s="48">
        <v>46158.582638888889</v>
      </c>
      <c r="I151" s="43">
        <v>258</v>
      </c>
      <c r="J151" s="43" t="s">
        <v>1156</v>
      </c>
      <c r="K151" s="43" t="s">
        <v>1156</v>
      </c>
      <c r="L151" s="43" t="s">
        <v>36</v>
      </c>
      <c r="M151" s="43">
        <v>258</v>
      </c>
      <c r="N151" s="43">
        <v>258</v>
      </c>
      <c r="O151" s="43">
        <v>258</v>
      </c>
      <c r="P151" s="43" t="s">
        <v>1650</v>
      </c>
      <c r="Q151" s="43" t="s">
        <v>1517</v>
      </c>
      <c r="R151" s="43" t="s">
        <v>2393</v>
      </c>
      <c r="S151" s="52">
        <f t="shared" si="2"/>
        <v>2.84</v>
      </c>
      <c r="T151" s="47"/>
      <c r="U151" s="47"/>
    </row>
    <row r="152" spans="1:21" ht="16.5" thickTop="1" thickBot="1" x14ac:dyDescent="0.3">
      <c r="A152" s="51" t="s">
        <v>1794</v>
      </c>
      <c r="B152" s="52" t="s">
        <v>1795</v>
      </c>
      <c r="C152" s="52" t="s">
        <v>38</v>
      </c>
      <c r="D152" s="52" t="s">
        <v>17</v>
      </c>
      <c r="E152" s="52" t="s">
        <v>19</v>
      </c>
      <c r="F152" s="52" t="s">
        <v>21</v>
      </c>
      <c r="G152" s="53">
        <v>46155.743750000001</v>
      </c>
      <c r="H152" s="53">
        <v>46171.709027777775</v>
      </c>
      <c r="I152" s="52">
        <v>242</v>
      </c>
      <c r="J152" s="52" t="s">
        <v>2373</v>
      </c>
      <c r="K152" s="52" t="s">
        <v>8333</v>
      </c>
      <c r="L152" s="52" t="s">
        <v>20</v>
      </c>
      <c r="M152" s="52">
        <v>232</v>
      </c>
      <c r="N152" s="52">
        <v>34</v>
      </c>
      <c r="O152" s="52">
        <v>35</v>
      </c>
      <c r="P152" s="52" t="s">
        <v>1341</v>
      </c>
      <c r="Q152" s="52" t="s">
        <v>1517</v>
      </c>
      <c r="R152" s="52" t="s">
        <v>8344</v>
      </c>
      <c r="S152" s="52">
        <f t="shared" si="2"/>
        <v>15.97</v>
      </c>
      <c r="T152" s="52"/>
      <c r="U152" s="52"/>
    </row>
    <row r="153" spans="1:21" s="46" customFormat="1" ht="16.5" thickTop="1" thickBot="1" x14ac:dyDescent="0.3">
      <c r="A153" s="50" t="s">
        <v>1790</v>
      </c>
      <c r="B153" s="43" t="s">
        <v>1791</v>
      </c>
      <c r="C153" s="43" t="s">
        <v>38</v>
      </c>
      <c r="D153" s="43" t="s">
        <v>17</v>
      </c>
      <c r="E153" s="43" t="s">
        <v>18</v>
      </c>
      <c r="F153" s="43" t="s">
        <v>42</v>
      </c>
      <c r="G153" s="48">
        <v>46155.748611111114</v>
      </c>
      <c r="H153" s="48">
        <v>46158.598611111112</v>
      </c>
      <c r="I153" s="43">
        <v>138</v>
      </c>
      <c r="J153" s="43" t="s">
        <v>1156</v>
      </c>
      <c r="K153" s="43" t="s">
        <v>1156</v>
      </c>
      <c r="L153" s="43" t="s">
        <v>36</v>
      </c>
      <c r="M153" s="43">
        <v>138</v>
      </c>
      <c r="N153" s="43">
        <v>138</v>
      </c>
      <c r="O153" s="43">
        <v>138</v>
      </c>
      <c r="P153" s="43" t="s">
        <v>1436</v>
      </c>
      <c r="Q153" s="43" t="s">
        <v>1517</v>
      </c>
      <c r="R153" s="43" t="s">
        <v>2392</v>
      </c>
      <c r="S153" s="52">
        <f t="shared" si="2"/>
        <v>2.85</v>
      </c>
      <c r="T153" s="47"/>
      <c r="U153" s="47"/>
    </row>
    <row r="154" spans="1:21" ht="16.5" thickTop="1" thickBot="1" x14ac:dyDescent="0.3">
      <c r="A154" s="51" t="s">
        <v>1788</v>
      </c>
      <c r="B154" s="52" t="s">
        <v>1789</v>
      </c>
      <c r="C154" s="52" t="s">
        <v>39</v>
      </c>
      <c r="D154" s="52" t="s">
        <v>17</v>
      </c>
      <c r="E154" s="52" t="s">
        <v>19</v>
      </c>
      <c r="F154" s="52" t="s">
        <v>21</v>
      </c>
      <c r="G154" s="53">
        <v>46155.750694444447</v>
      </c>
      <c r="H154" s="53">
        <v>46161.570138888892</v>
      </c>
      <c r="I154" s="52">
        <v>111</v>
      </c>
      <c r="J154" s="52" t="s">
        <v>1156</v>
      </c>
      <c r="K154" s="52" t="s">
        <v>1156</v>
      </c>
      <c r="L154" s="52" t="s">
        <v>20</v>
      </c>
      <c r="M154" s="52">
        <v>0</v>
      </c>
      <c r="N154" s="52">
        <v>0</v>
      </c>
      <c r="O154" s="52">
        <v>41</v>
      </c>
      <c r="P154" s="52" t="s">
        <v>1341</v>
      </c>
      <c r="Q154" s="52" t="s">
        <v>1517</v>
      </c>
      <c r="R154" s="52"/>
      <c r="S154" s="52">
        <f t="shared" si="2"/>
        <v>5.82</v>
      </c>
      <c r="T154" s="52"/>
      <c r="U154" s="52"/>
    </row>
    <row r="155" spans="1:21" s="46" customFormat="1" ht="16.5" thickTop="1" thickBot="1" x14ac:dyDescent="0.3">
      <c r="A155" s="50" t="s">
        <v>1786</v>
      </c>
      <c r="B155" s="43" t="s">
        <v>1787</v>
      </c>
      <c r="C155" s="43" t="s">
        <v>38</v>
      </c>
      <c r="D155" s="43" t="s">
        <v>17</v>
      </c>
      <c r="E155" s="43" t="s">
        <v>19</v>
      </c>
      <c r="F155" s="43" t="s">
        <v>21</v>
      </c>
      <c r="G155" s="48">
        <v>46155.760416666664</v>
      </c>
      <c r="H155" s="48">
        <v>46158.540277777778</v>
      </c>
      <c r="I155" s="43">
        <v>112</v>
      </c>
      <c r="J155" s="43" t="s">
        <v>1156</v>
      </c>
      <c r="K155" s="43" t="s">
        <v>1156</v>
      </c>
      <c r="L155" s="43" t="s">
        <v>20</v>
      </c>
      <c r="M155" s="43">
        <v>111</v>
      </c>
      <c r="N155" s="43">
        <v>7</v>
      </c>
      <c r="O155" s="43">
        <v>7</v>
      </c>
      <c r="P155" s="43" t="s">
        <v>1287</v>
      </c>
      <c r="Q155" s="43" t="s">
        <v>1517</v>
      </c>
      <c r="R155" s="43" t="s">
        <v>2391</v>
      </c>
      <c r="S155" s="52">
        <f t="shared" si="2"/>
        <v>2.78</v>
      </c>
      <c r="T155" s="47"/>
      <c r="U155" s="47"/>
    </row>
    <row r="156" spans="1:21" ht="16.5" thickTop="1" thickBot="1" x14ac:dyDescent="0.3">
      <c r="A156" s="51" t="s">
        <v>1784</v>
      </c>
      <c r="B156" s="52" t="s">
        <v>1785</v>
      </c>
      <c r="C156" s="52" t="s">
        <v>38</v>
      </c>
      <c r="D156" s="52" t="s">
        <v>17</v>
      </c>
      <c r="E156" s="52" t="s">
        <v>19</v>
      </c>
      <c r="F156" s="52" t="s">
        <v>19</v>
      </c>
      <c r="G156" s="53">
        <v>46156.425000000003</v>
      </c>
      <c r="H156" s="53">
        <v>46157.507638888892</v>
      </c>
      <c r="I156" s="52">
        <v>70</v>
      </c>
      <c r="J156" s="52" t="s">
        <v>1156</v>
      </c>
      <c r="K156" s="52" t="s">
        <v>1156</v>
      </c>
      <c r="L156" s="52" t="s">
        <v>25</v>
      </c>
      <c r="M156" s="52">
        <v>70</v>
      </c>
      <c r="N156" s="52">
        <v>35</v>
      </c>
      <c r="O156" s="52">
        <v>35</v>
      </c>
      <c r="P156" s="52" t="s">
        <v>1445</v>
      </c>
      <c r="Q156" s="52" t="s">
        <v>1517</v>
      </c>
      <c r="R156" s="52" t="s">
        <v>2390</v>
      </c>
      <c r="S156" s="52">
        <f t="shared" si="2"/>
        <v>1.08</v>
      </c>
      <c r="T156" s="52"/>
      <c r="U156" s="52"/>
    </row>
    <row r="157" spans="1:21" s="46" customFormat="1" ht="16.5" thickTop="1" thickBot="1" x14ac:dyDescent="0.3">
      <c r="A157" s="50" t="s">
        <v>1782</v>
      </c>
      <c r="B157" s="43" t="s">
        <v>1783</v>
      </c>
      <c r="C157" s="43" t="s">
        <v>38</v>
      </c>
      <c r="D157" s="43" t="s">
        <v>17</v>
      </c>
      <c r="E157" s="43" t="s">
        <v>19</v>
      </c>
      <c r="F157" s="43" t="s">
        <v>21</v>
      </c>
      <c r="G157" s="48">
        <v>46156.539583333331</v>
      </c>
      <c r="H157" s="48">
        <v>46157.506944444445</v>
      </c>
      <c r="I157" s="43">
        <v>7</v>
      </c>
      <c r="J157" s="43" t="s">
        <v>1156</v>
      </c>
      <c r="K157" s="43" t="s">
        <v>8294</v>
      </c>
      <c r="L157" s="43" t="s">
        <v>20</v>
      </c>
      <c r="M157" s="43">
        <v>7</v>
      </c>
      <c r="N157" s="43">
        <v>1</v>
      </c>
      <c r="O157" s="43">
        <v>1</v>
      </c>
      <c r="P157" s="43" t="s">
        <v>1410</v>
      </c>
      <c r="Q157" s="43" t="s">
        <v>1546</v>
      </c>
      <c r="R157" s="43" t="s">
        <v>2389</v>
      </c>
      <c r="S157" s="52">
        <f t="shared" si="2"/>
        <v>0.97</v>
      </c>
      <c r="T157" s="47"/>
      <c r="U157" s="47"/>
    </row>
    <row r="158" spans="1:21" ht="16.5" thickTop="1" thickBot="1" x14ac:dyDescent="0.3">
      <c r="A158" s="51" t="s">
        <v>1780</v>
      </c>
      <c r="B158" s="52" t="s">
        <v>1781</v>
      </c>
      <c r="C158" s="52" t="s">
        <v>38</v>
      </c>
      <c r="D158" s="52" t="s">
        <v>17</v>
      </c>
      <c r="E158" s="52" t="s">
        <v>19</v>
      </c>
      <c r="F158" s="52" t="s">
        <v>21</v>
      </c>
      <c r="G158" s="53">
        <v>46156.587500000001</v>
      </c>
      <c r="H158" s="53">
        <v>46168.65</v>
      </c>
      <c r="I158" s="52">
        <v>116</v>
      </c>
      <c r="J158" s="52" t="s">
        <v>2373</v>
      </c>
      <c r="K158" s="52" t="s">
        <v>8333</v>
      </c>
      <c r="L158" s="52" t="s">
        <v>20</v>
      </c>
      <c r="M158" s="52">
        <v>102</v>
      </c>
      <c r="N158" s="52">
        <v>27</v>
      </c>
      <c r="O158" s="52">
        <v>28</v>
      </c>
      <c r="P158" s="52" t="s">
        <v>1410</v>
      </c>
      <c r="Q158" s="52" t="s">
        <v>1514</v>
      </c>
      <c r="R158" s="52" t="s">
        <v>2388</v>
      </c>
      <c r="S158" s="52">
        <f t="shared" si="2"/>
        <v>12.06</v>
      </c>
      <c r="T158" s="52"/>
      <c r="U158" s="52"/>
    </row>
    <row r="159" spans="1:21" s="46" customFormat="1" ht="16.5" thickTop="1" thickBot="1" x14ac:dyDescent="0.3">
      <c r="A159" s="50" t="s">
        <v>1778</v>
      </c>
      <c r="B159" s="43" t="s">
        <v>1779</v>
      </c>
      <c r="C159" s="43" t="s">
        <v>38</v>
      </c>
      <c r="D159" s="43" t="s">
        <v>17</v>
      </c>
      <c r="E159" s="43" t="s">
        <v>18</v>
      </c>
      <c r="F159" s="43" t="s">
        <v>42</v>
      </c>
      <c r="G159" s="48">
        <v>46156.617361111108</v>
      </c>
      <c r="H159" s="48">
        <v>46163.506249999999</v>
      </c>
      <c r="I159" s="43">
        <v>1</v>
      </c>
      <c r="J159" s="43" t="s">
        <v>2373</v>
      </c>
      <c r="K159" s="43" t="s">
        <v>8310</v>
      </c>
      <c r="L159" s="43" t="s">
        <v>33</v>
      </c>
      <c r="M159" s="43">
        <v>1</v>
      </c>
      <c r="N159" s="43">
        <v>1</v>
      </c>
      <c r="O159" s="43">
        <v>1</v>
      </c>
      <c r="P159" s="43" t="s">
        <v>1470</v>
      </c>
      <c r="Q159" s="43" t="s">
        <v>1546</v>
      </c>
      <c r="R159" s="43"/>
      <c r="S159" s="52">
        <f t="shared" si="2"/>
        <v>6.89</v>
      </c>
      <c r="T159" s="47"/>
      <c r="U159" s="47"/>
    </row>
    <row r="160" spans="1:21" ht="16.5" thickTop="1" thickBot="1" x14ac:dyDescent="0.3">
      <c r="A160" s="51" t="s">
        <v>1775</v>
      </c>
      <c r="B160" s="52" t="s">
        <v>1776</v>
      </c>
      <c r="C160" s="52" t="s">
        <v>38</v>
      </c>
      <c r="D160" s="52" t="s">
        <v>17</v>
      </c>
      <c r="E160" s="52" t="s">
        <v>18</v>
      </c>
      <c r="F160" s="52" t="s">
        <v>42</v>
      </c>
      <c r="G160" s="53">
        <v>46156.618750000001</v>
      </c>
      <c r="H160" s="53">
        <v>46160.538888888892</v>
      </c>
      <c r="I160" s="52">
        <v>2</v>
      </c>
      <c r="J160" s="52" t="s">
        <v>1156</v>
      </c>
      <c r="K160" s="52" t="s">
        <v>1156</v>
      </c>
      <c r="L160" s="52" t="s">
        <v>33</v>
      </c>
      <c r="M160" s="52">
        <v>1</v>
      </c>
      <c r="N160" s="52">
        <v>1</v>
      </c>
      <c r="O160" s="52">
        <v>2</v>
      </c>
      <c r="P160" s="52" t="s">
        <v>1424</v>
      </c>
      <c r="Q160" s="52" t="s">
        <v>1517</v>
      </c>
      <c r="R160" s="52" t="s">
        <v>1777</v>
      </c>
      <c r="S160" s="52">
        <f t="shared" si="2"/>
        <v>3.92</v>
      </c>
      <c r="T160" s="52"/>
      <c r="U160" s="52"/>
    </row>
    <row r="161" spans="1:21" s="46" customFormat="1" ht="16.5" thickTop="1" thickBot="1" x14ac:dyDescent="0.3">
      <c r="A161" s="50" t="s">
        <v>1771</v>
      </c>
      <c r="B161" s="43" t="s">
        <v>1772</v>
      </c>
      <c r="C161" s="43" t="s">
        <v>38</v>
      </c>
      <c r="D161" s="43" t="s">
        <v>17</v>
      </c>
      <c r="E161" s="43" t="s">
        <v>19</v>
      </c>
      <c r="F161" s="43" t="s">
        <v>21</v>
      </c>
      <c r="G161" s="48">
        <v>46156.684027777781</v>
      </c>
      <c r="H161" s="48">
        <v>46164.536111111112</v>
      </c>
      <c r="I161" s="43">
        <v>565</v>
      </c>
      <c r="J161" s="43" t="s">
        <v>1156</v>
      </c>
      <c r="K161" s="43" t="s">
        <v>8343</v>
      </c>
      <c r="L161" s="43" t="s">
        <v>20</v>
      </c>
      <c r="M161" s="43">
        <v>530</v>
      </c>
      <c r="N161" s="43">
        <v>83</v>
      </c>
      <c r="O161" s="43">
        <v>98</v>
      </c>
      <c r="P161" s="43" t="s">
        <v>1773</v>
      </c>
      <c r="Q161" s="43" t="s">
        <v>1517</v>
      </c>
      <c r="R161" s="43" t="s">
        <v>1774</v>
      </c>
      <c r="S161" s="52">
        <f t="shared" si="2"/>
        <v>7.85</v>
      </c>
      <c r="T161" s="47"/>
      <c r="U161" s="47"/>
    </row>
    <row r="162" spans="1:21" ht="16.5" thickTop="1" thickBot="1" x14ac:dyDescent="0.3">
      <c r="A162" s="51" t="s">
        <v>1768</v>
      </c>
      <c r="B162" s="52" t="s">
        <v>1769</v>
      </c>
      <c r="C162" s="52" t="s">
        <v>38</v>
      </c>
      <c r="D162" s="52" t="s">
        <v>17</v>
      </c>
      <c r="E162" s="52" t="s">
        <v>19</v>
      </c>
      <c r="F162" s="52" t="s">
        <v>21</v>
      </c>
      <c r="G162" s="53">
        <v>46156.706250000003</v>
      </c>
      <c r="H162" s="53">
        <v>46161.747916666667</v>
      </c>
      <c r="I162" s="52">
        <v>5</v>
      </c>
      <c r="J162" s="52" t="s">
        <v>2373</v>
      </c>
      <c r="K162" s="52" t="s">
        <v>8317</v>
      </c>
      <c r="L162" s="52" t="s">
        <v>25</v>
      </c>
      <c r="M162" s="52">
        <v>5</v>
      </c>
      <c r="N162" s="52">
        <v>1</v>
      </c>
      <c r="O162" s="52">
        <v>1</v>
      </c>
      <c r="P162" s="52" t="s">
        <v>1430</v>
      </c>
      <c r="Q162" s="52" t="s">
        <v>1517</v>
      </c>
      <c r="R162" s="52" t="s">
        <v>1770</v>
      </c>
      <c r="S162" s="52">
        <f t="shared" si="2"/>
        <v>5.04</v>
      </c>
      <c r="T162" s="52"/>
      <c r="U162" s="52"/>
    </row>
    <row r="163" spans="1:21" s="46" customFormat="1" ht="16.5" thickTop="1" thickBot="1" x14ac:dyDescent="0.3">
      <c r="A163" s="50" t="s">
        <v>1765</v>
      </c>
      <c r="B163" s="43" t="s">
        <v>1766</v>
      </c>
      <c r="C163" s="43" t="s">
        <v>38</v>
      </c>
      <c r="D163" s="43" t="s">
        <v>17</v>
      </c>
      <c r="E163" s="43" t="s">
        <v>19</v>
      </c>
      <c r="F163" s="43" t="s">
        <v>21</v>
      </c>
      <c r="G163" s="48">
        <v>46156.714583333334</v>
      </c>
      <c r="H163" s="48">
        <v>46158.606944444444</v>
      </c>
      <c r="I163" s="43">
        <v>42</v>
      </c>
      <c r="J163" s="43" t="s">
        <v>1156</v>
      </c>
      <c r="K163" s="43" t="s">
        <v>1156</v>
      </c>
      <c r="L163" s="43" t="s">
        <v>20</v>
      </c>
      <c r="M163" s="43">
        <v>42</v>
      </c>
      <c r="N163" s="43">
        <v>7</v>
      </c>
      <c r="O163" s="43">
        <v>7</v>
      </c>
      <c r="P163" s="43" t="s">
        <v>1449</v>
      </c>
      <c r="Q163" s="43" t="s">
        <v>1517</v>
      </c>
      <c r="R163" s="43" t="s">
        <v>1767</v>
      </c>
      <c r="S163" s="52">
        <f t="shared" si="2"/>
        <v>1.89</v>
      </c>
      <c r="T163" s="47"/>
      <c r="U163" s="47"/>
    </row>
    <row r="164" spans="1:21" ht="16.5" thickTop="1" thickBot="1" x14ac:dyDescent="0.3">
      <c r="A164" s="51" t="s">
        <v>1762</v>
      </c>
      <c r="B164" s="52" t="s">
        <v>1763</v>
      </c>
      <c r="C164" s="52" t="s">
        <v>38</v>
      </c>
      <c r="D164" s="52" t="s">
        <v>17</v>
      </c>
      <c r="E164" s="52" t="s">
        <v>18</v>
      </c>
      <c r="F164" s="52" t="s">
        <v>42</v>
      </c>
      <c r="G164" s="53">
        <v>46156.76666666667</v>
      </c>
      <c r="H164" s="53">
        <v>46163.498611111114</v>
      </c>
      <c r="I164" s="52">
        <v>3</v>
      </c>
      <c r="J164" s="52" t="s">
        <v>1156</v>
      </c>
      <c r="K164" s="52" t="s">
        <v>1156</v>
      </c>
      <c r="L164" s="52" t="s">
        <v>33</v>
      </c>
      <c r="M164" s="52">
        <v>3</v>
      </c>
      <c r="N164" s="52">
        <v>3</v>
      </c>
      <c r="O164" s="52">
        <v>3</v>
      </c>
      <c r="P164" s="52" t="s">
        <v>1455</v>
      </c>
      <c r="Q164" s="52" t="s">
        <v>1517</v>
      </c>
      <c r="R164" s="52" t="s">
        <v>1764</v>
      </c>
      <c r="S164" s="52">
        <f t="shared" si="2"/>
        <v>6.73</v>
      </c>
      <c r="T164" s="52"/>
      <c r="U164" s="52"/>
    </row>
    <row r="165" spans="1:21" s="46" customFormat="1" ht="16.5" thickTop="1" thickBot="1" x14ac:dyDescent="0.3">
      <c r="A165" s="50" t="s">
        <v>1759</v>
      </c>
      <c r="B165" s="43" t="s">
        <v>1760</v>
      </c>
      <c r="C165" s="43" t="s">
        <v>38</v>
      </c>
      <c r="D165" s="43" t="s">
        <v>17</v>
      </c>
      <c r="E165" s="43" t="s">
        <v>18</v>
      </c>
      <c r="F165" s="43" t="s">
        <v>32</v>
      </c>
      <c r="G165" s="48">
        <v>46156.779861111114</v>
      </c>
      <c r="H165" s="48">
        <v>46158.536805555559</v>
      </c>
      <c r="I165" s="43">
        <v>49</v>
      </c>
      <c r="J165" s="43" t="s">
        <v>1156</v>
      </c>
      <c r="K165" s="43" t="s">
        <v>1156</v>
      </c>
      <c r="L165" s="43" t="s">
        <v>20</v>
      </c>
      <c r="M165" s="43">
        <v>48</v>
      </c>
      <c r="N165" s="43">
        <v>8</v>
      </c>
      <c r="O165" s="43">
        <v>9</v>
      </c>
      <c r="P165" s="43" t="s">
        <v>1318</v>
      </c>
      <c r="Q165" s="43" t="s">
        <v>1517</v>
      </c>
      <c r="R165" s="43" t="s">
        <v>1761</v>
      </c>
      <c r="S165" s="52">
        <f t="shared" si="2"/>
        <v>1.76</v>
      </c>
      <c r="T165" s="47"/>
      <c r="U165" s="47"/>
    </row>
    <row r="166" spans="1:21" ht="16.5" thickTop="1" thickBot="1" x14ac:dyDescent="0.3">
      <c r="A166" s="51" t="s">
        <v>1756</v>
      </c>
      <c r="B166" s="52" t="s">
        <v>1757</v>
      </c>
      <c r="C166" s="52" t="s">
        <v>38</v>
      </c>
      <c r="D166" s="52" t="s">
        <v>17</v>
      </c>
      <c r="E166" s="52" t="s">
        <v>21</v>
      </c>
      <c r="F166" s="52" t="s">
        <v>42</v>
      </c>
      <c r="G166" s="53">
        <v>46156.783333333333</v>
      </c>
      <c r="H166" s="53">
        <v>46161.754166666666</v>
      </c>
      <c r="I166" s="52">
        <v>2</v>
      </c>
      <c r="J166" s="52" t="s">
        <v>2373</v>
      </c>
      <c r="K166" s="52" t="s">
        <v>8317</v>
      </c>
      <c r="L166" s="52" t="s">
        <v>33</v>
      </c>
      <c r="M166" s="52">
        <v>2</v>
      </c>
      <c r="N166" s="52">
        <v>2</v>
      </c>
      <c r="O166" s="52">
        <v>2</v>
      </c>
      <c r="P166" s="52" t="s">
        <v>1758</v>
      </c>
      <c r="Q166" s="52" t="s">
        <v>1517</v>
      </c>
      <c r="R166" s="52"/>
      <c r="S166" s="52">
        <f t="shared" si="2"/>
        <v>4.97</v>
      </c>
      <c r="T166" s="52"/>
      <c r="U166" s="52"/>
    </row>
    <row r="167" spans="1:21" s="46" customFormat="1" ht="16.5" thickTop="1" thickBot="1" x14ac:dyDescent="0.3">
      <c r="A167" s="50" t="s">
        <v>1753</v>
      </c>
      <c r="B167" s="43" t="s">
        <v>1754</v>
      </c>
      <c r="C167" s="43" t="s">
        <v>38</v>
      </c>
      <c r="D167" s="43" t="s">
        <v>17</v>
      </c>
      <c r="E167" s="43" t="s">
        <v>18</v>
      </c>
      <c r="F167" s="43" t="s">
        <v>42</v>
      </c>
      <c r="G167" s="48">
        <v>46157.427083333336</v>
      </c>
      <c r="H167" s="48">
        <v>46158.490277777775</v>
      </c>
      <c r="I167" s="43">
        <v>97</v>
      </c>
      <c r="J167" s="43" t="s">
        <v>1156</v>
      </c>
      <c r="K167" s="43" t="s">
        <v>1156</v>
      </c>
      <c r="L167" s="43" t="s">
        <v>36</v>
      </c>
      <c r="M167" s="43">
        <v>97</v>
      </c>
      <c r="N167" s="43">
        <v>97</v>
      </c>
      <c r="O167" s="43">
        <v>97</v>
      </c>
      <c r="P167" s="43" t="s">
        <v>1504</v>
      </c>
      <c r="Q167" s="43" t="s">
        <v>1517</v>
      </c>
      <c r="R167" s="43" t="s">
        <v>1755</v>
      </c>
      <c r="S167" s="52">
        <f t="shared" si="2"/>
        <v>1.06</v>
      </c>
      <c r="T167" s="47"/>
      <c r="U167" s="47"/>
    </row>
    <row r="168" spans="1:21" ht="16.5" thickTop="1" thickBot="1" x14ac:dyDescent="0.3">
      <c r="A168" s="51" t="s">
        <v>1750</v>
      </c>
      <c r="B168" s="52" t="s">
        <v>1751</v>
      </c>
      <c r="C168" s="52" t="s">
        <v>38</v>
      </c>
      <c r="D168" s="52" t="s">
        <v>17</v>
      </c>
      <c r="E168" s="52" t="s">
        <v>18</v>
      </c>
      <c r="F168" s="52" t="s">
        <v>42</v>
      </c>
      <c r="G168" s="53">
        <v>46157.442361111112</v>
      </c>
      <c r="H168" s="53">
        <v>46160.538194444445</v>
      </c>
      <c r="I168" s="52">
        <v>28</v>
      </c>
      <c r="J168" s="52" t="s">
        <v>1156</v>
      </c>
      <c r="K168" s="52" t="s">
        <v>1156</v>
      </c>
      <c r="L168" s="52" t="s">
        <v>36</v>
      </c>
      <c r="M168" s="52">
        <v>28</v>
      </c>
      <c r="N168" s="52">
        <v>28</v>
      </c>
      <c r="O168" s="52">
        <v>28</v>
      </c>
      <c r="P168" s="52" t="s">
        <v>1330</v>
      </c>
      <c r="Q168" s="52" t="s">
        <v>1517</v>
      </c>
      <c r="R168" s="52" t="s">
        <v>1752</v>
      </c>
      <c r="S168" s="52">
        <f t="shared" si="2"/>
        <v>3.1</v>
      </c>
      <c r="T168" s="52"/>
      <c r="U168" s="52"/>
    </row>
    <row r="169" spans="1:21" s="46" customFormat="1" ht="16.5" thickTop="1" thickBot="1" x14ac:dyDescent="0.3">
      <c r="A169" s="50" t="s">
        <v>1748</v>
      </c>
      <c r="B169" s="43" t="s">
        <v>1749</v>
      </c>
      <c r="C169" s="43" t="s">
        <v>38</v>
      </c>
      <c r="D169" s="43" t="s">
        <v>17</v>
      </c>
      <c r="E169" s="43" t="s">
        <v>18</v>
      </c>
      <c r="F169" s="43" t="s">
        <v>32</v>
      </c>
      <c r="G169" s="48">
        <v>46157.486111111109</v>
      </c>
      <c r="H169" s="48">
        <v>46161.759027777778</v>
      </c>
      <c r="I169" s="43">
        <v>1</v>
      </c>
      <c r="J169" s="43" t="s">
        <v>2373</v>
      </c>
      <c r="K169" s="43" t="s">
        <v>8317</v>
      </c>
      <c r="L169" s="43" t="s">
        <v>33</v>
      </c>
      <c r="M169" s="43">
        <v>1</v>
      </c>
      <c r="N169" s="43">
        <v>1</v>
      </c>
      <c r="O169" s="43">
        <v>1</v>
      </c>
      <c r="P169" s="43" t="s">
        <v>1433</v>
      </c>
      <c r="Q169" s="43" t="s">
        <v>1514</v>
      </c>
      <c r="R169" s="43"/>
      <c r="S169" s="52">
        <f t="shared" si="2"/>
        <v>4.2699999999999996</v>
      </c>
      <c r="T169" s="47"/>
      <c r="U169" s="47"/>
    </row>
    <row r="170" spans="1:21" ht="16.5" thickTop="1" thickBot="1" x14ac:dyDescent="0.3">
      <c r="A170" s="51" t="s">
        <v>1745</v>
      </c>
      <c r="B170" s="52" t="s">
        <v>1746</v>
      </c>
      <c r="C170" s="52" t="s">
        <v>38</v>
      </c>
      <c r="D170" s="52" t="s">
        <v>17</v>
      </c>
      <c r="E170" s="52" t="s">
        <v>19</v>
      </c>
      <c r="F170" s="52" t="s">
        <v>19</v>
      </c>
      <c r="G170" s="53">
        <v>46157.65902777778</v>
      </c>
      <c r="H170" s="53">
        <v>46158.489583333336</v>
      </c>
      <c r="I170" s="52">
        <v>288</v>
      </c>
      <c r="J170" s="52" t="s">
        <v>1156</v>
      </c>
      <c r="K170" s="52" t="s">
        <v>1156</v>
      </c>
      <c r="L170" s="52" t="s">
        <v>20</v>
      </c>
      <c r="M170" s="52">
        <v>288</v>
      </c>
      <c r="N170" s="52">
        <v>53</v>
      </c>
      <c r="O170" s="52">
        <v>53</v>
      </c>
      <c r="P170" s="52" t="s">
        <v>1481</v>
      </c>
      <c r="Q170" s="52" t="s">
        <v>1517</v>
      </c>
      <c r="R170" s="52" t="s">
        <v>1747</v>
      </c>
      <c r="S170" s="52">
        <f t="shared" si="2"/>
        <v>0.83</v>
      </c>
      <c r="T170" s="52"/>
      <c r="U170" s="52"/>
    </row>
    <row r="171" spans="1:21" s="46" customFormat="1" ht="16.5" thickTop="1" thickBot="1" x14ac:dyDescent="0.3">
      <c r="A171" s="50" t="s">
        <v>1742</v>
      </c>
      <c r="B171" s="43" t="s">
        <v>1743</v>
      </c>
      <c r="C171" s="43" t="s">
        <v>38</v>
      </c>
      <c r="D171" s="43" t="s">
        <v>17</v>
      </c>
      <c r="E171" s="43" t="s">
        <v>19</v>
      </c>
      <c r="F171" s="43" t="s">
        <v>19</v>
      </c>
      <c r="G171" s="48">
        <v>46157.71597222222</v>
      </c>
      <c r="H171" s="48">
        <v>46163.520833333336</v>
      </c>
      <c r="I171" s="43">
        <v>16</v>
      </c>
      <c r="J171" s="43" t="s">
        <v>1156</v>
      </c>
      <c r="K171" s="43" t="s">
        <v>1156</v>
      </c>
      <c r="L171" s="43" t="s">
        <v>31</v>
      </c>
      <c r="M171" s="43">
        <v>16</v>
      </c>
      <c r="N171" s="43">
        <v>4</v>
      </c>
      <c r="O171" s="43">
        <v>4</v>
      </c>
      <c r="P171" s="43" t="s">
        <v>1497</v>
      </c>
      <c r="Q171" s="43" t="s">
        <v>1517</v>
      </c>
      <c r="R171" s="43" t="s">
        <v>1744</v>
      </c>
      <c r="S171" s="52">
        <f t="shared" si="2"/>
        <v>5.8</v>
      </c>
      <c r="T171" s="47"/>
      <c r="U171" s="47"/>
    </row>
    <row r="172" spans="1:21" ht="16.5" thickTop="1" thickBot="1" x14ac:dyDescent="0.3">
      <c r="A172" s="51" t="s">
        <v>1741</v>
      </c>
      <c r="B172" s="52" t="s">
        <v>8341</v>
      </c>
      <c r="C172" s="52" t="s">
        <v>38</v>
      </c>
      <c r="D172" s="52" t="s">
        <v>17</v>
      </c>
      <c r="E172" s="52" t="s">
        <v>19</v>
      </c>
      <c r="F172" s="52" t="s">
        <v>19</v>
      </c>
      <c r="G172" s="53">
        <v>46158</v>
      </c>
      <c r="H172" s="53">
        <v>46158.520138888889</v>
      </c>
      <c r="I172" s="52">
        <v>127</v>
      </c>
      <c r="J172" s="52" t="s">
        <v>1156</v>
      </c>
      <c r="K172" s="52" t="s">
        <v>1156</v>
      </c>
      <c r="L172" s="52" t="s">
        <v>20</v>
      </c>
      <c r="M172" s="52">
        <v>114</v>
      </c>
      <c r="N172" s="52">
        <v>19</v>
      </c>
      <c r="O172" s="52">
        <v>21</v>
      </c>
      <c r="P172" s="52" t="s">
        <v>1475</v>
      </c>
      <c r="Q172" s="52" t="s">
        <v>1517</v>
      </c>
      <c r="R172" s="52" t="s">
        <v>8342</v>
      </c>
      <c r="S172" s="52">
        <f t="shared" si="2"/>
        <v>0.52</v>
      </c>
      <c r="T172" s="52"/>
      <c r="U172" s="52"/>
    </row>
    <row r="173" spans="1:21" s="46" customFormat="1" ht="16.5" thickTop="1" thickBot="1" x14ac:dyDescent="0.3">
      <c r="A173" s="50" t="s">
        <v>1739</v>
      </c>
      <c r="B173" s="43" t="s">
        <v>1606</v>
      </c>
      <c r="C173" s="43" t="s">
        <v>38</v>
      </c>
      <c r="D173" s="43" t="s">
        <v>17</v>
      </c>
      <c r="E173" s="43" t="s">
        <v>19</v>
      </c>
      <c r="F173" s="43" t="s">
        <v>21</v>
      </c>
      <c r="G173" s="48">
        <v>46158.593055555553</v>
      </c>
      <c r="H173" s="48">
        <v>46168.463194444441</v>
      </c>
      <c r="I173" s="43">
        <v>110</v>
      </c>
      <c r="J173" s="43" t="s">
        <v>2373</v>
      </c>
      <c r="K173" s="43" t="s">
        <v>8333</v>
      </c>
      <c r="L173" s="43" t="s">
        <v>20</v>
      </c>
      <c r="M173" s="43">
        <v>110</v>
      </c>
      <c r="N173" s="43">
        <v>20</v>
      </c>
      <c r="O173" s="43">
        <v>20</v>
      </c>
      <c r="P173" s="43" t="s">
        <v>1341</v>
      </c>
      <c r="Q173" s="43" t="s">
        <v>1517</v>
      </c>
      <c r="R173" s="43" t="s">
        <v>1740</v>
      </c>
      <c r="S173" s="52">
        <f t="shared" si="2"/>
        <v>9.8699999999999992</v>
      </c>
      <c r="T173" s="47"/>
      <c r="U173" s="47"/>
    </row>
    <row r="174" spans="1:21" ht="16.5" thickTop="1" thickBot="1" x14ac:dyDescent="0.3">
      <c r="A174" s="51" t="s">
        <v>1736</v>
      </c>
      <c r="B174" s="52" t="s">
        <v>1737</v>
      </c>
      <c r="C174" s="52" t="s">
        <v>38</v>
      </c>
      <c r="D174" s="52" t="s">
        <v>17</v>
      </c>
      <c r="E174" s="52" t="s">
        <v>19</v>
      </c>
      <c r="F174" s="52" t="s">
        <v>21</v>
      </c>
      <c r="G174" s="53">
        <v>46158.620138888888</v>
      </c>
      <c r="H174" s="53">
        <v>46161.754861111112</v>
      </c>
      <c r="I174" s="52">
        <v>120</v>
      </c>
      <c r="J174" s="52" t="s">
        <v>1156</v>
      </c>
      <c r="K174" s="52" t="s">
        <v>1156</v>
      </c>
      <c r="L174" s="52" t="s">
        <v>20</v>
      </c>
      <c r="M174" s="52">
        <v>120</v>
      </c>
      <c r="N174" s="52">
        <v>20</v>
      </c>
      <c r="O174" s="52">
        <v>20</v>
      </c>
      <c r="P174" s="52" t="s">
        <v>1474</v>
      </c>
      <c r="Q174" s="52" t="s">
        <v>1517</v>
      </c>
      <c r="R174" s="52" t="s">
        <v>1738</v>
      </c>
      <c r="S174" s="52">
        <f t="shared" si="2"/>
        <v>3.13</v>
      </c>
      <c r="T174" s="52"/>
      <c r="U174" s="52"/>
    </row>
    <row r="175" spans="1:21" s="46" customFormat="1" ht="16.5" thickTop="1" thickBot="1" x14ac:dyDescent="0.3">
      <c r="A175" s="50" t="s">
        <v>1733</v>
      </c>
      <c r="B175" s="43" t="s">
        <v>1734</v>
      </c>
      <c r="C175" s="43" t="s">
        <v>38</v>
      </c>
      <c r="D175" s="43" t="s">
        <v>17</v>
      </c>
      <c r="E175" s="43" t="s">
        <v>18</v>
      </c>
      <c r="F175" s="43" t="s">
        <v>19</v>
      </c>
      <c r="G175" s="48">
        <v>46158.63958333333</v>
      </c>
      <c r="H175" s="48">
        <v>46160.518750000003</v>
      </c>
      <c r="I175" s="43">
        <v>516</v>
      </c>
      <c r="J175" s="43" t="s">
        <v>1156</v>
      </c>
      <c r="K175" s="43" t="s">
        <v>1156</v>
      </c>
      <c r="L175" s="43" t="s">
        <v>20</v>
      </c>
      <c r="M175" s="43">
        <v>454</v>
      </c>
      <c r="N175" s="43">
        <v>65</v>
      </c>
      <c r="O175" s="43">
        <v>75</v>
      </c>
      <c r="P175" s="43" t="s">
        <v>1300</v>
      </c>
      <c r="Q175" s="43" t="s">
        <v>1517</v>
      </c>
      <c r="R175" s="43" t="s">
        <v>1735</v>
      </c>
      <c r="S175" s="52">
        <f t="shared" si="2"/>
        <v>1.88</v>
      </c>
      <c r="T175" s="47"/>
      <c r="U175" s="47"/>
    </row>
    <row r="176" spans="1:21" ht="16.5" thickTop="1" thickBot="1" x14ac:dyDescent="0.3">
      <c r="A176" s="51" t="s">
        <v>1730</v>
      </c>
      <c r="B176" s="52" t="s">
        <v>1731</v>
      </c>
      <c r="C176" s="52" t="s">
        <v>38</v>
      </c>
      <c r="D176" s="52" t="s">
        <v>17</v>
      </c>
      <c r="E176" s="52" t="s">
        <v>18</v>
      </c>
      <c r="F176" s="52" t="s">
        <v>19</v>
      </c>
      <c r="G176" s="53">
        <v>46160.453472222223</v>
      </c>
      <c r="H176" s="53">
        <v>46161.645138888889</v>
      </c>
      <c r="I176" s="52">
        <v>2</v>
      </c>
      <c r="J176" s="52" t="s">
        <v>1156</v>
      </c>
      <c r="K176" s="52" t="s">
        <v>1156</v>
      </c>
      <c r="L176" s="52" t="s">
        <v>33</v>
      </c>
      <c r="M176" s="52">
        <v>0</v>
      </c>
      <c r="N176" s="52">
        <v>2</v>
      </c>
      <c r="O176" s="52">
        <v>2</v>
      </c>
      <c r="P176" s="52" t="s">
        <v>8433</v>
      </c>
      <c r="Q176" s="52" t="s">
        <v>1517</v>
      </c>
      <c r="R176" s="52" t="s">
        <v>1732</v>
      </c>
      <c r="S176" s="52">
        <f t="shared" si="2"/>
        <v>1.19</v>
      </c>
      <c r="T176" s="52"/>
      <c r="U176" s="52"/>
    </row>
    <row r="177" spans="1:21" s="46" customFormat="1" ht="16.5" thickTop="1" thickBot="1" x14ac:dyDescent="0.3">
      <c r="A177" s="50" t="s">
        <v>1728</v>
      </c>
      <c r="B177" s="43" t="s">
        <v>1729</v>
      </c>
      <c r="C177" s="43" t="s">
        <v>38</v>
      </c>
      <c r="D177" s="43" t="s">
        <v>17</v>
      </c>
      <c r="E177" s="43" t="s">
        <v>18</v>
      </c>
      <c r="F177" s="43" t="s">
        <v>42</v>
      </c>
      <c r="G177" s="48">
        <v>46160.525000000001</v>
      </c>
      <c r="H177" s="48">
        <v>46162.772916666669</v>
      </c>
      <c r="I177" s="43">
        <v>5</v>
      </c>
      <c r="J177" s="43" t="s">
        <v>2373</v>
      </c>
      <c r="K177" s="43" t="s">
        <v>8333</v>
      </c>
      <c r="L177" s="43" t="s">
        <v>33</v>
      </c>
      <c r="M177" s="43">
        <v>1</v>
      </c>
      <c r="N177" s="43">
        <v>1</v>
      </c>
      <c r="O177" s="43">
        <v>5</v>
      </c>
      <c r="P177" s="43" t="s">
        <v>1355</v>
      </c>
      <c r="Q177" s="43" t="s">
        <v>1546</v>
      </c>
      <c r="R177" s="43"/>
      <c r="S177" s="52">
        <f t="shared" si="2"/>
        <v>2.25</v>
      </c>
      <c r="T177" s="47"/>
      <c r="U177" s="47"/>
    </row>
    <row r="178" spans="1:21" ht="16.5" thickTop="1" thickBot="1" x14ac:dyDescent="0.3">
      <c r="A178" s="51" t="s">
        <v>1725</v>
      </c>
      <c r="B178" s="52" t="s">
        <v>1726</v>
      </c>
      <c r="C178" s="52" t="s">
        <v>38</v>
      </c>
      <c r="D178" s="52" t="s">
        <v>17</v>
      </c>
      <c r="E178" s="52" t="s">
        <v>18</v>
      </c>
      <c r="F178" s="52" t="s">
        <v>28</v>
      </c>
      <c r="G178" s="53">
        <v>46160.529166666667</v>
      </c>
      <c r="H178" s="53">
        <v>46164.518055555556</v>
      </c>
      <c r="I178" s="52">
        <v>126</v>
      </c>
      <c r="J178" s="52" t="s">
        <v>1156</v>
      </c>
      <c r="K178" s="52" t="s">
        <v>1156</v>
      </c>
      <c r="L178" s="52" t="s">
        <v>20</v>
      </c>
      <c r="M178" s="52">
        <v>120</v>
      </c>
      <c r="N178" s="52">
        <v>18</v>
      </c>
      <c r="O178" s="52">
        <v>19</v>
      </c>
      <c r="P178" s="52" t="s">
        <v>1456</v>
      </c>
      <c r="Q178" s="52" t="s">
        <v>1514</v>
      </c>
      <c r="R178" s="52" t="s">
        <v>1727</v>
      </c>
      <c r="S178" s="52">
        <f t="shared" si="2"/>
        <v>3.99</v>
      </c>
      <c r="T178" s="52"/>
      <c r="U178" s="52"/>
    </row>
    <row r="179" spans="1:21" s="46" customFormat="1" ht="16.5" thickTop="1" thickBot="1" x14ac:dyDescent="0.3">
      <c r="A179" s="50" t="s">
        <v>1721</v>
      </c>
      <c r="B179" s="43" t="s">
        <v>1722</v>
      </c>
      <c r="C179" s="43" t="s">
        <v>38</v>
      </c>
      <c r="D179" s="43" t="s">
        <v>17</v>
      </c>
      <c r="E179" s="43" t="s">
        <v>19</v>
      </c>
      <c r="F179" s="43" t="s">
        <v>42</v>
      </c>
      <c r="G179" s="48">
        <v>46160.543749999997</v>
      </c>
      <c r="H179" s="48">
        <v>46163.51666666667</v>
      </c>
      <c r="I179" s="43">
        <v>177</v>
      </c>
      <c r="J179" s="43" t="s">
        <v>1156</v>
      </c>
      <c r="K179" s="43" t="s">
        <v>1156</v>
      </c>
      <c r="L179" s="43" t="s">
        <v>20</v>
      </c>
      <c r="M179" s="43">
        <v>177</v>
      </c>
      <c r="N179" s="43">
        <v>47</v>
      </c>
      <c r="O179" s="43">
        <v>47</v>
      </c>
      <c r="P179" s="43" t="s">
        <v>1723</v>
      </c>
      <c r="Q179" s="43" t="s">
        <v>1517</v>
      </c>
      <c r="R179" s="43" t="s">
        <v>1724</v>
      </c>
      <c r="S179" s="52">
        <f t="shared" si="2"/>
        <v>2.97</v>
      </c>
      <c r="T179" s="47"/>
      <c r="U179" s="47"/>
    </row>
    <row r="180" spans="1:21" ht="16.5" thickTop="1" thickBot="1" x14ac:dyDescent="0.3">
      <c r="A180" s="51" t="s">
        <v>1717</v>
      </c>
      <c r="B180" s="52" t="s">
        <v>1718</v>
      </c>
      <c r="C180" s="52" t="s">
        <v>38</v>
      </c>
      <c r="D180" s="52" t="s">
        <v>17</v>
      </c>
      <c r="E180" s="52" t="s">
        <v>18</v>
      </c>
      <c r="F180" s="52" t="s">
        <v>32</v>
      </c>
      <c r="G180" s="53">
        <v>46160.624305555553</v>
      </c>
      <c r="H180" s="53">
        <v>46163.524305555555</v>
      </c>
      <c r="I180" s="52">
        <v>96</v>
      </c>
      <c r="J180" s="52" t="s">
        <v>1156</v>
      </c>
      <c r="K180" s="52" t="s">
        <v>1156</v>
      </c>
      <c r="L180" s="52" t="s">
        <v>20</v>
      </c>
      <c r="M180" s="52">
        <v>96</v>
      </c>
      <c r="N180" s="52">
        <v>16</v>
      </c>
      <c r="O180" s="52">
        <v>16</v>
      </c>
      <c r="P180" s="52" t="s">
        <v>1719</v>
      </c>
      <c r="Q180" s="52" t="s">
        <v>1517</v>
      </c>
      <c r="R180" s="52" t="s">
        <v>1720</v>
      </c>
      <c r="S180" s="52">
        <f t="shared" si="2"/>
        <v>2.9</v>
      </c>
      <c r="T180" s="52"/>
      <c r="U180" s="52"/>
    </row>
    <row r="181" spans="1:21" s="46" customFormat="1" ht="16.5" thickTop="1" thickBot="1" x14ac:dyDescent="0.3">
      <c r="A181" s="50" t="s">
        <v>1715</v>
      </c>
      <c r="B181" s="43" t="s">
        <v>1716</v>
      </c>
      <c r="C181" s="43" t="s">
        <v>38</v>
      </c>
      <c r="D181" s="43" t="s">
        <v>17</v>
      </c>
      <c r="E181" s="43" t="s">
        <v>19</v>
      </c>
      <c r="F181" s="43" t="s">
        <v>23</v>
      </c>
      <c r="G181" s="48">
        <v>46160.679861111108</v>
      </c>
      <c r="H181" s="48">
        <v>46171.520138888889</v>
      </c>
      <c r="I181" s="43">
        <v>576</v>
      </c>
      <c r="J181" s="43" t="s">
        <v>2373</v>
      </c>
      <c r="K181" s="43" t="s">
        <v>8278</v>
      </c>
      <c r="L181" s="43" t="s">
        <v>27</v>
      </c>
      <c r="M181" s="43">
        <v>576</v>
      </c>
      <c r="N181" s="43">
        <v>576</v>
      </c>
      <c r="O181" s="43">
        <v>576</v>
      </c>
      <c r="P181" s="43" t="s">
        <v>1427</v>
      </c>
      <c r="Q181" s="43" t="s">
        <v>1517</v>
      </c>
      <c r="R181" s="43" t="s">
        <v>8340</v>
      </c>
      <c r="S181" s="52">
        <f t="shared" si="2"/>
        <v>10.84</v>
      </c>
      <c r="T181" s="47"/>
      <c r="U181" s="47"/>
    </row>
    <row r="182" spans="1:21" ht="16.5" thickTop="1" thickBot="1" x14ac:dyDescent="0.3">
      <c r="A182" s="51" t="s">
        <v>1712</v>
      </c>
      <c r="B182" s="52" t="s">
        <v>1713</v>
      </c>
      <c r="C182" s="52" t="s">
        <v>38</v>
      </c>
      <c r="D182" s="52" t="s">
        <v>17</v>
      </c>
      <c r="E182" s="52" t="s">
        <v>18</v>
      </c>
      <c r="F182" s="52" t="s">
        <v>42</v>
      </c>
      <c r="G182" s="53">
        <v>46160.769444444442</v>
      </c>
      <c r="H182" s="53">
        <v>46168.51458333333</v>
      </c>
      <c r="I182" s="52">
        <v>134</v>
      </c>
      <c r="J182" s="52" t="s">
        <v>2373</v>
      </c>
      <c r="K182" s="52" t="s">
        <v>8329</v>
      </c>
      <c r="L182" s="52" t="s">
        <v>25</v>
      </c>
      <c r="M182" s="52">
        <v>106</v>
      </c>
      <c r="N182" s="52">
        <v>106</v>
      </c>
      <c r="O182" s="52">
        <v>134</v>
      </c>
      <c r="P182" s="52" t="s">
        <v>1359</v>
      </c>
      <c r="Q182" s="52" t="s">
        <v>1517</v>
      </c>
      <c r="R182" s="52" t="s">
        <v>1714</v>
      </c>
      <c r="S182" s="52">
        <f t="shared" si="2"/>
        <v>7.75</v>
      </c>
      <c r="T182" s="52"/>
      <c r="U182" s="52"/>
    </row>
    <row r="183" spans="1:21" s="46" customFormat="1" ht="16.5" thickTop="1" thickBot="1" x14ac:dyDescent="0.3">
      <c r="A183" s="50" t="s">
        <v>1709</v>
      </c>
      <c r="B183" s="43" t="s">
        <v>1710</v>
      </c>
      <c r="C183" s="43" t="s">
        <v>38</v>
      </c>
      <c r="D183" s="43" t="s">
        <v>17</v>
      </c>
      <c r="E183" s="43" t="s">
        <v>18</v>
      </c>
      <c r="F183" s="43" t="s">
        <v>32</v>
      </c>
      <c r="G183" s="48">
        <v>46160.770138888889</v>
      </c>
      <c r="H183" s="48">
        <v>46163.513194444444</v>
      </c>
      <c r="I183" s="43">
        <v>16</v>
      </c>
      <c r="J183" s="43" t="s">
        <v>1156</v>
      </c>
      <c r="K183" s="43" t="s">
        <v>1156</v>
      </c>
      <c r="L183" s="43" t="s">
        <v>33</v>
      </c>
      <c r="M183" s="43">
        <v>16</v>
      </c>
      <c r="N183" s="43">
        <v>16</v>
      </c>
      <c r="O183" s="43">
        <v>16</v>
      </c>
      <c r="P183" s="43" t="s">
        <v>1438</v>
      </c>
      <c r="Q183" s="43" t="s">
        <v>1517</v>
      </c>
      <c r="R183" s="43" t="s">
        <v>1711</v>
      </c>
      <c r="S183" s="52">
        <f t="shared" si="2"/>
        <v>2.74</v>
      </c>
      <c r="T183" s="47"/>
      <c r="U183" s="47"/>
    </row>
    <row r="184" spans="1:21" ht="16.5" thickTop="1" thickBot="1" x14ac:dyDescent="0.3">
      <c r="A184" s="51" t="s">
        <v>1706</v>
      </c>
      <c r="B184" s="52" t="s">
        <v>1707</v>
      </c>
      <c r="C184" s="52" t="s">
        <v>38</v>
      </c>
      <c r="D184" s="52" t="s">
        <v>17</v>
      </c>
      <c r="E184" s="52" t="s">
        <v>18</v>
      </c>
      <c r="F184" s="52" t="s">
        <v>32</v>
      </c>
      <c r="G184" s="53">
        <v>46160.784722222219</v>
      </c>
      <c r="H184" s="53">
        <v>46164.508333333331</v>
      </c>
      <c r="I184" s="52">
        <v>6</v>
      </c>
      <c r="J184" s="52" t="s">
        <v>2373</v>
      </c>
      <c r="K184" s="52" t="s">
        <v>8326</v>
      </c>
      <c r="L184" s="52" t="s">
        <v>33</v>
      </c>
      <c r="M184" s="52">
        <v>6</v>
      </c>
      <c r="N184" s="52">
        <v>6</v>
      </c>
      <c r="O184" s="52">
        <v>6</v>
      </c>
      <c r="P184" s="52" t="s">
        <v>1461</v>
      </c>
      <c r="Q184" s="52" t="s">
        <v>1517</v>
      </c>
      <c r="R184" s="52" t="s">
        <v>1708</v>
      </c>
      <c r="S184" s="52">
        <f t="shared" si="2"/>
        <v>3.72</v>
      </c>
      <c r="T184" s="52"/>
      <c r="U184" s="52"/>
    </row>
    <row r="185" spans="1:21" s="46" customFormat="1" ht="16.5" thickTop="1" thickBot="1" x14ac:dyDescent="0.3">
      <c r="A185" s="50" t="s">
        <v>1703</v>
      </c>
      <c r="B185" s="43" t="s">
        <v>1704</v>
      </c>
      <c r="C185" s="43" t="s">
        <v>38</v>
      </c>
      <c r="D185" s="43" t="s">
        <v>17</v>
      </c>
      <c r="E185" s="43" t="s">
        <v>18</v>
      </c>
      <c r="F185" s="43" t="s">
        <v>19</v>
      </c>
      <c r="G185" s="48">
        <v>46160.800000000003</v>
      </c>
      <c r="H185" s="48">
        <v>46162.613194444442</v>
      </c>
      <c r="I185" s="43">
        <v>32</v>
      </c>
      <c r="J185" s="43" t="s">
        <v>2373</v>
      </c>
      <c r="K185" s="43" t="s">
        <v>8333</v>
      </c>
      <c r="L185" s="43" t="s">
        <v>20</v>
      </c>
      <c r="M185" s="43">
        <v>0</v>
      </c>
      <c r="N185" s="43">
        <v>4</v>
      </c>
      <c r="O185" s="43">
        <v>5</v>
      </c>
      <c r="P185" s="43" t="s">
        <v>1440</v>
      </c>
      <c r="Q185" s="43" t="s">
        <v>1546</v>
      </c>
      <c r="R185" s="43" t="s">
        <v>1705</v>
      </c>
      <c r="S185" s="52">
        <f t="shared" si="2"/>
        <v>1.81</v>
      </c>
      <c r="T185" s="47"/>
      <c r="U185" s="47"/>
    </row>
    <row r="186" spans="1:21" ht="16.5" thickTop="1" thickBot="1" x14ac:dyDescent="0.3">
      <c r="A186" s="51" t="s">
        <v>1700</v>
      </c>
      <c r="B186" s="52" t="s">
        <v>1701</v>
      </c>
      <c r="C186" s="52" t="s">
        <v>38</v>
      </c>
      <c r="D186" s="52" t="s">
        <v>17</v>
      </c>
      <c r="E186" s="52" t="s">
        <v>18</v>
      </c>
      <c r="F186" s="52" t="s">
        <v>42</v>
      </c>
      <c r="G186" s="53">
        <v>46161.474305555559</v>
      </c>
      <c r="H186" s="53">
        <v>46167.490972222222</v>
      </c>
      <c r="I186" s="52">
        <v>20</v>
      </c>
      <c r="J186" s="52" t="s">
        <v>1156</v>
      </c>
      <c r="K186" s="52" t="s">
        <v>1156</v>
      </c>
      <c r="L186" s="52" t="s">
        <v>33</v>
      </c>
      <c r="M186" s="52">
        <v>9</v>
      </c>
      <c r="N186" s="52">
        <v>9</v>
      </c>
      <c r="O186" s="52">
        <v>20</v>
      </c>
      <c r="P186" s="52" t="s">
        <v>1482</v>
      </c>
      <c r="Q186" s="52" t="s">
        <v>1517</v>
      </c>
      <c r="R186" s="52" t="s">
        <v>1702</v>
      </c>
      <c r="S186" s="52">
        <f t="shared" si="2"/>
        <v>6.02</v>
      </c>
      <c r="T186" s="52"/>
      <c r="U186" s="52"/>
    </row>
    <row r="187" spans="1:21" s="46" customFormat="1" ht="16.5" thickTop="1" thickBot="1" x14ac:dyDescent="0.3">
      <c r="A187" s="50" t="s">
        <v>1696</v>
      </c>
      <c r="B187" s="43" t="s">
        <v>1697</v>
      </c>
      <c r="C187" s="43" t="s">
        <v>39</v>
      </c>
      <c r="D187" s="43" t="s">
        <v>17</v>
      </c>
      <c r="E187" s="43" t="s">
        <v>18</v>
      </c>
      <c r="F187" s="43" t="s">
        <v>32</v>
      </c>
      <c r="G187" s="48">
        <v>46161.486111111109</v>
      </c>
      <c r="H187" s="48">
        <v>46167.818749999999</v>
      </c>
      <c r="I187" s="43">
        <v>10</v>
      </c>
      <c r="J187" s="43" t="s">
        <v>1156</v>
      </c>
      <c r="K187" s="43" t="s">
        <v>1156</v>
      </c>
      <c r="L187" s="43" t="s">
        <v>33</v>
      </c>
      <c r="M187" s="43">
        <v>0</v>
      </c>
      <c r="N187" s="43">
        <v>0</v>
      </c>
      <c r="O187" s="43">
        <v>10</v>
      </c>
      <c r="P187" s="43" t="s">
        <v>1698</v>
      </c>
      <c r="Q187" s="43" t="s">
        <v>1517</v>
      </c>
      <c r="R187" s="43" t="s">
        <v>1699</v>
      </c>
      <c r="S187" s="52">
        <f t="shared" si="2"/>
        <v>6.33</v>
      </c>
      <c r="T187" s="47"/>
      <c r="U187" s="47"/>
    </row>
    <row r="188" spans="1:21" ht="16.5" thickTop="1" thickBot="1" x14ac:dyDescent="0.3">
      <c r="A188" s="51" t="s">
        <v>1693</v>
      </c>
      <c r="B188" s="52" t="s">
        <v>1694</v>
      </c>
      <c r="C188" s="52" t="s">
        <v>38</v>
      </c>
      <c r="D188" s="52" t="s">
        <v>17</v>
      </c>
      <c r="E188" s="52" t="s">
        <v>18</v>
      </c>
      <c r="F188" s="52" t="s">
        <v>42</v>
      </c>
      <c r="G188" s="53">
        <v>46161.576388888891</v>
      </c>
      <c r="H188" s="53">
        <v>46164.740972222222</v>
      </c>
      <c r="I188" s="52">
        <v>16</v>
      </c>
      <c r="J188" s="52" t="s">
        <v>1156</v>
      </c>
      <c r="K188" s="52" t="s">
        <v>1156</v>
      </c>
      <c r="L188" s="52" t="s">
        <v>33</v>
      </c>
      <c r="M188" s="52">
        <v>16</v>
      </c>
      <c r="N188" s="52">
        <v>16</v>
      </c>
      <c r="O188" s="52">
        <v>16</v>
      </c>
      <c r="P188" s="52" t="s">
        <v>1406</v>
      </c>
      <c r="Q188" s="52" t="s">
        <v>1546</v>
      </c>
      <c r="R188" s="52" t="s">
        <v>1695</v>
      </c>
      <c r="S188" s="52">
        <f t="shared" si="2"/>
        <v>3.16</v>
      </c>
      <c r="T188" s="52"/>
      <c r="U188" s="52"/>
    </row>
    <row r="189" spans="1:21" s="46" customFormat="1" ht="16.5" thickTop="1" thickBot="1" x14ac:dyDescent="0.3">
      <c r="A189" s="50" t="s">
        <v>1690</v>
      </c>
      <c r="B189" s="43" t="s">
        <v>1691</v>
      </c>
      <c r="C189" s="43" t="s">
        <v>39</v>
      </c>
      <c r="D189" s="43" t="s">
        <v>17</v>
      </c>
      <c r="E189" s="43" t="s">
        <v>19</v>
      </c>
      <c r="F189" s="43" t="s">
        <v>24</v>
      </c>
      <c r="G189" s="48">
        <v>46161.606944444444</v>
      </c>
      <c r="H189" s="48">
        <v>46163.638194444444</v>
      </c>
      <c r="I189" s="43">
        <v>0</v>
      </c>
      <c r="J189" s="43" t="s">
        <v>2373</v>
      </c>
      <c r="K189" s="43" t="s">
        <v>8264</v>
      </c>
      <c r="L189" s="43" t="s">
        <v>20</v>
      </c>
      <c r="M189" s="43">
        <v>0</v>
      </c>
      <c r="N189" s="43">
        <v>0</v>
      </c>
      <c r="O189" s="43">
        <v>905</v>
      </c>
      <c r="P189" s="43" t="s">
        <v>1440</v>
      </c>
      <c r="Q189" s="43" t="s">
        <v>1546</v>
      </c>
      <c r="R189" s="43" t="s">
        <v>1692</v>
      </c>
      <c r="S189" s="52">
        <f t="shared" si="2"/>
        <v>2.0299999999999998</v>
      </c>
      <c r="T189" s="47"/>
      <c r="U189" s="47"/>
    </row>
    <row r="190" spans="1:21" ht="16.5" thickTop="1" thickBot="1" x14ac:dyDescent="0.3">
      <c r="A190" s="51" t="s">
        <v>1688</v>
      </c>
      <c r="B190" s="52" t="s">
        <v>1689</v>
      </c>
      <c r="C190" s="52" t="s">
        <v>38</v>
      </c>
      <c r="D190" s="52" t="s">
        <v>17</v>
      </c>
      <c r="E190" s="52" t="s">
        <v>18</v>
      </c>
      <c r="F190" s="52" t="s">
        <v>19</v>
      </c>
      <c r="G190" s="53">
        <v>46161.615972222222</v>
      </c>
      <c r="H190" s="53">
        <v>46169.760416666664</v>
      </c>
      <c r="I190" s="52">
        <v>3</v>
      </c>
      <c r="J190" s="52" t="s">
        <v>2373</v>
      </c>
      <c r="K190" s="52" t="s">
        <v>8317</v>
      </c>
      <c r="L190" s="52" t="s">
        <v>33</v>
      </c>
      <c r="M190" s="52">
        <v>0</v>
      </c>
      <c r="N190" s="52">
        <v>3</v>
      </c>
      <c r="O190" s="52">
        <v>3</v>
      </c>
      <c r="P190" s="52" t="s">
        <v>1457</v>
      </c>
      <c r="Q190" s="52" t="s">
        <v>1514</v>
      </c>
      <c r="R190" s="52" t="s">
        <v>8339</v>
      </c>
      <c r="S190" s="52">
        <f t="shared" si="2"/>
        <v>8.14</v>
      </c>
      <c r="T190" s="52"/>
      <c r="U190" s="52"/>
    </row>
    <row r="191" spans="1:21" s="46" customFormat="1" ht="16.5" thickTop="1" thickBot="1" x14ac:dyDescent="0.3">
      <c r="A191" s="50" t="s">
        <v>1684</v>
      </c>
      <c r="B191" s="43" t="s">
        <v>1685</v>
      </c>
      <c r="C191" s="43" t="s">
        <v>38</v>
      </c>
      <c r="D191" s="43" t="s">
        <v>17</v>
      </c>
      <c r="E191" s="43" t="s">
        <v>18</v>
      </c>
      <c r="F191" s="43" t="s">
        <v>42</v>
      </c>
      <c r="G191" s="48">
        <v>46161.673611111109</v>
      </c>
      <c r="H191" s="48">
        <v>46164.746527777781</v>
      </c>
      <c r="I191" s="43">
        <v>135</v>
      </c>
      <c r="J191" s="43" t="s">
        <v>1156</v>
      </c>
      <c r="K191" s="43" t="s">
        <v>1156</v>
      </c>
      <c r="L191" s="43" t="s">
        <v>36</v>
      </c>
      <c r="M191" s="43">
        <v>135</v>
      </c>
      <c r="N191" s="43">
        <v>135</v>
      </c>
      <c r="O191" s="43">
        <v>135</v>
      </c>
      <c r="P191" s="43" t="s">
        <v>1686</v>
      </c>
      <c r="Q191" s="43" t="s">
        <v>1517</v>
      </c>
      <c r="R191" s="43" t="s">
        <v>1687</v>
      </c>
      <c r="S191" s="52">
        <f t="shared" si="2"/>
        <v>3.07</v>
      </c>
      <c r="T191" s="47"/>
      <c r="U191" s="47"/>
    </row>
    <row r="192" spans="1:21" ht="16.5" thickTop="1" thickBot="1" x14ac:dyDescent="0.3">
      <c r="A192" s="51" t="s">
        <v>1681</v>
      </c>
      <c r="B192" s="52" t="s">
        <v>1682</v>
      </c>
      <c r="C192" s="52" t="s">
        <v>38</v>
      </c>
      <c r="D192" s="52" t="s">
        <v>17</v>
      </c>
      <c r="E192" s="52" t="s">
        <v>18</v>
      </c>
      <c r="F192" s="52" t="s">
        <v>42</v>
      </c>
      <c r="G192" s="53">
        <v>46161.677083333336</v>
      </c>
      <c r="H192" s="53">
        <v>46164.509027777778</v>
      </c>
      <c r="I192" s="52">
        <v>87</v>
      </c>
      <c r="J192" s="52" t="s">
        <v>1156</v>
      </c>
      <c r="K192" s="52" t="s">
        <v>1156</v>
      </c>
      <c r="L192" s="52" t="s">
        <v>36</v>
      </c>
      <c r="M192" s="52">
        <v>87</v>
      </c>
      <c r="N192" s="52">
        <v>87</v>
      </c>
      <c r="O192" s="52">
        <v>87</v>
      </c>
      <c r="P192" s="52" t="s">
        <v>1436</v>
      </c>
      <c r="Q192" s="52" t="s">
        <v>1517</v>
      </c>
      <c r="R192" s="52" t="s">
        <v>1683</v>
      </c>
      <c r="S192" s="52">
        <f t="shared" si="2"/>
        <v>2.83</v>
      </c>
      <c r="T192" s="52"/>
      <c r="U192" s="52"/>
    </row>
    <row r="193" spans="1:21" s="46" customFormat="1" ht="16.5" thickTop="1" thickBot="1" x14ac:dyDescent="0.3">
      <c r="A193" s="50" t="s">
        <v>1678</v>
      </c>
      <c r="B193" s="43" t="s">
        <v>1679</v>
      </c>
      <c r="C193" s="43" t="s">
        <v>38</v>
      </c>
      <c r="D193" s="43" t="s">
        <v>17</v>
      </c>
      <c r="E193" s="43" t="s">
        <v>18</v>
      </c>
      <c r="F193" s="43" t="s">
        <v>19</v>
      </c>
      <c r="G193" s="48">
        <v>46161.738194444442</v>
      </c>
      <c r="H193" s="48">
        <v>46166.004166666666</v>
      </c>
      <c r="I193" s="43">
        <v>530</v>
      </c>
      <c r="J193" s="43" t="s">
        <v>2373</v>
      </c>
      <c r="K193" s="43" t="s">
        <v>8333</v>
      </c>
      <c r="L193" s="43" t="s">
        <v>20</v>
      </c>
      <c r="M193" s="43">
        <v>530</v>
      </c>
      <c r="N193" s="43">
        <v>83</v>
      </c>
      <c r="O193" s="43">
        <v>83</v>
      </c>
      <c r="P193" s="43" t="s">
        <v>1412</v>
      </c>
      <c r="Q193" s="43" t="s">
        <v>1517</v>
      </c>
      <c r="R193" s="43" t="s">
        <v>1680</v>
      </c>
      <c r="S193" s="52">
        <f t="shared" si="2"/>
        <v>4.2699999999999996</v>
      </c>
      <c r="T193" s="47"/>
      <c r="U193" s="47" t="s">
        <v>8659</v>
      </c>
    </row>
    <row r="194" spans="1:21" ht="16.5" thickTop="1" thickBot="1" x14ac:dyDescent="0.3">
      <c r="A194" s="51" t="s">
        <v>1675</v>
      </c>
      <c r="B194" s="52" t="s">
        <v>1676</v>
      </c>
      <c r="C194" s="52" t="s">
        <v>38</v>
      </c>
      <c r="D194" s="52" t="s">
        <v>17</v>
      </c>
      <c r="E194" s="52" t="s">
        <v>19</v>
      </c>
      <c r="F194" s="52" t="s">
        <v>19</v>
      </c>
      <c r="G194" s="53">
        <v>46161.743055555555</v>
      </c>
      <c r="H194" s="53">
        <v>46167.508333333331</v>
      </c>
      <c r="I194" s="52">
        <v>338</v>
      </c>
      <c r="J194" s="52" t="s">
        <v>1156</v>
      </c>
      <c r="K194" s="52" t="s">
        <v>1156</v>
      </c>
      <c r="L194" s="52" t="s">
        <v>20</v>
      </c>
      <c r="M194" s="52">
        <v>338</v>
      </c>
      <c r="N194" s="52">
        <v>46</v>
      </c>
      <c r="O194" s="52">
        <v>46</v>
      </c>
      <c r="P194" s="52" t="s">
        <v>1412</v>
      </c>
      <c r="Q194" s="52" t="s">
        <v>1546</v>
      </c>
      <c r="R194" s="52" t="s">
        <v>1677</v>
      </c>
      <c r="S194" s="52">
        <f t="shared" ref="S194:S257" si="3">IF(OR(G194="",H194=""),"",ROUND(H194-G194,2))</f>
        <v>5.77</v>
      </c>
      <c r="T194" s="52"/>
      <c r="U194" s="52"/>
    </row>
    <row r="195" spans="1:21" s="46" customFormat="1" ht="16.5" thickTop="1" thickBot="1" x14ac:dyDescent="0.3">
      <c r="A195" s="50" t="s">
        <v>1672</v>
      </c>
      <c r="B195" s="43" t="s">
        <v>1673</v>
      </c>
      <c r="C195" s="43" t="s">
        <v>38</v>
      </c>
      <c r="D195" s="43" t="s">
        <v>17</v>
      </c>
      <c r="E195" s="43" t="s">
        <v>18</v>
      </c>
      <c r="F195" s="43" t="s">
        <v>42</v>
      </c>
      <c r="G195" s="48">
        <v>46161.767361111109</v>
      </c>
      <c r="H195" s="48">
        <v>46164.490972222222</v>
      </c>
      <c r="I195" s="43">
        <v>42</v>
      </c>
      <c r="J195" s="43" t="s">
        <v>2373</v>
      </c>
      <c r="K195" s="43" t="s">
        <v>8317</v>
      </c>
      <c r="L195" s="43" t="s">
        <v>25</v>
      </c>
      <c r="M195" s="43">
        <v>42</v>
      </c>
      <c r="N195" s="43">
        <v>7</v>
      </c>
      <c r="O195" s="43">
        <v>7</v>
      </c>
      <c r="P195" s="43" t="s">
        <v>1409</v>
      </c>
      <c r="Q195" s="43" t="s">
        <v>1517</v>
      </c>
      <c r="R195" s="43" t="s">
        <v>1674</v>
      </c>
      <c r="S195" s="52">
        <f t="shared" si="3"/>
        <v>2.72</v>
      </c>
      <c r="T195" s="47"/>
      <c r="U195" s="47"/>
    </row>
    <row r="196" spans="1:21" ht="16.5" thickTop="1" thickBot="1" x14ac:dyDescent="0.3">
      <c r="A196" s="51" t="s">
        <v>1669</v>
      </c>
      <c r="B196" s="52" t="s">
        <v>1670</v>
      </c>
      <c r="C196" s="52" t="s">
        <v>38</v>
      </c>
      <c r="D196" s="52" t="s">
        <v>17</v>
      </c>
      <c r="E196" s="52" t="s">
        <v>18</v>
      </c>
      <c r="F196" s="52" t="s">
        <v>42</v>
      </c>
      <c r="G196" s="53">
        <v>46161.768750000003</v>
      </c>
      <c r="H196" s="53">
        <v>46165.526388888888</v>
      </c>
      <c r="I196" s="52">
        <v>207</v>
      </c>
      <c r="J196" s="52" t="s">
        <v>2373</v>
      </c>
      <c r="K196" s="52" t="s">
        <v>8317</v>
      </c>
      <c r="L196" s="52" t="s">
        <v>25</v>
      </c>
      <c r="M196" s="52">
        <v>207</v>
      </c>
      <c r="N196" s="52">
        <v>29</v>
      </c>
      <c r="O196" s="52">
        <v>29</v>
      </c>
      <c r="P196" s="52" t="s">
        <v>1409</v>
      </c>
      <c r="Q196" s="52" t="s">
        <v>1517</v>
      </c>
      <c r="R196" s="52" t="s">
        <v>1671</v>
      </c>
      <c r="S196" s="52">
        <f t="shared" si="3"/>
        <v>3.76</v>
      </c>
      <c r="T196" s="52"/>
      <c r="U196" s="52"/>
    </row>
    <row r="197" spans="1:21" s="46" customFormat="1" ht="16.5" thickTop="1" thickBot="1" x14ac:dyDescent="0.3">
      <c r="A197" s="50" t="s">
        <v>1667</v>
      </c>
      <c r="B197" s="43" t="s">
        <v>1668</v>
      </c>
      <c r="C197" s="43" t="s">
        <v>38</v>
      </c>
      <c r="D197" s="43" t="s">
        <v>17</v>
      </c>
      <c r="E197" s="43" t="s">
        <v>18</v>
      </c>
      <c r="F197" s="43" t="s">
        <v>42</v>
      </c>
      <c r="G197" s="48">
        <v>46161.770138888889</v>
      </c>
      <c r="H197" s="48">
        <v>46164.646527777775</v>
      </c>
      <c r="I197" s="43">
        <v>20</v>
      </c>
      <c r="J197" s="43" t="s">
        <v>2373</v>
      </c>
      <c r="K197" s="43" t="s">
        <v>8317</v>
      </c>
      <c r="L197" s="43" t="s">
        <v>25</v>
      </c>
      <c r="M197" s="43">
        <v>20</v>
      </c>
      <c r="N197" s="43">
        <v>3</v>
      </c>
      <c r="O197" s="43">
        <v>3</v>
      </c>
      <c r="P197" s="43" t="s">
        <v>1409</v>
      </c>
      <c r="Q197" s="43" t="s">
        <v>1517</v>
      </c>
      <c r="R197" s="43"/>
      <c r="S197" s="52">
        <f t="shared" si="3"/>
        <v>2.88</v>
      </c>
      <c r="T197" s="47"/>
      <c r="U197" s="47"/>
    </row>
    <row r="198" spans="1:21" ht="16.5" thickTop="1" thickBot="1" x14ac:dyDescent="0.3">
      <c r="A198" s="51" t="s">
        <v>1665</v>
      </c>
      <c r="B198" s="52" t="s">
        <v>1666</v>
      </c>
      <c r="C198" s="52" t="s">
        <v>38</v>
      </c>
      <c r="D198" s="52" t="s">
        <v>17</v>
      </c>
      <c r="E198" s="52" t="s">
        <v>18</v>
      </c>
      <c r="F198" s="52" t="s">
        <v>42</v>
      </c>
      <c r="G198" s="53">
        <v>46161.772222222222</v>
      </c>
      <c r="H198" s="53">
        <v>46171.574999999997</v>
      </c>
      <c r="I198" s="52">
        <v>20</v>
      </c>
      <c r="J198" s="52" t="s">
        <v>2373</v>
      </c>
      <c r="K198" s="52" t="s">
        <v>8264</v>
      </c>
      <c r="L198" s="52" t="s">
        <v>25</v>
      </c>
      <c r="M198" s="52">
        <v>20</v>
      </c>
      <c r="N198" s="52">
        <v>3</v>
      </c>
      <c r="O198" s="52">
        <v>3</v>
      </c>
      <c r="P198" s="52" t="s">
        <v>1409</v>
      </c>
      <c r="Q198" s="52" t="s">
        <v>1517</v>
      </c>
      <c r="R198" s="52" t="s">
        <v>8338</v>
      </c>
      <c r="S198" s="52">
        <f t="shared" si="3"/>
        <v>9.8000000000000007</v>
      </c>
      <c r="T198" s="52"/>
      <c r="U198" s="52"/>
    </row>
    <row r="199" spans="1:21" s="46" customFormat="1" ht="16.5" thickTop="1" thickBot="1" x14ac:dyDescent="0.3">
      <c r="A199" s="50" t="s">
        <v>1662</v>
      </c>
      <c r="B199" s="43" t="s">
        <v>1663</v>
      </c>
      <c r="C199" s="43" t="s">
        <v>38</v>
      </c>
      <c r="D199" s="43" t="s">
        <v>17</v>
      </c>
      <c r="E199" s="43" t="s">
        <v>18</v>
      </c>
      <c r="F199" s="43" t="s">
        <v>42</v>
      </c>
      <c r="G199" s="48">
        <v>46161.774305555555</v>
      </c>
      <c r="H199" s="48">
        <v>46167.507638888892</v>
      </c>
      <c r="I199" s="43">
        <v>28</v>
      </c>
      <c r="J199" s="43" t="s">
        <v>2373</v>
      </c>
      <c r="K199" s="43" t="s">
        <v>8329</v>
      </c>
      <c r="L199" s="43" t="s">
        <v>25</v>
      </c>
      <c r="M199" s="43">
        <v>28</v>
      </c>
      <c r="N199" s="43">
        <v>28</v>
      </c>
      <c r="O199" s="43">
        <v>28</v>
      </c>
      <c r="P199" s="43" t="s">
        <v>1333</v>
      </c>
      <c r="Q199" s="43" t="s">
        <v>1517</v>
      </c>
      <c r="R199" s="43" t="s">
        <v>1664</v>
      </c>
      <c r="S199" s="52">
        <f t="shared" si="3"/>
        <v>5.73</v>
      </c>
      <c r="T199" s="47"/>
      <c r="U199" s="47"/>
    </row>
    <row r="200" spans="1:21" ht="16.5" thickTop="1" thickBot="1" x14ac:dyDescent="0.3">
      <c r="A200" s="51" t="s">
        <v>1659</v>
      </c>
      <c r="B200" s="52" t="s">
        <v>1660</v>
      </c>
      <c r="C200" s="52" t="s">
        <v>38</v>
      </c>
      <c r="D200" s="52" t="s">
        <v>17</v>
      </c>
      <c r="E200" s="52" t="s">
        <v>18</v>
      </c>
      <c r="F200" s="52" t="s">
        <v>32</v>
      </c>
      <c r="G200" s="53">
        <v>46161.813888888886</v>
      </c>
      <c r="H200" s="53">
        <v>46163.506944444445</v>
      </c>
      <c r="I200" s="52">
        <v>1</v>
      </c>
      <c r="J200" s="52" t="s">
        <v>2373</v>
      </c>
      <c r="K200" s="52" t="s">
        <v>8317</v>
      </c>
      <c r="L200" s="52" t="s">
        <v>33</v>
      </c>
      <c r="M200" s="52">
        <v>1</v>
      </c>
      <c r="N200" s="52">
        <v>1</v>
      </c>
      <c r="O200" s="52">
        <v>1</v>
      </c>
      <c r="P200" s="52" t="s">
        <v>1425</v>
      </c>
      <c r="Q200" s="52" t="s">
        <v>1517</v>
      </c>
      <c r="R200" s="52" t="s">
        <v>1661</v>
      </c>
      <c r="S200" s="52">
        <f t="shared" si="3"/>
        <v>1.69</v>
      </c>
      <c r="T200" s="52"/>
      <c r="U200" s="52"/>
    </row>
    <row r="201" spans="1:21" s="46" customFormat="1" ht="16.5" thickTop="1" thickBot="1" x14ac:dyDescent="0.3">
      <c r="A201" s="50" t="s">
        <v>1640</v>
      </c>
      <c r="B201" s="43" t="s">
        <v>8334</v>
      </c>
      <c r="C201" s="43" t="s">
        <v>38</v>
      </c>
      <c r="D201" s="43" t="s">
        <v>17</v>
      </c>
      <c r="E201" s="43" t="s">
        <v>18</v>
      </c>
      <c r="F201" s="43" t="s">
        <v>19</v>
      </c>
      <c r="G201" s="48">
        <v>46162</v>
      </c>
      <c r="H201" s="48">
        <v>46162.643055555556</v>
      </c>
      <c r="I201" s="43">
        <v>168</v>
      </c>
      <c r="J201" s="43" t="s">
        <v>2373</v>
      </c>
      <c r="K201" s="43" t="s">
        <v>8333</v>
      </c>
      <c r="L201" s="43" t="s">
        <v>20</v>
      </c>
      <c r="M201" s="43">
        <v>0</v>
      </c>
      <c r="N201" s="43">
        <v>12</v>
      </c>
      <c r="O201" s="43">
        <v>12</v>
      </c>
      <c r="P201" s="43" t="s">
        <v>1412</v>
      </c>
      <c r="Q201" s="43" t="s">
        <v>1517</v>
      </c>
      <c r="R201" s="43" t="s">
        <v>8335</v>
      </c>
      <c r="S201" s="52">
        <f t="shared" si="3"/>
        <v>0.64</v>
      </c>
      <c r="T201" s="47"/>
      <c r="U201" s="47" t="s">
        <v>8659</v>
      </c>
    </row>
    <row r="202" spans="1:21" ht="16.5" thickTop="1" thickBot="1" x14ac:dyDescent="0.3">
      <c r="A202" s="51" t="s">
        <v>1656</v>
      </c>
      <c r="B202" s="52" t="s">
        <v>1657</v>
      </c>
      <c r="C202" s="52" t="s">
        <v>38</v>
      </c>
      <c r="D202" s="52" t="s">
        <v>17</v>
      </c>
      <c r="E202" s="52" t="s">
        <v>18</v>
      </c>
      <c r="F202" s="52" t="s">
        <v>42</v>
      </c>
      <c r="G202" s="53">
        <v>46162.436805555553</v>
      </c>
      <c r="H202" s="53">
        <v>46165.508333333331</v>
      </c>
      <c r="I202" s="52">
        <v>6</v>
      </c>
      <c r="J202" s="52" t="s">
        <v>2373</v>
      </c>
      <c r="K202" s="52" t="s">
        <v>8326</v>
      </c>
      <c r="L202" s="52" t="s">
        <v>25</v>
      </c>
      <c r="M202" s="52">
        <v>6</v>
      </c>
      <c r="N202" s="52">
        <v>2</v>
      </c>
      <c r="O202" s="52">
        <v>2</v>
      </c>
      <c r="P202" s="52" t="s">
        <v>1333</v>
      </c>
      <c r="Q202" s="52" t="s">
        <v>1517</v>
      </c>
      <c r="R202" s="52" t="s">
        <v>1658</v>
      </c>
      <c r="S202" s="52">
        <f t="shared" si="3"/>
        <v>3.07</v>
      </c>
      <c r="T202" s="52"/>
      <c r="U202" s="52"/>
    </row>
    <row r="203" spans="1:21" s="46" customFormat="1" ht="16.5" thickTop="1" thickBot="1" x14ac:dyDescent="0.3">
      <c r="A203" s="50" t="s">
        <v>1654</v>
      </c>
      <c r="B203" s="43" t="s">
        <v>1655</v>
      </c>
      <c r="C203" s="43" t="s">
        <v>38</v>
      </c>
      <c r="D203" s="43" t="s">
        <v>17</v>
      </c>
      <c r="E203" s="43" t="s">
        <v>19</v>
      </c>
      <c r="F203" s="43" t="s">
        <v>23</v>
      </c>
      <c r="G203" s="48">
        <v>46162.472916666666</v>
      </c>
      <c r="H203" s="48">
        <v>46172.515277777777</v>
      </c>
      <c r="I203" s="43">
        <v>669</v>
      </c>
      <c r="J203" s="43" t="s">
        <v>2373</v>
      </c>
      <c r="K203" s="43" t="s">
        <v>8336</v>
      </c>
      <c r="L203" s="43" t="s">
        <v>27</v>
      </c>
      <c r="M203" s="43">
        <v>669</v>
      </c>
      <c r="N203" s="43">
        <v>669</v>
      </c>
      <c r="O203" s="43">
        <v>669</v>
      </c>
      <c r="P203" s="43" t="s">
        <v>1469</v>
      </c>
      <c r="Q203" s="43" t="s">
        <v>1514</v>
      </c>
      <c r="R203" s="43" t="s">
        <v>8337</v>
      </c>
      <c r="S203" s="52">
        <f t="shared" si="3"/>
        <v>10.039999999999999</v>
      </c>
      <c r="T203" s="47"/>
      <c r="U203" s="47"/>
    </row>
    <row r="204" spans="1:21" ht="16.5" thickTop="1" thickBot="1" x14ac:dyDescent="0.3">
      <c r="A204" s="51" t="s">
        <v>1652</v>
      </c>
      <c r="B204" s="52" t="s">
        <v>1653</v>
      </c>
      <c r="C204" s="52" t="s">
        <v>38</v>
      </c>
      <c r="D204" s="52" t="s">
        <v>17</v>
      </c>
      <c r="E204" s="52" t="s">
        <v>18</v>
      </c>
      <c r="F204" s="52" t="s">
        <v>42</v>
      </c>
      <c r="G204" s="53">
        <v>46162.502083333333</v>
      </c>
      <c r="H204" s="53">
        <v>46164.656944444447</v>
      </c>
      <c r="I204" s="52">
        <v>28</v>
      </c>
      <c r="J204" s="52" t="s">
        <v>2373</v>
      </c>
      <c r="K204" s="52" t="s">
        <v>8317</v>
      </c>
      <c r="L204" s="52" t="s">
        <v>25</v>
      </c>
      <c r="M204" s="52">
        <v>28</v>
      </c>
      <c r="N204" s="52">
        <v>4</v>
      </c>
      <c r="O204" s="52">
        <v>4</v>
      </c>
      <c r="P204" s="52" t="s">
        <v>1448</v>
      </c>
      <c r="Q204" s="52" t="s">
        <v>1517</v>
      </c>
      <c r="R204" s="52"/>
      <c r="S204" s="52">
        <f t="shared" si="3"/>
        <v>2.15</v>
      </c>
      <c r="T204" s="52"/>
      <c r="U204" s="52"/>
    </row>
    <row r="205" spans="1:21" s="46" customFormat="1" ht="16.5" thickTop="1" thickBot="1" x14ac:dyDescent="0.3">
      <c r="A205" s="50" t="s">
        <v>1648</v>
      </c>
      <c r="B205" s="43" t="s">
        <v>1649</v>
      </c>
      <c r="C205" s="43" t="s">
        <v>38</v>
      </c>
      <c r="D205" s="43" t="s">
        <v>17</v>
      </c>
      <c r="E205" s="43" t="s">
        <v>18</v>
      </c>
      <c r="F205" s="43" t="s">
        <v>42</v>
      </c>
      <c r="G205" s="48">
        <v>46162.504166666666</v>
      </c>
      <c r="H205" s="48">
        <v>46167.531944444447</v>
      </c>
      <c r="I205" s="43">
        <v>219</v>
      </c>
      <c r="J205" s="43" t="s">
        <v>1156</v>
      </c>
      <c r="K205" s="43" t="s">
        <v>1156</v>
      </c>
      <c r="L205" s="43" t="s">
        <v>36</v>
      </c>
      <c r="M205" s="43">
        <v>186</v>
      </c>
      <c r="N205" s="43">
        <v>186</v>
      </c>
      <c r="O205" s="43">
        <v>219</v>
      </c>
      <c r="P205" s="43" t="s">
        <v>1650</v>
      </c>
      <c r="Q205" s="43" t="s">
        <v>1517</v>
      </c>
      <c r="R205" s="43" t="s">
        <v>1651</v>
      </c>
      <c r="S205" s="52">
        <f t="shared" si="3"/>
        <v>5.03</v>
      </c>
      <c r="T205" s="47"/>
      <c r="U205" s="47"/>
    </row>
    <row r="206" spans="1:21" ht="16.5" thickTop="1" thickBot="1" x14ac:dyDescent="0.3">
      <c r="A206" s="51" t="s">
        <v>1645</v>
      </c>
      <c r="B206" s="52" t="s">
        <v>1646</v>
      </c>
      <c r="C206" s="52" t="s">
        <v>38</v>
      </c>
      <c r="D206" s="52" t="s">
        <v>17</v>
      </c>
      <c r="E206" s="52" t="s">
        <v>18</v>
      </c>
      <c r="F206" s="52" t="s">
        <v>19</v>
      </c>
      <c r="G206" s="53">
        <v>46162.520833333336</v>
      </c>
      <c r="H206" s="53">
        <v>46163.506249999999</v>
      </c>
      <c r="I206" s="52">
        <v>300</v>
      </c>
      <c r="J206" s="52" t="s">
        <v>1156</v>
      </c>
      <c r="K206" s="52" t="s">
        <v>1156</v>
      </c>
      <c r="L206" s="52" t="s">
        <v>20</v>
      </c>
      <c r="M206" s="52">
        <v>236</v>
      </c>
      <c r="N206" s="52">
        <v>26</v>
      </c>
      <c r="O206" s="52">
        <v>50</v>
      </c>
      <c r="P206" s="52" t="s">
        <v>1337</v>
      </c>
      <c r="Q206" s="52" t="s">
        <v>1546</v>
      </c>
      <c r="R206" s="52" t="s">
        <v>1647</v>
      </c>
      <c r="S206" s="52">
        <f t="shared" si="3"/>
        <v>0.99</v>
      </c>
      <c r="T206" s="52"/>
      <c r="U206" s="52"/>
    </row>
    <row r="207" spans="1:21" s="46" customFormat="1" ht="16.5" thickTop="1" thickBot="1" x14ac:dyDescent="0.3">
      <c r="A207" s="50" t="s">
        <v>1641</v>
      </c>
      <c r="B207" s="43" t="s">
        <v>1642</v>
      </c>
      <c r="C207" s="43" t="s">
        <v>38</v>
      </c>
      <c r="D207" s="43" t="s">
        <v>17</v>
      </c>
      <c r="E207" s="43" t="s">
        <v>19</v>
      </c>
      <c r="F207" s="43" t="s">
        <v>21</v>
      </c>
      <c r="G207" s="48">
        <v>46162.568055555559</v>
      </c>
      <c r="H207" s="48">
        <v>46164.663888888892</v>
      </c>
      <c r="I207" s="43">
        <v>5</v>
      </c>
      <c r="J207" s="43" t="s">
        <v>2373</v>
      </c>
      <c r="K207" s="43" t="s">
        <v>8317</v>
      </c>
      <c r="L207" s="43" t="s">
        <v>33</v>
      </c>
      <c r="M207" s="43">
        <v>5</v>
      </c>
      <c r="N207" s="43">
        <v>5</v>
      </c>
      <c r="O207" s="43">
        <v>5</v>
      </c>
      <c r="P207" s="43" t="s">
        <v>1643</v>
      </c>
      <c r="Q207" s="43" t="s">
        <v>1517</v>
      </c>
      <c r="R207" s="43" t="s">
        <v>1644</v>
      </c>
      <c r="S207" s="52">
        <f t="shared" si="3"/>
        <v>2.1</v>
      </c>
      <c r="T207" s="47"/>
      <c r="U207" s="47"/>
    </row>
    <row r="208" spans="1:21" ht="16.5" thickTop="1" thickBot="1" x14ac:dyDescent="0.3">
      <c r="A208" s="51" t="s">
        <v>1637</v>
      </c>
      <c r="B208" s="52" t="s">
        <v>1638</v>
      </c>
      <c r="C208" s="52" t="s">
        <v>38</v>
      </c>
      <c r="D208" s="52" t="s">
        <v>17</v>
      </c>
      <c r="E208" s="52" t="s">
        <v>19</v>
      </c>
      <c r="F208" s="52" t="s">
        <v>21</v>
      </c>
      <c r="G208" s="53">
        <v>46162.581250000003</v>
      </c>
      <c r="H208" s="53">
        <v>46165.536805555559</v>
      </c>
      <c r="I208" s="52">
        <v>101</v>
      </c>
      <c r="J208" s="52" t="s">
        <v>1156</v>
      </c>
      <c r="K208" s="52" t="s">
        <v>1156</v>
      </c>
      <c r="L208" s="52" t="s">
        <v>20</v>
      </c>
      <c r="M208" s="52">
        <v>101</v>
      </c>
      <c r="N208" s="52">
        <v>16</v>
      </c>
      <c r="O208" s="52">
        <v>16</v>
      </c>
      <c r="P208" s="52" t="s">
        <v>1414</v>
      </c>
      <c r="Q208" s="52" t="s">
        <v>1517</v>
      </c>
      <c r="R208" s="52" t="s">
        <v>1639</v>
      </c>
      <c r="S208" s="52">
        <f t="shared" si="3"/>
        <v>2.96</v>
      </c>
      <c r="T208" s="52"/>
      <c r="U208" s="52"/>
    </row>
    <row r="209" spans="1:21" s="46" customFormat="1" ht="16.5" thickTop="1" thickBot="1" x14ac:dyDescent="0.3">
      <c r="A209" s="50" t="s">
        <v>1634</v>
      </c>
      <c r="B209" s="43" t="s">
        <v>1635</v>
      </c>
      <c r="C209" s="43" t="s">
        <v>38</v>
      </c>
      <c r="D209" s="43" t="s">
        <v>17</v>
      </c>
      <c r="E209" s="43" t="s">
        <v>19</v>
      </c>
      <c r="F209" s="43" t="s">
        <v>21</v>
      </c>
      <c r="G209" s="48">
        <v>46162.618750000001</v>
      </c>
      <c r="H209" s="48">
        <v>46164.760416666664</v>
      </c>
      <c r="I209" s="43">
        <v>41</v>
      </c>
      <c r="J209" s="43" t="s">
        <v>1156</v>
      </c>
      <c r="K209" s="43" t="s">
        <v>1156</v>
      </c>
      <c r="L209" s="43" t="s">
        <v>20</v>
      </c>
      <c r="M209" s="43">
        <v>41</v>
      </c>
      <c r="N209" s="43">
        <v>6</v>
      </c>
      <c r="O209" s="43">
        <v>6</v>
      </c>
      <c r="P209" s="43" t="s">
        <v>1287</v>
      </c>
      <c r="Q209" s="43" t="s">
        <v>1517</v>
      </c>
      <c r="R209" s="43" t="s">
        <v>1636</v>
      </c>
      <c r="S209" s="52">
        <f t="shared" si="3"/>
        <v>2.14</v>
      </c>
      <c r="T209" s="47"/>
      <c r="U209" s="47"/>
    </row>
    <row r="210" spans="1:21" ht="16.5" thickTop="1" thickBot="1" x14ac:dyDescent="0.3">
      <c r="A210" s="51" t="s">
        <v>1631</v>
      </c>
      <c r="B210" s="52" t="s">
        <v>1632</v>
      </c>
      <c r="C210" s="52" t="s">
        <v>38</v>
      </c>
      <c r="D210" s="52" t="s">
        <v>17</v>
      </c>
      <c r="E210" s="52" t="s">
        <v>18</v>
      </c>
      <c r="F210" s="52" t="s">
        <v>42</v>
      </c>
      <c r="G210" s="53">
        <v>46162.631249999999</v>
      </c>
      <c r="H210" s="53">
        <v>46165.409722222219</v>
      </c>
      <c r="I210" s="52">
        <v>217</v>
      </c>
      <c r="J210" s="52" t="s">
        <v>1156</v>
      </c>
      <c r="K210" s="52" t="s">
        <v>1156</v>
      </c>
      <c r="L210" s="52" t="s">
        <v>36</v>
      </c>
      <c r="M210" s="52">
        <v>213</v>
      </c>
      <c r="N210" s="52">
        <v>213</v>
      </c>
      <c r="O210" s="52">
        <v>217</v>
      </c>
      <c r="P210" s="52" t="s">
        <v>1443</v>
      </c>
      <c r="Q210" s="52" t="s">
        <v>1517</v>
      </c>
      <c r="R210" s="52" t="s">
        <v>1633</v>
      </c>
      <c r="S210" s="52">
        <f t="shared" si="3"/>
        <v>2.78</v>
      </c>
      <c r="T210" s="52"/>
      <c r="U210" s="52"/>
    </row>
    <row r="211" spans="1:21" s="46" customFormat="1" ht="16.5" thickTop="1" thickBot="1" x14ac:dyDescent="0.3">
      <c r="A211" s="50" t="s">
        <v>1628</v>
      </c>
      <c r="B211" s="43" t="s">
        <v>1629</v>
      </c>
      <c r="C211" s="43" t="s">
        <v>38</v>
      </c>
      <c r="D211" s="43" t="s">
        <v>17</v>
      </c>
      <c r="E211" s="43" t="s">
        <v>19</v>
      </c>
      <c r="F211" s="43" t="s">
        <v>21</v>
      </c>
      <c r="G211" s="48">
        <v>46162.663194444445</v>
      </c>
      <c r="H211" s="48">
        <v>46165.509722222225</v>
      </c>
      <c r="I211" s="43">
        <v>68</v>
      </c>
      <c r="J211" s="43" t="s">
        <v>1156</v>
      </c>
      <c r="K211" s="43" t="s">
        <v>1156</v>
      </c>
      <c r="L211" s="43" t="s">
        <v>20</v>
      </c>
      <c r="M211" s="43">
        <v>68</v>
      </c>
      <c r="N211" s="43">
        <v>10</v>
      </c>
      <c r="O211" s="43">
        <v>10</v>
      </c>
      <c r="P211" s="43" t="s">
        <v>1478</v>
      </c>
      <c r="Q211" s="43" t="s">
        <v>1517</v>
      </c>
      <c r="R211" s="43" t="s">
        <v>1630</v>
      </c>
      <c r="S211" s="52">
        <f t="shared" si="3"/>
        <v>2.85</v>
      </c>
      <c r="T211" s="47"/>
      <c r="U211" s="47"/>
    </row>
    <row r="212" spans="1:21" ht="16.5" thickTop="1" thickBot="1" x14ac:dyDescent="0.3">
      <c r="A212" s="51" t="s">
        <v>1625</v>
      </c>
      <c r="B212" s="52" t="s">
        <v>1626</v>
      </c>
      <c r="C212" s="52" t="s">
        <v>38</v>
      </c>
      <c r="D212" s="52" t="s">
        <v>17</v>
      </c>
      <c r="E212" s="52" t="s">
        <v>18</v>
      </c>
      <c r="F212" s="52" t="s">
        <v>42</v>
      </c>
      <c r="G212" s="53">
        <v>46162.752083333333</v>
      </c>
      <c r="H212" s="53">
        <v>46171.534722222219</v>
      </c>
      <c r="I212" s="52">
        <v>3</v>
      </c>
      <c r="J212" s="52" t="s">
        <v>2373</v>
      </c>
      <c r="K212" s="52" t="s">
        <v>8317</v>
      </c>
      <c r="L212" s="52" t="s">
        <v>25</v>
      </c>
      <c r="M212" s="52">
        <v>3</v>
      </c>
      <c r="N212" s="52">
        <v>1</v>
      </c>
      <c r="O212" s="52">
        <v>1</v>
      </c>
      <c r="P212" s="52" t="s">
        <v>1627</v>
      </c>
      <c r="Q212" s="52" t="s">
        <v>1517</v>
      </c>
      <c r="R212" s="52"/>
      <c r="S212" s="52">
        <f t="shared" si="3"/>
        <v>8.7799999999999994</v>
      </c>
      <c r="T212" s="52"/>
      <c r="U212" s="52"/>
    </row>
    <row r="213" spans="1:21" s="46" customFormat="1" ht="16.5" thickTop="1" thickBot="1" x14ac:dyDescent="0.3">
      <c r="A213" s="50" t="s">
        <v>1622</v>
      </c>
      <c r="B213" s="43" t="s">
        <v>1623</v>
      </c>
      <c r="C213" s="43" t="s">
        <v>38</v>
      </c>
      <c r="D213" s="43" t="s">
        <v>17</v>
      </c>
      <c r="E213" s="43" t="s">
        <v>18</v>
      </c>
      <c r="F213" s="43" t="s">
        <v>42</v>
      </c>
      <c r="G213" s="48">
        <v>46162.761111111111</v>
      </c>
      <c r="H213" s="48">
        <v>46164.504166666666</v>
      </c>
      <c r="I213" s="43">
        <v>1</v>
      </c>
      <c r="J213" s="43" t="s">
        <v>1156</v>
      </c>
      <c r="K213" s="43" t="s">
        <v>1156</v>
      </c>
      <c r="L213" s="43" t="s">
        <v>33</v>
      </c>
      <c r="M213" s="43">
        <v>1</v>
      </c>
      <c r="N213" s="43">
        <v>1</v>
      </c>
      <c r="O213" s="43">
        <v>1</v>
      </c>
      <c r="P213" s="43" t="s">
        <v>1346</v>
      </c>
      <c r="Q213" s="43" t="s">
        <v>1517</v>
      </c>
      <c r="R213" s="43" t="s">
        <v>1624</v>
      </c>
      <c r="S213" s="52">
        <f t="shared" si="3"/>
        <v>1.74</v>
      </c>
      <c r="T213" s="47"/>
      <c r="U213" s="47"/>
    </row>
    <row r="214" spans="1:21" ht="16.5" thickTop="1" thickBot="1" x14ac:dyDescent="0.3">
      <c r="A214" s="51" t="s">
        <v>1620</v>
      </c>
      <c r="B214" s="52" t="s">
        <v>1621</v>
      </c>
      <c r="C214" s="52" t="s">
        <v>38</v>
      </c>
      <c r="D214" s="52" t="s">
        <v>17</v>
      </c>
      <c r="E214" s="52" t="s">
        <v>18</v>
      </c>
      <c r="F214" s="52" t="s">
        <v>42</v>
      </c>
      <c r="G214" s="53">
        <v>46163.695138888892</v>
      </c>
      <c r="H214" s="53">
        <v>46165.797222222223</v>
      </c>
      <c r="I214" s="52">
        <v>27</v>
      </c>
      <c r="J214" s="52" t="s">
        <v>2373</v>
      </c>
      <c r="K214" s="52" t="s">
        <v>8317</v>
      </c>
      <c r="L214" s="52" t="s">
        <v>33</v>
      </c>
      <c r="M214" s="52">
        <v>27</v>
      </c>
      <c r="N214" s="52">
        <v>27</v>
      </c>
      <c r="O214" s="52">
        <v>27</v>
      </c>
      <c r="P214" s="52" t="s">
        <v>1417</v>
      </c>
      <c r="Q214" s="52" t="s">
        <v>1517</v>
      </c>
      <c r="R214" s="52"/>
      <c r="S214" s="52">
        <f t="shared" si="3"/>
        <v>2.1</v>
      </c>
      <c r="T214" s="52"/>
      <c r="U214" s="52"/>
    </row>
    <row r="215" spans="1:21" s="46" customFormat="1" ht="16.5" thickTop="1" thickBot="1" x14ac:dyDescent="0.3">
      <c r="A215" s="50" t="s">
        <v>1617</v>
      </c>
      <c r="B215" s="43" t="s">
        <v>883</v>
      </c>
      <c r="C215" s="43" t="s">
        <v>39</v>
      </c>
      <c r="D215" s="43" t="s">
        <v>17</v>
      </c>
      <c r="E215" s="43" t="s">
        <v>18</v>
      </c>
      <c r="F215" s="43" t="s">
        <v>42</v>
      </c>
      <c r="G215" s="48">
        <v>46163.7</v>
      </c>
      <c r="H215" s="48">
        <v>46167.816666666666</v>
      </c>
      <c r="I215" s="43">
        <v>20</v>
      </c>
      <c r="J215" s="43" t="s">
        <v>1156</v>
      </c>
      <c r="K215" s="43" t="s">
        <v>1156</v>
      </c>
      <c r="L215" s="43" t="s">
        <v>33</v>
      </c>
      <c r="M215" s="43">
        <v>0</v>
      </c>
      <c r="N215" s="43">
        <v>0</v>
      </c>
      <c r="O215" s="43">
        <v>20</v>
      </c>
      <c r="P215" s="43" t="s">
        <v>1618</v>
      </c>
      <c r="Q215" s="43" t="s">
        <v>1517</v>
      </c>
      <c r="R215" s="43" t="s">
        <v>1619</v>
      </c>
      <c r="S215" s="52">
        <f t="shared" si="3"/>
        <v>4.12</v>
      </c>
      <c r="T215" s="47"/>
      <c r="U215" s="47"/>
    </row>
    <row r="216" spans="1:21" ht="16.5" thickTop="1" thickBot="1" x14ac:dyDescent="0.3">
      <c r="A216" s="51" t="s">
        <v>1614</v>
      </c>
      <c r="B216" s="52" t="s">
        <v>1615</v>
      </c>
      <c r="C216" s="52" t="s">
        <v>38</v>
      </c>
      <c r="D216" s="52" t="s">
        <v>17</v>
      </c>
      <c r="E216" s="52" t="s">
        <v>18</v>
      </c>
      <c r="F216" s="52" t="s">
        <v>42</v>
      </c>
      <c r="G216" s="53">
        <v>46163.707638888889</v>
      </c>
      <c r="H216" s="53">
        <v>46165.5625</v>
      </c>
      <c r="I216" s="52">
        <v>2</v>
      </c>
      <c r="J216" s="52" t="s">
        <v>2373</v>
      </c>
      <c r="K216" s="52" t="s">
        <v>8317</v>
      </c>
      <c r="L216" s="52" t="s">
        <v>33</v>
      </c>
      <c r="M216" s="52">
        <v>2</v>
      </c>
      <c r="N216" s="52">
        <v>2</v>
      </c>
      <c r="O216" s="52">
        <v>2</v>
      </c>
      <c r="P216" s="52" t="s">
        <v>1425</v>
      </c>
      <c r="Q216" s="52" t="s">
        <v>1517</v>
      </c>
      <c r="R216" s="52" t="s">
        <v>1616</v>
      </c>
      <c r="S216" s="52">
        <f t="shared" si="3"/>
        <v>1.85</v>
      </c>
      <c r="T216" s="52"/>
      <c r="U216" s="52"/>
    </row>
    <row r="217" spans="1:21" s="46" customFormat="1" ht="16.5" thickTop="1" thickBot="1" x14ac:dyDescent="0.3">
      <c r="A217" s="50" t="s">
        <v>1611</v>
      </c>
      <c r="B217" s="43" t="s">
        <v>1612</v>
      </c>
      <c r="C217" s="43" t="s">
        <v>38</v>
      </c>
      <c r="D217" s="43" t="s">
        <v>17</v>
      </c>
      <c r="E217" s="43" t="s">
        <v>18</v>
      </c>
      <c r="F217" s="43" t="s">
        <v>19</v>
      </c>
      <c r="G217" s="48">
        <v>46163.780555555553</v>
      </c>
      <c r="H217" s="48">
        <v>46172.795138888891</v>
      </c>
      <c r="I217" s="43">
        <v>11</v>
      </c>
      <c r="J217" s="43" t="s">
        <v>2373</v>
      </c>
      <c r="K217" s="43" t="s">
        <v>8333</v>
      </c>
      <c r="L217" s="43" t="s">
        <v>20</v>
      </c>
      <c r="M217" s="43">
        <v>5</v>
      </c>
      <c r="N217" s="43">
        <v>2</v>
      </c>
      <c r="O217" s="43">
        <v>2</v>
      </c>
      <c r="P217" s="43" t="s">
        <v>1410</v>
      </c>
      <c r="Q217" s="43" t="s">
        <v>1514</v>
      </c>
      <c r="R217" s="43" t="s">
        <v>1613</v>
      </c>
      <c r="S217" s="52">
        <f t="shared" si="3"/>
        <v>9.01</v>
      </c>
      <c r="T217" s="47"/>
      <c r="U217" s="47"/>
    </row>
    <row r="218" spans="1:21" ht="16.5" thickTop="1" thickBot="1" x14ac:dyDescent="0.3">
      <c r="A218" s="51" t="s">
        <v>1608</v>
      </c>
      <c r="B218" s="52" t="s">
        <v>1609</v>
      </c>
      <c r="C218" s="52" t="s">
        <v>38</v>
      </c>
      <c r="D218" s="52" t="s">
        <v>17</v>
      </c>
      <c r="E218" s="52" t="s">
        <v>19</v>
      </c>
      <c r="F218" s="52" t="s">
        <v>23</v>
      </c>
      <c r="G218" s="53">
        <v>46164.53125</v>
      </c>
      <c r="H218" s="53">
        <v>46167.606249999997</v>
      </c>
      <c r="I218" s="52">
        <v>165</v>
      </c>
      <c r="J218" s="52" t="s">
        <v>2373</v>
      </c>
      <c r="K218" s="52" t="s">
        <v>8278</v>
      </c>
      <c r="L218" s="52" t="s">
        <v>25</v>
      </c>
      <c r="M218" s="52">
        <v>165</v>
      </c>
      <c r="N218" s="52">
        <v>165</v>
      </c>
      <c r="O218" s="52">
        <v>165</v>
      </c>
      <c r="P218" s="52" t="s">
        <v>1445</v>
      </c>
      <c r="Q218" s="52" t="s">
        <v>1517</v>
      </c>
      <c r="R218" s="52" t="s">
        <v>1610</v>
      </c>
      <c r="S218" s="52">
        <f t="shared" si="3"/>
        <v>3.07</v>
      </c>
      <c r="T218" s="52"/>
      <c r="U218" s="52"/>
    </row>
    <row r="219" spans="1:21" s="46" customFormat="1" ht="16.5" thickTop="1" thickBot="1" x14ac:dyDescent="0.3">
      <c r="A219" s="50" t="s">
        <v>1605</v>
      </c>
      <c r="B219" s="43" t="s">
        <v>1606</v>
      </c>
      <c r="C219" s="43" t="s">
        <v>38</v>
      </c>
      <c r="D219" s="43" t="s">
        <v>17</v>
      </c>
      <c r="E219" s="43" t="s">
        <v>18</v>
      </c>
      <c r="F219" s="43" t="s">
        <v>19</v>
      </c>
      <c r="G219" s="48">
        <v>46164.550694444442</v>
      </c>
      <c r="H219" s="48">
        <v>46167.492361111108</v>
      </c>
      <c r="I219" s="43">
        <v>110</v>
      </c>
      <c r="J219" s="43" t="s">
        <v>2373</v>
      </c>
      <c r="K219" s="43" t="s">
        <v>8333</v>
      </c>
      <c r="L219" s="43" t="s">
        <v>20</v>
      </c>
      <c r="M219" s="43">
        <v>0</v>
      </c>
      <c r="N219" s="43">
        <v>20</v>
      </c>
      <c r="O219" s="43">
        <v>20</v>
      </c>
      <c r="P219" s="43" t="s">
        <v>1413</v>
      </c>
      <c r="Q219" s="43" t="s">
        <v>1546</v>
      </c>
      <c r="R219" s="43" t="s">
        <v>1607</v>
      </c>
      <c r="S219" s="52">
        <f t="shared" si="3"/>
        <v>2.94</v>
      </c>
      <c r="T219" s="47"/>
      <c r="U219" s="47"/>
    </row>
    <row r="220" spans="1:21" ht="16.5" thickTop="1" thickBot="1" x14ac:dyDescent="0.3">
      <c r="A220" s="51" t="s">
        <v>1602</v>
      </c>
      <c r="B220" s="52" t="s">
        <v>1603</v>
      </c>
      <c r="C220" s="52" t="s">
        <v>38</v>
      </c>
      <c r="D220" s="52" t="s">
        <v>17</v>
      </c>
      <c r="E220" s="52" t="s">
        <v>18</v>
      </c>
      <c r="F220" s="52" t="s">
        <v>28</v>
      </c>
      <c r="G220" s="53">
        <v>46164.556250000001</v>
      </c>
      <c r="H220" s="53">
        <v>46167.578472222223</v>
      </c>
      <c r="I220" s="52">
        <v>242</v>
      </c>
      <c r="J220" s="52" t="s">
        <v>1156</v>
      </c>
      <c r="K220" s="52" t="s">
        <v>1156</v>
      </c>
      <c r="L220" s="52" t="s">
        <v>20</v>
      </c>
      <c r="M220" s="52">
        <v>197</v>
      </c>
      <c r="N220" s="52">
        <v>23</v>
      </c>
      <c r="O220" s="52">
        <v>29</v>
      </c>
      <c r="P220" s="52" t="s">
        <v>1321</v>
      </c>
      <c r="Q220" s="52" t="s">
        <v>1514</v>
      </c>
      <c r="R220" s="52" t="s">
        <v>1604</v>
      </c>
      <c r="S220" s="52">
        <f t="shared" si="3"/>
        <v>3.02</v>
      </c>
      <c r="T220" s="52"/>
      <c r="U220" s="52"/>
    </row>
    <row r="221" spans="1:21" s="46" customFormat="1" ht="16.5" thickTop="1" thickBot="1" x14ac:dyDescent="0.3">
      <c r="A221" s="50" t="s">
        <v>1599</v>
      </c>
      <c r="B221" s="43" t="s">
        <v>1600</v>
      </c>
      <c r="C221" s="43" t="s">
        <v>38</v>
      </c>
      <c r="D221" s="43" t="s">
        <v>17</v>
      </c>
      <c r="E221" s="43" t="s">
        <v>18</v>
      </c>
      <c r="F221" s="43" t="s">
        <v>42</v>
      </c>
      <c r="G221" s="48">
        <v>46164.668749999997</v>
      </c>
      <c r="H221" s="48">
        <v>46167.586111111108</v>
      </c>
      <c r="I221" s="43">
        <v>251</v>
      </c>
      <c r="J221" s="43" t="s">
        <v>1156</v>
      </c>
      <c r="K221" s="43" t="s">
        <v>1156</v>
      </c>
      <c r="L221" s="43" t="s">
        <v>36</v>
      </c>
      <c r="M221" s="43">
        <v>188</v>
      </c>
      <c r="N221" s="43">
        <v>188</v>
      </c>
      <c r="O221" s="43">
        <v>251</v>
      </c>
      <c r="P221" s="43" t="s">
        <v>1429</v>
      </c>
      <c r="Q221" s="43" t="s">
        <v>1517</v>
      </c>
      <c r="R221" s="43" t="s">
        <v>1601</v>
      </c>
      <c r="S221" s="52">
        <f t="shared" si="3"/>
        <v>2.92</v>
      </c>
      <c r="T221" s="47"/>
      <c r="U221" s="47"/>
    </row>
    <row r="222" spans="1:21" ht="16.5" thickTop="1" thickBot="1" x14ac:dyDescent="0.3">
      <c r="A222" s="51" t="s">
        <v>1596</v>
      </c>
      <c r="B222" s="52" t="s">
        <v>1597</v>
      </c>
      <c r="C222" s="52" t="s">
        <v>38</v>
      </c>
      <c r="D222" s="52" t="s">
        <v>17</v>
      </c>
      <c r="E222" s="52" t="s">
        <v>18</v>
      </c>
      <c r="F222" s="52" t="s">
        <v>42</v>
      </c>
      <c r="G222" s="53">
        <v>46164.683333333334</v>
      </c>
      <c r="H222" s="53">
        <v>46165.59652777778</v>
      </c>
      <c r="I222" s="52">
        <v>64</v>
      </c>
      <c r="J222" s="52" t="s">
        <v>1156</v>
      </c>
      <c r="K222" s="52" t="s">
        <v>1156</v>
      </c>
      <c r="L222" s="52" t="s">
        <v>36</v>
      </c>
      <c r="M222" s="52">
        <v>64</v>
      </c>
      <c r="N222" s="52">
        <v>64</v>
      </c>
      <c r="O222" s="52">
        <v>64</v>
      </c>
      <c r="P222" s="52" t="s">
        <v>1503</v>
      </c>
      <c r="Q222" s="52" t="s">
        <v>1517</v>
      </c>
      <c r="R222" s="52" t="s">
        <v>1598</v>
      </c>
      <c r="S222" s="52">
        <f t="shared" si="3"/>
        <v>0.91</v>
      </c>
      <c r="T222" s="52"/>
      <c r="U222" s="52"/>
    </row>
    <row r="223" spans="1:21" s="46" customFormat="1" ht="16.5" thickTop="1" thickBot="1" x14ac:dyDescent="0.3">
      <c r="A223" s="50" t="s">
        <v>1593</v>
      </c>
      <c r="B223" s="43" t="s">
        <v>1594</v>
      </c>
      <c r="C223" s="43" t="s">
        <v>38</v>
      </c>
      <c r="D223" s="43" t="s">
        <v>17</v>
      </c>
      <c r="E223" s="43" t="s">
        <v>18</v>
      </c>
      <c r="F223" s="43" t="s">
        <v>19</v>
      </c>
      <c r="G223" s="48">
        <v>46164.692361111112</v>
      </c>
      <c r="H223" s="48">
        <v>46172.762499999997</v>
      </c>
      <c r="I223" s="43">
        <v>2010</v>
      </c>
      <c r="J223" s="43" t="s">
        <v>2373</v>
      </c>
      <c r="K223" s="43" t="s">
        <v>8333</v>
      </c>
      <c r="L223" s="43" t="s">
        <v>20</v>
      </c>
      <c r="M223" s="43">
        <v>0</v>
      </c>
      <c r="N223" s="43">
        <v>3773</v>
      </c>
      <c r="O223" s="43">
        <v>3880</v>
      </c>
      <c r="P223" s="43" t="s">
        <v>1412</v>
      </c>
      <c r="Q223" s="43" t="s">
        <v>1546</v>
      </c>
      <c r="R223" s="43" t="s">
        <v>1595</v>
      </c>
      <c r="S223" s="52">
        <f t="shared" si="3"/>
        <v>8.07</v>
      </c>
      <c r="T223" s="47"/>
      <c r="U223" s="47" t="s">
        <v>8659</v>
      </c>
    </row>
    <row r="224" spans="1:21" ht="16.5" thickTop="1" thickBot="1" x14ac:dyDescent="0.3">
      <c r="A224" s="51" t="s">
        <v>1591</v>
      </c>
      <c r="B224" s="52" t="s">
        <v>1592</v>
      </c>
      <c r="C224" s="52" t="s">
        <v>38</v>
      </c>
      <c r="D224" s="52" t="s">
        <v>17</v>
      </c>
      <c r="E224" s="52" t="s">
        <v>19</v>
      </c>
      <c r="F224" s="52" t="s">
        <v>21</v>
      </c>
      <c r="G224" s="53">
        <v>46164.716666666667</v>
      </c>
      <c r="H224" s="53">
        <v>46171.561111111114</v>
      </c>
      <c r="I224" s="52">
        <v>2080</v>
      </c>
      <c r="J224" s="52" t="s">
        <v>1156</v>
      </c>
      <c r="K224" s="52" t="s">
        <v>8294</v>
      </c>
      <c r="L224" s="52" t="s">
        <v>20</v>
      </c>
      <c r="M224" s="52">
        <v>152</v>
      </c>
      <c r="N224" s="52">
        <v>20</v>
      </c>
      <c r="O224" s="52">
        <v>278</v>
      </c>
      <c r="P224" s="52" t="s">
        <v>1410</v>
      </c>
      <c r="Q224" s="52" t="s">
        <v>1546</v>
      </c>
      <c r="R224" s="52" t="s">
        <v>8332</v>
      </c>
      <c r="S224" s="52">
        <f t="shared" si="3"/>
        <v>6.84</v>
      </c>
      <c r="T224" s="52"/>
      <c r="U224" s="52"/>
    </row>
    <row r="225" spans="1:21" s="46" customFormat="1" ht="16.5" thickTop="1" thickBot="1" x14ac:dyDescent="0.3">
      <c r="A225" s="50" t="s">
        <v>1588</v>
      </c>
      <c r="B225" s="43" t="s">
        <v>1589</v>
      </c>
      <c r="C225" s="43" t="s">
        <v>38</v>
      </c>
      <c r="D225" s="43" t="s">
        <v>17</v>
      </c>
      <c r="E225" s="43" t="s">
        <v>18</v>
      </c>
      <c r="F225" s="43" t="s">
        <v>42</v>
      </c>
      <c r="G225" s="48">
        <v>46164.730555555558</v>
      </c>
      <c r="H225" s="48">
        <v>46165.647916666669</v>
      </c>
      <c r="I225" s="43">
        <v>1</v>
      </c>
      <c r="J225" s="43" t="s">
        <v>1156</v>
      </c>
      <c r="K225" s="43" t="s">
        <v>8331</v>
      </c>
      <c r="L225" s="43" t="s">
        <v>33</v>
      </c>
      <c r="M225" s="43">
        <v>1</v>
      </c>
      <c r="N225" s="43">
        <v>1</v>
      </c>
      <c r="O225" s="43">
        <v>1</v>
      </c>
      <c r="P225" s="43" t="s">
        <v>1495</v>
      </c>
      <c r="Q225" s="43" t="s">
        <v>1546</v>
      </c>
      <c r="R225" s="43" t="s">
        <v>1590</v>
      </c>
      <c r="S225" s="52">
        <f t="shared" si="3"/>
        <v>0.92</v>
      </c>
      <c r="T225" s="47"/>
      <c r="U225" s="47"/>
    </row>
    <row r="226" spans="1:21" ht="16.5" thickTop="1" thickBot="1" x14ac:dyDescent="0.3">
      <c r="A226" s="51" t="s">
        <v>1586</v>
      </c>
      <c r="B226" s="52" t="s">
        <v>1587</v>
      </c>
      <c r="C226" s="52" t="s">
        <v>38</v>
      </c>
      <c r="D226" s="52" t="s">
        <v>17</v>
      </c>
      <c r="E226" s="52" t="s">
        <v>19</v>
      </c>
      <c r="F226" s="52" t="s">
        <v>21</v>
      </c>
      <c r="G226" s="53">
        <v>46164.749305555553</v>
      </c>
      <c r="H226" s="53">
        <v>46171.436805555553</v>
      </c>
      <c r="I226" s="52">
        <v>17</v>
      </c>
      <c r="J226" s="52" t="s">
        <v>1156</v>
      </c>
      <c r="K226" s="52" t="s">
        <v>1156</v>
      </c>
      <c r="L226" s="52" t="s">
        <v>44</v>
      </c>
      <c r="M226" s="52">
        <v>13</v>
      </c>
      <c r="N226" s="52">
        <v>13</v>
      </c>
      <c r="O226" s="52">
        <v>17</v>
      </c>
      <c r="P226" s="52" t="s">
        <v>1451</v>
      </c>
      <c r="Q226" s="52" t="s">
        <v>1517</v>
      </c>
      <c r="R226" s="52" t="s">
        <v>8330</v>
      </c>
      <c r="S226" s="52">
        <f t="shared" si="3"/>
        <v>6.69</v>
      </c>
      <c r="T226" s="52"/>
      <c r="U226" s="52"/>
    </row>
    <row r="227" spans="1:21" s="46" customFormat="1" ht="16.5" thickTop="1" thickBot="1" x14ac:dyDescent="0.3">
      <c r="A227" s="50" t="s">
        <v>1583</v>
      </c>
      <c r="B227" s="43" t="s">
        <v>1584</v>
      </c>
      <c r="C227" s="43" t="s">
        <v>38</v>
      </c>
      <c r="D227" s="43" t="s">
        <v>17</v>
      </c>
      <c r="E227" s="43" t="s">
        <v>19</v>
      </c>
      <c r="F227" s="43" t="s">
        <v>21</v>
      </c>
      <c r="G227" s="48">
        <v>46164.785416666666</v>
      </c>
      <c r="H227" s="48">
        <v>46167.425000000003</v>
      </c>
      <c r="I227" s="43">
        <v>5</v>
      </c>
      <c r="J227" s="43" t="s">
        <v>2373</v>
      </c>
      <c r="K227" s="43" t="s">
        <v>8264</v>
      </c>
      <c r="L227" s="43" t="s">
        <v>25</v>
      </c>
      <c r="M227" s="43">
        <v>5</v>
      </c>
      <c r="N227" s="43">
        <v>1</v>
      </c>
      <c r="O227" s="43">
        <v>1</v>
      </c>
      <c r="P227" s="43" t="s">
        <v>1430</v>
      </c>
      <c r="Q227" s="43" t="s">
        <v>1517</v>
      </c>
      <c r="R227" s="43" t="s">
        <v>1585</v>
      </c>
      <c r="S227" s="52">
        <f t="shared" si="3"/>
        <v>2.64</v>
      </c>
      <c r="T227" s="47"/>
      <c r="U227" s="47"/>
    </row>
    <row r="228" spans="1:21" ht="16.5" thickTop="1" thickBot="1" x14ac:dyDescent="0.3">
      <c r="A228" s="51" t="s">
        <v>1580</v>
      </c>
      <c r="B228" s="52" t="s">
        <v>1581</v>
      </c>
      <c r="C228" s="52" t="s">
        <v>38</v>
      </c>
      <c r="D228" s="52" t="s">
        <v>17</v>
      </c>
      <c r="E228" s="52" t="s">
        <v>18</v>
      </c>
      <c r="F228" s="52" t="s">
        <v>42</v>
      </c>
      <c r="G228" s="53">
        <v>46165.675694444442</v>
      </c>
      <c r="H228" s="53">
        <v>46168.459027777775</v>
      </c>
      <c r="I228" s="52">
        <v>12</v>
      </c>
      <c r="J228" s="52" t="s">
        <v>2373</v>
      </c>
      <c r="K228" s="52" t="s">
        <v>8329</v>
      </c>
      <c r="L228" s="52" t="s">
        <v>25</v>
      </c>
      <c r="M228" s="52">
        <v>12</v>
      </c>
      <c r="N228" s="52">
        <v>12</v>
      </c>
      <c r="O228" s="52">
        <v>12</v>
      </c>
      <c r="P228" s="52" t="s">
        <v>1333</v>
      </c>
      <c r="Q228" s="52" t="s">
        <v>1517</v>
      </c>
      <c r="R228" s="52" t="s">
        <v>1582</v>
      </c>
      <c r="S228" s="52">
        <f t="shared" si="3"/>
        <v>2.78</v>
      </c>
      <c r="T228" s="52"/>
      <c r="U228" s="52"/>
    </row>
    <row r="229" spans="1:21" s="46" customFormat="1" ht="16.5" thickTop="1" thickBot="1" x14ac:dyDescent="0.3">
      <c r="A229" s="50" t="s">
        <v>1577</v>
      </c>
      <c r="B229" s="43" t="s">
        <v>1578</v>
      </c>
      <c r="C229" s="43" t="s">
        <v>38</v>
      </c>
      <c r="D229" s="43" t="s">
        <v>17</v>
      </c>
      <c r="E229" s="43" t="s">
        <v>18</v>
      </c>
      <c r="F229" s="43" t="s">
        <v>42</v>
      </c>
      <c r="G229" s="48">
        <v>46165.677777777775</v>
      </c>
      <c r="H229" s="48">
        <v>46167.606249999997</v>
      </c>
      <c r="I229" s="43">
        <v>31</v>
      </c>
      <c r="J229" s="43" t="s">
        <v>1156</v>
      </c>
      <c r="K229" s="43" t="s">
        <v>1156</v>
      </c>
      <c r="L229" s="43" t="s">
        <v>33</v>
      </c>
      <c r="M229" s="43">
        <v>31</v>
      </c>
      <c r="N229" s="43">
        <v>31</v>
      </c>
      <c r="O229" s="43">
        <v>31</v>
      </c>
      <c r="P229" s="43" t="s">
        <v>1433</v>
      </c>
      <c r="Q229" s="43" t="s">
        <v>1517</v>
      </c>
      <c r="R229" s="43" t="s">
        <v>1579</v>
      </c>
      <c r="S229" s="52">
        <f t="shared" si="3"/>
        <v>1.93</v>
      </c>
      <c r="T229" s="47"/>
      <c r="U229" s="47"/>
    </row>
    <row r="230" spans="1:21" ht="16.5" thickTop="1" thickBot="1" x14ac:dyDescent="0.3">
      <c r="A230" s="51" t="s">
        <v>1575</v>
      </c>
      <c r="B230" s="52" t="s">
        <v>1576</v>
      </c>
      <c r="C230" s="52" t="s">
        <v>38</v>
      </c>
      <c r="D230" s="52" t="s">
        <v>17</v>
      </c>
      <c r="E230" s="52" t="s">
        <v>18</v>
      </c>
      <c r="F230" s="52" t="s">
        <v>42</v>
      </c>
      <c r="G230" s="53">
        <v>46165.691666666666</v>
      </c>
      <c r="H230" s="53">
        <v>46169.537499999999</v>
      </c>
      <c r="I230" s="52">
        <v>20</v>
      </c>
      <c r="J230" s="52" t="s">
        <v>2373</v>
      </c>
      <c r="K230" s="52" t="s">
        <v>8326</v>
      </c>
      <c r="L230" s="52" t="s">
        <v>33</v>
      </c>
      <c r="M230" s="52">
        <v>20</v>
      </c>
      <c r="N230" s="52">
        <v>20</v>
      </c>
      <c r="O230" s="52">
        <v>20</v>
      </c>
      <c r="P230" s="52" t="s">
        <v>1471</v>
      </c>
      <c r="Q230" s="52" t="s">
        <v>1546</v>
      </c>
      <c r="R230" s="52" t="s">
        <v>8328</v>
      </c>
      <c r="S230" s="52">
        <f t="shared" si="3"/>
        <v>3.85</v>
      </c>
      <c r="T230" s="52"/>
      <c r="U230" s="52"/>
    </row>
    <row r="231" spans="1:21" s="46" customFormat="1" ht="16.5" thickTop="1" thickBot="1" x14ac:dyDescent="0.3">
      <c r="A231" s="50" t="s">
        <v>1573</v>
      </c>
      <c r="B231" s="43" t="s">
        <v>1574</v>
      </c>
      <c r="C231" s="43" t="s">
        <v>38</v>
      </c>
      <c r="D231" s="43" t="s">
        <v>17</v>
      </c>
      <c r="E231" s="43" t="s">
        <v>18</v>
      </c>
      <c r="F231" s="43" t="s">
        <v>42</v>
      </c>
      <c r="G231" s="48">
        <v>46165.696527777778</v>
      </c>
      <c r="H231" s="48">
        <v>46169.544444444444</v>
      </c>
      <c r="I231" s="43">
        <v>61</v>
      </c>
      <c r="J231" s="43" t="s">
        <v>2373</v>
      </c>
      <c r="K231" s="43" t="s">
        <v>8326</v>
      </c>
      <c r="L231" s="43" t="s">
        <v>36</v>
      </c>
      <c r="M231" s="43">
        <v>61</v>
      </c>
      <c r="N231" s="43">
        <v>61</v>
      </c>
      <c r="O231" s="43">
        <v>61</v>
      </c>
      <c r="P231" s="43" t="s">
        <v>1507</v>
      </c>
      <c r="Q231" s="43" t="s">
        <v>1517</v>
      </c>
      <c r="R231" s="43" t="s">
        <v>8327</v>
      </c>
      <c r="S231" s="52">
        <f t="shared" si="3"/>
        <v>3.85</v>
      </c>
      <c r="T231" s="47"/>
      <c r="U231" s="47"/>
    </row>
    <row r="232" spans="1:21" ht="16.5" thickTop="1" thickBot="1" x14ac:dyDescent="0.3">
      <c r="A232" s="51" t="s">
        <v>1570</v>
      </c>
      <c r="B232" s="52" t="s">
        <v>1571</v>
      </c>
      <c r="C232" s="52" t="s">
        <v>38</v>
      </c>
      <c r="D232" s="52" t="s">
        <v>17</v>
      </c>
      <c r="E232" s="52" t="s">
        <v>18</v>
      </c>
      <c r="F232" s="52" t="s">
        <v>42</v>
      </c>
      <c r="G232" s="53">
        <v>46165.7</v>
      </c>
      <c r="H232" s="53">
        <v>46168.461111111108</v>
      </c>
      <c r="I232" s="52">
        <v>30</v>
      </c>
      <c r="J232" s="52" t="s">
        <v>1156</v>
      </c>
      <c r="K232" s="52" t="s">
        <v>1156</v>
      </c>
      <c r="L232" s="52" t="s">
        <v>33</v>
      </c>
      <c r="M232" s="52">
        <v>29</v>
      </c>
      <c r="N232" s="52">
        <v>29</v>
      </c>
      <c r="O232" s="52">
        <v>30</v>
      </c>
      <c r="P232" s="52" t="s">
        <v>1447</v>
      </c>
      <c r="Q232" s="52" t="s">
        <v>1517</v>
      </c>
      <c r="R232" s="52" t="s">
        <v>1572</v>
      </c>
      <c r="S232" s="52">
        <f t="shared" si="3"/>
        <v>2.76</v>
      </c>
      <c r="T232" s="52"/>
      <c r="U232" s="52"/>
    </row>
    <row r="233" spans="1:21" s="46" customFormat="1" ht="16.5" thickTop="1" thickBot="1" x14ac:dyDescent="0.3">
      <c r="A233" s="50" t="s">
        <v>1568</v>
      </c>
      <c r="B233" s="43" t="s">
        <v>1569</v>
      </c>
      <c r="C233" s="43" t="s">
        <v>38</v>
      </c>
      <c r="D233" s="43" t="s">
        <v>17</v>
      </c>
      <c r="E233" s="43" t="s">
        <v>18</v>
      </c>
      <c r="F233" s="43" t="s">
        <v>42</v>
      </c>
      <c r="G233" s="48">
        <v>46165.712500000001</v>
      </c>
      <c r="H233" s="48">
        <v>46168.714583333334</v>
      </c>
      <c r="I233" s="43">
        <v>5</v>
      </c>
      <c r="J233" s="43" t="s">
        <v>1156</v>
      </c>
      <c r="K233" s="43" t="s">
        <v>1156</v>
      </c>
      <c r="L233" s="43" t="s">
        <v>33</v>
      </c>
      <c r="M233" s="43">
        <v>0</v>
      </c>
      <c r="N233" s="43">
        <v>0</v>
      </c>
      <c r="O233" s="43">
        <v>5</v>
      </c>
      <c r="P233" s="43" t="s">
        <v>1496</v>
      </c>
      <c r="Q233" s="43" t="s">
        <v>1517</v>
      </c>
      <c r="R233" s="43" t="s">
        <v>8325</v>
      </c>
      <c r="S233" s="52">
        <f t="shared" si="3"/>
        <v>3</v>
      </c>
      <c r="T233" s="47"/>
      <c r="U233" s="47"/>
    </row>
    <row r="234" spans="1:21" ht="16.5" thickTop="1" thickBot="1" x14ac:dyDescent="0.3">
      <c r="A234" s="51" t="s">
        <v>1565</v>
      </c>
      <c r="B234" s="52" t="s">
        <v>1566</v>
      </c>
      <c r="C234" s="52" t="s">
        <v>38</v>
      </c>
      <c r="D234" s="52" t="s">
        <v>17</v>
      </c>
      <c r="E234" s="52" t="s">
        <v>18</v>
      </c>
      <c r="F234" s="52" t="s">
        <v>42</v>
      </c>
      <c r="G234" s="53">
        <v>46166.651388888888</v>
      </c>
      <c r="H234" s="53">
        <v>46169.466666666667</v>
      </c>
      <c r="I234" s="52">
        <v>59</v>
      </c>
      <c r="J234" s="52" t="s">
        <v>1156</v>
      </c>
      <c r="K234" s="52" t="s">
        <v>1156</v>
      </c>
      <c r="L234" s="52" t="s">
        <v>36</v>
      </c>
      <c r="M234" s="52">
        <v>59</v>
      </c>
      <c r="N234" s="52">
        <v>59</v>
      </c>
      <c r="O234" s="52">
        <v>59</v>
      </c>
      <c r="P234" s="52" t="s">
        <v>1567</v>
      </c>
      <c r="Q234" s="52" t="s">
        <v>1517</v>
      </c>
      <c r="R234" s="52" t="s">
        <v>8324</v>
      </c>
      <c r="S234" s="52">
        <f t="shared" si="3"/>
        <v>2.82</v>
      </c>
      <c r="T234" s="52"/>
      <c r="U234" s="52"/>
    </row>
    <row r="235" spans="1:21" s="46" customFormat="1" ht="16.5" thickTop="1" thickBot="1" x14ac:dyDescent="0.3">
      <c r="A235" s="50" t="s">
        <v>1562</v>
      </c>
      <c r="B235" s="43" t="s">
        <v>1563</v>
      </c>
      <c r="C235" s="43" t="s">
        <v>39</v>
      </c>
      <c r="D235" s="43" t="s">
        <v>17</v>
      </c>
      <c r="E235" s="43" t="s">
        <v>18</v>
      </c>
      <c r="F235" s="43" t="s">
        <v>42</v>
      </c>
      <c r="G235" s="48">
        <v>46166.65625</v>
      </c>
      <c r="H235" s="48">
        <v>46168.600694444445</v>
      </c>
      <c r="I235" s="43">
        <v>61</v>
      </c>
      <c r="J235" s="43" t="s">
        <v>2373</v>
      </c>
      <c r="K235" s="43" t="s">
        <v>8310</v>
      </c>
      <c r="L235" s="43" t="s">
        <v>33</v>
      </c>
      <c r="M235" s="43">
        <v>0</v>
      </c>
      <c r="N235" s="43">
        <v>0</v>
      </c>
      <c r="O235" s="43">
        <v>61</v>
      </c>
      <c r="P235" s="43" t="s">
        <v>1564</v>
      </c>
      <c r="Q235" s="43" t="s">
        <v>1514</v>
      </c>
      <c r="R235" s="43" t="s">
        <v>2381</v>
      </c>
      <c r="S235" s="52">
        <f t="shared" si="3"/>
        <v>1.94</v>
      </c>
      <c r="T235" s="47"/>
      <c r="U235" s="47"/>
    </row>
    <row r="236" spans="1:21" ht="16.5" thickTop="1" thickBot="1" x14ac:dyDescent="0.3">
      <c r="A236" s="51" t="s">
        <v>1560</v>
      </c>
      <c r="B236" s="52" t="s">
        <v>1561</v>
      </c>
      <c r="C236" s="52" t="s">
        <v>38</v>
      </c>
      <c r="D236" s="52" t="s">
        <v>17</v>
      </c>
      <c r="E236" s="52" t="s">
        <v>18</v>
      </c>
      <c r="F236" s="52" t="s">
        <v>42</v>
      </c>
      <c r="G236" s="53">
        <v>46166.693055555559</v>
      </c>
      <c r="H236" s="53">
        <v>46171.649305555555</v>
      </c>
      <c r="I236" s="52">
        <v>36</v>
      </c>
      <c r="J236" s="52" t="s">
        <v>2373</v>
      </c>
      <c r="K236" s="52" t="s">
        <v>8317</v>
      </c>
      <c r="L236" s="52" t="s">
        <v>33</v>
      </c>
      <c r="M236" s="52">
        <v>36</v>
      </c>
      <c r="N236" s="52">
        <v>36</v>
      </c>
      <c r="O236" s="52">
        <v>36</v>
      </c>
      <c r="P236" s="52" t="s">
        <v>1487</v>
      </c>
      <c r="Q236" s="52" t="s">
        <v>1546</v>
      </c>
      <c r="R236" s="52" t="s">
        <v>8323</v>
      </c>
      <c r="S236" s="52">
        <f t="shared" si="3"/>
        <v>4.96</v>
      </c>
      <c r="T236" s="52"/>
      <c r="U236" s="52"/>
    </row>
    <row r="237" spans="1:21" s="46" customFormat="1" ht="16.5" thickTop="1" thickBot="1" x14ac:dyDescent="0.3">
      <c r="A237" s="50" t="s">
        <v>1558</v>
      </c>
      <c r="B237" s="43" t="s">
        <v>881</v>
      </c>
      <c r="C237" s="43" t="s">
        <v>38</v>
      </c>
      <c r="D237" s="43" t="s">
        <v>17</v>
      </c>
      <c r="E237" s="43" t="s">
        <v>18</v>
      </c>
      <c r="F237" s="43" t="s">
        <v>42</v>
      </c>
      <c r="G237" s="48">
        <v>46166.722222222219</v>
      </c>
      <c r="H237" s="48">
        <v>46169.559027777781</v>
      </c>
      <c r="I237" s="43">
        <v>104</v>
      </c>
      <c r="J237" s="43" t="s">
        <v>2373</v>
      </c>
      <c r="K237" s="43" t="s">
        <v>8317</v>
      </c>
      <c r="L237" s="43" t="s">
        <v>25</v>
      </c>
      <c r="M237" s="43">
        <v>104</v>
      </c>
      <c r="N237" s="43">
        <v>26</v>
      </c>
      <c r="O237" s="43">
        <v>26</v>
      </c>
      <c r="P237" s="43" t="s">
        <v>1420</v>
      </c>
      <c r="Q237" s="43" t="s">
        <v>1517</v>
      </c>
      <c r="R237" s="43" t="s">
        <v>8322</v>
      </c>
      <c r="S237" s="52">
        <f t="shared" si="3"/>
        <v>2.84</v>
      </c>
      <c r="T237" s="47"/>
      <c r="U237" s="47"/>
    </row>
    <row r="238" spans="1:21" ht="16.5" thickTop="1" thickBot="1" x14ac:dyDescent="0.3">
      <c r="A238" s="51" t="s">
        <v>1556</v>
      </c>
      <c r="B238" s="52" t="s">
        <v>1557</v>
      </c>
      <c r="C238" s="52" t="s">
        <v>38</v>
      </c>
      <c r="D238" s="52" t="s">
        <v>17</v>
      </c>
      <c r="E238" s="52" t="s">
        <v>18</v>
      </c>
      <c r="F238" s="52" t="s">
        <v>42</v>
      </c>
      <c r="G238" s="53">
        <v>46166.725694444445</v>
      </c>
      <c r="H238" s="53">
        <v>46168.618750000001</v>
      </c>
      <c r="I238" s="52">
        <v>12</v>
      </c>
      <c r="J238" s="52" t="s">
        <v>2373</v>
      </c>
      <c r="K238" s="52" t="s">
        <v>8317</v>
      </c>
      <c r="L238" s="52" t="s">
        <v>25</v>
      </c>
      <c r="M238" s="52">
        <v>12</v>
      </c>
      <c r="N238" s="52">
        <v>2</v>
      </c>
      <c r="O238" s="52">
        <v>2</v>
      </c>
      <c r="P238" s="52" t="s">
        <v>1446</v>
      </c>
      <c r="Q238" s="52" t="s">
        <v>1517</v>
      </c>
      <c r="R238" s="52" t="s">
        <v>2380</v>
      </c>
      <c r="S238" s="52">
        <f t="shared" si="3"/>
        <v>1.89</v>
      </c>
      <c r="T238" s="52"/>
      <c r="U238" s="52"/>
    </row>
    <row r="239" spans="1:21" s="46" customFormat="1" ht="16.5" thickTop="1" thickBot="1" x14ac:dyDescent="0.3">
      <c r="A239" s="50" t="s">
        <v>1554</v>
      </c>
      <c r="B239" s="43" t="s">
        <v>1555</v>
      </c>
      <c r="C239" s="43" t="s">
        <v>38</v>
      </c>
      <c r="D239" s="43" t="s">
        <v>17</v>
      </c>
      <c r="E239" s="43" t="s">
        <v>18</v>
      </c>
      <c r="F239" s="43" t="s">
        <v>42</v>
      </c>
      <c r="G239" s="48">
        <v>46166.731249999997</v>
      </c>
      <c r="H239" s="48">
        <v>46175.502083333333</v>
      </c>
      <c r="I239" s="43">
        <v>14</v>
      </c>
      <c r="J239" s="43" t="s">
        <v>2373</v>
      </c>
      <c r="K239" s="43" t="s">
        <v>8317</v>
      </c>
      <c r="L239" s="43" t="s">
        <v>33</v>
      </c>
      <c r="M239" s="43">
        <v>14</v>
      </c>
      <c r="N239" s="43">
        <v>14</v>
      </c>
      <c r="O239" s="43">
        <v>14</v>
      </c>
      <c r="P239" s="43" t="s">
        <v>1417</v>
      </c>
      <c r="Q239" s="43" t="s">
        <v>1517</v>
      </c>
      <c r="R239" s="43" t="s">
        <v>8321</v>
      </c>
      <c r="S239" s="52">
        <f t="shared" si="3"/>
        <v>8.77</v>
      </c>
      <c r="T239" s="47"/>
      <c r="U239" s="47"/>
    </row>
    <row r="240" spans="1:21" ht="16.5" thickTop="1" thickBot="1" x14ac:dyDescent="0.3">
      <c r="A240" s="51" t="s">
        <v>1552</v>
      </c>
      <c r="B240" s="52" t="s">
        <v>1553</v>
      </c>
      <c r="C240" s="52" t="s">
        <v>38</v>
      </c>
      <c r="D240" s="52" t="s">
        <v>17</v>
      </c>
      <c r="E240" s="52" t="s">
        <v>18</v>
      </c>
      <c r="F240" s="52" t="s">
        <v>42</v>
      </c>
      <c r="G240" s="53">
        <v>46166.732638888891</v>
      </c>
      <c r="H240" s="53">
        <v>46171.804861111108</v>
      </c>
      <c r="I240" s="52">
        <v>13</v>
      </c>
      <c r="J240" s="52" t="s">
        <v>2373</v>
      </c>
      <c r="K240" s="52" t="s">
        <v>8278</v>
      </c>
      <c r="L240" s="52" t="s">
        <v>33</v>
      </c>
      <c r="M240" s="52">
        <v>13</v>
      </c>
      <c r="N240" s="52">
        <v>13</v>
      </c>
      <c r="O240" s="52">
        <v>13</v>
      </c>
      <c r="P240" s="52" t="s">
        <v>1453</v>
      </c>
      <c r="Q240" s="52" t="s">
        <v>1517</v>
      </c>
      <c r="R240" s="52" t="s">
        <v>8320</v>
      </c>
      <c r="S240" s="52">
        <f t="shared" si="3"/>
        <v>5.07</v>
      </c>
      <c r="T240" s="52"/>
      <c r="U240" s="52"/>
    </row>
    <row r="241" spans="1:21" s="46" customFormat="1" ht="16.5" thickTop="1" thickBot="1" x14ac:dyDescent="0.3">
      <c r="A241" s="50" t="s">
        <v>1549</v>
      </c>
      <c r="B241" s="43" t="s">
        <v>1550</v>
      </c>
      <c r="C241" s="43" t="s">
        <v>39</v>
      </c>
      <c r="D241" s="43" t="s">
        <v>17</v>
      </c>
      <c r="E241" s="43" t="s">
        <v>18</v>
      </c>
      <c r="F241" s="43" t="s">
        <v>42</v>
      </c>
      <c r="G241" s="48">
        <v>46166.738194444442</v>
      </c>
      <c r="H241" s="48">
        <v>46171.575694444444</v>
      </c>
      <c r="I241" s="43">
        <v>51</v>
      </c>
      <c r="J241" s="43" t="s">
        <v>1156</v>
      </c>
      <c r="K241" s="43" t="s">
        <v>1156</v>
      </c>
      <c r="L241" s="43" t="s">
        <v>36</v>
      </c>
      <c r="M241" s="43">
        <v>0</v>
      </c>
      <c r="N241" s="43">
        <v>0</v>
      </c>
      <c r="O241" s="43">
        <v>51</v>
      </c>
      <c r="P241" s="43" t="s">
        <v>1551</v>
      </c>
      <c r="Q241" s="43" t="s">
        <v>1517</v>
      </c>
      <c r="R241" s="43" t="s">
        <v>8319</v>
      </c>
      <c r="S241" s="52">
        <f t="shared" si="3"/>
        <v>4.84</v>
      </c>
      <c r="T241" s="47"/>
      <c r="U241" s="47"/>
    </row>
    <row r="242" spans="1:21" ht="16.5" thickTop="1" thickBot="1" x14ac:dyDescent="0.3">
      <c r="A242" s="51" t="s">
        <v>1547</v>
      </c>
      <c r="B242" s="52" t="s">
        <v>1548</v>
      </c>
      <c r="C242" s="52" t="s">
        <v>38</v>
      </c>
      <c r="D242" s="52" t="s">
        <v>17</v>
      </c>
      <c r="E242" s="52" t="s">
        <v>21</v>
      </c>
      <c r="F242" s="52" t="s">
        <v>42</v>
      </c>
      <c r="G242" s="53">
        <v>46167.450694444444</v>
      </c>
      <c r="H242" s="53">
        <v>46171.836805555555</v>
      </c>
      <c r="I242" s="52">
        <v>10</v>
      </c>
      <c r="J242" s="52" t="s">
        <v>2373</v>
      </c>
      <c r="K242" s="52" t="s">
        <v>8317</v>
      </c>
      <c r="L242" s="52" t="s">
        <v>33</v>
      </c>
      <c r="M242" s="52">
        <v>7</v>
      </c>
      <c r="N242" s="52">
        <v>7</v>
      </c>
      <c r="O242" s="52">
        <v>10</v>
      </c>
      <c r="P242" s="52" t="s">
        <v>1545</v>
      </c>
      <c r="Q242" s="52" t="s">
        <v>1517</v>
      </c>
      <c r="R242" s="52" t="s">
        <v>8318</v>
      </c>
      <c r="S242" s="52">
        <f t="shared" si="3"/>
        <v>4.3899999999999997</v>
      </c>
      <c r="T242" s="52"/>
      <c r="U242" s="52"/>
    </row>
    <row r="243" spans="1:21" s="46" customFormat="1" ht="16.5" thickTop="1" thickBot="1" x14ac:dyDescent="0.3">
      <c r="A243" s="50" t="s">
        <v>1543</v>
      </c>
      <c r="B243" s="43" t="s">
        <v>1544</v>
      </c>
      <c r="C243" s="43" t="s">
        <v>39</v>
      </c>
      <c r="D243" s="43" t="s">
        <v>17</v>
      </c>
      <c r="E243" s="43" t="s">
        <v>18</v>
      </c>
      <c r="F243" s="43" t="s">
        <v>42</v>
      </c>
      <c r="G243" s="48">
        <v>46167.453472222223</v>
      </c>
      <c r="H243" s="48">
        <v>46171.84375</v>
      </c>
      <c r="I243" s="43">
        <v>3</v>
      </c>
      <c r="J243" s="43" t="s">
        <v>2373</v>
      </c>
      <c r="K243" s="43" t="s">
        <v>8315</v>
      </c>
      <c r="L243" s="43" t="s">
        <v>33</v>
      </c>
      <c r="M243" s="43">
        <v>0</v>
      </c>
      <c r="N243" s="43">
        <v>0</v>
      </c>
      <c r="O243" s="43">
        <v>3</v>
      </c>
      <c r="P243" s="43" t="s">
        <v>1545</v>
      </c>
      <c r="Q243" s="43" t="s">
        <v>1546</v>
      </c>
      <c r="R243" s="43" t="s">
        <v>8316</v>
      </c>
      <c r="S243" s="52">
        <f t="shared" si="3"/>
        <v>4.3899999999999997</v>
      </c>
      <c r="T243" s="47"/>
      <c r="U243" s="47"/>
    </row>
    <row r="244" spans="1:21" ht="16.5" thickTop="1" thickBot="1" x14ac:dyDescent="0.3">
      <c r="A244" s="51" t="s">
        <v>1540</v>
      </c>
      <c r="B244" s="52" t="s">
        <v>1541</v>
      </c>
      <c r="C244" s="52" t="s">
        <v>38</v>
      </c>
      <c r="D244" s="52" t="s">
        <v>17</v>
      </c>
      <c r="E244" s="52" t="s">
        <v>18</v>
      </c>
      <c r="F244" s="52" t="s">
        <v>42</v>
      </c>
      <c r="G244" s="53">
        <v>46167.470138888886</v>
      </c>
      <c r="H244" s="53">
        <v>46171.45416666667</v>
      </c>
      <c r="I244" s="52">
        <v>19</v>
      </c>
      <c r="J244" s="52" t="s">
        <v>1156</v>
      </c>
      <c r="K244" s="52" t="s">
        <v>1156</v>
      </c>
      <c r="L244" s="52" t="s">
        <v>33</v>
      </c>
      <c r="M244" s="52">
        <v>19</v>
      </c>
      <c r="N244" s="52">
        <v>19</v>
      </c>
      <c r="O244" s="52">
        <v>19</v>
      </c>
      <c r="P244" s="52" t="s">
        <v>1542</v>
      </c>
      <c r="Q244" s="52" t="s">
        <v>1517</v>
      </c>
      <c r="R244" s="52" t="s">
        <v>8314</v>
      </c>
      <c r="S244" s="52">
        <f t="shared" si="3"/>
        <v>3.98</v>
      </c>
      <c r="T244" s="52"/>
      <c r="U244" s="52"/>
    </row>
    <row r="245" spans="1:21" s="46" customFormat="1" ht="16.5" thickTop="1" thickBot="1" x14ac:dyDescent="0.3">
      <c r="A245" s="50" t="s">
        <v>1538</v>
      </c>
      <c r="B245" s="43" t="s">
        <v>1539</v>
      </c>
      <c r="C245" s="43" t="s">
        <v>38</v>
      </c>
      <c r="D245" s="43" t="s">
        <v>17</v>
      </c>
      <c r="E245" s="43" t="s">
        <v>18</v>
      </c>
      <c r="F245" s="43" t="s">
        <v>28</v>
      </c>
      <c r="G245" s="48">
        <v>46167.664583333331</v>
      </c>
      <c r="H245" s="48">
        <v>46168.914583333331</v>
      </c>
      <c r="I245" s="43">
        <v>2714</v>
      </c>
      <c r="J245" s="43" t="s">
        <v>1156</v>
      </c>
      <c r="K245" s="43" t="s">
        <v>1156</v>
      </c>
      <c r="L245" s="43" t="s">
        <v>20</v>
      </c>
      <c r="M245" s="43">
        <v>828</v>
      </c>
      <c r="N245" s="43">
        <v>112</v>
      </c>
      <c r="O245" s="43">
        <v>377</v>
      </c>
      <c r="P245" s="43" t="s">
        <v>1316</v>
      </c>
      <c r="Q245" s="43" t="s">
        <v>1517</v>
      </c>
      <c r="R245" s="43" t="s">
        <v>8313</v>
      </c>
      <c r="S245" s="52">
        <f t="shared" si="3"/>
        <v>1.25</v>
      </c>
      <c r="T245" s="47"/>
      <c r="U245" s="47"/>
    </row>
    <row r="246" spans="1:21" ht="16.5" thickTop="1" thickBot="1" x14ac:dyDescent="0.3">
      <c r="A246" s="51" t="s">
        <v>1534</v>
      </c>
      <c r="B246" s="52" t="s">
        <v>1535</v>
      </c>
      <c r="C246" s="52" t="s">
        <v>39</v>
      </c>
      <c r="D246" s="52" t="s">
        <v>17</v>
      </c>
      <c r="E246" s="52" t="s">
        <v>18</v>
      </c>
      <c r="F246" s="52" t="s">
        <v>42</v>
      </c>
      <c r="G246" s="53">
        <v>46167.699305555558</v>
      </c>
      <c r="H246" s="53">
        <v>46167.8125</v>
      </c>
      <c r="I246" s="52">
        <v>30</v>
      </c>
      <c r="J246" s="52" t="s">
        <v>1156</v>
      </c>
      <c r="K246" s="52" t="s">
        <v>1156</v>
      </c>
      <c r="L246" s="52" t="s">
        <v>33</v>
      </c>
      <c r="M246" s="52">
        <v>0</v>
      </c>
      <c r="N246" s="52">
        <v>0</v>
      </c>
      <c r="O246" s="52">
        <v>30</v>
      </c>
      <c r="P246" s="52" t="s">
        <v>1536</v>
      </c>
      <c r="Q246" s="52" t="s">
        <v>1517</v>
      </c>
      <c r="R246" s="52" t="s">
        <v>1537</v>
      </c>
      <c r="S246" s="52">
        <f t="shared" si="3"/>
        <v>0.11</v>
      </c>
      <c r="T246" s="52"/>
      <c r="U246" s="52"/>
    </row>
    <row r="247" spans="1:21" s="46" customFormat="1" ht="16.5" thickTop="1" thickBot="1" x14ac:dyDescent="0.3">
      <c r="A247" s="50" t="s">
        <v>1531</v>
      </c>
      <c r="B247" s="43" t="s">
        <v>1532</v>
      </c>
      <c r="C247" s="43" t="s">
        <v>38</v>
      </c>
      <c r="D247" s="43" t="s">
        <v>17</v>
      </c>
      <c r="E247" s="43" t="s">
        <v>18</v>
      </c>
      <c r="F247" s="43" t="s">
        <v>42</v>
      </c>
      <c r="G247" s="48">
        <v>46167.706944444442</v>
      </c>
      <c r="H247" s="48">
        <v>46169.497916666667</v>
      </c>
      <c r="I247" s="43">
        <v>18</v>
      </c>
      <c r="J247" s="43" t="s">
        <v>1156</v>
      </c>
      <c r="K247" s="43" t="s">
        <v>1156</v>
      </c>
      <c r="L247" s="43" t="s">
        <v>33</v>
      </c>
      <c r="M247" s="43">
        <v>18</v>
      </c>
      <c r="N247" s="43">
        <v>18</v>
      </c>
      <c r="O247" s="43">
        <v>18</v>
      </c>
      <c r="P247" s="43" t="s">
        <v>1533</v>
      </c>
      <c r="Q247" s="43" t="s">
        <v>1514</v>
      </c>
      <c r="R247" s="43" t="s">
        <v>8312</v>
      </c>
      <c r="S247" s="52">
        <f t="shared" si="3"/>
        <v>1.79</v>
      </c>
      <c r="T247" s="47"/>
      <c r="U247" s="47"/>
    </row>
    <row r="248" spans="1:21" ht="16.5" thickTop="1" thickBot="1" x14ac:dyDescent="0.3">
      <c r="A248" s="51" t="s">
        <v>1528</v>
      </c>
      <c r="B248" s="52" t="s">
        <v>1529</v>
      </c>
      <c r="C248" s="52" t="s">
        <v>39</v>
      </c>
      <c r="D248" s="52" t="s">
        <v>17</v>
      </c>
      <c r="E248" s="52" t="s">
        <v>18</v>
      </c>
      <c r="F248" s="52" t="s">
        <v>42</v>
      </c>
      <c r="G248" s="53">
        <v>46167.716666666667</v>
      </c>
      <c r="H248" s="53">
        <v>46171.941666666666</v>
      </c>
      <c r="I248" s="52">
        <v>10</v>
      </c>
      <c r="J248" s="52" t="s">
        <v>2373</v>
      </c>
      <c r="K248" s="52" t="s">
        <v>8310</v>
      </c>
      <c r="L248" s="52" t="s">
        <v>33</v>
      </c>
      <c r="M248" s="52">
        <v>0</v>
      </c>
      <c r="N248" s="52">
        <v>0</v>
      </c>
      <c r="O248" s="52">
        <v>10</v>
      </c>
      <c r="P248" s="52" t="s">
        <v>1530</v>
      </c>
      <c r="Q248" s="52" t="s">
        <v>1517</v>
      </c>
      <c r="R248" s="52" t="s">
        <v>8311</v>
      </c>
      <c r="S248" s="52">
        <f t="shared" si="3"/>
        <v>4.22</v>
      </c>
      <c r="T248" s="52"/>
      <c r="U248" s="52"/>
    </row>
    <row r="249" spans="1:21" s="46" customFormat="1" ht="16.5" thickTop="1" thickBot="1" x14ac:dyDescent="0.3">
      <c r="A249" s="50" t="s">
        <v>1526</v>
      </c>
      <c r="B249" s="43" t="s">
        <v>1527</v>
      </c>
      <c r="C249" s="43" t="s">
        <v>38</v>
      </c>
      <c r="D249" s="43" t="s">
        <v>17</v>
      </c>
      <c r="E249" s="43" t="s">
        <v>18</v>
      </c>
      <c r="F249" s="43" t="s">
        <v>42</v>
      </c>
      <c r="G249" s="48">
        <v>46167.731249999997</v>
      </c>
      <c r="H249" s="48">
        <v>46171.716666666667</v>
      </c>
      <c r="I249" s="43">
        <v>64</v>
      </c>
      <c r="J249" s="43" t="s">
        <v>1156</v>
      </c>
      <c r="K249" s="43" t="s">
        <v>1156</v>
      </c>
      <c r="L249" s="43" t="s">
        <v>33</v>
      </c>
      <c r="M249" s="43">
        <v>60</v>
      </c>
      <c r="N249" s="43">
        <v>60</v>
      </c>
      <c r="O249" s="43">
        <v>64</v>
      </c>
      <c r="P249" s="43" t="s">
        <v>1435</v>
      </c>
      <c r="Q249" s="43" t="s">
        <v>1517</v>
      </c>
      <c r="R249" s="43" t="s">
        <v>8309</v>
      </c>
      <c r="S249" s="52">
        <f t="shared" si="3"/>
        <v>3.99</v>
      </c>
      <c r="T249" s="47"/>
      <c r="U249" s="47"/>
    </row>
    <row r="250" spans="1:21" ht="16.5" thickTop="1" thickBot="1" x14ac:dyDescent="0.3">
      <c r="A250" s="51" t="s">
        <v>1523</v>
      </c>
      <c r="B250" s="52" t="s">
        <v>1524</v>
      </c>
      <c r="C250" s="52" t="s">
        <v>38</v>
      </c>
      <c r="D250" s="52" t="s">
        <v>17</v>
      </c>
      <c r="E250" s="52" t="s">
        <v>19</v>
      </c>
      <c r="F250" s="52" t="s">
        <v>21</v>
      </c>
      <c r="G250" s="53">
        <v>46167.75</v>
      </c>
      <c r="H250" s="53">
        <v>46169.505555555559</v>
      </c>
      <c r="I250" s="52">
        <v>8</v>
      </c>
      <c r="J250" s="52" t="s">
        <v>1156</v>
      </c>
      <c r="K250" s="52" t="s">
        <v>1156</v>
      </c>
      <c r="L250" s="52" t="s">
        <v>44</v>
      </c>
      <c r="M250" s="52">
        <v>8</v>
      </c>
      <c r="N250" s="52">
        <v>8</v>
      </c>
      <c r="O250" s="52">
        <v>8</v>
      </c>
      <c r="P250" s="52" t="s">
        <v>1525</v>
      </c>
      <c r="Q250" s="52" t="s">
        <v>1514</v>
      </c>
      <c r="R250" s="52" t="s">
        <v>8308</v>
      </c>
      <c r="S250" s="52">
        <f t="shared" si="3"/>
        <v>1.76</v>
      </c>
      <c r="T250" s="52"/>
      <c r="U250" s="52"/>
    </row>
    <row r="251" spans="1:21" s="46" customFormat="1" ht="16.5" thickTop="1" thickBot="1" x14ac:dyDescent="0.3">
      <c r="A251" s="50" t="s">
        <v>1519</v>
      </c>
      <c r="B251" s="43" t="s">
        <v>1520</v>
      </c>
      <c r="C251" s="43" t="s">
        <v>38</v>
      </c>
      <c r="D251" s="43" t="s">
        <v>17</v>
      </c>
      <c r="E251" s="43" t="s">
        <v>19</v>
      </c>
      <c r="F251" s="43" t="s">
        <v>19</v>
      </c>
      <c r="G251" s="48">
        <v>46167.765972222223</v>
      </c>
      <c r="H251" s="48">
        <v>46168.526388888888</v>
      </c>
      <c r="I251" s="43">
        <v>648</v>
      </c>
      <c r="J251" s="43" t="s">
        <v>1156</v>
      </c>
      <c r="K251" s="43" t="s">
        <v>1156</v>
      </c>
      <c r="L251" s="43" t="s">
        <v>20</v>
      </c>
      <c r="M251" s="43">
        <v>647</v>
      </c>
      <c r="N251" s="43">
        <v>81</v>
      </c>
      <c r="O251" s="43">
        <v>81</v>
      </c>
      <c r="P251" s="43" t="s">
        <v>1521</v>
      </c>
      <c r="Q251" s="43" t="s">
        <v>1514</v>
      </c>
      <c r="R251" s="43" t="s">
        <v>1522</v>
      </c>
      <c r="S251" s="52">
        <f t="shared" si="3"/>
        <v>0.76</v>
      </c>
      <c r="T251" s="47"/>
      <c r="U251" s="47"/>
    </row>
    <row r="252" spans="1:21" ht="16.5" thickTop="1" thickBot="1" x14ac:dyDescent="0.3">
      <c r="A252" s="51" t="s">
        <v>1515</v>
      </c>
      <c r="B252" s="52" t="s">
        <v>1516</v>
      </c>
      <c r="C252" s="52" t="s">
        <v>38</v>
      </c>
      <c r="D252" s="52" t="s">
        <v>17</v>
      </c>
      <c r="E252" s="52" t="s">
        <v>19</v>
      </c>
      <c r="F252" s="52" t="s">
        <v>23</v>
      </c>
      <c r="G252" s="53">
        <v>46167.780555555553</v>
      </c>
      <c r="H252" s="53">
        <v>46168.470138888886</v>
      </c>
      <c r="I252" s="52">
        <v>54</v>
      </c>
      <c r="J252" s="52" t="s">
        <v>2373</v>
      </c>
      <c r="K252" s="52" t="s">
        <v>8278</v>
      </c>
      <c r="L252" s="52" t="s">
        <v>36</v>
      </c>
      <c r="M252" s="52">
        <v>54</v>
      </c>
      <c r="N252" s="52">
        <v>54</v>
      </c>
      <c r="O252" s="52">
        <v>54</v>
      </c>
      <c r="P252" s="52" t="s">
        <v>1429</v>
      </c>
      <c r="Q252" s="52" t="s">
        <v>1517</v>
      </c>
      <c r="R252" s="52" t="s">
        <v>1518</v>
      </c>
      <c r="S252" s="52">
        <f t="shared" si="3"/>
        <v>0.69</v>
      </c>
      <c r="T252" s="52"/>
      <c r="U252" s="52"/>
    </row>
    <row r="253" spans="1:21" s="46" customFormat="1" ht="16.5" thickTop="1" thickBot="1" x14ac:dyDescent="0.3">
      <c r="A253" s="50" t="s">
        <v>2378</v>
      </c>
      <c r="B253" s="43" t="s">
        <v>2379</v>
      </c>
      <c r="C253" s="43" t="s">
        <v>38</v>
      </c>
      <c r="D253" s="43" t="s">
        <v>17</v>
      </c>
      <c r="E253" s="43" t="s">
        <v>18</v>
      </c>
      <c r="F253" s="43" t="s">
        <v>28</v>
      </c>
      <c r="G253" s="48">
        <v>46168</v>
      </c>
      <c r="H253" s="48">
        <v>46172.5</v>
      </c>
      <c r="I253" s="43">
        <v>36</v>
      </c>
      <c r="J253" s="43" t="s">
        <v>1156</v>
      </c>
      <c r="K253" s="43" t="s">
        <v>1156</v>
      </c>
      <c r="L253" s="43" t="s">
        <v>20</v>
      </c>
      <c r="M253" s="43">
        <v>36</v>
      </c>
      <c r="N253" s="43">
        <v>6</v>
      </c>
      <c r="O253" s="43">
        <v>6</v>
      </c>
      <c r="P253" s="43" t="s">
        <v>1428</v>
      </c>
      <c r="Q253" s="43" t="s">
        <v>1514</v>
      </c>
      <c r="R253" s="43" t="s">
        <v>8306</v>
      </c>
      <c r="S253" s="52">
        <f t="shared" si="3"/>
        <v>4.5</v>
      </c>
      <c r="T253" s="47"/>
      <c r="U253" s="47"/>
    </row>
    <row r="254" spans="1:21" ht="16.5" thickTop="1" thickBot="1" x14ac:dyDescent="0.3">
      <c r="A254" s="51" t="s">
        <v>1512</v>
      </c>
      <c r="B254" s="52" t="s">
        <v>1513</v>
      </c>
      <c r="C254" s="52" t="s">
        <v>38</v>
      </c>
      <c r="D254" s="52" t="s">
        <v>17</v>
      </c>
      <c r="E254" s="52" t="s">
        <v>19</v>
      </c>
      <c r="F254" s="52" t="s">
        <v>21</v>
      </c>
      <c r="G254" s="53">
        <v>46168.493750000001</v>
      </c>
      <c r="H254" s="53">
        <v>46178.520833333336</v>
      </c>
      <c r="I254" s="52">
        <v>649</v>
      </c>
      <c r="J254" s="52" t="s">
        <v>1156</v>
      </c>
      <c r="K254" s="52" t="s">
        <v>8294</v>
      </c>
      <c r="L254" s="52" t="s">
        <v>31</v>
      </c>
      <c r="M254" s="52">
        <v>5</v>
      </c>
      <c r="N254" s="52">
        <v>5</v>
      </c>
      <c r="O254" s="52">
        <v>123</v>
      </c>
      <c r="P254" s="52" t="s">
        <v>1410</v>
      </c>
      <c r="Q254" s="52" t="s">
        <v>1514</v>
      </c>
      <c r="R254" s="52" t="s">
        <v>8307</v>
      </c>
      <c r="S254" s="52">
        <f t="shared" si="3"/>
        <v>10.029999999999999</v>
      </c>
      <c r="T254" s="52"/>
      <c r="U254" s="52"/>
    </row>
    <row r="255" spans="1:21" s="46" customFormat="1" ht="16.5" thickTop="1" thickBot="1" x14ac:dyDescent="0.3">
      <c r="A255" s="50" t="s">
        <v>6958</v>
      </c>
      <c r="B255" s="43" t="s">
        <v>8304</v>
      </c>
      <c r="C255" s="43" t="s">
        <v>38</v>
      </c>
      <c r="D255" s="43" t="s">
        <v>17</v>
      </c>
      <c r="E255" s="43" t="s">
        <v>19</v>
      </c>
      <c r="F255" s="43" t="s">
        <v>19</v>
      </c>
      <c r="G255" s="48">
        <v>46168.678472222222</v>
      </c>
      <c r="H255" s="48">
        <v>46177.914583333331</v>
      </c>
      <c r="I255" s="43">
        <v>29</v>
      </c>
      <c r="J255" s="43" t="s">
        <v>1156</v>
      </c>
      <c r="K255" s="43" t="s">
        <v>1156</v>
      </c>
      <c r="L255" s="43" t="s">
        <v>20</v>
      </c>
      <c r="M255" s="43">
        <v>0</v>
      </c>
      <c r="N255" s="43">
        <v>0</v>
      </c>
      <c r="O255" s="43">
        <v>1</v>
      </c>
      <c r="P255" s="43" t="s">
        <v>1316</v>
      </c>
      <c r="Q255" s="43" t="s">
        <v>1517</v>
      </c>
      <c r="R255" s="43" t="s">
        <v>8305</v>
      </c>
      <c r="S255" s="52">
        <f t="shared" si="3"/>
        <v>9.24</v>
      </c>
      <c r="T255" s="47"/>
      <c r="U255" s="47" t="s">
        <v>8416</v>
      </c>
    </row>
    <row r="256" spans="1:21" ht="16.5" thickTop="1" thickBot="1" x14ac:dyDescent="0.3">
      <c r="A256" s="51" t="s">
        <v>6959</v>
      </c>
      <c r="B256" s="52" t="s">
        <v>8302</v>
      </c>
      <c r="C256" s="52" t="s">
        <v>38</v>
      </c>
      <c r="D256" s="52" t="s">
        <v>17</v>
      </c>
      <c r="E256" s="52" t="s">
        <v>19</v>
      </c>
      <c r="F256" s="52" t="s">
        <v>21</v>
      </c>
      <c r="G256" s="53">
        <v>46168.707638888889</v>
      </c>
      <c r="H256" s="53">
        <v>46171.728472222225</v>
      </c>
      <c r="I256" s="52">
        <v>230</v>
      </c>
      <c r="J256" s="52" t="s">
        <v>1156</v>
      </c>
      <c r="K256" s="52" t="s">
        <v>1156</v>
      </c>
      <c r="L256" s="52" t="s">
        <v>20</v>
      </c>
      <c r="M256" s="52">
        <v>230</v>
      </c>
      <c r="N256" s="52">
        <v>46</v>
      </c>
      <c r="O256" s="52">
        <v>46</v>
      </c>
      <c r="P256" s="52" t="s">
        <v>1389</v>
      </c>
      <c r="Q256" s="52" t="s">
        <v>1517</v>
      </c>
      <c r="R256" s="52" t="s">
        <v>8303</v>
      </c>
      <c r="S256" s="52">
        <f t="shared" si="3"/>
        <v>3.02</v>
      </c>
      <c r="T256" s="52"/>
      <c r="U256" s="52"/>
    </row>
    <row r="257" spans="1:21" s="46" customFormat="1" ht="16.5" thickTop="1" thickBot="1" x14ac:dyDescent="0.3">
      <c r="A257" s="50" t="s">
        <v>6960</v>
      </c>
      <c r="B257" s="43" t="s">
        <v>8300</v>
      </c>
      <c r="C257" s="43" t="s">
        <v>38</v>
      </c>
      <c r="D257" s="43" t="s">
        <v>17</v>
      </c>
      <c r="E257" s="43" t="s">
        <v>19</v>
      </c>
      <c r="F257" s="43" t="s">
        <v>19</v>
      </c>
      <c r="G257" s="48">
        <v>46168.726388888892</v>
      </c>
      <c r="H257" s="48">
        <v>46171.759722222225</v>
      </c>
      <c r="I257" s="43">
        <v>28</v>
      </c>
      <c r="J257" s="43" t="s">
        <v>1156</v>
      </c>
      <c r="K257" s="43" t="s">
        <v>1156</v>
      </c>
      <c r="L257" s="43" t="s">
        <v>20</v>
      </c>
      <c r="M257" s="43">
        <v>28</v>
      </c>
      <c r="N257" s="43">
        <v>5</v>
      </c>
      <c r="O257" s="43">
        <v>5</v>
      </c>
      <c r="P257" s="43" t="s">
        <v>1408</v>
      </c>
      <c r="Q257" s="43" t="s">
        <v>1517</v>
      </c>
      <c r="R257" s="43" t="s">
        <v>8301</v>
      </c>
      <c r="S257" s="52">
        <f t="shared" si="3"/>
        <v>3.03</v>
      </c>
      <c r="T257" s="47"/>
      <c r="U257" s="47"/>
    </row>
    <row r="258" spans="1:21" ht="16.5" thickTop="1" thickBot="1" x14ac:dyDescent="0.3">
      <c r="A258" s="51" t="s">
        <v>6961</v>
      </c>
      <c r="B258" s="52" t="s">
        <v>8298</v>
      </c>
      <c r="C258" s="52" t="s">
        <v>38</v>
      </c>
      <c r="D258" s="52" t="s">
        <v>17</v>
      </c>
      <c r="E258" s="52" t="s">
        <v>19</v>
      </c>
      <c r="F258" s="52" t="s">
        <v>21</v>
      </c>
      <c r="G258" s="53">
        <v>46168.728472222225</v>
      </c>
      <c r="H258" s="53">
        <v>46175.472916666666</v>
      </c>
      <c r="I258" s="52">
        <v>49</v>
      </c>
      <c r="J258" s="52" t="s">
        <v>1156</v>
      </c>
      <c r="K258" s="52" t="s">
        <v>8294</v>
      </c>
      <c r="L258" s="52" t="s">
        <v>20</v>
      </c>
      <c r="M258" s="52">
        <v>19</v>
      </c>
      <c r="N258" s="52">
        <v>3</v>
      </c>
      <c r="O258" s="52">
        <v>7</v>
      </c>
      <c r="P258" s="52" t="s">
        <v>1434</v>
      </c>
      <c r="Q258" s="52" t="s">
        <v>1546</v>
      </c>
      <c r="R258" s="52" t="s">
        <v>8299</v>
      </c>
      <c r="S258" s="52">
        <f t="shared" ref="S258:S321" si="4">IF(OR(G258="",H258=""),"",ROUND(H258-G258,2))</f>
        <v>6.74</v>
      </c>
      <c r="T258" s="52"/>
      <c r="U258" s="52"/>
    </row>
    <row r="259" spans="1:21" s="46" customFormat="1" ht="16.5" thickTop="1" thickBot="1" x14ac:dyDescent="0.3">
      <c r="A259" s="50" t="s">
        <v>8187</v>
      </c>
      <c r="B259" s="43" t="s">
        <v>8296</v>
      </c>
      <c r="C259" s="43" t="s">
        <v>39</v>
      </c>
      <c r="D259" s="43" t="s">
        <v>17</v>
      </c>
      <c r="E259" s="43" t="s">
        <v>19</v>
      </c>
      <c r="F259" s="43" t="s">
        <v>21</v>
      </c>
      <c r="G259" s="48">
        <v>46168.790277777778</v>
      </c>
      <c r="H259" s="48">
        <v>46170.488888888889</v>
      </c>
      <c r="I259" s="43">
        <v>10</v>
      </c>
      <c r="J259" s="43" t="s">
        <v>1156</v>
      </c>
      <c r="K259" s="43" t="s">
        <v>8294</v>
      </c>
      <c r="L259" s="43" t="s">
        <v>20</v>
      </c>
      <c r="M259" s="43">
        <v>0</v>
      </c>
      <c r="N259" s="43">
        <v>0</v>
      </c>
      <c r="O259" s="43">
        <v>2</v>
      </c>
      <c r="P259" s="43" t="s">
        <v>1464</v>
      </c>
      <c r="Q259" s="43" t="s">
        <v>1514</v>
      </c>
      <c r="R259" s="43" t="s">
        <v>8297</v>
      </c>
      <c r="S259" s="52">
        <f t="shared" si="4"/>
        <v>1.7</v>
      </c>
      <c r="T259" s="47"/>
      <c r="U259" s="47"/>
    </row>
    <row r="260" spans="1:21" ht="16.5" thickTop="1" thickBot="1" x14ac:dyDescent="0.3">
      <c r="A260" s="51" t="s">
        <v>8292</v>
      </c>
      <c r="B260" s="52" t="s">
        <v>8293</v>
      </c>
      <c r="C260" s="52" t="s">
        <v>38</v>
      </c>
      <c r="D260" s="52" t="s">
        <v>17</v>
      </c>
      <c r="E260" s="52" t="s">
        <v>19</v>
      </c>
      <c r="F260" s="52" t="s">
        <v>21</v>
      </c>
      <c r="G260" s="53">
        <v>46169.509027777778</v>
      </c>
      <c r="H260" s="53">
        <v>46176.425694444442</v>
      </c>
      <c r="I260" s="52">
        <v>1327</v>
      </c>
      <c r="J260" s="52" t="s">
        <v>1156</v>
      </c>
      <c r="K260" s="52" t="s">
        <v>8294</v>
      </c>
      <c r="L260" s="52" t="s">
        <v>20</v>
      </c>
      <c r="M260" s="52">
        <v>366</v>
      </c>
      <c r="N260" s="52">
        <v>67</v>
      </c>
      <c r="O260" s="52">
        <v>225</v>
      </c>
      <c r="P260" s="52" t="s">
        <v>1442</v>
      </c>
      <c r="Q260" s="52" t="s">
        <v>1546</v>
      </c>
      <c r="R260" s="52" t="s">
        <v>8295</v>
      </c>
      <c r="S260" s="52">
        <f t="shared" si="4"/>
        <v>6.92</v>
      </c>
      <c r="T260" s="52"/>
      <c r="U260" s="52"/>
    </row>
    <row r="261" spans="1:21" s="46" customFormat="1" ht="16.5" thickTop="1" thickBot="1" x14ac:dyDescent="0.3">
      <c r="A261" s="50" t="s">
        <v>8289</v>
      </c>
      <c r="B261" s="43" t="s">
        <v>8290</v>
      </c>
      <c r="C261" s="43" t="s">
        <v>38</v>
      </c>
      <c r="D261" s="43" t="s">
        <v>17</v>
      </c>
      <c r="E261" s="43" t="s">
        <v>19</v>
      </c>
      <c r="F261" s="43" t="s">
        <v>19</v>
      </c>
      <c r="G261" s="48">
        <v>46169.513194444444</v>
      </c>
      <c r="H261" s="48">
        <v>46172.436805555553</v>
      </c>
      <c r="I261" s="43">
        <v>86</v>
      </c>
      <c r="J261" s="43" t="s">
        <v>1156</v>
      </c>
      <c r="K261" s="43" t="s">
        <v>1156</v>
      </c>
      <c r="L261" s="43" t="s">
        <v>20</v>
      </c>
      <c r="M261" s="43">
        <v>86</v>
      </c>
      <c r="N261" s="43">
        <v>14</v>
      </c>
      <c r="O261" s="43">
        <v>14</v>
      </c>
      <c r="P261" s="43" t="s">
        <v>1428</v>
      </c>
      <c r="Q261" s="43" t="s">
        <v>1514</v>
      </c>
      <c r="R261" s="43" t="s">
        <v>8291</v>
      </c>
      <c r="S261" s="52">
        <f t="shared" si="4"/>
        <v>2.92</v>
      </c>
      <c r="T261" s="47"/>
      <c r="U261" s="47"/>
    </row>
    <row r="262" spans="1:21" ht="16.5" thickTop="1" thickBot="1" x14ac:dyDescent="0.3">
      <c r="A262" s="51" t="s">
        <v>8287</v>
      </c>
      <c r="B262" s="52" t="s">
        <v>1017</v>
      </c>
      <c r="C262" s="52" t="s">
        <v>38</v>
      </c>
      <c r="D262" s="52" t="s">
        <v>17</v>
      </c>
      <c r="E262" s="52" t="s">
        <v>18</v>
      </c>
      <c r="F262" s="52" t="s">
        <v>19</v>
      </c>
      <c r="G262" s="53">
        <v>46169.553472222222</v>
      </c>
      <c r="H262" s="53">
        <v>46183.392361111109</v>
      </c>
      <c r="I262" s="52">
        <v>707</v>
      </c>
      <c r="J262" s="52" t="s">
        <v>1156</v>
      </c>
      <c r="K262" s="52" t="s">
        <v>1156</v>
      </c>
      <c r="L262" s="52" t="s">
        <v>20</v>
      </c>
      <c r="M262" s="52">
        <v>0</v>
      </c>
      <c r="N262" s="52">
        <v>0</v>
      </c>
      <c r="O262" s="52">
        <v>52</v>
      </c>
      <c r="P262" s="52" t="s">
        <v>1413</v>
      </c>
      <c r="Q262" s="52" t="s">
        <v>1546</v>
      </c>
      <c r="R262" s="52" t="s">
        <v>8288</v>
      </c>
      <c r="S262" s="52">
        <f t="shared" si="4"/>
        <v>13.84</v>
      </c>
      <c r="T262" s="52"/>
      <c r="U262" s="52" t="s">
        <v>8415</v>
      </c>
    </row>
    <row r="263" spans="1:21" s="46" customFormat="1" ht="16.5" thickTop="1" thickBot="1" x14ac:dyDescent="0.3">
      <c r="A263" s="50" t="s">
        <v>8284</v>
      </c>
      <c r="B263" s="43" t="s">
        <v>8285</v>
      </c>
      <c r="C263" s="43" t="s">
        <v>38</v>
      </c>
      <c r="D263" s="43" t="s">
        <v>17</v>
      </c>
      <c r="E263" s="43" t="s">
        <v>19</v>
      </c>
      <c r="F263" s="43" t="s">
        <v>19</v>
      </c>
      <c r="G263" s="48">
        <v>46169.706250000003</v>
      </c>
      <c r="H263" s="48">
        <v>46171.765277777777</v>
      </c>
      <c r="I263" s="43">
        <v>11</v>
      </c>
      <c r="J263" s="43" t="s">
        <v>1156</v>
      </c>
      <c r="K263" s="43" t="s">
        <v>1156</v>
      </c>
      <c r="L263" s="43" t="s">
        <v>33</v>
      </c>
      <c r="M263" s="43">
        <v>11</v>
      </c>
      <c r="N263" s="43">
        <v>11</v>
      </c>
      <c r="O263" s="43">
        <v>11</v>
      </c>
      <c r="P263" s="43" t="s">
        <v>1432</v>
      </c>
      <c r="Q263" s="43" t="s">
        <v>1517</v>
      </c>
      <c r="R263" s="43" t="s">
        <v>8286</v>
      </c>
      <c r="S263" s="52">
        <f t="shared" si="4"/>
        <v>2.06</v>
      </c>
      <c r="T263" s="47"/>
      <c r="U263" s="47"/>
    </row>
    <row r="264" spans="1:21" ht="16.5" thickTop="1" thickBot="1" x14ac:dyDescent="0.3">
      <c r="A264" s="51" t="s">
        <v>8281</v>
      </c>
      <c r="B264" s="52" t="s">
        <v>8282</v>
      </c>
      <c r="C264" s="52" t="s">
        <v>38</v>
      </c>
      <c r="D264" s="52" t="s">
        <v>34</v>
      </c>
      <c r="E264" s="52" t="s">
        <v>19</v>
      </c>
      <c r="F264" s="52" t="s">
        <v>23</v>
      </c>
      <c r="G264" s="53">
        <v>46169.769444444442</v>
      </c>
      <c r="H264" s="53">
        <v>46171.493750000001</v>
      </c>
      <c r="I264" s="52">
        <v>6</v>
      </c>
      <c r="J264" s="52" t="s">
        <v>2373</v>
      </c>
      <c r="K264" s="52" t="s">
        <v>8278</v>
      </c>
      <c r="L264" s="52" t="s">
        <v>25</v>
      </c>
      <c r="M264" s="52">
        <v>6</v>
      </c>
      <c r="N264" s="52">
        <v>1</v>
      </c>
      <c r="O264" s="52">
        <v>1</v>
      </c>
      <c r="P264" s="52" t="s">
        <v>8279</v>
      </c>
      <c r="Q264" s="52" t="s">
        <v>1517</v>
      </c>
      <c r="R264" s="52" t="s">
        <v>8283</v>
      </c>
      <c r="S264" s="52">
        <f t="shared" si="4"/>
        <v>1.72</v>
      </c>
      <c r="T264" s="52"/>
      <c r="U264" s="52"/>
    </row>
    <row r="265" spans="1:21" s="46" customFormat="1" ht="16.5" thickTop="1" thickBot="1" x14ac:dyDescent="0.3">
      <c r="A265" s="50" t="s">
        <v>8276</v>
      </c>
      <c r="B265" s="43" t="s">
        <v>8277</v>
      </c>
      <c r="C265" s="43" t="s">
        <v>38</v>
      </c>
      <c r="D265" s="43" t="s">
        <v>17</v>
      </c>
      <c r="E265" s="43" t="s">
        <v>19</v>
      </c>
      <c r="F265" s="43" t="s">
        <v>23</v>
      </c>
      <c r="G265" s="48">
        <v>46169.786805555559</v>
      </c>
      <c r="H265" s="48">
        <v>46171.494444444441</v>
      </c>
      <c r="I265" s="43">
        <v>6</v>
      </c>
      <c r="J265" s="43" t="s">
        <v>2373</v>
      </c>
      <c r="K265" s="43" t="s">
        <v>8278</v>
      </c>
      <c r="L265" s="43" t="s">
        <v>25</v>
      </c>
      <c r="M265" s="43">
        <v>6</v>
      </c>
      <c r="N265" s="43">
        <v>1</v>
      </c>
      <c r="O265" s="43">
        <v>1</v>
      </c>
      <c r="P265" s="43" t="s">
        <v>8279</v>
      </c>
      <c r="Q265" s="43" t="s">
        <v>1517</v>
      </c>
      <c r="R265" s="43" t="s">
        <v>8280</v>
      </c>
      <c r="S265" s="52">
        <f t="shared" si="4"/>
        <v>1.71</v>
      </c>
      <c r="T265" s="47"/>
      <c r="U265" s="47"/>
    </row>
    <row r="266" spans="1:21" ht="16.5" thickTop="1" thickBot="1" x14ac:dyDescent="0.3">
      <c r="A266" s="51" t="s">
        <v>8273</v>
      </c>
      <c r="B266" s="52" t="s">
        <v>8274</v>
      </c>
      <c r="C266" s="52" t="s">
        <v>38</v>
      </c>
      <c r="D266" s="52" t="s">
        <v>17</v>
      </c>
      <c r="E266" s="52" t="s">
        <v>19</v>
      </c>
      <c r="F266" s="52" t="s">
        <v>19</v>
      </c>
      <c r="G266" s="53">
        <v>46170.571527777778</v>
      </c>
      <c r="H266" s="53">
        <v>46171.839583333334</v>
      </c>
      <c r="I266" s="52">
        <v>1</v>
      </c>
      <c r="J266" s="52" t="s">
        <v>1156</v>
      </c>
      <c r="K266" s="52" t="s">
        <v>1156</v>
      </c>
      <c r="L266" s="52" t="s">
        <v>33</v>
      </c>
      <c r="M266" s="52">
        <v>1</v>
      </c>
      <c r="N266" s="52">
        <v>1</v>
      </c>
      <c r="O266" s="52">
        <v>1</v>
      </c>
      <c r="P266" s="52" t="s">
        <v>1421</v>
      </c>
      <c r="Q266" s="52" t="s">
        <v>1517</v>
      </c>
      <c r="R266" s="52" t="s">
        <v>8275</v>
      </c>
      <c r="S266" s="52">
        <f t="shared" si="4"/>
        <v>1.27</v>
      </c>
      <c r="T266" s="52"/>
      <c r="U266" s="52"/>
    </row>
    <row r="267" spans="1:21" s="46" customFormat="1" ht="16.5" thickTop="1" thickBot="1" x14ac:dyDescent="0.3">
      <c r="A267" s="50" t="s">
        <v>8269</v>
      </c>
      <c r="B267" s="43" t="s">
        <v>8270</v>
      </c>
      <c r="C267" s="43" t="s">
        <v>38</v>
      </c>
      <c r="D267" s="43" t="s">
        <v>17</v>
      </c>
      <c r="E267" s="43" t="s">
        <v>18</v>
      </c>
      <c r="F267" s="43" t="s">
        <v>32</v>
      </c>
      <c r="G267" s="48">
        <v>46170.590277777781</v>
      </c>
      <c r="H267" s="48">
        <v>46172.578472222223</v>
      </c>
      <c r="I267" s="43">
        <v>4</v>
      </c>
      <c r="J267" s="43" t="s">
        <v>1156</v>
      </c>
      <c r="K267" s="43" t="s">
        <v>1156</v>
      </c>
      <c r="L267" s="43" t="s">
        <v>33</v>
      </c>
      <c r="M267" s="43">
        <v>4</v>
      </c>
      <c r="N267" s="43">
        <v>4</v>
      </c>
      <c r="O267" s="43">
        <v>4</v>
      </c>
      <c r="P267" s="43" t="s">
        <v>8271</v>
      </c>
      <c r="Q267" s="43" t="s">
        <v>1517</v>
      </c>
      <c r="R267" s="43" t="s">
        <v>8272</v>
      </c>
      <c r="S267" s="52">
        <f t="shared" si="4"/>
        <v>1.99</v>
      </c>
      <c r="T267" s="47"/>
      <c r="U267" s="47"/>
    </row>
    <row r="268" spans="1:21" ht="16.5" thickTop="1" thickBot="1" x14ac:dyDescent="0.3">
      <c r="A268" s="51" t="s">
        <v>8266</v>
      </c>
      <c r="B268" s="52" t="s">
        <v>8267</v>
      </c>
      <c r="C268" s="52" t="s">
        <v>38</v>
      </c>
      <c r="D268" s="52" t="s">
        <v>17</v>
      </c>
      <c r="E268" s="52" t="s">
        <v>18</v>
      </c>
      <c r="F268" s="52" t="s">
        <v>32</v>
      </c>
      <c r="G268" s="53">
        <v>46170.594444444447</v>
      </c>
      <c r="H268" s="53">
        <v>46174.78402777778</v>
      </c>
      <c r="I268" s="52">
        <v>45</v>
      </c>
      <c r="J268" s="52" t="s">
        <v>1156</v>
      </c>
      <c r="K268" s="52" t="s">
        <v>1156</v>
      </c>
      <c r="L268" s="52" t="s">
        <v>33</v>
      </c>
      <c r="M268" s="52">
        <v>42</v>
      </c>
      <c r="N268" s="52">
        <v>42</v>
      </c>
      <c r="O268" s="52">
        <v>45</v>
      </c>
      <c r="P268" s="52" t="s">
        <v>1431</v>
      </c>
      <c r="Q268" s="52" t="s">
        <v>1517</v>
      </c>
      <c r="R268" s="52" t="s">
        <v>8268</v>
      </c>
      <c r="S268" s="52">
        <f t="shared" si="4"/>
        <v>4.1900000000000004</v>
      </c>
      <c r="T268" s="52"/>
      <c r="U268" s="52"/>
    </row>
    <row r="269" spans="1:21" s="46" customFormat="1" ht="16.5" thickTop="1" thickBot="1" x14ac:dyDescent="0.3">
      <c r="A269" s="50" t="s">
        <v>8262</v>
      </c>
      <c r="B269" s="43" t="s">
        <v>8263</v>
      </c>
      <c r="C269" s="43" t="s">
        <v>38</v>
      </c>
      <c r="D269" s="43" t="s">
        <v>17</v>
      </c>
      <c r="E269" s="43" t="s">
        <v>19</v>
      </c>
      <c r="F269" s="43" t="s">
        <v>21</v>
      </c>
      <c r="G269" s="48">
        <v>46171.681944444441</v>
      </c>
      <c r="H269" s="48">
        <v>46174.422222222223</v>
      </c>
      <c r="I269" s="43">
        <v>5</v>
      </c>
      <c r="J269" s="43" t="s">
        <v>2373</v>
      </c>
      <c r="K269" s="43" t="s">
        <v>8264</v>
      </c>
      <c r="L269" s="43" t="s">
        <v>25</v>
      </c>
      <c r="M269" s="43">
        <v>0</v>
      </c>
      <c r="N269" s="43">
        <v>0</v>
      </c>
      <c r="O269" s="43">
        <v>5</v>
      </c>
      <c r="P269" s="43" t="s">
        <v>1412</v>
      </c>
      <c r="Q269" s="43" t="s">
        <v>1517</v>
      </c>
      <c r="R269" s="43" t="s">
        <v>8265</v>
      </c>
      <c r="S269" s="52">
        <f t="shared" si="4"/>
        <v>2.74</v>
      </c>
      <c r="T269" s="47"/>
      <c r="U269" s="47"/>
    </row>
    <row r="270" spans="1:21" ht="16.5" thickTop="1" thickBot="1" x14ac:dyDescent="0.3">
      <c r="A270" s="51" t="s">
        <v>8259</v>
      </c>
      <c r="B270" s="52" t="s">
        <v>8260</v>
      </c>
      <c r="C270" s="52" t="s">
        <v>38</v>
      </c>
      <c r="D270" s="52" t="s">
        <v>17</v>
      </c>
      <c r="E270" s="52" t="s">
        <v>19</v>
      </c>
      <c r="F270" s="52" t="s">
        <v>19</v>
      </c>
      <c r="G270" s="53">
        <v>46171.708333333336</v>
      </c>
      <c r="H270" s="53">
        <v>46172.572222222225</v>
      </c>
      <c r="I270" s="52">
        <v>1</v>
      </c>
      <c r="J270" s="52" t="s">
        <v>1156</v>
      </c>
      <c r="K270" s="52" t="s">
        <v>1156</v>
      </c>
      <c r="L270" s="52" t="s">
        <v>33</v>
      </c>
      <c r="M270" s="52">
        <v>1</v>
      </c>
      <c r="N270" s="52">
        <v>1</v>
      </c>
      <c r="O270" s="52">
        <v>1</v>
      </c>
      <c r="P270" s="52" t="s">
        <v>1437</v>
      </c>
      <c r="Q270" s="52" t="s">
        <v>1517</v>
      </c>
      <c r="R270" s="52" t="s">
        <v>8261</v>
      </c>
      <c r="S270" s="52">
        <f t="shared" si="4"/>
        <v>0.86</v>
      </c>
      <c r="T270" s="52"/>
      <c r="U270" s="52"/>
    </row>
    <row r="271" spans="1:21" s="46" customFormat="1" ht="16.5" thickTop="1" thickBot="1" x14ac:dyDescent="0.3">
      <c r="A271" s="50" t="s">
        <v>8255</v>
      </c>
      <c r="B271" s="43" t="s">
        <v>8256</v>
      </c>
      <c r="C271" s="43" t="s">
        <v>38</v>
      </c>
      <c r="D271" s="43" t="s">
        <v>17</v>
      </c>
      <c r="E271" s="43" t="s">
        <v>19</v>
      </c>
      <c r="F271" s="43" t="s">
        <v>21</v>
      </c>
      <c r="G271" s="48">
        <v>46171.724999999999</v>
      </c>
      <c r="H271" s="48">
        <v>46177.441666666666</v>
      </c>
      <c r="I271" s="43">
        <v>492</v>
      </c>
      <c r="J271" s="43" t="s">
        <v>1156</v>
      </c>
      <c r="K271" s="43" t="s">
        <v>1156</v>
      </c>
      <c r="L271" s="43" t="s">
        <v>20</v>
      </c>
      <c r="M271" s="43">
        <v>467</v>
      </c>
      <c r="N271" s="43">
        <v>78</v>
      </c>
      <c r="O271" s="43">
        <v>82</v>
      </c>
      <c r="P271" s="43" t="s">
        <v>8257</v>
      </c>
      <c r="Q271" s="43" t="s">
        <v>1514</v>
      </c>
      <c r="R271" s="43" t="s">
        <v>8258</v>
      </c>
      <c r="S271" s="52">
        <f t="shared" si="4"/>
        <v>5.72</v>
      </c>
      <c r="T271" s="47"/>
      <c r="U271" s="47"/>
    </row>
    <row r="272" spans="1:21" ht="16.5" thickTop="1" thickBot="1" x14ac:dyDescent="0.3">
      <c r="A272" s="51" t="s">
        <v>8358</v>
      </c>
      <c r="B272" s="52" t="s">
        <v>8363</v>
      </c>
      <c r="C272" s="52" t="s">
        <v>38</v>
      </c>
      <c r="D272" s="52" t="s">
        <v>17</v>
      </c>
      <c r="E272" s="52" t="s">
        <v>19</v>
      </c>
      <c r="F272" s="52" t="s">
        <v>21</v>
      </c>
      <c r="G272" s="53">
        <v>46172.552777777775</v>
      </c>
      <c r="H272" s="53">
        <v>46176.456944444442</v>
      </c>
      <c r="I272" s="52">
        <v>40</v>
      </c>
      <c r="J272" s="52" t="s">
        <v>1156</v>
      </c>
      <c r="K272" s="52" t="s">
        <v>1156</v>
      </c>
      <c r="L272" s="52" t="s">
        <v>36</v>
      </c>
      <c r="M272" s="52">
        <v>40</v>
      </c>
      <c r="N272" s="52">
        <v>40</v>
      </c>
      <c r="O272" s="52">
        <v>40</v>
      </c>
      <c r="P272" s="52" t="s">
        <v>8366</v>
      </c>
      <c r="Q272" s="52" t="s">
        <v>1514</v>
      </c>
      <c r="R272" s="52" t="s">
        <v>884</v>
      </c>
      <c r="S272" s="52">
        <f t="shared" si="4"/>
        <v>3.9</v>
      </c>
      <c r="T272" s="52"/>
      <c r="U272" s="52"/>
    </row>
    <row r="273" spans="1:21" s="46" customFormat="1" ht="16.5" thickTop="1" thickBot="1" x14ac:dyDescent="0.3">
      <c r="A273" s="50" t="s">
        <v>8357</v>
      </c>
      <c r="B273" s="43" t="s">
        <v>8362</v>
      </c>
      <c r="C273" s="43" t="s">
        <v>38</v>
      </c>
      <c r="D273" s="43" t="s">
        <v>17</v>
      </c>
      <c r="E273" s="43" t="s">
        <v>19</v>
      </c>
      <c r="F273" s="43" t="s">
        <v>21</v>
      </c>
      <c r="G273" s="48">
        <v>46172.575694444444</v>
      </c>
      <c r="H273" s="48">
        <v>46175.486111111109</v>
      </c>
      <c r="I273" s="43">
        <v>21</v>
      </c>
      <c r="J273" s="43" t="s">
        <v>1156</v>
      </c>
      <c r="K273" s="43" t="s">
        <v>1156</v>
      </c>
      <c r="L273" s="43" t="s">
        <v>33</v>
      </c>
      <c r="M273" s="43">
        <v>21</v>
      </c>
      <c r="N273" s="43">
        <v>21</v>
      </c>
      <c r="O273" s="43">
        <v>21</v>
      </c>
      <c r="P273" s="43" t="s">
        <v>8365</v>
      </c>
      <c r="Q273" s="43" t="s">
        <v>1517</v>
      </c>
      <c r="R273" s="43" t="s">
        <v>884</v>
      </c>
      <c r="S273" s="52">
        <f t="shared" si="4"/>
        <v>2.91</v>
      </c>
      <c r="T273" s="47"/>
      <c r="U273" s="47"/>
    </row>
    <row r="274" spans="1:21" ht="16.5" thickTop="1" thickBot="1" x14ac:dyDescent="0.3">
      <c r="A274" s="51" t="s">
        <v>8356</v>
      </c>
      <c r="B274" s="52" t="s">
        <v>8361</v>
      </c>
      <c r="C274" s="52" t="s">
        <v>38</v>
      </c>
      <c r="D274" s="52" t="s">
        <v>17</v>
      </c>
      <c r="E274" s="52" t="s">
        <v>18</v>
      </c>
      <c r="F274" s="52" t="s">
        <v>41</v>
      </c>
      <c r="G274" s="53">
        <v>46172.912499999999</v>
      </c>
      <c r="H274" s="53">
        <v>46175.504166666666</v>
      </c>
      <c r="I274" s="52">
        <v>120</v>
      </c>
      <c r="J274" s="52" t="s">
        <v>1156</v>
      </c>
      <c r="K274" s="52" t="s">
        <v>1156</v>
      </c>
      <c r="L274" s="52" t="s">
        <v>20</v>
      </c>
      <c r="M274" s="52">
        <v>120</v>
      </c>
      <c r="N274" s="52">
        <v>20</v>
      </c>
      <c r="O274" s="52">
        <v>20</v>
      </c>
      <c r="P274" s="52" t="s">
        <v>1474</v>
      </c>
      <c r="Q274" s="52" t="s">
        <v>1517</v>
      </c>
      <c r="R274" s="52" t="s">
        <v>884</v>
      </c>
      <c r="S274" s="52">
        <f t="shared" si="4"/>
        <v>2.59</v>
      </c>
      <c r="T274" s="52"/>
      <c r="U274" s="52"/>
    </row>
    <row r="275" spans="1:21" s="46" customFormat="1" ht="16.5" thickTop="1" thickBot="1" x14ac:dyDescent="0.3">
      <c r="A275" s="50" t="s">
        <v>8355</v>
      </c>
      <c r="B275" s="43" t="s">
        <v>8360</v>
      </c>
      <c r="C275" s="43" t="s">
        <v>38</v>
      </c>
      <c r="D275" s="43" t="s">
        <v>17</v>
      </c>
      <c r="E275" s="43" t="s">
        <v>19</v>
      </c>
      <c r="F275" s="43" t="s">
        <v>21</v>
      </c>
      <c r="G275" s="48">
        <v>46172.913888888892</v>
      </c>
      <c r="H275" s="48">
        <v>46177.463194444441</v>
      </c>
      <c r="I275" s="43">
        <v>542</v>
      </c>
      <c r="J275" s="43" t="s">
        <v>1156</v>
      </c>
      <c r="K275" s="43" t="s">
        <v>8364</v>
      </c>
      <c r="L275" s="43" t="s">
        <v>20</v>
      </c>
      <c r="M275" s="43">
        <v>84</v>
      </c>
      <c r="N275" s="43">
        <v>14</v>
      </c>
      <c r="O275" s="43">
        <v>88</v>
      </c>
      <c r="P275" s="43" t="s">
        <v>1416</v>
      </c>
      <c r="Q275" s="43" t="s">
        <v>1517</v>
      </c>
      <c r="R275" s="43" t="s">
        <v>884</v>
      </c>
      <c r="S275" s="52">
        <f t="shared" si="4"/>
        <v>4.55</v>
      </c>
      <c r="T275" s="47"/>
      <c r="U275" s="47"/>
    </row>
    <row r="276" spans="1:21" ht="16.5" thickTop="1" thickBot="1" x14ac:dyDescent="0.3">
      <c r="A276" s="51" t="s">
        <v>8354</v>
      </c>
      <c r="B276" s="52" t="s">
        <v>8359</v>
      </c>
      <c r="C276" s="52" t="s">
        <v>38</v>
      </c>
      <c r="D276" s="52" t="s">
        <v>17</v>
      </c>
      <c r="E276" s="52" t="s">
        <v>18</v>
      </c>
      <c r="F276" s="52" t="s">
        <v>41</v>
      </c>
      <c r="G276" s="53">
        <v>46172.925694444442</v>
      </c>
      <c r="H276" s="53">
        <v>46174.488194444442</v>
      </c>
      <c r="I276" s="52">
        <v>216</v>
      </c>
      <c r="J276" s="52" t="s">
        <v>1156</v>
      </c>
      <c r="K276" s="52" t="s">
        <v>1156</v>
      </c>
      <c r="L276" s="52" t="s">
        <v>20</v>
      </c>
      <c r="M276" s="52">
        <v>0</v>
      </c>
      <c r="N276" s="52">
        <v>0</v>
      </c>
      <c r="O276" s="52">
        <v>36</v>
      </c>
      <c r="P276" s="52" t="s">
        <v>1442</v>
      </c>
      <c r="Q276" s="52" t="s">
        <v>1514</v>
      </c>
      <c r="R276" s="52" t="s">
        <v>884</v>
      </c>
      <c r="S276" s="52">
        <f t="shared" si="4"/>
        <v>1.56</v>
      </c>
      <c r="T276" s="52"/>
      <c r="U276" s="52"/>
    </row>
    <row r="277" spans="1:21" s="46" customFormat="1" ht="16.5" thickTop="1" thickBot="1" x14ac:dyDescent="0.3">
      <c r="A277" s="50" t="s">
        <v>8434</v>
      </c>
      <c r="B277" s="43" t="s">
        <v>8435</v>
      </c>
      <c r="C277" s="43" t="s">
        <v>38</v>
      </c>
      <c r="D277" s="43" t="s">
        <v>17</v>
      </c>
      <c r="E277" s="43" t="s">
        <v>19</v>
      </c>
      <c r="F277" s="43" t="s">
        <v>21</v>
      </c>
      <c r="G277" s="48">
        <v>46174.463888888888</v>
      </c>
      <c r="H277" s="48">
        <v>46184.805555555555</v>
      </c>
      <c r="I277" s="43">
        <v>422</v>
      </c>
      <c r="J277" s="43" t="s">
        <v>1156</v>
      </c>
      <c r="K277" s="43" t="s">
        <v>8294</v>
      </c>
      <c r="L277" s="43" t="s">
        <v>20</v>
      </c>
      <c r="M277" s="43">
        <v>373</v>
      </c>
      <c r="N277" s="43">
        <v>78</v>
      </c>
      <c r="O277" s="43">
        <v>82</v>
      </c>
      <c r="P277" s="43" t="s">
        <v>1410</v>
      </c>
      <c r="Q277" s="43" t="s">
        <v>1546</v>
      </c>
      <c r="R277" s="43" t="s">
        <v>8436</v>
      </c>
      <c r="S277" s="52">
        <f t="shared" si="4"/>
        <v>10.34</v>
      </c>
      <c r="T277" s="47"/>
      <c r="U277" s="47"/>
    </row>
    <row r="278" spans="1:21" ht="16.5" thickTop="1" thickBot="1" x14ac:dyDescent="0.3">
      <c r="A278" s="51" t="s">
        <v>8437</v>
      </c>
      <c r="B278" s="52" t="s">
        <v>8438</v>
      </c>
      <c r="C278" s="52" t="s">
        <v>38</v>
      </c>
      <c r="D278" s="52" t="s">
        <v>17</v>
      </c>
      <c r="E278" s="52" t="s">
        <v>18</v>
      </c>
      <c r="F278" s="52" t="s">
        <v>42</v>
      </c>
      <c r="G278" s="53">
        <v>46174.748611111114</v>
      </c>
      <c r="H278" s="53">
        <v>46177.486111111109</v>
      </c>
      <c r="I278" s="52">
        <v>61</v>
      </c>
      <c r="J278" s="52" t="s">
        <v>1156</v>
      </c>
      <c r="K278" s="52" t="s">
        <v>1156</v>
      </c>
      <c r="L278" s="52" t="s">
        <v>36</v>
      </c>
      <c r="M278" s="52">
        <v>28</v>
      </c>
      <c r="N278" s="52">
        <v>28</v>
      </c>
      <c r="O278" s="52">
        <v>61</v>
      </c>
      <c r="P278" s="52" t="s">
        <v>8439</v>
      </c>
      <c r="Q278" s="52" t="s">
        <v>1517</v>
      </c>
      <c r="R278" s="52" t="s">
        <v>8440</v>
      </c>
      <c r="S278" s="52">
        <f t="shared" si="4"/>
        <v>2.74</v>
      </c>
      <c r="T278" s="52"/>
      <c r="U278" s="52"/>
    </row>
    <row r="279" spans="1:21" s="46" customFormat="1" ht="16.5" thickTop="1" thickBot="1" x14ac:dyDescent="0.3">
      <c r="A279" s="50" t="s">
        <v>8441</v>
      </c>
      <c r="B279" s="43" t="s">
        <v>8442</v>
      </c>
      <c r="C279" s="43" t="s">
        <v>38</v>
      </c>
      <c r="D279" s="43" t="s">
        <v>17</v>
      </c>
      <c r="E279" s="43" t="s">
        <v>19</v>
      </c>
      <c r="F279" s="43" t="s">
        <v>21</v>
      </c>
      <c r="G279" s="48">
        <v>46174.779861111114</v>
      </c>
      <c r="H279" s="48">
        <v>46176.464583333334</v>
      </c>
      <c r="I279" s="43">
        <v>1222</v>
      </c>
      <c r="J279" s="43" t="s">
        <v>1156</v>
      </c>
      <c r="K279" s="43" t="s">
        <v>1156</v>
      </c>
      <c r="L279" s="43" t="s">
        <v>20</v>
      </c>
      <c r="M279" s="43">
        <v>1216</v>
      </c>
      <c r="N279" s="43">
        <v>229</v>
      </c>
      <c r="O279" s="43">
        <v>230</v>
      </c>
      <c r="P279" s="43" t="s">
        <v>8443</v>
      </c>
      <c r="Q279" s="43" t="s">
        <v>1517</v>
      </c>
      <c r="R279" s="43" t="s">
        <v>8444</v>
      </c>
      <c r="S279" s="52">
        <f t="shared" si="4"/>
        <v>1.68</v>
      </c>
      <c r="T279" s="47"/>
      <c r="U279" s="47"/>
    </row>
    <row r="280" spans="1:21" ht="16.5" thickTop="1" thickBot="1" x14ac:dyDescent="0.3">
      <c r="A280" s="51" t="s">
        <v>8445</v>
      </c>
      <c r="B280" s="52" t="s">
        <v>8446</v>
      </c>
      <c r="C280" s="52" t="s">
        <v>38</v>
      </c>
      <c r="D280" s="52" t="s">
        <v>17</v>
      </c>
      <c r="E280" s="52" t="s">
        <v>19</v>
      </c>
      <c r="F280" s="52" t="s">
        <v>21</v>
      </c>
      <c r="G280" s="53">
        <v>46174.789583333331</v>
      </c>
      <c r="H280" s="53">
        <v>46177.532638888886</v>
      </c>
      <c r="I280" s="52">
        <v>15</v>
      </c>
      <c r="J280" s="52" t="s">
        <v>1156</v>
      </c>
      <c r="K280" s="52" t="s">
        <v>1156</v>
      </c>
      <c r="L280" s="52" t="s">
        <v>25</v>
      </c>
      <c r="M280" s="52">
        <v>15</v>
      </c>
      <c r="N280" s="52">
        <v>3</v>
      </c>
      <c r="O280" s="52">
        <v>3</v>
      </c>
      <c r="P280" s="52" t="s">
        <v>1408</v>
      </c>
      <c r="Q280" s="52" t="s">
        <v>1517</v>
      </c>
      <c r="R280" s="52" t="s">
        <v>8447</v>
      </c>
      <c r="S280" s="52">
        <f t="shared" si="4"/>
        <v>2.74</v>
      </c>
      <c r="T280" s="52"/>
      <c r="U280" s="52"/>
    </row>
    <row r="281" spans="1:21" s="46" customFormat="1" ht="16.5" thickTop="1" thickBot="1" x14ac:dyDescent="0.3">
      <c r="A281" s="50" t="s">
        <v>8448</v>
      </c>
      <c r="B281" s="43" t="s">
        <v>8449</v>
      </c>
      <c r="C281" s="43" t="s">
        <v>38</v>
      </c>
      <c r="D281" s="43" t="s">
        <v>17</v>
      </c>
      <c r="E281" s="43" t="s">
        <v>18</v>
      </c>
      <c r="F281" s="43" t="s">
        <v>42</v>
      </c>
      <c r="G281" s="48">
        <v>46174.793749999997</v>
      </c>
      <c r="H281" s="48">
        <v>46176.472222222219</v>
      </c>
      <c r="I281" s="43">
        <v>1</v>
      </c>
      <c r="J281" s="43" t="s">
        <v>1156</v>
      </c>
      <c r="K281" s="43" t="s">
        <v>1156</v>
      </c>
      <c r="L281" s="43" t="s">
        <v>33</v>
      </c>
      <c r="M281" s="43">
        <v>1</v>
      </c>
      <c r="N281" s="43">
        <v>1</v>
      </c>
      <c r="O281" s="43">
        <v>1</v>
      </c>
      <c r="P281" s="43" t="s">
        <v>8450</v>
      </c>
      <c r="Q281" s="43" t="s">
        <v>1517</v>
      </c>
      <c r="R281" s="43" t="s">
        <v>8451</v>
      </c>
      <c r="S281" s="52">
        <f t="shared" si="4"/>
        <v>1.68</v>
      </c>
      <c r="T281" s="47"/>
      <c r="U281" s="47"/>
    </row>
    <row r="282" spans="1:21" ht="16.5" thickTop="1" thickBot="1" x14ac:dyDescent="0.3">
      <c r="A282" s="51" t="s">
        <v>8452</v>
      </c>
      <c r="B282" s="52" t="s">
        <v>8453</v>
      </c>
      <c r="C282" s="52" t="s">
        <v>38</v>
      </c>
      <c r="D282" s="52" t="s">
        <v>17</v>
      </c>
      <c r="E282" s="52" t="s">
        <v>18</v>
      </c>
      <c r="F282" s="52" t="s">
        <v>42</v>
      </c>
      <c r="G282" s="53">
        <v>46174.796527777777</v>
      </c>
      <c r="H282" s="53">
        <v>46177.56527777778</v>
      </c>
      <c r="I282" s="52">
        <v>123</v>
      </c>
      <c r="J282" s="52" t="s">
        <v>1156</v>
      </c>
      <c r="K282" s="52" t="s">
        <v>1156</v>
      </c>
      <c r="L282" s="52" t="s">
        <v>36</v>
      </c>
      <c r="M282" s="52">
        <v>122</v>
      </c>
      <c r="N282" s="52">
        <v>122</v>
      </c>
      <c r="O282" s="52">
        <v>123</v>
      </c>
      <c r="P282" s="52" t="s">
        <v>8454</v>
      </c>
      <c r="Q282" s="52" t="s">
        <v>1517</v>
      </c>
      <c r="R282" s="52" t="s">
        <v>8455</v>
      </c>
      <c r="S282" s="52">
        <f t="shared" si="4"/>
        <v>2.77</v>
      </c>
      <c r="T282" s="52"/>
      <c r="U282" s="52"/>
    </row>
    <row r="283" spans="1:21" s="46" customFormat="1" ht="16.5" thickTop="1" thickBot="1" x14ac:dyDescent="0.3">
      <c r="A283" s="50" t="s">
        <v>8456</v>
      </c>
      <c r="B283" s="43" t="s">
        <v>8457</v>
      </c>
      <c r="C283" s="43" t="s">
        <v>38</v>
      </c>
      <c r="D283" s="43" t="s">
        <v>17</v>
      </c>
      <c r="E283" s="43" t="s">
        <v>18</v>
      </c>
      <c r="F283" s="43" t="s">
        <v>42</v>
      </c>
      <c r="G283" s="48">
        <v>46174.798611111109</v>
      </c>
      <c r="H283" s="48">
        <v>46176.479861111111</v>
      </c>
      <c r="I283" s="43">
        <v>240</v>
      </c>
      <c r="J283" s="43" t="s">
        <v>1156</v>
      </c>
      <c r="K283" s="43" t="s">
        <v>1156</v>
      </c>
      <c r="L283" s="43" t="s">
        <v>36</v>
      </c>
      <c r="M283" s="43">
        <v>238</v>
      </c>
      <c r="N283" s="43">
        <v>238</v>
      </c>
      <c r="O283" s="43">
        <v>240</v>
      </c>
      <c r="P283" s="43" t="s">
        <v>1429</v>
      </c>
      <c r="Q283" s="43" t="s">
        <v>1517</v>
      </c>
      <c r="R283" s="43" t="s">
        <v>8458</v>
      </c>
      <c r="S283" s="52">
        <f t="shared" si="4"/>
        <v>1.68</v>
      </c>
      <c r="T283" s="47"/>
      <c r="U283" s="47"/>
    </row>
    <row r="284" spans="1:21" ht="16.5" thickTop="1" thickBot="1" x14ac:dyDescent="0.3">
      <c r="A284" s="51" t="s">
        <v>8459</v>
      </c>
      <c r="B284" s="52" t="s">
        <v>8460</v>
      </c>
      <c r="C284" s="52" t="s">
        <v>38</v>
      </c>
      <c r="D284" s="52" t="s">
        <v>17</v>
      </c>
      <c r="E284" s="52" t="s">
        <v>19</v>
      </c>
      <c r="F284" s="52" t="s">
        <v>21</v>
      </c>
      <c r="G284" s="53">
        <v>46174.802083333336</v>
      </c>
      <c r="H284" s="53">
        <v>46176.490972222222</v>
      </c>
      <c r="I284" s="52">
        <v>117</v>
      </c>
      <c r="J284" s="52" t="s">
        <v>1156</v>
      </c>
      <c r="K284" s="52" t="s">
        <v>8294</v>
      </c>
      <c r="L284" s="52" t="s">
        <v>20</v>
      </c>
      <c r="M284" s="52">
        <v>114</v>
      </c>
      <c r="N284" s="52">
        <v>19</v>
      </c>
      <c r="O284" s="52">
        <v>19</v>
      </c>
      <c r="P284" s="52" t="s">
        <v>8461</v>
      </c>
      <c r="Q284" s="52" t="s">
        <v>1546</v>
      </c>
      <c r="R284" s="52" t="s">
        <v>8462</v>
      </c>
      <c r="S284" s="52">
        <f t="shared" si="4"/>
        <v>1.69</v>
      </c>
      <c r="T284" s="52"/>
      <c r="U284" s="52"/>
    </row>
    <row r="285" spans="1:21" s="46" customFormat="1" ht="16.5" thickTop="1" thickBot="1" x14ac:dyDescent="0.3">
      <c r="A285" s="50" t="s">
        <v>8463</v>
      </c>
      <c r="B285" s="43" t="s">
        <v>8464</v>
      </c>
      <c r="C285" s="43" t="s">
        <v>38</v>
      </c>
      <c r="D285" s="43" t="s">
        <v>17</v>
      </c>
      <c r="E285" s="43" t="s">
        <v>18</v>
      </c>
      <c r="F285" s="43" t="s">
        <v>42</v>
      </c>
      <c r="G285" s="48">
        <v>46174.806944444441</v>
      </c>
      <c r="H285" s="48">
        <v>46175.796527777777</v>
      </c>
      <c r="I285" s="43">
        <v>6</v>
      </c>
      <c r="J285" s="43" t="s">
        <v>2373</v>
      </c>
      <c r="K285" s="43" t="s">
        <v>8317</v>
      </c>
      <c r="L285" s="43" t="s">
        <v>33</v>
      </c>
      <c r="M285" s="43">
        <v>6</v>
      </c>
      <c r="N285" s="43">
        <v>6</v>
      </c>
      <c r="O285" s="43">
        <v>6</v>
      </c>
      <c r="P285" s="43" t="s">
        <v>1942</v>
      </c>
      <c r="Q285" s="43" t="s">
        <v>1546</v>
      </c>
      <c r="R285" s="43" t="s">
        <v>8465</v>
      </c>
      <c r="S285" s="52">
        <f t="shared" si="4"/>
        <v>0.99</v>
      </c>
      <c r="T285" s="47"/>
      <c r="U285" s="47"/>
    </row>
    <row r="286" spans="1:21" ht="16.5" thickTop="1" thickBot="1" x14ac:dyDescent="0.3">
      <c r="A286" s="51" t="s">
        <v>8466</v>
      </c>
      <c r="B286" s="52" t="s">
        <v>8467</v>
      </c>
      <c r="C286" s="52" t="s">
        <v>39</v>
      </c>
      <c r="D286" s="52" t="s">
        <v>17</v>
      </c>
      <c r="E286" s="52" t="s">
        <v>18</v>
      </c>
      <c r="F286" s="52" t="s">
        <v>42</v>
      </c>
      <c r="G286" s="53">
        <v>46175.487500000003</v>
      </c>
      <c r="H286" s="53">
        <v>46179.759722222225</v>
      </c>
      <c r="I286" s="52">
        <v>2</v>
      </c>
      <c r="J286" s="52" t="s">
        <v>1156</v>
      </c>
      <c r="K286" s="52" t="s">
        <v>1156</v>
      </c>
      <c r="L286" s="52" t="s">
        <v>44</v>
      </c>
      <c r="M286" s="52">
        <v>0</v>
      </c>
      <c r="N286" s="52">
        <v>0</v>
      </c>
      <c r="O286" s="52">
        <v>2</v>
      </c>
      <c r="P286" s="52" t="s">
        <v>8468</v>
      </c>
      <c r="Q286" s="52" t="s">
        <v>1517</v>
      </c>
      <c r="R286" s="52" t="s">
        <v>8469</v>
      </c>
      <c r="S286" s="52">
        <f t="shared" si="4"/>
        <v>4.2699999999999996</v>
      </c>
      <c r="T286" s="52"/>
      <c r="U286" s="52"/>
    </row>
    <row r="287" spans="1:21" s="46" customFormat="1" ht="16.5" thickTop="1" thickBot="1" x14ac:dyDescent="0.3">
      <c r="A287" s="50" t="s">
        <v>8470</v>
      </c>
      <c r="B287" s="43" t="s">
        <v>8471</v>
      </c>
      <c r="C287" s="43" t="s">
        <v>38</v>
      </c>
      <c r="D287" s="43" t="s">
        <v>17</v>
      </c>
      <c r="E287" s="43" t="s">
        <v>18</v>
      </c>
      <c r="F287" s="43" t="s">
        <v>42</v>
      </c>
      <c r="G287" s="48">
        <v>46175.62222222222</v>
      </c>
      <c r="H287" s="48">
        <v>46177.586111111108</v>
      </c>
      <c r="I287" s="43">
        <v>14</v>
      </c>
      <c r="J287" s="43" t="s">
        <v>1156</v>
      </c>
      <c r="K287" s="43" t="s">
        <v>1156</v>
      </c>
      <c r="L287" s="43" t="s">
        <v>33</v>
      </c>
      <c r="M287" s="43">
        <v>14</v>
      </c>
      <c r="N287" s="43">
        <v>14</v>
      </c>
      <c r="O287" s="43">
        <v>14</v>
      </c>
      <c r="P287" s="43" t="s">
        <v>1453</v>
      </c>
      <c r="Q287" s="43" t="s">
        <v>1517</v>
      </c>
      <c r="R287" s="43" t="s">
        <v>8472</v>
      </c>
      <c r="S287" s="52">
        <f t="shared" si="4"/>
        <v>1.96</v>
      </c>
      <c r="T287" s="47"/>
      <c r="U287" s="47"/>
    </row>
    <row r="288" spans="1:21" ht="16.5" thickTop="1" thickBot="1" x14ac:dyDescent="0.3">
      <c r="A288" s="51" t="s">
        <v>8473</v>
      </c>
      <c r="B288" s="52" t="s">
        <v>8474</v>
      </c>
      <c r="C288" s="52" t="s">
        <v>38</v>
      </c>
      <c r="D288" s="52" t="s">
        <v>17</v>
      </c>
      <c r="E288" s="52" t="s">
        <v>21</v>
      </c>
      <c r="F288" s="52" t="s">
        <v>42</v>
      </c>
      <c r="G288" s="53">
        <v>46175.727777777778</v>
      </c>
      <c r="H288" s="53">
        <v>46177.581944444442</v>
      </c>
      <c r="I288" s="52">
        <v>5</v>
      </c>
      <c r="J288" s="52" t="s">
        <v>2373</v>
      </c>
      <c r="K288" s="52" t="s">
        <v>8333</v>
      </c>
      <c r="L288" s="52" t="s">
        <v>8475</v>
      </c>
      <c r="M288" s="52">
        <v>5</v>
      </c>
      <c r="N288" s="52">
        <v>5</v>
      </c>
      <c r="O288" s="52">
        <v>5</v>
      </c>
      <c r="P288" s="52" t="s">
        <v>1999</v>
      </c>
      <c r="Q288" s="52" t="s">
        <v>1517</v>
      </c>
      <c r="R288" s="52" t="s">
        <v>8476</v>
      </c>
      <c r="S288" s="52">
        <f t="shared" si="4"/>
        <v>1.85</v>
      </c>
      <c r="T288" s="52"/>
      <c r="U288" s="52"/>
    </row>
    <row r="289" spans="1:21" s="46" customFormat="1" ht="16.5" thickTop="1" thickBot="1" x14ac:dyDescent="0.3">
      <c r="A289" s="50" t="s">
        <v>8477</v>
      </c>
      <c r="B289" s="43" t="s">
        <v>8478</v>
      </c>
      <c r="C289" s="43" t="s">
        <v>38</v>
      </c>
      <c r="D289" s="43" t="s">
        <v>17</v>
      </c>
      <c r="E289" s="43" t="s">
        <v>18</v>
      </c>
      <c r="F289" s="43" t="s">
        <v>42</v>
      </c>
      <c r="G289" s="48">
        <v>46175.734722222223</v>
      </c>
      <c r="H289" s="48">
        <v>46186.427777777775</v>
      </c>
      <c r="I289" s="43">
        <v>2</v>
      </c>
      <c r="J289" s="43" t="s">
        <v>1156</v>
      </c>
      <c r="K289" s="43" t="s">
        <v>8331</v>
      </c>
      <c r="L289" s="43" t="s">
        <v>33</v>
      </c>
      <c r="M289" s="43">
        <v>2</v>
      </c>
      <c r="N289" s="43">
        <v>2</v>
      </c>
      <c r="O289" s="43">
        <v>2</v>
      </c>
      <c r="P289" s="43" t="s">
        <v>8479</v>
      </c>
      <c r="Q289" s="43" t="s">
        <v>1546</v>
      </c>
      <c r="R289" s="43" t="s">
        <v>8480</v>
      </c>
      <c r="S289" s="52">
        <f t="shared" si="4"/>
        <v>10.69</v>
      </c>
      <c r="T289" s="47"/>
      <c r="U289" s="47"/>
    </row>
    <row r="290" spans="1:21" ht="16.5" thickTop="1" thickBot="1" x14ac:dyDescent="0.3">
      <c r="A290" s="51" t="s">
        <v>8481</v>
      </c>
      <c r="B290" s="52" t="s">
        <v>8482</v>
      </c>
      <c r="C290" s="52" t="s">
        <v>38</v>
      </c>
      <c r="D290" s="52" t="s">
        <v>17</v>
      </c>
      <c r="E290" s="52" t="s">
        <v>18</v>
      </c>
      <c r="F290" s="52" t="s">
        <v>42</v>
      </c>
      <c r="G290" s="53">
        <v>46175.74722222222</v>
      </c>
      <c r="H290" s="53">
        <v>46178.532638888886</v>
      </c>
      <c r="I290" s="52">
        <v>696</v>
      </c>
      <c r="J290" s="52" t="s">
        <v>2373</v>
      </c>
      <c r="K290" s="52" t="s">
        <v>8333</v>
      </c>
      <c r="L290" s="52" t="s">
        <v>25</v>
      </c>
      <c r="M290" s="52">
        <v>696</v>
      </c>
      <c r="N290" s="52">
        <v>118</v>
      </c>
      <c r="O290" s="52">
        <v>118</v>
      </c>
      <c r="P290" s="52" t="s">
        <v>1446</v>
      </c>
      <c r="Q290" s="52" t="s">
        <v>1517</v>
      </c>
      <c r="R290" s="52" t="s">
        <v>8483</v>
      </c>
      <c r="S290" s="52">
        <f t="shared" si="4"/>
        <v>2.79</v>
      </c>
      <c r="T290" s="52"/>
      <c r="U290" s="52"/>
    </row>
    <row r="291" spans="1:21" s="46" customFormat="1" ht="16.5" thickTop="1" thickBot="1" x14ac:dyDescent="0.3">
      <c r="A291" s="50" t="s">
        <v>8484</v>
      </c>
      <c r="B291" s="43" t="s">
        <v>8485</v>
      </c>
      <c r="C291" s="43" t="s">
        <v>38</v>
      </c>
      <c r="D291" s="43" t="s">
        <v>17</v>
      </c>
      <c r="E291" s="43" t="s">
        <v>18</v>
      </c>
      <c r="F291" s="43" t="s">
        <v>42</v>
      </c>
      <c r="G291" s="48">
        <v>46175.750694444447</v>
      </c>
      <c r="H291" s="48">
        <v>46178.484027777777</v>
      </c>
      <c r="I291" s="43">
        <v>33</v>
      </c>
      <c r="J291" s="43" t="s">
        <v>1156</v>
      </c>
      <c r="K291" s="43" t="s">
        <v>1156</v>
      </c>
      <c r="L291" s="43" t="s">
        <v>8486</v>
      </c>
      <c r="M291" s="43">
        <v>33</v>
      </c>
      <c r="N291" s="43">
        <v>33</v>
      </c>
      <c r="O291" s="43">
        <v>33</v>
      </c>
      <c r="P291" s="43" t="s">
        <v>8487</v>
      </c>
      <c r="Q291" s="43" t="s">
        <v>1517</v>
      </c>
      <c r="R291" s="43" t="s">
        <v>8488</v>
      </c>
      <c r="S291" s="52">
        <f t="shared" si="4"/>
        <v>2.73</v>
      </c>
      <c r="T291" s="47"/>
      <c r="U291" s="47"/>
    </row>
    <row r="292" spans="1:21" ht="16.5" thickTop="1" thickBot="1" x14ac:dyDescent="0.3">
      <c r="A292" s="51" t="s">
        <v>8489</v>
      </c>
      <c r="B292" s="52" t="s">
        <v>8490</v>
      </c>
      <c r="C292" s="52" t="s">
        <v>38</v>
      </c>
      <c r="D292" s="52" t="s">
        <v>17</v>
      </c>
      <c r="E292" s="52" t="s">
        <v>19</v>
      </c>
      <c r="F292" s="52" t="s">
        <v>21</v>
      </c>
      <c r="G292" s="53">
        <v>46176.446527777778</v>
      </c>
      <c r="H292" s="53">
        <v>46177.477777777778</v>
      </c>
      <c r="I292" s="52">
        <v>261</v>
      </c>
      <c r="J292" s="52" t="s">
        <v>1156</v>
      </c>
      <c r="K292" s="52" t="s">
        <v>8294</v>
      </c>
      <c r="L292" s="52" t="s">
        <v>20</v>
      </c>
      <c r="M292" s="52">
        <v>0</v>
      </c>
      <c r="N292" s="52">
        <v>0</v>
      </c>
      <c r="O292" s="52">
        <v>35</v>
      </c>
      <c r="P292" s="52" t="s">
        <v>1412</v>
      </c>
      <c r="Q292" s="52" t="s">
        <v>1546</v>
      </c>
      <c r="R292" s="52" t="s">
        <v>8491</v>
      </c>
      <c r="S292" s="52">
        <f t="shared" si="4"/>
        <v>1.03</v>
      </c>
      <c r="T292" s="52"/>
      <c r="U292" s="52"/>
    </row>
    <row r="293" spans="1:21" s="46" customFormat="1" ht="16.5" thickTop="1" thickBot="1" x14ac:dyDescent="0.3">
      <c r="A293" s="50" t="s">
        <v>8492</v>
      </c>
      <c r="B293" s="43" t="s">
        <v>8493</v>
      </c>
      <c r="C293" s="43" t="s">
        <v>38</v>
      </c>
      <c r="D293" s="43" t="s">
        <v>17</v>
      </c>
      <c r="E293" s="43" t="s">
        <v>19</v>
      </c>
      <c r="F293" s="43" t="s">
        <v>21</v>
      </c>
      <c r="G293" s="48">
        <v>46176.451388888891</v>
      </c>
      <c r="H293" s="48">
        <v>46177.782638888886</v>
      </c>
      <c r="I293" s="43">
        <v>325</v>
      </c>
      <c r="J293" s="43" t="s">
        <v>1156</v>
      </c>
      <c r="K293" s="43" t="s">
        <v>8294</v>
      </c>
      <c r="L293" s="43" t="s">
        <v>25</v>
      </c>
      <c r="M293" s="43">
        <v>0</v>
      </c>
      <c r="N293" s="43">
        <v>0</v>
      </c>
      <c r="O293" s="43">
        <v>50</v>
      </c>
      <c r="P293" s="43" t="s">
        <v>1412</v>
      </c>
      <c r="Q293" s="43" t="s">
        <v>1546</v>
      </c>
      <c r="R293" s="43" t="s">
        <v>8494</v>
      </c>
      <c r="S293" s="52">
        <f t="shared" si="4"/>
        <v>1.33</v>
      </c>
      <c r="T293" s="47"/>
      <c r="U293" s="47"/>
    </row>
    <row r="294" spans="1:21" ht="16.5" thickTop="1" thickBot="1" x14ac:dyDescent="0.3">
      <c r="A294" s="51" t="s">
        <v>8495</v>
      </c>
      <c r="B294" s="52" t="s">
        <v>8496</v>
      </c>
      <c r="C294" s="52" t="s">
        <v>38</v>
      </c>
      <c r="D294" s="52" t="s">
        <v>17</v>
      </c>
      <c r="E294" s="52" t="s">
        <v>18</v>
      </c>
      <c r="F294" s="52" t="s">
        <v>42</v>
      </c>
      <c r="G294" s="53">
        <v>46176.525694444441</v>
      </c>
      <c r="H294" s="53">
        <v>46177.59097222222</v>
      </c>
      <c r="I294" s="52">
        <v>4</v>
      </c>
      <c r="J294" s="52" t="s">
        <v>1156</v>
      </c>
      <c r="K294" s="52" t="s">
        <v>8331</v>
      </c>
      <c r="L294" s="52" t="s">
        <v>33</v>
      </c>
      <c r="M294" s="52">
        <v>4</v>
      </c>
      <c r="N294" s="52">
        <v>4</v>
      </c>
      <c r="O294" s="52">
        <v>4</v>
      </c>
      <c r="P294" s="52" t="s">
        <v>1450</v>
      </c>
      <c r="Q294" s="52" t="s">
        <v>1546</v>
      </c>
      <c r="R294" s="52" t="s">
        <v>8497</v>
      </c>
      <c r="S294" s="52">
        <f t="shared" si="4"/>
        <v>1.07</v>
      </c>
      <c r="T294" s="52"/>
      <c r="U294" s="52"/>
    </row>
    <row r="295" spans="1:21" s="46" customFormat="1" ht="16.5" thickTop="1" thickBot="1" x14ac:dyDescent="0.3">
      <c r="A295" s="50" t="s">
        <v>8498</v>
      </c>
      <c r="B295" s="43" t="s">
        <v>8499</v>
      </c>
      <c r="C295" s="43" t="s">
        <v>39</v>
      </c>
      <c r="D295" s="43" t="s">
        <v>17</v>
      </c>
      <c r="E295" s="43" t="s">
        <v>18</v>
      </c>
      <c r="F295" s="43" t="s">
        <v>42</v>
      </c>
      <c r="G295" s="48">
        <v>46176.527777777781</v>
      </c>
      <c r="H295" s="48">
        <v>46176.560416666667</v>
      </c>
      <c r="I295" s="43">
        <v>4</v>
      </c>
      <c r="J295" s="43" t="s">
        <v>1156</v>
      </c>
      <c r="K295" s="43" t="s">
        <v>8331</v>
      </c>
      <c r="L295" s="43" t="s">
        <v>33</v>
      </c>
      <c r="M295" s="43">
        <v>0</v>
      </c>
      <c r="N295" s="43">
        <v>0</v>
      </c>
      <c r="O295" s="43">
        <v>4</v>
      </c>
      <c r="P295" s="43" t="s">
        <v>1450</v>
      </c>
      <c r="Q295" s="43" t="s">
        <v>1546</v>
      </c>
      <c r="R295" s="43" t="s">
        <v>8500</v>
      </c>
      <c r="S295" s="52">
        <f t="shared" si="4"/>
        <v>0.03</v>
      </c>
      <c r="T295" s="47"/>
      <c r="U295" s="47"/>
    </row>
    <row r="296" spans="1:21" ht="16.5" thickTop="1" thickBot="1" x14ac:dyDescent="0.3">
      <c r="A296" s="51" t="s">
        <v>8501</v>
      </c>
      <c r="B296" s="52" t="s">
        <v>8502</v>
      </c>
      <c r="C296" s="52" t="s">
        <v>38</v>
      </c>
      <c r="D296" s="52" t="s">
        <v>17</v>
      </c>
      <c r="E296" s="52" t="s">
        <v>18</v>
      </c>
      <c r="F296" s="52" t="s">
        <v>42</v>
      </c>
      <c r="G296" s="53">
        <v>46176.53402777778</v>
      </c>
      <c r="H296" s="53">
        <v>46177.622916666667</v>
      </c>
      <c r="I296" s="52">
        <v>1</v>
      </c>
      <c r="J296" s="52" t="s">
        <v>1156</v>
      </c>
      <c r="K296" s="52" t="s">
        <v>1156</v>
      </c>
      <c r="L296" s="52" t="s">
        <v>33</v>
      </c>
      <c r="M296" s="52">
        <v>1</v>
      </c>
      <c r="N296" s="52">
        <v>1</v>
      </c>
      <c r="O296" s="52">
        <v>1</v>
      </c>
      <c r="P296" s="52" t="s">
        <v>8503</v>
      </c>
      <c r="Q296" s="52" t="s">
        <v>1517</v>
      </c>
      <c r="R296" s="52" t="s">
        <v>8504</v>
      </c>
      <c r="S296" s="52">
        <f t="shared" si="4"/>
        <v>1.0900000000000001</v>
      </c>
      <c r="T296" s="52"/>
      <c r="U296" s="52"/>
    </row>
    <row r="297" spans="1:21" s="46" customFormat="1" ht="16.5" thickTop="1" thickBot="1" x14ac:dyDescent="0.3">
      <c r="A297" s="50" t="s">
        <v>8505</v>
      </c>
      <c r="B297" s="43" t="s">
        <v>8506</v>
      </c>
      <c r="C297" s="43" t="s">
        <v>38</v>
      </c>
      <c r="D297" s="43" t="s">
        <v>17</v>
      </c>
      <c r="E297" s="43" t="s">
        <v>18</v>
      </c>
      <c r="F297" s="43" t="s">
        <v>42</v>
      </c>
      <c r="G297" s="48">
        <v>46176.538888888892</v>
      </c>
      <c r="H297" s="48">
        <v>46177.62777777778</v>
      </c>
      <c r="I297" s="43">
        <v>5</v>
      </c>
      <c r="J297" s="43" t="s">
        <v>1156</v>
      </c>
      <c r="K297" s="43" t="s">
        <v>1156</v>
      </c>
      <c r="L297" s="43" t="s">
        <v>33</v>
      </c>
      <c r="M297" s="43">
        <v>5</v>
      </c>
      <c r="N297" s="43">
        <v>5</v>
      </c>
      <c r="O297" s="43">
        <v>5</v>
      </c>
      <c r="P297" s="43" t="s">
        <v>8507</v>
      </c>
      <c r="Q297" s="43" t="s">
        <v>1517</v>
      </c>
      <c r="R297" s="43" t="s">
        <v>8508</v>
      </c>
      <c r="S297" s="52">
        <f t="shared" si="4"/>
        <v>1.0900000000000001</v>
      </c>
      <c r="T297" s="47"/>
      <c r="U297" s="47"/>
    </row>
    <row r="298" spans="1:21" ht="16.5" thickTop="1" thickBot="1" x14ac:dyDescent="0.3">
      <c r="A298" s="51" t="s">
        <v>8511</v>
      </c>
      <c r="B298" s="52" t="s">
        <v>8512</v>
      </c>
      <c r="C298" s="52" t="s">
        <v>38</v>
      </c>
      <c r="D298" s="52" t="s">
        <v>17</v>
      </c>
      <c r="E298" s="52" t="s">
        <v>19</v>
      </c>
      <c r="F298" s="52" t="s">
        <v>21</v>
      </c>
      <c r="G298" s="53">
        <v>46176.670138888891</v>
      </c>
      <c r="H298" s="53">
        <v>46182.522916666669</v>
      </c>
      <c r="I298" s="52">
        <v>153</v>
      </c>
      <c r="J298" s="52" t="s">
        <v>1156</v>
      </c>
      <c r="K298" s="52" t="s">
        <v>1156</v>
      </c>
      <c r="L298" s="52" t="s">
        <v>20</v>
      </c>
      <c r="M298" s="52">
        <v>29</v>
      </c>
      <c r="N298" s="52">
        <v>3</v>
      </c>
      <c r="O298" s="52">
        <v>21</v>
      </c>
      <c r="P298" s="52" t="s">
        <v>8513</v>
      </c>
      <c r="Q298" s="52" t="s">
        <v>1517</v>
      </c>
      <c r="R298" s="52" t="s">
        <v>8514</v>
      </c>
      <c r="S298" s="52">
        <f t="shared" si="4"/>
        <v>5.85</v>
      </c>
      <c r="T298" s="52"/>
      <c r="U298" s="52"/>
    </row>
    <row r="299" spans="1:21" s="46" customFormat="1" ht="16.5" thickTop="1" thickBot="1" x14ac:dyDescent="0.3">
      <c r="A299" s="50" t="s">
        <v>8515</v>
      </c>
      <c r="B299" s="43" t="s">
        <v>8509</v>
      </c>
      <c r="C299" s="43" t="s">
        <v>38</v>
      </c>
      <c r="D299" s="43" t="s">
        <v>17</v>
      </c>
      <c r="E299" s="43" t="s">
        <v>19</v>
      </c>
      <c r="F299" s="43" t="s">
        <v>19</v>
      </c>
      <c r="G299" s="48">
        <v>46176.686805555553</v>
      </c>
      <c r="H299" s="48">
        <v>46178.538888888892</v>
      </c>
      <c r="I299" s="43">
        <v>135</v>
      </c>
      <c r="J299" s="43" t="s">
        <v>1156</v>
      </c>
      <c r="K299" s="43" t="s">
        <v>1156</v>
      </c>
      <c r="L299" s="43" t="s">
        <v>20</v>
      </c>
      <c r="M299" s="43">
        <v>135</v>
      </c>
      <c r="N299" s="43">
        <v>23</v>
      </c>
      <c r="O299" s="43">
        <v>23</v>
      </c>
      <c r="P299" s="43" t="s">
        <v>8510</v>
      </c>
      <c r="Q299" s="43" t="s">
        <v>1517</v>
      </c>
      <c r="R299" s="43" t="s">
        <v>8516</v>
      </c>
      <c r="S299" s="52">
        <f t="shared" si="4"/>
        <v>1.85</v>
      </c>
      <c r="T299" s="47"/>
      <c r="U299" s="47"/>
    </row>
    <row r="300" spans="1:21" ht="16.5" thickTop="1" thickBot="1" x14ac:dyDescent="0.3">
      <c r="A300" s="51" t="s">
        <v>8517</v>
      </c>
      <c r="B300" s="52" t="s">
        <v>8518</v>
      </c>
      <c r="C300" s="52" t="s">
        <v>38</v>
      </c>
      <c r="D300" s="52" t="s">
        <v>17</v>
      </c>
      <c r="E300" s="52" t="s">
        <v>19</v>
      </c>
      <c r="F300" s="52" t="s">
        <v>23</v>
      </c>
      <c r="G300" s="53">
        <v>46176.803472222222</v>
      </c>
      <c r="H300" s="53">
        <v>46178.724999999999</v>
      </c>
      <c r="I300" s="52">
        <v>34</v>
      </c>
      <c r="J300" s="52" t="s">
        <v>2373</v>
      </c>
      <c r="K300" s="52" t="s">
        <v>8278</v>
      </c>
      <c r="L300" s="52" t="s">
        <v>31</v>
      </c>
      <c r="M300" s="52">
        <v>34</v>
      </c>
      <c r="N300" s="52">
        <v>7</v>
      </c>
      <c r="O300" s="52">
        <v>7</v>
      </c>
      <c r="P300" s="52" t="s">
        <v>8519</v>
      </c>
      <c r="Q300" s="52" t="s">
        <v>1546</v>
      </c>
      <c r="R300" s="52" t="s">
        <v>8520</v>
      </c>
      <c r="S300" s="52">
        <f t="shared" si="4"/>
        <v>1.92</v>
      </c>
      <c r="T300" s="52"/>
      <c r="U300" s="52"/>
    </row>
    <row r="301" spans="1:21" s="46" customFormat="1" ht="16.5" thickTop="1" thickBot="1" x14ac:dyDescent="0.3">
      <c r="A301" s="50" t="s">
        <v>8521</v>
      </c>
      <c r="B301" s="43" t="s">
        <v>8522</v>
      </c>
      <c r="C301" s="43" t="s">
        <v>38</v>
      </c>
      <c r="D301" s="43" t="s">
        <v>17</v>
      </c>
      <c r="E301" s="43" t="s">
        <v>18</v>
      </c>
      <c r="F301" s="43" t="s">
        <v>42</v>
      </c>
      <c r="G301" s="48">
        <v>46177.438888888886</v>
      </c>
      <c r="H301" s="48">
        <v>46179.444444444445</v>
      </c>
      <c r="I301" s="43">
        <v>42</v>
      </c>
      <c r="J301" s="43" t="s">
        <v>1156</v>
      </c>
      <c r="K301" s="43" t="s">
        <v>1156</v>
      </c>
      <c r="L301" s="43" t="s">
        <v>36</v>
      </c>
      <c r="M301" s="43">
        <v>42</v>
      </c>
      <c r="N301" s="43">
        <v>42</v>
      </c>
      <c r="O301" s="43">
        <v>42</v>
      </c>
      <c r="P301" s="43" t="s">
        <v>8523</v>
      </c>
      <c r="Q301" s="43" t="s">
        <v>1517</v>
      </c>
      <c r="R301" s="43" t="s">
        <v>8524</v>
      </c>
      <c r="S301" s="52">
        <f t="shared" si="4"/>
        <v>2.0099999999999998</v>
      </c>
      <c r="T301" s="47"/>
      <c r="U301" s="47"/>
    </row>
    <row r="302" spans="1:21" ht="16.5" thickTop="1" thickBot="1" x14ac:dyDescent="0.3">
      <c r="A302" s="51" t="s">
        <v>8525</v>
      </c>
      <c r="B302" s="52" t="s">
        <v>8526</v>
      </c>
      <c r="C302" s="52" t="s">
        <v>38</v>
      </c>
      <c r="D302" s="52" t="s">
        <v>17</v>
      </c>
      <c r="E302" s="52" t="s">
        <v>18</v>
      </c>
      <c r="F302" s="52" t="s">
        <v>42</v>
      </c>
      <c r="G302" s="53">
        <v>46177.445138888892</v>
      </c>
      <c r="H302" s="53">
        <v>46178.551388888889</v>
      </c>
      <c r="I302" s="52">
        <v>43</v>
      </c>
      <c r="J302" s="52" t="s">
        <v>1156</v>
      </c>
      <c r="K302" s="52" t="s">
        <v>1156</v>
      </c>
      <c r="L302" s="52" t="s">
        <v>36</v>
      </c>
      <c r="M302" s="52">
        <v>43</v>
      </c>
      <c r="N302" s="52">
        <v>43</v>
      </c>
      <c r="O302" s="52">
        <v>43</v>
      </c>
      <c r="P302" s="52" t="s">
        <v>8439</v>
      </c>
      <c r="Q302" s="52" t="s">
        <v>1517</v>
      </c>
      <c r="R302" s="52" t="s">
        <v>8527</v>
      </c>
      <c r="S302" s="52">
        <f t="shared" si="4"/>
        <v>1.1100000000000001</v>
      </c>
      <c r="T302" s="52"/>
      <c r="U302" s="52"/>
    </row>
    <row r="303" spans="1:21" s="46" customFormat="1" ht="16.5" thickTop="1" thickBot="1" x14ac:dyDescent="0.3">
      <c r="A303" s="50" t="s">
        <v>8528</v>
      </c>
      <c r="B303" s="43" t="s">
        <v>8529</v>
      </c>
      <c r="C303" s="43" t="s">
        <v>38</v>
      </c>
      <c r="D303" s="43" t="s">
        <v>17</v>
      </c>
      <c r="E303" s="43" t="s">
        <v>18</v>
      </c>
      <c r="F303" s="43" t="s">
        <v>42</v>
      </c>
      <c r="G303" s="48">
        <v>46177.45208333333</v>
      </c>
      <c r="H303" s="48">
        <v>46179.525000000001</v>
      </c>
      <c r="I303" s="43">
        <v>237</v>
      </c>
      <c r="J303" s="43" t="s">
        <v>1156</v>
      </c>
      <c r="K303" s="43" t="s">
        <v>1156</v>
      </c>
      <c r="L303" s="43" t="s">
        <v>36</v>
      </c>
      <c r="M303" s="43">
        <v>235</v>
      </c>
      <c r="N303" s="43">
        <v>235</v>
      </c>
      <c r="O303" s="43">
        <v>237</v>
      </c>
      <c r="P303" s="43" t="s">
        <v>1429</v>
      </c>
      <c r="Q303" s="43" t="s">
        <v>1517</v>
      </c>
      <c r="R303" s="43" t="s">
        <v>8530</v>
      </c>
      <c r="S303" s="52">
        <f t="shared" si="4"/>
        <v>2.0699999999999998</v>
      </c>
      <c r="T303" s="47"/>
      <c r="U303" s="47"/>
    </row>
    <row r="304" spans="1:21" ht="16.5" thickTop="1" thickBot="1" x14ac:dyDescent="0.3">
      <c r="A304" s="51" t="s">
        <v>8531</v>
      </c>
      <c r="B304" s="52" t="s">
        <v>8532</v>
      </c>
      <c r="C304" s="52" t="s">
        <v>38</v>
      </c>
      <c r="D304" s="52" t="s">
        <v>17</v>
      </c>
      <c r="E304" s="52" t="s">
        <v>19</v>
      </c>
      <c r="F304" s="52" t="s">
        <v>19</v>
      </c>
      <c r="G304" s="53">
        <v>46177.465277777781</v>
      </c>
      <c r="H304" s="53">
        <v>46178.525000000001</v>
      </c>
      <c r="I304" s="52">
        <v>122</v>
      </c>
      <c r="J304" s="52" t="s">
        <v>2373</v>
      </c>
      <c r="K304" s="52" t="s">
        <v>8333</v>
      </c>
      <c r="L304" s="52" t="s">
        <v>20</v>
      </c>
      <c r="M304" s="52">
        <v>0</v>
      </c>
      <c r="N304" s="52">
        <v>14</v>
      </c>
      <c r="O304" s="52">
        <v>88</v>
      </c>
      <c r="P304" s="52" t="s">
        <v>1416</v>
      </c>
      <c r="Q304" s="52" t="s">
        <v>1517</v>
      </c>
      <c r="R304" s="52" t="s">
        <v>8533</v>
      </c>
      <c r="S304" s="52">
        <f t="shared" si="4"/>
        <v>1.06</v>
      </c>
      <c r="T304" s="52"/>
      <c r="U304" s="52"/>
    </row>
    <row r="305" spans="1:21" s="46" customFormat="1" ht="16.5" thickTop="1" thickBot="1" x14ac:dyDescent="0.3">
      <c r="A305" s="50" t="s">
        <v>8534</v>
      </c>
      <c r="B305" s="43" t="s">
        <v>8535</v>
      </c>
      <c r="C305" s="43" t="s">
        <v>38</v>
      </c>
      <c r="D305" s="43" t="s">
        <v>17</v>
      </c>
      <c r="E305" s="43" t="s">
        <v>19</v>
      </c>
      <c r="F305" s="43" t="s">
        <v>21</v>
      </c>
      <c r="G305" s="48">
        <v>46177.479166666664</v>
      </c>
      <c r="H305" s="48">
        <v>46177.541666666664</v>
      </c>
      <c r="I305" s="43">
        <v>1026</v>
      </c>
      <c r="J305" s="43" t="s">
        <v>1156</v>
      </c>
      <c r="K305" s="43" t="s">
        <v>1156</v>
      </c>
      <c r="L305" s="43" t="s">
        <v>20</v>
      </c>
      <c r="M305" s="43">
        <v>0</v>
      </c>
      <c r="N305" s="43">
        <v>0</v>
      </c>
      <c r="O305" s="43">
        <v>171</v>
      </c>
      <c r="P305" s="43" t="s">
        <v>1442</v>
      </c>
      <c r="Q305" s="43" t="s">
        <v>1514</v>
      </c>
      <c r="R305" s="43" t="s">
        <v>8536</v>
      </c>
      <c r="S305" s="52">
        <f t="shared" si="4"/>
        <v>0.06</v>
      </c>
      <c r="T305" s="47"/>
      <c r="U305" s="47"/>
    </row>
    <row r="306" spans="1:21" ht="16.5" thickTop="1" thickBot="1" x14ac:dyDescent="0.3">
      <c r="A306" s="51" t="s">
        <v>8537</v>
      </c>
      <c r="B306" s="52" t="s">
        <v>8538</v>
      </c>
      <c r="C306" s="52" t="s">
        <v>38</v>
      </c>
      <c r="D306" s="52" t="s">
        <v>17</v>
      </c>
      <c r="E306" s="52" t="s">
        <v>18</v>
      </c>
      <c r="F306" s="52" t="s">
        <v>19</v>
      </c>
      <c r="G306" s="53">
        <v>46177.523611111108</v>
      </c>
      <c r="H306" s="53">
        <v>46179.772222222222</v>
      </c>
      <c r="I306" s="52">
        <v>2072</v>
      </c>
      <c r="J306" s="52" t="s">
        <v>2373</v>
      </c>
      <c r="K306" s="52" t="s">
        <v>8333</v>
      </c>
      <c r="L306" s="52" t="s">
        <v>20</v>
      </c>
      <c r="M306" s="52">
        <v>0</v>
      </c>
      <c r="N306" s="52">
        <v>278</v>
      </c>
      <c r="O306" s="52">
        <v>310</v>
      </c>
      <c r="P306" s="52" t="s">
        <v>1412</v>
      </c>
      <c r="Q306" s="52" t="s">
        <v>1546</v>
      </c>
      <c r="R306" s="52" t="s">
        <v>8539</v>
      </c>
      <c r="S306" s="52">
        <f t="shared" si="4"/>
        <v>2.25</v>
      </c>
      <c r="T306" s="52"/>
      <c r="U306" s="52"/>
    </row>
    <row r="307" spans="1:21" s="46" customFormat="1" ht="16.5" thickTop="1" thickBot="1" x14ac:dyDescent="0.3">
      <c r="A307" s="50" t="s">
        <v>8540</v>
      </c>
      <c r="B307" s="43" t="s">
        <v>8541</v>
      </c>
      <c r="C307" s="43" t="s">
        <v>38</v>
      </c>
      <c r="D307" s="43" t="s">
        <v>17</v>
      </c>
      <c r="E307" s="43" t="s">
        <v>19</v>
      </c>
      <c r="F307" s="43" t="s">
        <v>19</v>
      </c>
      <c r="G307" s="48">
        <v>46177.532638888886</v>
      </c>
      <c r="H307" s="48">
        <v>46178.560416666667</v>
      </c>
      <c r="I307" s="43">
        <v>114</v>
      </c>
      <c r="J307" s="43" t="s">
        <v>1156</v>
      </c>
      <c r="K307" s="43" t="s">
        <v>1156</v>
      </c>
      <c r="L307" s="43" t="s">
        <v>20</v>
      </c>
      <c r="M307" s="43">
        <v>114</v>
      </c>
      <c r="N307" s="43">
        <v>6</v>
      </c>
      <c r="O307" s="43">
        <v>6</v>
      </c>
      <c r="P307" s="43" t="s">
        <v>1413</v>
      </c>
      <c r="Q307" s="43" t="s">
        <v>1517</v>
      </c>
      <c r="R307" s="43" t="s">
        <v>8542</v>
      </c>
      <c r="S307" s="52">
        <f t="shared" si="4"/>
        <v>1.03</v>
      </c>
      <c r="T307" s="47"/>
      <c r="U307" s="47"/>
    </row>
    <row r="308" spans="1:21" ht="16.5" thickTop="1" thickBot="1" x14ac:dyDescent="0.3">
      <c r="A308" s="51" t="s">
        <v>8543</v>
      </c>
      <c r="B308" s="52" t="s">
        <v>8544</v>
      </c>
      <c r="C308" s="52" t="s">
        <v>38</v>
      </c>
      <c r="D308" s="52" t="s">
        <v>17</v>
      </c>
      <c r="E308" s="52" t="s">
        <v>19</v>
      </c>
      <c r="F308" s="52" t="s">
        <v>21</v>
      </c>
      <c r="G308" s="53">
        <v>46177.55</v>
      </c>
      <c r="H308" s="53">
        <v>46177.581250000003</v>
      </c>
      <c r="I308" s="52">
        <v>85</v>
      </c>
      <c r="J308" s="52" t="s">
        <v>1156</v>
      </c>
      <c r="K308" s="52" t="s">
        <v>1156</v>
      </c>
      <c r="L308" s="52" t="s">
        <v>20</v>
      </c>
      <c r="M308" s="52">
        <v>85</v>
      </c>
      <c r="N308" s="52">
        <v>18</v>
      </c>
      <c r="O308" s="52">
        <v>18</v>
      </c>
      <c r="P308" s="52" t="s">
        <v>1442</v>
      </c>
      <c r="Q308" s="52" t="s">
        <v>1514</v>
      </c>
      <c r="R308" s="52" t="s">
        <v>8545</v>
      </c>
      <c r="S308" s="52">
        <f t="shared" si="4"/>
        <v>0.03</v>
      </c>
      <c r="T308" s="52"/>
      <c r="U308" s="52"/>
    </row>
    <row r="309" spans="1:21" s="46" customFormat="1" ht="16.5" thickTop="1" thickBot="1" x14ac:dyDescent="0.3">
      <c r="A309" s="50" t="s">
        <v>8546</v>
      </c>
      <c r="B309" s="43" t="s">
        <v>8547</v>
      </c>
      <c r="C309" s="43" t="s">
        <v>38</v>
      </c>
      <c r="D309" s="43" t="s">
        <v>17</v>
      </c>
      <c r="E309" s="43" t="s">
        <v>19</v>
      </c>
      <c r="F309" s="43" t="s">
        <v>21</v>
      </c>
      <c r="G309" s="48">
        <v>46177.657638888886</v>
      </c>
      <c r="H309" s="48">
        <v>46182.543749999997</v>
      </c>
      <c r="I309" s="43">
        <v>35</v>
      </c>
      <c r="J309" s="43" t="s">
        <v>1156</v>
      </c>
      <c r="K309" s="43" t="s">
        <v>1156</v>
      </c>
      <c r="L309" s="43" t="s">
        <v>20</v>
      </c>
      <c r="M309" s="43">
        <v>34</v>
      </c>
      <c r="N309" s="43">
        <v>7</v>
      </c>
      <c r="O309" s="43">
        <v>7</v>
      </c>
      <c r="P309" s="43" t="s">
        <v>1408</v>
      </c>
      <c r="Q309" s="43" t="s">
        <v>1517</v>
      </c>
      <c r="R309" s="43" t="s">
        <v>8548</v>
      </c>
      <c r="S309" s="52">
        <f t="shared" si="4"/>
        <v>4.8899999999999997</v>
      </c>
      <c r="T309" s="47"/>
      <c r="U309" s="47"/>
    </row>
    <row r="310" spans="1:21" ht="16.5" thickTop="1" thickBot="1" x14ac:dyDescent="0.3">
      <c r="A310" s="51" t="s">
        <v>8549</v>
      </c>
      <c r="B310" s="52" t="s">
        <v>8550</v>
      </c>
      <c r="C310" s="52" t="s">
        <v>39</v>
      </c>
      <c r="D310" s="52" t="s">
        <v>17</v>
      </c>
      <c r="E310" s="52" t="s">
        <v>18</v>
      </c>
      <c r="F310" s="52" t="s">
        <v>42</v>
      </c>
      <c r="G310" s="53">
        <v>46177.717361111114</v>
      </c>
      <c r="H310" s="53">
        <v>46183.585416666669</v>
      </c>
      <c r="I310" s="52">
        <v>16</v>
      </c>
      <c r="J310" s="52" t="s">
        <v>1156</v>
      </c>
      <c r="K310" s="52" t="s">
        <v>1156</v>
      </c>
      <c r="L310" s="52" t="s">
        <v>33</v>
      </c>
      <c r="M310" s="52">
        <v>16</v>
      </c>
      <c r="N310" s="52">
        <v>16</v>
      </c>
      <c r="O310" s="52">
        <v>16</v>
      </c>
      <c r="P310" s="52" t="s">
        <v>8551</v>
      </c>
      <c r="Q310" s="52" t="s">
        <v>1517</v>
      </c>
      <c r="R310" s="52" t="s">
        <v>8552</v>
      </c>
      <c r="S310" s="52">
        <f t="shared" si="4"/>
        <v>5.87</v>
      </c>
      <c r="T310" s="52"/>
      <c r="U310" s="52"/>
    </row>
    <row r="311" spans="1:21" s="46" customFormat="1" ht="16.5" thickTop="1" thickBot="1" x14ac:dyDescent="0.3">
      <c r="A311" s="50" t="s">
        <v>8553</v>
      </c>
      <c r="B311" s="43" t="s">
        <v>8554</v>
      </c>
      <c r="C311" s="43" t="s">
        <v>39</v>
      </c>
      <c r="D311" s="43" t="s">
        <v>17</v>
      </c>
      <c r="E311" s="43" t="s">
        <v>18</v>
      </c>
      <c r="F311" s="43" t="s">
        <v>42</v>
      </c>
      <c r="G311" s="48">
        <v>46177.71875</v>
      </c>
      <c r="H311" s="48">
        <v>46185.502083333333</v>
      </c>
      <c r="I311" s="43">
        <v>5</v>
      </c>
      <c r="J311" s="43" t="s">
        <v>1156</v>
      </c>
      <c r="K311" s="43" t="s">
        <v>1156</v>
      </c>
      <c r="L311" s="43" t="s">
        <v>33</v>
      </c>
      <c r="M311" s="43">
        <v>5</v>
      </c>
      <c r="N311" s="43">
        <v>5</v>
      </c>
      <c r="O311" s="43">
        <v>5</v>
      </c>
      <c r="P311" s="43" t="s">
        <v>8555</v>
      </c>
      <c r="Q311" s="43" t="s">
        <v>1517</v>
      </c>
      <c r="R311" s="43" t="s">
        <v>8556</v>
      </c>
      <c r="S311" s="52">
        <f t="shared" si="4"/>
        <v>7.78</v>
      </c>
      <c r="T311" s="47"/>
      <c r="U311" s="47"/>
    </row>
    <row r="312" spans="1:21" ht="16.5" thickTop="1" thickBot="1" x14ac:dyDescent="0.3">
      <c r="A312" s="51" t="s">
        <v>8557</v>
      </c>
      <c r="B312" s="52" t="s">
        <v>8558</v>
      </c>
      <c r="C312" s="52" t="s">
        <v>38</v>
      </c>
      <c r="D312" s="52" t="s">
        <v>17</v>
      </c>
      <c r="E312" s="52" t="s">
        <v>19</v>
      </c>
      <c r="F312" s="52" t="s">
        <v>21</v>
      </c>
      <c r="G312" s="53">
        <v>46177.762499999997</v>
      </c>
      <c r="H312" s="53">
        <v>46179.535416666666</v>
      </c>
      <c r="I312" s="52">
        <v>18</v>
      </c>
      <c r="J312" s="52" t="s">
        <v>1156</v>
      </c>
      <c r="K312" s="52" t="s">
        <v>1156</v>
      </c>
      <c r="L312" s="52" t="s">
        <v>20</v>
      </c>
      <c r="M312" s="52">
        <v>18</v>
      </c>
      <c r="N312" s="52">
        <v>3</v>
      </c>
      <c r="O312" s="52">
        <v>3</v>
      </c>
      <c r="P312" s="52" t="s">
        <v>8559</v>
      </c>
      <c r="Q312" s="52" t="s">
        <v>1517</v>
      </c>
      <c r="R312" s="52" t="s">
        <v>8560</v>
      </c>
      <c r="S312" s="52">
        <f t="shared" si="4"/>
        <v>1.77</v>
      </c>
      <c r="T312" s="52"/>
      <c r="U312" s="52"/>
    </row>
    <row r="313" spans="1:21" s="46" customFormat="1" ht="16.5" thickTop="1" thickBot="1" x14ac:dyDescent="0.3">
      <c r="A313" s="50" t="s">
        <v>8561</v>
      </c>
      <c r="B313" s="43" t="s">
        <v>8304</v>
      </c>
      <c r="C313" s="43" t="s">
        <v>38</v>
      </c>
      <c r="D313" s="43" t="s">
        <v>17</v>
      </c>
      <c r="E313" s="43" t="s">
        <v>19</v>
      </c>
      <c r="F313" s="43" t="s">
        <v>19</v>
      </c>
      <c r="G313" s="48">
        <v>46177.913194444445</v>
      </c>
      <c r="H313" s="48">
        <v>46183.793055555558</v>
      </c>
      <c r="I313" s="43">
        <v>29</v>
      </c>
      <c r="J313" s="43" t="s">
        <v>1156</v>
      </c>
      <c r="K313" s="43" t="s">
        <v>1156</v>
      </c>
      <c r="L313" s="43" t="s">
        <v>20</v>
      </c>
      <c r="M313" s="43">
        <v>29</v>
      </c>
      <c r="N313" s="43">
        <v>1</v>
      </c>
      <c r="O313" s="43">
        <v>1</v>
      </c>
      <c r="P313" s="43" t="s">
        <v>8562</v>
      </c>
      <c r="Q313" s="43" t="s">
        <v>1517</v>
      </c>
      <c r="R313" s="43" t="s">
        <v>8563</v>
      </c>
      <c r="S313" s="52">
        <f t="shared" si="4"/>
        <v>5.88</v>
      </c>
      <c r="T313" s="47"/>
      <c r="U313" s="47"/>
    </row>
    <row r="314" spans="1:21" ht="16.5" thickTop="1" thickBot="1" x14ac:dyDescent="0.3">
      <c r="A314" s="51" t="s">
        <v>8564</v>
      </c>
      <c r="B314" s="52" t="s">
        <v>8565</v>
      </c>
      <c r="C314" s="52" t="s">
        <v>38</v>
      </c>
      <c r="D314" s="52" t="s">
        <v>17</v>
      </c>
      <c r="E314" s="52" t="s">
        <v>19</v>
      </c>
      <c r="F314" s="52" t="s">
        <v>21</v>
      </c>
      <c r="G314" s="53">
        <v>46178.497916666667</v>
      </c>
      <c r="H314" s="53">
        <v>46179.547222222223</v>
      </c>
      <c r="I314" s="52">
        <v>669</v>
      </c>
      <c r="J314" s="52" t="s">
        <v>1156</v>
      </c>
      <c r="K314" s="52" t="s">
        <v>1156</v>
      </c>
      <c r="L314" s="52" t="s">
        <v>20</v>
      </c>
      <c r="M314" s="52">
        <v>669</v>
      </c>
      <c r="N314" s="52">
        <v>117</v>
      </c>
      <c r="O314" s="52">
        <v>117</v>
      </c>
      <c r="P314" s="52" t="s">
        <v>8566</v>
      </c>
      <c r="Q314" s="52" t="s">
        <v>1517</v>
      </c>
      <c r="R314" s="52" t="s">
        <v>8567</v>
      </c>
      <c r="S314" s="52">
        <f t="shared" si="4"/>
        <v>1.05</v>
      </c>
      <c r="T314" s="52"/>
      <c r="U314" s="52"/>
    </row>
    <row r="315" spans="1:21" s="46" customFormat="1" ht="16.5" thickTop="1" thickBot="1" x14ac:dyDescent="0.3">
      <c r="A315" s="50" t="s">
        <v>8568</v>
      </c>
      <c r="B315" s="43" t="s">
        <v>8569</v>
      </c>
      <c r="C315" s="43" t="s">
        <v>38</v>
      </c>
      <c r="D315" s="43" t="s">
        <v>17</v>
      </c>
      <c r="E315" s="43" t="s">
        <v>19</v>
      </c>
      <c r="F315" s="43" t="s">
        <v>21</v>
      </c>
      <c r="G315" s="48">
        <v>46178.538194444445</v>
      </c>
      <c r="H315" s="48">
        <v>46182.566666666666</v>
      </c>
      <c r="I315" s="43">
        <v>208</v>
      </c>
      <c r="J315" s="43" t="s">
        <v>1156</v>
      </c>
      <c r="K315" s="43" t="s">
        <v>1156</v>
      </c>
      <c r="L315" s="43" t="s">
        <v>20</v>
      </c>
      <c r="M315" s="43">
        <v>176</v>
      </c>
      <c r="N315" s="43">
        <v>20</v>
      </c>
      <c r="O315" s="43">
        <v>24</v>
      </c>
      <c r="P315" s="43" t="s">
        <v>1337</v>
      </c>
      <c r="Q315" s="43" t="s">
        <v>1517</v>
      </c>
      <c r="R315" s="43" t="s">
        <v>8570</v>
      </c>
      <c r="S315" s="52">
        <f t="shared" si="4"/>
        <v>4.03</v>
      </c>
      <c r="T315" s="47"/>
      <c r="U315" s="47"/>
    </row>
    <row r="316" spans="1:21" ht="16.5" thickTop="1" thickBot="1" x14ac:dyDescent="0.3">
      <c r="A316" s="51" t="s">
        <v>8571</v>
      </c>
      <c r="B316" s="52" t="s">
        <v>8572</v>
      </c>
      <c r="C316" s="52" t="s">
        <v>38</v>
      </c>
      <c r="D316" s="52" t="s">
        <v>17</v>
      </c>
      <c r="E316" s="52" t="s">
        <v>18</v>
      </c>
      <c r="F316" s="52" t="s">
        <v>42</v>
      </c>
      <c r="G316" s="53">
        <v>46178.540972222225</v>
      </c>
      <c r="H316" s="53">
        <v>46185.79583333333</v>
      </c>
      <c r="I316" s="52">
        <v>56</v>
      </c>
      <c r="J316" s="52" t="s">
        <v>2373</v>
      </c>
      <c r="K316" s="52" t="s">
        <v>8310</v>
      </c>
      <c r="L316" s="52" t="s">
        <v>33</v>
      </c>
      <c r="M316" s="52">
        <v>56</v>
      </c>
      <c r="N316" s="52">
        <v>56</v>
      </c>
      <c r="O316" s="52">
        <v>56</v>
      </c>
      <c r="P316" s="52" t="s">
        <v>1450</v>
      </c>
      <c r="Q316" s="52" t="s">
        <v>1546</v>
      </c>
      <c r="R316" s="52" t="s">
        <v>8573</v>
      </c>
      <c r="S316" s="52">
        <f t="shared" si="4"/>
        <v>7.25</v>
      </c>
      <c r="T316" s="52"/>
      <c r="U316" s="52"/>
    </row>
    <row r="317" spans="1:21" s="46" customFormat="1" ht="16.5" thickTop="1" thickBot="1" x14ac:dyDescent="0.3">
      <c r="A317" s="50" t="s">
        <v>8574</v>
      </c>
      <c r="B317" s="43" t="s">
        <v>8575</v>
      </c>
      <c r="C317" s="43" t="s">
        <v>38</v>
      </c>
      <c r="D317" s="43" t="s">
        <v>17</v>
      </c>
      <c r="E317" s="43" t="s">
        <v>18</v>
      </c>
      <c r="F317" s="43" t="s">
        <v>32</v>
      </c>
      <c r="G317" s="48">
        <v>46178.54583333333</v>
      </c>
      <c r="H317" s="48">
        <v>46181.461805555555</v>
      </c>
      <c r="I317" s="43">
        <v>1</v>
      </c>
      <c r="J317" s="43" t="s">
        <v>2373</v>
      </c>
      <c r="K317" s="43" t="s">
        <v>8317</v>
      </c>
      <c r="L317" s="43" t="s">
        <v>33</v>
      </c>
      <c r="M317" s="43">
        <v>1</v>
      </c>
      <c r="N317" s="43">
        <v>2</v>
      </c>
      <c r="O317" s="43">
        <v>1</v>
      </c>
      <c r="P317" s="43" t="s">
        <v>8576</v>
      </c>
      <c r="Q317" s="43" t="s">
        <v>1517</v>
      </c>
      <c r="R317" s="43" t="s">
        <v>8577</v>
      </c>
      <c r="S317" s="52">
        <f t="shared" si="4"/>
        <v>2.92</v>
      </c>
      <c r="T317" s="47"/>
      <c r="U317" s="47"/>
    </row>
    <row r="318" spans="1:21" ht="16.5" thickTop="1" thickBot="1" x14ac:dyDescent="0.3">
      <c r="A318" s="51" t="s">
        <v>8578</v>
      </c>
      <c r="B318" s="52" t="s">
        <v>8579</v>
      </c>
      <c r="C318" s="52" t="s">
        <v>38</v>
      </c>
      <c r="D318" s="52" t="s">
        <v>17</v>
      </c>
      <c r="E318" s="52" t="s">
        <v>18</v>
      </c>
      <c r="F318" s="52" t="s">
        <v>42</v>
      </c>
      <c r="G318" s="53">
        <v>46178.547222222223</v>
      </c>
      <c r="H318" s="53">
        <v>46181.443055555559</v>
      </c>
      <c r="I318" s="52">
        <v>1</v>
      </c>
      <c r="J318" s="52" t="s">
        <v>1156</v>
      </c>
      <c r="K318" s="52" t="s">
        <v>1156</v>
      </c>
      <c r="L318" s="52" t="s">
        <v>33</v>
      </c>
      <c r="M318" s="52">
        <v>1</v>
      </c>
      <c r="N318" s="52">
        <v>1</v>
      </c>
      <c r="O318" s="52">
        <v>1</v>
      </c>
      <c r="P318" s="52" t="s">
        <v>8580</v>
      </c>
      <c r="Q318" s="52" t="s">
        <v>1517</v>
      </c>
      <c r="R318" s="52" t="s">
        <v>8581</v>
      </c>
      <c r="S318" s="52">
        <f t="shared" si="4"/>
        <v>2.9</v>
      </c>
      <c r="T318" s="52"/>
      <c r="U318" s="52"/>
    </row>
    <row r="319" spans="1:21" s="46" customFormat="1" ht="16.5" thickTop="1" thickBot="1" x14ac:dyDescent="0.3">
      <c r="A319" s="50" t="s">
        <v>8582</v>
      </c>
      <c r="B319" s="43" t="s">
        <v>8583</v>
      </c>
      <c r="C319" s="43" t="s">
        <v>38</v>
      </c>
      <c r="D319" s="43" t="s">
        <v>17</v>
      </c>
      <c r="E319" s="43" t="s">
        <v>18</v>
      </c>
      <c r="F319" s="43" t="s">
        <v>42</v>
      </c>
      <c r="G319" s="48">
        <v>46178.549305555556</v>
      </c>
      <c r="H319" s="48">
        <v>46179.558333333334</v>
      </c>
      <c r="I319" s="43">
        <v>2</v>
      </c>
      <c r="J319" s="43" t="s">
        <v>1156</v>
      </c>
      <c r="K319" s="43" t="s">
        <v>1156</v>
      </c>
      <c r="L319" s="43" t="s">
        <v>33</v>
      </c>
      <c r="M319" s="43">
        <v>2</v>
      </c>
      <c r="N319" s="43">
        <v>2</v>
      </c>
      <c r="O319" s="43">
        <v>2</v>
      </c>
      <c r="P319" s="43" t="s">
        <v>8584</v>
      </c>
      <c r="Q319" s="43" t="s">
        <v>1546</v>
      </c>
      <c r="R319" s="43" t="s">
        <v>8585</v>
      </c>
      <c r="S319" s="52">
        <f t="shared" si="4"/>
        <v>1.01</v>
      </c>
      <c r="T319" s="47"/>
      <c r="U319" s="47"/>
    </row>
    <row r="320" spans="1:21" ht="16.5" thickTop="1" thickBot="1" x14ac:dyDescent="0.3">
      <c r="A320" s="51" t="s">
        <v>8586</v>
      </c>
      <c r="B320" s="52" t="s">
        <v>8587</v>
      </c>
      <c r="C320" s="52" t="s">
        <v>38</v>
      </c>
      <c r="D320" s="52" t="s">
        <v>17</v>
      </c>
      <c r="E320" s="52" t="s">
        <v>18</v>
      </c>
      <c r="F320" s="52" t="s">
        <v>42</v>
      </c>
      <c r="G320" s="53">
        <v>46178.550694444442</v>
      </c>
      <c r="H320" s="53">
        <v>46185.655555555553</v>
      </c>
      <c r="I320" s="52">
        <v>1</v>
      </c>
      <c r="J320" s="52" t="s">
        <v>1156</v>
      </c>
      <c r="K320" s="52" t="s">
        <v>8331</v>
      </c>
      <c r="L320" s="52" t="s">
        <v>33</v>
      </c>
      <c r="M320" s="52">
        <v>1</v>
      </c>
      <c r="N320" s="52">
        <v>1</v>
      </c>
      <c r="O320" s="52">
        <v>1</v>
      </c>
      <c r="P320" s="52" t="s">
        <v>1460</v>
      </c>
      <c r="Q320" s="52" t="s">
        <v>1546</v>
      </c>
      <c r="R320" s="52" t="s">
        <v>8588</v>
      </c>
      <c r="S320" s="52">
        <f t="shared" si="4"/>
        <v>7.1</v>
      </c>
      <c r="T320" s="52"/>
      <c r="U320" s="52"/>
    </row>
    <row r="321" spans="1:21" s="46" customFormat="1" ht="16.5" thickTop="1" thickBot="1" x14ac:dyDescent="0.3">
      <c r="A321" s="50" t="s">
        <v>8589</v>
      </c>
      <c r="B321" s="43" t="s">
        <v>8590</v>
      </c>
      <c r="C321" s="43" t="s">
        <v>38</v>
      </c>
      <c r="D321" s="43" t="s">
        <v>17</v>
      </c>
      <c r="E321" s="43" t="s">
        <v>18</v>
      </c>
      <c r="F321" s="43" t="s">
        <v>42</v>
      </c>
      <c r="G321" s="48">
        <v>46178.634027777778</v>
      </c>
      <c r="H321" s="48">
        <v>46179.477777777778</v>
      </c>
      <c r="I321" s="43">
        <v>1</v>
      </c>
      <c r="J321" s="43" t="s">
        <v>2373</v>
      </c>
      <c r="K321" s="43" t="s">
        <v>8326</v>
      </c>
      <c r="L321" s="43" t="s">
        <v>33</v>
      </c>
      <c r="M321" s="43">
        <v>1</v>
      </c>
      <c r="N321" s="43">
        <v>1</v>
      </c>
      <c r="O321" s="43">
        <v>1</v>
      </c>
      <c r="P321" s="43" t="s">
        <v>8591</v>
      </c>
      <c r="Q321" s="43" t="s">
        <v>1517</v>
      </c>
      <c r="R321" s="43" t="s">
        <v>8592</v>
      </c>
      <c r="S321" s="52">
        <f t="shared" si="4"/>
        <v>0.84</v>
      </c>
      <c r="T321" s="47"/>
      <c r="U321" s="47"/>
    </row>
    <row r="322" spans="1:21" ht="16.5" thickTop="1" thickBot="1" x14ac:dyDescent="0.3">
      <c r="A322" s="51" t="s">
        <v>8593</v>
      </c>
      <c r="B322" s="52" t="s">
        <v>8594</v>
      </c>
      <c r="C322" s="52" t="s">
        <v>39</v>
      </c>
      <c r="D322" s="52" t="s">
        <v>17</v>
      </c>
      <c r="E322" s="52" t="s">
        <v>18</v>
      </c>
      <c r="F322" s="52" t="s">
        <v>32</v>
      </c>
      <c r="G322" s="53">
        <v>46178.647916666669</v>
      </c>
      <c r="H322" s="53">
        <v>46185.502083333333</v>
      </c>
      <c r="I322" s="52">
        <v>1</v>
      </c>
      <c r="J322" s="52" t="s">
        <v>1156</v>
      </c>
      <c r="K322" s="52" t="s">
        <v>1156</v>
      </c>
      <c r="L322" s="52" t="s">
        <v>33</v>
      </c>
      <c r="M322" s="52">
        <v>1</v>
      </c>
      <c r="N322" s="52">
        <v>1</v>
      </c>
      <c r="O322" s="52">
        <v>1</v>
      </c>
      <c r="P322" s="52" t="s">
        <v>8580</v>
      </c>
      <c r="Q322" s="52" t="s">
        <v>1517</v>
      </c>
      <c r="R322" s="52" t="s">
        <v>8595</v>
      </c>
      <c r="S322" s="52">
        <f t="shared" ref="S322:S385" si="5">IF(OR(G322="",H322=""),"",ROUND(H322-G322,2))</f>
        <v>6.85</v>
      </c>
      <c r="T322" s="52"/>
      <c r="U322" s="52"/>
    </row>
    <row r="323" spans="1:21" s="46" customFormat="1" ht="16.5" thickTop="1" thickBot="1" x14ac:dyDescent="0.3">
      <c r="A323" s="50" t="s">
        <v>8596</v>
      </c>
      <c r="B323" s="43" t="s">
        <v>8597</v>
      </c>
      <c r="C323" s="43" t="s">
        <v>38</v>
      </c>
      <c r="D323" s="43" t="s">
        <v>17</v>
      </c>
      <c r="E323" s="43" t="s">
        <v>18</v>
      </c>
      <c r="F323" s="43" t="s">
        <v>42</v>
      </c>
      <c r="G323" s="48">
        <v>46178.661111111112</v>
      </c>
      <c r="H323" s="48">
        <v>46181.453472222223</v>
      </c>
      <c r="I323" s="43">
        <v>14</v>
      </c>
      <c r="J323" s="43" t="s">
        <v>1156</v>
      </c>
      <c r="K323" s="43" t="s">
        <v>1156</v>
      </c>
      <c r="L323" s="43" t="s">
        <v>33</v>
      </c>
      <c r="M323" s="43">
        <v>14</v>
      </c>
      <c r="N323" s="43">
        <v>14</v>
      </c>
      <c r="O323" s="43">
        <v>14</v>
      </c>
      <c r="P323" s="43" t="s">
        <v>8598</v>
      </c>
      <c r="Q323" s="43" t="s">
        <v>1514</v>
      </c>
      <c r="R323" s="43" t="s">
        <v>8599</v>
      </c>
      <c r="S323" s="52">
        <f t="shared" si="5"/>
        <v>2.79</v>
      </c>
      <c r="T323" s="47"/>
      <c r="U323" s="47"/>
    </row>
    <row r="324" spans="1:21" ht="16.5" thickTop="1" thickBot="1" x14ac:dyDescent="0.3">
      <c r="A324" s="51" t="s">
        <v>8600</v>
      </c>
      <c r="B324" s="52" t="s">
        <v>8601</v>
      </c>
      <c r="C324" s="52" t="s">
        <v>39</v>
      </c>
      <c r="D324" s="52" t="s">
        <v>17</v>
      </c>
      <c r="E324" s="52" t="s">
        <v>18</v>
      </c>
      <c r="F324" s="52" t="s">
        <v>42</v>
      </c>
      <c r="G324" s="53">
        <v>46178.667361111111</v>
      </c>
      <c r="H324" s="53">
        <v>46183.438888888886</v>
      </c>
      <c r="I324" s="52">
        <v>57</v>
      </c>
      <c r="J324" s="52" t="s">
        <v>1156</v>
      </c>
      <c r="K324" s="52" t="s">
        <v>1156</v>
      </c>
      <c r="L324" s="52" t="s">
        <v>33</v>
      </c>
      <c r="M324" s="52">
        <v>57</v>
      </c>
      <c r="N324" s="52">
        <v>57</v>
      </c>
      <c r="O324" s="52">
        <v>57</v>
      </c>
      <c r="P324" s="52" t="s">
        <v>8602</v>
      </c>
      <c r="Q324" s="52" t="s">
        <v>1517</v>
      </c>
      <c r="R324" s="52" t="s">
        <v>8603</v>
      </c>
      <c r="S324" s="52">
        <f t="shared" si="5"/>
        <v>4.7699999999999996</v>
      </c>
      <c r="T324" s="52"/>
      <c r="U324" s="52"/>
    </row>
    <row r="325" spans="1:21" s="46" customFormat="1" ht="16.5" thickTop="1" thickBot="1" x14ac:dyDescent="0.3">
      <c r="A325" s="50" t="s">
        <v>8604</v>
      </c>
      <c r="B325" s="43" t="s">
        <v>8605</v>
      </c>
      <c r="C325" s="43" t="s">
        <v>38</v>
      </c>
      <c r="D325" s="43" t="s">
        <v>17</v>
      </c>
      <c r="E325" s="43" t="s">
        <v>18</v>
      </c>
      <c r="F325" s="43" t="s">
        <v>42</v>
      </c>
      <c r="G325" s="48">
        <v>46178.688194444447</v>
      </c>
      <c r="H325" s="48">
        <v>46179.521527777775</v>
      </c>
      <c r="I325" s="43">
        <v>7</v>
      </c>
      <c r="J325" s="43" t="s">
        <v>2373</v>
      </c>
      <c r="K325" s="43" t="s">
        <v>8329</v>
      </c>
      <c r="L325" s="43" t="s">
        <v>25</v>
      </c>
      <c r="M325" s="43">
        <v>7</v>
      </c>
      <c r="N325" s="43">
        <v>7</v>
      </c>
      <c r="O325" s="43">
        <v>7</v>
      </c>
      <c r="P325" s="43" t="s">
        <v>1333</v>
      </c>
      <c r="Q325" s="43" t="s">
        <v>1517</v>
      </c>
      <c r="R325" s="43" t="s">
        <v>8606</v>
      </c>
      <c r="S325" s="52">
        <f t="shared" si="5"/>
        <v>0.83</v>
      </c>
      <c r="T325" s="47"/>
      <c r="U325" s="47"/>
    </row>
    <row r="326" spans="1:21" ht="16.5" thickTop="1" thickBot="1" x14ac:dyDescent="0.3">
      <c r="A326" s="51" t="s">
        <v>8607</v>
      </c>
      <c r="B326" s="52" t="s">
        <v>8608</v>
      </c>
      <c r="C326" s="52" t="s">
        <v>39</v>
      </c>
      <c r="D326" s="52" t="s">
        <v>17</v>
      </c>
      <c r="E326" s="52" t="s">
        <v>18</v>
      </c>
      <c r="F326" s="52" t="s">
        <v>42</v>
      </c>
      <c r="G326" s="53">
        <v>46178.688888888886</v>
      </c>
      <c r="H326" s="53">
        <v>46178.700694444444</v>
      </c>
      <c r="I326" s="52">
        <v>231</v>
      </c>
      <c r="J326" s="52" t="s">
        <v>1156</v>
      </c>
      <c r="K326" s="52" t="s">
        <v>1156</v>
      </c>
      <c r="L326" s="52" t="s">
        <v>36</v>
      </c>
      <c r="M326" s="52">
        <v>0</v>
      </c>
      <c r="N326" s="52">
        <v>0</v>
      </c>
      <c r="O326" s="52">
        <v>231</v>
      </c>
      <c r="P326" s="52" t="s">
        <v>8609</v>
      </c>
      <c r="Q326" s="52" t="s">
        <v>1517</v>
      </c>
      <c r="R326" s="52" t="s">
        <v>8660</v>
      </c>
      <c r="S326" s="52">
        <f t="shared" si="5"/>
        <v>0.01</v>
      </c>
      <c r="T326" s="52"/>
      <c r="U326" s="52"/>
    </row>
    <row r="327" spans="1:21" s="46" customFormat="1" ht="16.5" thickTop="1" thickBot="1" x14ac:dyDescent="0.3">
      <c r="A327" s="50" t="s">
        <v>8610</v>
      </c>
      <c r="B327" s="43" t="s">
        <v>8611</v>
      </c>
      <c r="C327" s="43" t="s">
        <v>38</v>
      </c>
      <c r="D327" s="43" t="s">
        <v>17</v>
      </c>
      <c r="E327" s="43" t="s">
        <v>19</v>
      </c>
      <c r="F327" s="43" t="s">
        <v>21</v>
      </c>
      <c r="G327" s="48">
        <v>46178.722222222219</v>
      </c>
      <c r="H327" s="48">
        <v>46183.44027777778</v>
      </c>
      <c r="I327" s="43">
        <v>106</v>
      </c>
      <c r="J327" s="43" t="s">
        <v>1156</v>
      </c>
      <c r="K327" s="43" t="s">
        <v>8294</v>
      </c>
      <c r="L327" s="43" t="s">
        <v>20</v>
      </c>
      <c r="M327" s="43">
        <v>106</v>
      </c>
      <c r="N327" s="43">
        <v>16</v>
      </c>
      <c r="O327" s="43">
        <v>16</v>
      </c>
      <c r="P327" s="43" t="s">
        <v>8612</v>
      </c>
      <c r="Q327" s="43" t="s">
        <v>1546</v>
      </c>
      <c r="R327" s="43" t="s">
        <v>8613</v>
      </c>
      <c r="S327" s="52">
        <f t="shared" si="5"/>
        <v>4.72</v>
      </c>
      <c r="T327" s="47"/>
      <c r="U327" s="47"/>
    </row>
    <row r="328" spans="1:21" ht="16.5" thickTop="1" thickBot="1" x14ac:dyDescent="0.3">
      <c r="A328" s="51" t="s">
        <v>8614</v>
      </c>
      <c r="B328" s="52" t="s">
        <v>8615</v>
      </c>
      <c r="C328" s="52" t="s">
        <v>38</v>
      </c>
      <c r="D328" s="52" t="s">
        <v>17</v>
      </c>
      <c r="E328" s="52" t="s">
        <v>18</v>
      </c>
      <c r="F328" s="52" t="s">
        <v>42</v>
      </c>
      <c r="G328" s="53">
        <v>46178.736805555556</v>
      </c>
      <c r="H328" s="53">
        <v>46179.537499999999</v>
      </c>
      <c r="I328" s="52">
        <v>1</v>
      </c>
      <c r="J328" s="52" t="s">
        <v>2373</v>
      </c>
      <c r="K328" s="52" t="s">
        <v>8317</v>
      </c>
      <c r="L328" s="52" t="s">
        <v>33</v>
      </c>
      <c r="M328" s="52">
        <v>1</v>
      </c>
      <c r="N328" s="52">
        <v>1</v>
      </c>
      <c r="O328" s="52">
        <v>1</v>
      </c>
      <c r="P328" s="52" t="s">
        <v>8616</v>
      </c>
      <c r="Q328" s="52" t="s">
        <v>1517</v>
      </c>
      <c r="R328" s="52" t="s">
        <v>8617</v>
      </c>
      <c r="S328" s="52">
        <f t="shared" si="5"/>
        <v>0.8</v>
      </c>
      <c r="T328" s="52"/>
      <c r="U328" s="52"/>
    </row>
    <row r="329" spans="1:21" s="46" customFormat="1" ht="16.5" thickTop="1" thickBot="1" x14ac:dyDescent="0.3">
      <c r="A329" s="50" t="s">
        <v>8618</v>
      </c>
      <c r="B329" s="43" t="s">
        <v>8619</v>
      </c>
      <c r="C329" s="43" t="s">
        <v>38</v>
      </c>
      <c r="D329" s="43" t="s">
        <v>17</v>
      </c>
      <c r="E329" s="43" t="s">
        <v>18</v>
      </c>
      <c r="F329" s="43" t="s">
        <v>42</v>
      </c>
      <c r="G329" s="48">
        <v>46178.739583333336</v>
      </c>
      <c r="H329" s="48">
        <v>46185.573611111111</v>
      </c>
      <c r="I329" s="43">
        <v>2</v>
      </c>
      <c r="J329" s="43" t="s">
        <v>2373</v>
      </c>
      <c r="K329" s="43" t="s">
        <v>8317</v>
      </c>
      <c r="L329" s="43" t="s">
        <v>33</v>
      </c>
      <c r="M329" s="43">
        <v>2</v>
      </c>
      <c r="N329" s="43">
        <v>2</v>
      </c>
      <c r="O329" s="43">
        <v>2</v>
      </c>
      <c r="P329" s="43" t="s">
        <v>1468</v>
      </c>
      <c r="Q329" s="43" t="s">
        <v>1517</v>
      </c>
      <c r="R329" s="43" t="s">
        <v>8620</v>
      </c>
      <c r="S329" s="52">
        <f t="shared" si="5"/>
        <v>6.83</v>
      </c>
      <c r="T329" s="47"/>
      <c r="U329" s="47"/>
    </row>
    <row r="330" spans="1:21" ht="16.5" thickTop="1" thickBot="1" x14ac:dyDescent="0.3">
      <c r="A330" s="51" t="s">
        <v>8621</v>
      </c>
      <c r="B330" s="52" t="s">
        <v>8622</v>
      </c>
      <c r="C330" s="52" t="s">
        <v>38</v>
      </c>
      <c r="D330" s="52" t="s">
        <v>17</v>
      </c>
      <c r="E330" s="52" t="s">
        <v>19</v>
      </c>
      <c r="F330" s="52" t="s">
        <v>21</v>
      </c>
      <c r="G330" s="53">
        <v>46178.744444444441</v>
      </c>
      <c r="H330" s="53">
        <v>46183.470833333333</v>
      </c>
      <c r="I330" s="52">
        <v>152</v>
      </c>
      <c r="J330" s="52" t="s">
        <v>1156</v>
      </c>
      <c r="K330" s="52" t="s">
        <v>1156</v>
      </c>
      <c r="L330" s="52" t="s">
        <v>20</v>
      </c>
      <c r="M330" s="52">
        <v>152</v>
      </c>
      <c r="N330" s="52">
        <v>24</v>
      </c>
      <c r="O330" s="52">
        <v>24</v>
      </c>
      <c r="P330" s="52" t="s">
        <v>8623</v>
      </c>
      <c r="Q330" s="52" t="s">
        <v>1517</v>
      </c>
      <c r="R330" s="52" t="s">
        <v>8624</v>
      </c>
      <c r="S330" s="52">
        <f t="shared" si="5"/>
        <v>4.7300000000000004</v>
      </c>
      <c r="T330" s="52"/>
      <c r="U330" s="52"/>
    </row>
    <row r="331" spans="1:21" s="46" customFormat="1" ht="16.5" thickTop="1" thickBot="1" x14ac:dyDescent="0.3">
      <c r="A331" s="50" t="s">
        <v>8625</v>
      </c>
      <c r="B331" s="43" t="s">
        <v>8626</v>
      </c>
      <c r="C331" s="43" t="s">
        <v>38</v>
      </c>
      <c r="D331" s="43" t="s">
        <v>17</v>
      </c>
      <c r="E331" s="43" t="s">
        <v>18</v>
      </c>
      <c r="F331" s="43" t="s">
        <v>32</v>
      </c>
      <c r="G331" s="48">
        <v>46178.750694444447</v>
      </c>
      <c r="H331" s="48">
        <v>46181.442361111112</v>
      </c>
      <c r="I331" s="43">
        <v>14</v>
      </c>
      <c r="J331" s="43" t="s">
        <v>2373</v>
      </c>
      <c r="K331" s="43" t="s">
        <v>8264</v>
      </c>
      <c r="L331" s="43" t="s">
        <v>33</v>
      </c>
      <c r="M331" s="43">
        <v>14</v>
      </c>
      <c r="N331" s="43">
        <v>14</v>
      </c>
      <c r="O331" s="43">
        <v>14</v>
      </c>
      <c r="P331" s="43" t="s">
        <v>8627</v>
      </c>
      <c r="Q331" s="43" t="s">
        <v>1517</v>
      </c>
      <c r="R331" s="43" t="s">
        <v>8628</v>
      </c>
      <c r="S331" s="52">
        <f t="shared" si="5"/>
        <v>2.69</v>
      </c>
      <c r="T331" s="47"/>
      <c r="U331" s="47"/>
    </row>
    <row r="332" spans="1:21" ht="16.5" thickTop="1" thickBot="1" x14ac:dyDescent="0.3">
      <c r="A332" s="51" t="s">
        <v>8629</v>
      </c>
      <c r="B332" s="52" t="s">
        <v>8630</v>
      </c>
      <c r="C332" s="52" t="s">
        <v>38</v>
      </c>
      <c r="D332" s="52" t="s">
        <v>17</v>
      </c>
      <c r="E332" s="52" t="s">
        <v>18</v>
      </c>
      <c r="F332" s="52" t="s">
        <v>42</v>
      </c>
      <c r="G332" s="53">
        <v>46178.780555555553</v>
      </c>
      <c r="H332" s="53">
        <v>46182.572222222225</v>
      </c>
      <c r="I332" s="52">
        <v>1</v>
      </c>
      <c r="J332" s="52" t="s">
        <v>1156</v>
      </c>
      <c r="K332" s="52" t="s">
        <v>1156</v>
      </c>
      <c r="L332" s="52" t="s">
        <v>33</v>
      </c>
      <c r="M332" s="52">
        <v>1</v>
      </c>
      <c r="N332" s="52">
        <v>1</v>
      </c>
      <c r="O332" s="52">
        <v>1</v>
      </c>
      <c r="P332" s="52" t="s">
        <v>8631</v>
      </c>
      <c r="Q332" s="52" t="s">
        <v>1546</v>
      </c>
      <c r="R332" s="52" t="s">
        <v>8632</v>
      </c>
      <c r="S332" s="52">
        <f t="shared" si="5"/>
        <v>3.79</v>
      </c>
      <c r="T332" s="52"/>
      <c r="U332" s="52"/>
    </row>
    <row r="333" spans="1:21" s="46" customFormat="1" ht="16.5" thickTop="1" thickBot="1" x14ac:dyDescent="0.3">
      <c r="A333" s="50" t="s">
        <v>8633</v>
      </c>
      <c r="B333" s="43" t="s">
        <v>8634</v>
      </c>
      <c r="C333" s="43" t="s">
        <v>38</v>
      </c>
      <c r="D333" s="43" t="s">
        <v>17</v>
      </c>
      <c r="E333" s="43" t="s">
        <v>19</v>
      </c>
      <c r="F333" s="43" t="s">
        <v>21</v>
      </c>
      <c r="G333" s="48">
        <v>46178.797222222223</v>
      </c>
      <c r="H333" s="48">
        <v>46182.59097222222</v>
      </c>
      <c r="I333" s="43">
        <v>107</v>
      </c>
      <c r="J333" s="43" t="s">
        <v>1156</v>
      </c>
      <c r="K333" s="43" t="s">
        <v>1156</v>
      </c>
      <c r="L333" s="43" t="s">
        <v>20</v>
      </c>
      <c r="M333" s="43">
        <v>107</v>
      </c>
      <c r="N333" s="43">
        <v>14</v>
      </c>
      <c r="O333" s="43">
        <v>14</v>
      </c>
      <c r="P333" s="43" t="s">
        <v>1464</v>
      </c>
      <c r="Q333" s="43" t="s">
        <v>1517</v>
      </c>
      <c r="R333" s="43" t="s">
        <v>8635</v>
      </c>
      <c r="S333" s="52">
        <f t="shared" si="5"/>
        <v>3.79</v>
      </c>
      <c r="T333" s="47"/>
      <c r="U333" s="47"/>
    </row>
    <row r="334" spans="1:21" ht="16.5" thickTop="1" thickBot="1" x14ac:dyDescent="0.3">
      <c r="A334" s="51" t="s">
        <v>8636</v>
      </c>
      <c r="B334" s="52" t="s">
        <v>8637</v>
      </c>
      <c r="C334" s="52" t="s">
        <v>38</v>
      </c>
      <c r="D334" s="52" t="s">
        <v>17</v>
      </c>
      <c r="E334" s="52" t="s">
        <v>18</v>
      </c>
      <c r="F334" s="52" t="s">
        <v>42</v>
      </c>
      <c r="G334" s="53">
        <v>46178.800694444442</v>
      </c>
      <c r="H334" s="53">
        <v>46182.595138888886</v>
      </c>
      <c r="I334" s="52">
        <v>51</v>
      </c>
      <c r="J334" s="52" t="s">
        <v>1156</v>
      </c>
      <c r="K334" s="52" t="s">
        <v>1156</v>
      </c>
      <c r="L334" s="52" t="s">
        <v>36</v>
      </c>
      <c r="M334" s="52">
        <v>51</v>
      </c>
      <c r="N334" s="52">
        <v>51</v>
      </c>
      <c r="O334" s="52">
        <v>51</v>
      </c>
      <c r="P334" s="52" t="s">
        <v>8523</v>
      </c>
      <c r="Q334" s="52" t="s">
        <v>1517</v>
      </c>
      <c r="R334" s="52" t="s">
        <v>8638</v>
      </c>
      <c r="S334" s="52">
        <f t="shared" si="5"/>
        <v>3.79</v>
      </c>
      <c r="T334" s="52"/>
      <c r="U334" s="52"/>
    </row>
    <row r="335" spans="1:21" s="46" customFormat="1" ht="16.5" thickTop="1" thickBot="1" x14ac:dyDescent="0.3">
      <c r="A335" s="50" t="s">
        <v>8639</v>
      </c>
      <c r="B335" s="43" t="s">
        <v>8640</v>
      </c>
      <c r="C335" s="43" t="s">
        <v>38</v>
      </c>
      <c r="D335" s="43" t="s">
        <v>17</v>
      </c>
      <c r="E335" s="43" t="s">
        <v>18</v>
      </c>
      <c r="F335" s="43" t="s">
        <v>42</v>
      </c>
      <c r="G335" s="48">
        <v>46178.802083333336</v>
      </c>
      <c r="H335" s="48">
        <v>46183.43472222222</v>
      </c>
      <c r="I335" s="43">
        <v>1</v>
      </c>
      <c r="J335" s="43" t="s">
        <v>2373</v>
      </c>
      <c r="K335" s="43" t="s">
        <v>8317</v>
      </c>
      <c r="L335" s="43" t="s">
        <v>33</v>
      </c>
      <c r="M335" s="43">
        <v>1</v>
      </c>
      <c r="N335" s="43">
        <v>1</v>
      </c>
      <c r="O335" s="43">
        <v>1</v>
      </c>
      <c r="P335" s="43" t="s">
        <v>8641</v>
      </c>
      <c r="Q335" s="43" t="s">
        <v>1517</v>
      </c>
      <c r="R335" s="43" t="s">
        <v>8642</v>
      </c>
      <c r="S335" s="52">
        <f t="shared" si="5"/>
        <v>4.63</v>
      </c>
      <c r="T335" s="47"/>
      <c r="U335" s="47"/>
    </row>
    <row r="336" spans="1:21" ht="16.5" thickTop="1" thickBot="1" x14ac:dyDescent="0.3">
      <c r="A336" s="51" t="s">
        <v>8643</v>
      </c>
      <c r="B336" s="52" t="s">
        <v>8644</v>
      </c>
      <c r="C336" s="52" t="s">
        <v>38</v>
      </c>
      <c r="D336" s="52" t="s">
        <v>17</v>
      </c>
      <c r="E336" s="52" t="s">
        <v>18</v>
      </c>
      <c r="F336" s="52" t="s">
        <v>42</v>
      </c>
      <c r="G336" s="53">
        <v>46178.802777777775</v>
      </c>
      <c r="H336" s="53">
        <v>46181.468055555553</v>
      </c>
      <c r="I336" s="52">
        <v>6</v>
      </c>
      <c r="J336" s="52" t="s">
        <v>1156</v>
      </c>
      <c r="K336" s="52" t="s">
        <v>1156</v>
      </c>
      <c r="L336" s="52" t="s">
        <v>33</v>
      </c>
      <c r="M336" s="52">
        <v>6</v>
      </c>
      <c r="N336" s="52">
        <v>6</v>
      </c>
      <c r="O336" s="52">
        <v>6</v>
      </c>
      <c r="P336" s="52" t="s">
        <v>8645</v>
      </c>
      <c r="Q336" s="52" t="s">
        <v>1517</v>
      </c>
      <c r="R336" s="52" t="s">
        <v>8646</v>
      </c>
      <c r="S336" s="52">
        <f t="shared" si="5"/>
        <v>2.67</v>
      </c>
      <c r="T336" s="52"/>
      <c r="U336" s="52"/>
    </row>
    <row r="337" spans="1:21" s="46" customFormat="1" ht="16.5" thickTop="1" thickBot="1" x14ac:dyDescent="0.3">
      <c r="A337" s="50" t="s">
        <v>8647</v>
      </c>
      <c r="B337" s="43" t="s">
        <v>8648</v>
      </c>
      <c r="C337" s="43" t="s">
        <v>38</v>
      </c>
      <c r="D337" s="43" t="s">
        <v>17</v>
      </c>
      <c r="E337" s="43" t="s">
        <v>19</v>
      </c>
      <c r="F337" s="43" t="s">
        <v>21</v>
      </c>
      <c r="G337" s="48">
        <v>46179.569444444445</v>
      </c>
      <c r="H337" s="48">
        <v>46188.468055555553</v>
      </c>
      <c r="I337" s="43">
        <v>3323</v>
      </c>
      <c r="J337" s="43" t="s">
        <v>1156</v>
      </c>
      <c r="K337" s="43" t="s">
        <v>1156</v>
      </c>
      <c r="L337" s="43" t="s">
        <v>20</v>
      </c>
      <c r="M337" s="43">
        <v>3161</v>
      </c>
      <c r="N337" s="43">
        <v>526</v>
      </c>
      <c r="O337" s="43">
        <v>551</v>
      </c>
      <c r="P337" s="43" t="s">
        <v>8649</v>
      </c>
      <c r="Q337" s="43" t="s">
        <v>1517</v>
      </c>
      <c r="R337" s="43" t="s">
        <v>8650</v>
      </c>
      <c r="S337" s="52">
        <f t="shared" si="5"/>
        <v>8.9</v>
      </c>
      <c r="T337" s="47"/>
      <c r="U337" s="47"/>
    </row>
    <row r="338" spans="1:21" ht="16.5" thickTop="1" thickBot="1" x14ac:dyDescent="0.3">
      <c r="A338" s="51" t="s">
        <v>8651</v>
      </c>
      <c r="B338" s="52" t="s">
        <v>8652</v>
      </c>
      <c r="C338" s="52" t="s">
        <v>38</v>
      </c>
      <c r="D338" s="52" t="s">
        <v>17</v>
      </c>
      <c r="E338" s="52" t="s">
        <v>19</v>
      </c>
      <c r="F338" s="52" t="s">
        <v>21</v>
      </c>
      <c r="G338" s="53">
        <v>46179.572916666664</v>
      </c>
      <c r="H338" s="53">
        <v>46183.522222222222</v>
      </c>
      <c r="I338" s="52">
        <v>133</v>
      </c>
      <c r="J338" s="52" t="s">
        <v>1156</v>
      </c>
      <c r="K338" s="52" t="s">
        <v>8294</v>
      </c>
      <c r="L338" s="52" t="s">
        <v>20</v>
      </c>
      <c r="M338" s="52">
        <v>133</v>
      </c>
      <c r="N338" s="52">
        <v>19</v>
      </c>
      <c r="O338" s="52">
        <v>19</v>
      </c>
      <c r="P338" s="52" t="s">
        <v>8653</v>
      </c>
      <c r="Q338" s="52" t="s">
        <v>1546</v>
      </c>
      <c r="R338" s="52" t="s">
        <v>8654</v>
      </c>
      <c r="S338" s="52">
        <f t="shared" si="5"/>
        <v>3.95</v>
      </c>
      <c r="T338" s="52"/>
      <c r="U338" s="52"/>
    </row>
    <row r="339" spans="1:21" s="46" customFormat="1" ht="16.5" thickTop="1" thickBot="1" x14ac:dyDescent="0.3">
      <c r="A339" s="50" t="s">
        <v>8655</v>
      </c>
      <c r="B339" s="43" t="s">
        <v>8656</v>
      </c>
      <c r="C339" s="43" t="s">
        <v>38</v>
      </c>
      <c r="D339" s="43" t="s">
        <v>17</v>
      </c>
      <c r="E339" s="43" t="s">
        <v>19</v>
      </c>
      <c r="F339" s="43" t="s">
        <v>21</v>
      </c>
      <c r="G339" s="48">
        <v>46179.595138888886</v>
      </c>
      <c r="H339" s="48">
        <v>46186.479166666664</v>
      </c>
      <c r="I339" s="43">
        <v>798</v>
      </c>
      <c r="J339" s="43" t="s">
        <v>1156</v>
      </c>
      <c r="K339" s="43" t="s">
        <v>1156</v>
      </c>
      <c r="L339" s="43" t="s">
        <v>20</v>
      </c>
      <c r="M339" s="43">
        <v>708</v>
      </c>
      <c r="N339" s="43">
        <v>118</v>
      </c>
      <c r="O339" s="43">
        <v>132</v>
      </c>
      <c r="P339" s="43" t="s">
        <v>1427</v>
      </c>
      <c r="Q339" s="43" t="s">
        <v>1517</v>
      </c>
      <c r="R339" s="43" t="s">
        <v>8657</v>
      </c>
      <c r="S339" s="52">
        <f t="shared" si="5"/>
        <v>6.88</v>
      </c>
      <c r="T339" s="47"/>
      <c r="U339" s="47"/>
    </row>
    <row r="340" spans="1:21" ht="16.5" thickTop="1" thickBot="1" x14ac:dyDescent="0.3">
      <c r="A340" s="51" t="s">
        <v>8661</v>
      </c>
      <c r="B340" s="52" t="s">
        <v>8662</v>
      </c>
      <c r="C340" s="52" t="s">
        <v>38</v>
      </c>
      <c r="D340" s="52" t="s">
        <v>17</v>
      </c>
      <c r="E340" s="52" t="s">
        <v>18</v>
      </c>
      <c r="F340" s="52" t="s">
        <v>28</v>
      </c>
      <c r="G340" s="53">
        <v>46179.861111111109</v>
      </c>
      <c r="H340" s="53">
        <v>46182.719444444447</v>
      </c>
      <c r="I340" s="52">
        <v>856</v>
      </c>
      <c r="J340" s="52" t="s">
        <v>1156</v>
      </c>
      <c r="K340" s="52" t="s">
        <v>1156</v>
      </c>
      <c r="L340" s="52" t="s">
        <v>20</v>
      </c>
      <c r="M340" s="52">
        <v>829</v>
      </c>
      <c r="N340" s="52">
        <v>141</v>
      </c>
      <c r="O340" s="52">
        <v>145</v>
      </c>
      <c r="P340" s="52" t="s">
        <v>8663</v>
      </c>
      <c r="Q340" s="52" t="s">
        <v>1517</v>
      </c>
      <c r="R340" s="52" t="s">
        <v>8664</v>
      </c>
      <c r="S340" s="52">
        <f t="shared" si="5"/>
        <v>2.86</v>
      </c>
      <c r="T340" s="52"/>
      <c r="U340" s="52"/>
    </row>
    <row r="341" spans="1:21" s="46" customFormat="1" ht="16.5" thickTop="1" thickBot="1" x14ac:dyDescent="0.3">
      <c r="A341" s="50" t="s">
        <v>8758</v>
      </c>
      <c r="B341" s="43" t="s">
        <v>8759</v>
      </c>
      <c r="C341" s="43" t="s">
        <v>38</v>
      </c>
      <c r="D341" s="43" t="s">
        <v>17</v>
      </c>
      <c r="E341" s="43" t="s">
        <v>19</v>
      </c>
      <c r="F341" s="43" t="s">
        <v>19</v>
      </c>
      <c r="G341" s="48">
        <v>46181.406944444447</v>
      </c>
      <c r="H341" s="48">
        <v>46182.728472222225</v>
      </c>
      <c r="I341" s="43">
        <v>175</v>
      </c>
      <c r="J341" s="43" t="s">
        <v>1156</v>
      </c>
      <c r="K341" s="43" t="s">
        <v>1156</v>
      </c>
      <c r="L341" s="43" t="s">
        <v>8739</v>
      </c>
      <c r="M341" s="43">
        <v>168</v>
      </c>
      <c r="N341" s="43">
        <v>168</v>
      </c>
      <c r="O341" s="43">
        <v>175</v>
      </c>
      <c r="P341" s="43" t="s">
        <v>1443</v>
      </c>
      <c r="Q341" s="43" t="s">
        <v>1517</v>
      </c>
      <c r="R341" s="43" t="s">
        <v>8834</v>
      </c>
      <c r="S341" s="52">
        <f t="shared" si="5"/>
        <v>1.32</v>
      </c>
      <c r="T341" s="47"/>
      <c r="U341" s="47"/>
    </row>
    <row r="342" spans="1:21" ht="16.5" thickTop="1" thickBot="1" x14ac:dyDescent="0.3">
      <c r="A342" s="51" t="s">
        <v>8756</v>
      </c>
      <c r="B342" s="52" t="s">
        <v>8757</v>
      </c>
      <c r="C342" s="52" t="s">
        <v>38</v>
      </c>
      <c r="D342" s="52" t="s">
        <v>17</v>
      </c>
      <c r="E342" s="52" t="s">
        <v>19</v>
      </c>
      <c r="F342" s="52" t="s">
        <v>19</v>
      </c>
      <c r="G342" s="53">
        <v>46181.409722222219</v>
      </c>
      <c r="H342" s="53">
        <v>46182.607638888891</v>
      </c>
      <c r="I342" s="52">
        <v>2</v>
      </c>
      <c r="J342" s="52" t="s">
        <v>1156</v>
      </c>
      <c r="K342" s="52" t="s">
        <v>1156</v>
      </c>
      <c r="L342" s="52" t="s">
        <v>8739</v>
      </c>
      <c r="M342" s="52">
        <v>2</v>
      </c>
      <c r="N342" s="52">
        <v>2</v>
      </c>
      <c r="O342" s="52">
        <v>2</v>
      </c>
      <c r="P342" s="52" t="s">
        <v>1443</v>
      </c>
      <c r="Q342" s="52" t="s">
        <v>1517</v>
      </c>
      <c r="R342" s="52" t="s">
        <v>8833</v>
      </c>
      <c r="S342" s="52">
        <f t="shared" si="5"/>
        <v>1.2</v>
      </c>
      <c r="T342" s="52"/>
      <c r="U342" s="52"/>
    </row>
    <row r="343" spans="1:21" s="46" customFormat="1" ht="16.5" thickTop="1" thickBot="1" x14ac:dyDescent="0.3">
      <c r="A343" s="50" t="s">
        <v>8754</v>
      </c>
      <c r="B343" s="43" t="s">
        <v>8755</v>
      </c>
      <c r="C343" s="43" t="s">
        <v>38</v>
      </c>
      <c r="D343" s="43" t="s">
        <v>17</v>
      </c>
      <c r="E343" s="43" t="s">
        <v>18</v>
      </c>
      <c r="F343" s="43" t="s">
        <v>32</v>
      </c>
      <c r="G343" s="48">
        <v>46181.458333333336</v>
      </c>
      <c r="H343" s="48">
        <v>46182.615972222222</v>
      </c>
      <c r="I343" s="43">
        <v>85</v>
      </c>
      <c r="J343" s="43" t="s">
        <v>1156</v>
      </c>
      <c r="K343" s="43" t="s">
        <v>1156</v>
      </c>
      <c r="L343" s="43" t="s">
        <v>20</v>
      </c>
      <c r="M343" s="43">
        <v>85</v>
      </c>
      <c r="N343" s="43">
        <v>17</v>
      </c>
      <c r="O343" s="43">
        <v>17</v>
      </c>
      <c r="P343" s="43" t="s">
        <v>8788</v>
      </c>
      <c r="Q343" s="43" t="s">
        <v>1517</v>
      </c>
      <c r="R343" s="43" t="s">
        <v>8832</v>
      </c>
      <c r="S343" s="52">
        <f t="shared" si="5"/>
        <v>1.1599999999999999</v>
      </c>
      <c r="T343" s="47"/>
      <c r="U343" s="47"/>
    </row>
    <row r="344" spans="1:21" ht="16.5" thickTop="1" thickBot="1" x14ac:dyDescent="0.3">
      <c r="A344" s="51" t="s">
        <v>8752</v>
      </c>
      <c r="B344" s="52" t="s">
        <v>8753</v>
      </c>
      <c r="C344" s="52" t="s">
        <v>38</v>
      </c>
      <c r="D344" s="52" t="s">
        <v>17</v>
      </c>
      <c r="E344" s="52" t="s">
        <v>18</v>
      </c>
      <c r="F344" s="52" t="s">
        <v>32</v>
      </c>
      <c r="G344" s="53">
        <v>46181.546527777777</v>
      </c>
      <c r="H344" s="53">
        <v>46188.533333333333</v>
      </c>
      <c r="I344" s="52">
        <v>756</v>
      </c>
      <c r="J344" s="52" t="s">
        <v>1156</v>
      </c>
      <c r="K344" s="52" t="s">
        <v>1156</v>
      </c>
      <c r="L344" s="52" t="s">
        <v>20</v>
      </c>
      <c r="M344" s="52">
        <v>308</v>
      </c>
      <c r="N344" s="52">
        <v>56</v>
      </c>
      <c r="O344" s="52">
        <v>87</v>
      </c>
      <c r="P344" s="52" t="s">
        <v>8787</v>
      </c>
      <c r="Q344" s="52" t="s">
        <v>1517</v>
      </c>
      <c r="R344" s="52" t="s">
        <v>8831</v>
      </c>
      <c r="S344" s="52">
        <f t="shared" si="5"/>
        <v>6.99</v>
      </c>
      <c r="T344" s="52"/>
      <c r="U344" s="52"/>
    </row>
    <row r="345" spans="1:21" s="46" customFormat="1" ht="16.5" thickTop="1" thickBot="1" x14ac:dyDescent="0.3">
      <c r="A345" s="50" t="s">
        <v>8750</v>
      </c>
      <c r="B345" s="43" t="s">
        <v>8751</v>
      </c>
      <c r="C345" s="43" t="s">
        <v>38</v>
      </c>
      <c r="D345" s="43" t="s">
        <v>17</v>
      </c>
      <c r="E345" s="43" t="s">
        <v>18</v>
      </c>
      <c r="F345" s="43" t="s">
        <v>32</v>
      </c>
      <c r="G345" s="48">
        <v>46181.629166666666</v>
      </c>
      <c r="H345" s="48">
        <v>46193.933333333334</v>
      </c>
      <c r="I345" s="43">
        <v>10</v>
      </c>
      <c r="J345" s="43" t="s">
        <v>2373</v>
      </c>
      <c r="K345" s="43" t="s">
        <v>8317</v>
      </c>
      <c r="L345" s="43" t="s">
        <v>33</v>
      </c>
      <c r="M345" s="43">
        <v>18</v>
      </c>
      <c r="N345" s="43">
        <v>18</v>
      </c>
      <c r="O345" s="43">
        <v>5</v>
      </c>
      <c r="P345" s="43" t="s">
        <v>9084</v>
      </c>
      <c r="Q345" s="43" t="s">
        <v>1517</v>
      </c>
      <c r="R345" s="43" t="s">
        <v>8830</v>
      </c>
      <c r="S345" s="52">
        <f t="shared" si="5"/>
        <v>12.3</v>
      </c>
      <c r="T345" s="47"/>
      <c r="U345" s="47"/>
    </row>
    <row r="346" spans="1:21" ht="16.5" thickTop="1" thickBot="1" x14ac:dyDescent="0.3">
      <c r="A346" s="51" t="s">
        <v>8748</v>
      </c>
      <c r="B346" s="52" t="s">
        <v>8749</v>
      </c>
      <c r="C346" s="52" t="s">
        <v>38</v>
      </c>
      <c r="D346" s="52" t="s">
        <v>17</v>
      </c>
      <c r="E346" s="52" t="s">
        <v>18</v>
      </c>
      <c r="F346" s="52" t="s">
        <v>42</v>
      </c>
      <c r="G346" s="53">
        <v>46181.631249999999</v>
      </c>
      <c r="H346" s="53">
        <v>46188.45416666667</v>
      </c>
      <c r="I346" s="52">
        <v>1153</v>
      </c>
      <c r="J346" s="52" t="s">
        <v>1156</v>
      </c>
      <c r="K346" s="52" t="s">
        <v>1156</v>
      </c>
      <c r="L346" s="52" t="s">
        <v>25</v>
      </c>
      <c r="M346" s="52">
        <v>965</v>
      </c>
      <c r="N346" s="52">
        <v>199</v>
      </c>
      <c r="O346" s="52">
        <v>190</v>
      </c>
      <c r="P346" s="52" t="s">
        <v>8786</v>
      </c>
      <c r="Q346" s="52" t="s">
        <v>1517</v>
      </c>
      <c r="R346" s="52" t="s">
        <v>8829</v>
      </c>
      <c r="S346" s="52">
        <f t="shared" si="5"/>
        <v>6.82</v>
      </c>
      <c r="T346" s="52"/>
      <c r="U346" s="52"/>
    </row>
    <row r="347" spans="1:21" s="46" customFormat="1" ht="16.5" thickTop="1" thickBot="1" x14ac:dyDescent="0.3">
      <c r="A347" s="50" t="s">
        <v>8746</v>
      </c>
      <c r="B347" s="43" t="s">
        <v>8747</v>
      </c>
      <c r="C347" s="43" t="s">
        <v>38</v>
      </c>
      <c r="D347" s="43" t="s">
        <v>17</v>
      </c>
      <c r="E347" s="43" t="s">
        <v>18</v>
      </c>
      <c r="F347" s="43" t="s">
        <v>42</v>
      </c>
      <c r="G347" s="48">
        <v>46181.679861111108</v>
      </c>
      <c r="H347" s="48">
        <v>46183.537499999999</v>
      </c>
      <c r="I347" s="43">
        <v>5</v>
      </c>
      <c r="J347" s="43" t="s">
        <v>1156</v>
      </c>
      <c r="K347" s="43" t="s">
        <v>1156</v>
      </c>
      <c r="L347" s="43" t="s">
        <v>33</v>
      </c>
      <c r="M347" s="43">
        <v>5</v>
      </c>
      <c r="N347" s="43">
        <v>5</v>
      </c>
      <c r="O347" s="43">
        <v>5</v>
      </c>
      <c r="P347" s="43" t="s">
        <v>8785</v>
      </c>
      <c r="Q347" s="43" t="s">
        <v>1546</v>
      </c>
      <c r="R347" s="43" t="s">
        <v>8828</v>
      </c>
      <c r="S347" s="52">
        <f t="shared" si="5"/>
        <v>1.86</v>
      </c>
      <c r="T347" s="47"/>
      <c r="U347" s="47"/>
    </row>
    <row r="348" spans="1:21" ht="16.5" thickTop="1" thickBot="1" x14ac:dyDescent="0.3">
      <c r="A348" s="51" t="s">
        <v>8744</v>
      </c>
      <c r="B348" s="52" t="s">
        <v>8745</v>
      </c>
      <c r="C348" s="52" t="s">
        <v>39</v>
      </c>
      <c r="D348" s="52" t="s">
        <v>17</v>
      </c>
      <c r="E348" s="52" t="s">
        <v>18</v>
      </c>
      <c r="F348" s="52" t="s">
        <v>42</v>
      </c>
      <c r="G348" s="53">
        <v>46181.683333333334</v>
      </c>
      <c r="H348" s="53">
        <v>46186.421527777777</v>
      </c>
      <c r="I348" s="52">
        <v>2</v>
      </c>
      <c r="J348" s="52" t="s">
        <v>1156</v>
      </c>
      <c r="K348" s="52" t="s">
        <v>1156</v>
      </c>
      <c r="L348" s="52" t="s">
        <v>33</v>
      </c>
      <c r="M348" s="52">
        <v>181</v>
      </c>
      <c r="N348" s="52">
        <v>40</v>
      </c>
      <c r="O348" s="52">
        <v>2</v>
      </c>
      <c r="P348" s="52" t="s">
        <v>8784</v>
      </c>
      <c r="Q348" s="52" t="s">
        <v>1517</v>
      </c>
      <c r="R348" s="52" t="s">
        <v>8827</v>
      </c>
      <c r="S348" s="52">
        <f t="shared" si="5"/>
        <v>4.74</v>
      </c>
      <c r="T348" s="52"/>
      <c r="U348" s="52"/>
    </row>
    <row r="349" spans="1:21" s="46" customFormat="1" ht="16.5" thickTop="1" thickBot="1" x14ac:dyDescent="0.3">
      <c r="A349" s="50" t="s">
        <v>8742</v>
      </c>
      <c r="B349" s="43" t="s">
        <v>8743</v>
      </c>
      <c r="C349" s="43" t="s">
        <v>38</v>
      </c>
      <c r="D349" s="43" t="s">
        <v>17</v>
      </c>
      <c r="E349" s="43" t="s">
        <v>18</v>
      </c>
      <c r="F349" s="43" t="s">
        <v>42</v>
      </c>
      <c r="G349" s="48">
        <v>46181.689583333333</v>
      </c>
      <c r="H349" s="48">
        <v>46183.560416666667</v>
      </c>
      <c r="I349" s="43">
        <v>1</v>
      </c>
      <c r="J349" s="43" t="s">
        <v>2373</v>
      </c>
      <c r="K349" s="43" t="s">
        <v>8326</v>
      </c>
      <c r="L349" s="43" t="s">
        <v>33</v>
      </c>
      <c r="M349" s="43">
        <v>1</v>
      </c>
      <c r="N349" s="43">
        <v>1</v>
      </c>
      <c r="O349" s="43">
        <v>1</v>
      </c>
      <c r="P349" s="43" t="s">
        <v>1424</v>
      </c>
      <c r="Q349" s="43" t="s">
        <v>1517</v>
      </c>
      <c r="R349" s="43" t="s">
        <v>8826</v>
      </c>
      <c r="S349" s="52">
        <f t="shared" si="5"/>
        <v>1.87</v>
      </c>
      <c r="T349" s="47"/>
      <c r="U349" s="47"/>
    </row>
    <row r="350" spans="1:21" ht="16.5" thickTop="1" thickBot="1" x14ac:dyDescent="0.3">
      <c r="A350" s="51" t="s">
        <v>8740</v>
      </c>
      <c r="B350" s="52" t="s">
        <v>8741</v>
      </c>
      <c r="C350" s="52" t="s">
        <v>38</v>
      </c>
      <c r="D350" s="52" t="s">
        <v>17</v>
      </c>
      <c r="E350" s="52" t="s">
        <v>18</v>
      </c>
      <c r="F350" s="52" t="s">
        <v>42</v>
      </c>
      <c r="G350" s="53">
        <v>46181.692361111112</v>
      </c>
      <c r="H350" s="53">
        <v>46183.55972222222</v>
      </c>
      <c r="I350" s="52">
        <v>2</v>
      </c>
      <c r="J350" s="52" t="s">
        <v>1156</v>
      </c>
      <c r="K350" s="52" t="s">
        <v>1156</v>
      </c>
      <c r="L350" s="52" t="s">
        <v>33</v>
      </c>
      <c r="M350" s="52">
        <v>2</v>
      </c>
      <c r="N350" s="52">
        <v>2</v>
      </c>
      <c r="O350" s="52">
        <v>2</v>
      </c>
      <c r="P350" s="52" t="s">
        <v>8783</v>
      </c>
      <c r="Q350" s="52" t="s">
        <v>1517</v>
      </c>
      <c r="R350" s="52" t="s">
        <v>8825</v>
      </c>
      <c r="S350" s="52">
        <f t="shared" si="5"/>
        <v>1.87</v>
      </c>
      <c r="T350" s="52"/>
      <c r="U350" s="52"/>
    </row>
    <row r="351" spans="1:21" s="46" customFormat="1" ht="16.5" thickTop="1" thickBot="1" x14ac:dyDescent="0.3">
      <c r="A351" s="50" t="s">
        <v>8737</v>
      </c>
      <c r="B351" s="43" t="s">
        <v>8738</v>
      </c>
      <c r="C351" s="43" t="s">
        <v>38</v>
      </c>
      <c r="D351" s="43" t="s">
        <v>17</v>
      </c>
      <c r="E351" s="43" t="s">
        <v>18</v>
      </c>
      <c r="F351" s="43" t="s">
        <v>42</v>
      </c>
      <c r="G351" s="48">
        <v>46181.694444444445</v>
      </c>
      <c r="H351" s="48">
        <v>46197.717361111114</v>
      </c>
      <c r="I351" s="43">
        <v>48</v>
      </c>
      <c r="J351" s="43" t="s">
        <v>2373</v>
      </c>
      <c r="K351" s="43" t="s">
        <v>8317</v>
      </c>
      <c r="L351" s="43" t="s">
        <v>8739</v>
      </c>
      <c r="M351" s="43">
        <v>48</v>
      </c>
      <c r="N351" s="43">
        <v>48</v>
      </c>
      <c r="O351" s="43">
        <v>48</v>
      </c>
      <c r="P351" s="43" t="s">
        <v>8782</v>
      </c>
      <c r="Q351" s="43" t="s">
        <v>1517</v>
      </c>
      <c r="R351" s="43" t="s">
        <v>8824</v>
      </c>
      <c r="S351" s="52">
        <f t="shared" si="5"/>
        <v>16.02</v>
      </c>
      <c r="T351" s="47"/>
      <c r="U351" s="47"/>
    </row>
    <row r="352" spans="1:21" ht="16.5" thickTop="1" thickBot="1" x14ac:dyDescent="0.3">
      <c r="A352" s="51" t="s">
        <v>8735</v>
      </c>
      <c r="B352" s="52" t="s">
        <v>8736</v>
      </c>
      <c r="C352" s="52" t="s">
        <v>38</v>
      </c>
      <c r="D352" s="52" t="s">
        <v>17</v>
      </c>
      <c r="E352" s="52" t="s">
        <v>18</v>
      </c>
      <c r="F352" s="52" t="s">
        <v>42</v>
      </c>
      <c r="G352" s="53">
        <v>46181.697222222225</v>
      </c>
      <c r="H352" s="53">
        <v>46183.56527777778</v>
      </c>
      <c r="I352" s="52">
        <v>52</v>
      </c>
      <c r="J352" s="52" t="s">
        <v>1156</v>
      </c>
      <c r="K352" s="52" t="s">
        <v>1156</v>
      </c>
      <c r="L352" s="52" t="s">
        <v>36</v>
      </c>
      <c r="M352" s="52">
        <v>50</v>
      </c>
      <c r="N352" s="52">
        <v>50</v>
      </c>
      <c r="O352" s="52">
        <v>52</v>
      </c>
      <c r="P352" s="52" t="s">
        <v>1479</v>
      </c>
      <c r="Q352" s="52" t="s">
        <v>1517</v>
      </c>
      <c r="R352" s="52" t="s">
        <v>8823</v>
      </c>
      <c r="S352" s="52">
        <f t="shared" si="5"/>
        <v>1.87</v>
      </c>
      <c r="T352" s="52"/>
      <c r="U352" s="52"/>
    </row>
    <row r="353" spans="1:21" s="46" customFormat="1" ht="16.5" thickTop="1" thickBot="1" x14ac:dyDescent="0.3">
      <c r="A353" s="50" t="s">
        <v>8733</v>
      </c>
      <c r="B353" s="43" t="s">
        <v>8734</v>
      </c>
      <c r="C353" s="43" t="s">
        <v>38</v>
      </c>
      <c r="D353" s="43" t="s">
        <v>17</v>
      </c>
      <c r="E353" s="43" t="s">
        <v>18</v>
      </c>
      <c r="F353" s="43" t="s">
        <v>42</v>
      </c>
      <c r="G353" s="48">
        <v>46181.704861111109</v>
      </c>
      <c r="H353" s="48">
        <v>46183.579861111109</v>
      </c>
      <c r="I353" s="43">
        <v>79</v>
      </c>
      <c r="J353" s="43" t="s">
        <v>1156</v>
      </c>
      <c r="K353" s="43" t="s">
        <v>1156</v>
      </c>
      <c r="L353" s="43" t="s">
        <v>36</v>
      </c>
      <c r="M353" s="43">
        <v>79</v>
      </c>
      <c r="N353" s="43">
        <v>79</v>
      </c>
      <c r="O353" s="43">
        <v>79</v>
      </c>
      <c r="P353" s="43" t="s">
        <v>8781</v>
      </c>
      <c r="Q353" s="43" t="s">
        <v>1517</v>
      </c>
      <c r="R353" s="43" t="s">
        <v>8822</v>
      </c>
      <c r="S353" s="52">
        <f t="shared" si="5"/>
        <v>1.88</v>
      </c>
      <c r="T353" s="47"/>
      <c r="U353" s="47"/>
    </row>
    <row r="354" spans="1:21" ht="16.5" thickTop="1" thickBot="1" x14ac:dyDescent="0.3">
      <c r="A354" s="51" t="s">
        <v>8731</v>
      </c>
      <c r="B354" s="52" t="s">
        <v>8732</v>
      </c>
      <c r="C354" s="52" t="s">
        <v>38</v>
      </c>
      <c r="D354" s="52" t="s">
        <v>17</v>
      </c>
      <c r="E354" s="52" t="s">
        <v>18</v>
      </c>
      <c r="F354" s="52" t="s">
        <v>42</v>
      </c>
      <c r="G354" s="53">
        <v>46181.775000000001</v>
      </c>
      <c r="H354" s="53">
        <v>46192.654861111114</v>
      </c>
      <c r="I354" s="52">
        <v>13734</v>
      </c>
      <c r="J354" s="52" t="s">
        <v>2373</v>
      </c>
      <c r="K354" s="52" t="s">
        <v>8264</v>
      </c>
      <c r="L354" s="52" t="s">
        <v>20</v>
      </c>
      <c r="M354" s="52">
        <v>13733</v>
      </c>
      <c r="N354" s="52">
        <v>13733</v>
      </c>
      <c r="O354" s="52">
        <v>13734</v>
      </c>
      <c r="P354" s="52" t="s">
        <v>1300</v>
      </c>
      <c r="Q354" s="52" t="s">
        <v>1517</v>
      </c>
      <c r="R354" s="52" t="s">
        <v>8821</v>
      </c>
      <c r="S354" s="52">
        <f t="shared" si="5"/>
        <v>10.88</v>
      </c>
      <c r="T354" s="52"/>
      <c r="U354" s="52"/>
    </row>
    <row r="355" spans="1:21" s="46" customFormat="1" ht="16.5" thickTop="1" thickBot="1" x14ac:dyDescent="0.3">
      <c r="A355" s="50" t="s">
        <v>8729</v>
      </c>
      <c r="B355" s="43" t="s">
        <v>8730</v>
      </c>
      <c r="C355" s="43" t="s">
        <v>38</v>
      </c>
      <c r="D355" s="43" t="s">
        <v>17</v>
      </c>
      <c r="E355" s="43" t="s">
        <v>18</v>
      </c>
      <c r="F355" s="43" t="s">
        <v>42</v>
      </c>
      <c r="G355" s="48">
        <v>46181.79583333333</v>
      </c>
      <c r="H355" s="48">
        <v>46183.607638888891</v>
      </c>
      <c r="I355" s="43">
        <v>196</v>
      </c>
      <c r="J355" s="43" t="s">
        <v>1156</v>
      </c>
      <c r="K355" s="43" t="s">
        <v>1156</v>
      </c>
      <c r="L355" s="43" t="s">
        <v>36</v>
      </c>
      <c r="M355" s="43">
        <v>196</v>
      </c>
      <c r="N355" s="43">
        <v>196</v>
      </c>
      <c r="O355" s="43">
        <v>196</v>
      </c>
      <c r="P355" s="43" t="s">
        <v>8780</v>
      </c>
      <c r="Q355" s="43" t="s">
        <v>1517</v>
      </c>
      <c r="R355" s="43" t="s">
        <v>8820</v>
      </c>
      <c r="S355" s="52">
        <f t="shared" si="5"/>
        <v>1.81</v>
      </c>
      <c r="T355" s="47"/>
      <c r="U355" s="47"/>
    </row>
    <row r="356" spans="1:21" ht="16.5" thickTop="1" thickBot="1" x14ac:dyDescent="0.3">
      <c r="A356" s="51" t="s">
        <v>8727</v>
      </c>
      <c r="B356" s="52" t="s">
        <v>8728</v>
      </c>
      <c r="C356" s="52" t="s">
        <v>38</v>
      </c>
      <c r="D356" s="52" t="s">
        <v>17</v>
      </c>
      <c r="E356" s="52" t="s">
        <v>19</v>
      </c>
      <c r="F356" s="52" t="s">
        <v>21</v>
      </c>
      <c r="G356" s="53">
        <v>46182.495833333334</v>
      </c>
      <c r="H356" s="53">
        <v>46184.552777777775</v>
      </c>
      <c r="I356" s="52">
        <v>227</v>
      </c>
      <c r="J356" s="52" t="s">
        <v>1156</v>
      </c>
      <c r="K356" s="52" t="s">
        <v>1156</v>
      </c>
      <c r="L356" s="52" t="s">
        <v>20</v>
      </c>
      <c r="M356" s="52">
        <v>227</v>
      </c>
      <c r="N356" s="52">
        <v>45</v>
      </c>
      <c r="O356" s="52">
        <v>45</v>
      </c>
      <c r="P356" s="52" t="s">
        <v>8779</v>
      </c>
      <c r="Q356" s="52" t="s">
        <v>1517</v>
      </c>
      <c r="R356" s="52" t="s">
        <v>8819</v>
      </c>
      <c r="S356" s="52">
        <f t="shared" si="5"/>
        <v>2.06</v>
      </c>
      <c r="T356" s="52"/>
      <c r="U356" s="52"/>
    </row>
    <row r="357" spans="1:21" s="46" customFormat="1" ht="16.5" thickTop="1" thickBot="1" x14ac:dyDescent="0.3">
      <c r="A357" s="50" t="s">
        <v>8725</v>
      </c>
      <c r="B357" s="43" t="s">
        <v>8726</v>
      </c>
      <c r="C357" s="43" t="s">
        <v>38</v>
      </c>
      <c r="D357" s="43" t="s">
        <v>17</v>
      </c>
      <c r="E357" s="43" t="s">
        <v>19</v>
      </c>
      <c r="F357" s="43" t="s">
        <v>21</v>
      </c>
      <c r="G357" s="48">
        <v>46182.513194444444</v>
      </c>
      <c r="H357" s="48">
        <v>46184.568055555559</v>
      </c>
      <c r="I357" s="43">
        <v>93</v>
      </c>
      <c r="J357" s="43" t="s">
        <v>1156</v>
      </c>
      <c r="K357" s="43" t="s">
        <v>1156</v>
      </c>
      <c r="L357" s="43" t="s">
        <v>20</v>
      </c>
      <c r="M357" s="43">
        <v>93</v>
      </c>
      <c r="N357" s="43">
        <v>11</v>
      </c>
      <c r="O357" s="43">
        <v>11</v>
      </c>
      <c r="P357" s="43" t="s">
        <v>1287</v>
      </c>
      <c r="Q357" s="43" t="s">
        <v>1517</v>
      </c>
      <c r="R357" s="43" t="s">
        <v>8818</v>
      </c>
      <c r="S357" s="52">
        <f t="shared" si="5"/>
        <v>2.0499999999999998</v>
      </c>
      <c r="T357" s="47"/>
      <c r="U357" s="47"/>
    </row>
    <row r="358" spans="1:21" ht="16.5" thickTop="1" thickBot="1" x14ac:dyDescent="0.3">
      <c r="A358" s="51" t="s">
        <v>8723</v>
      </c>
      <c r="B358" s="52" t="s">
        <v>8724</v>
      </c>
      <c r="C358" s="52" t="s">
        <v>38</v>
      </c>
      <c r="D358" s="52" t="s">
        <v>17</v>
      </c>
      <c r="E358" s="52" t="s">
        <v>18</v>
      </c>
      <c r="F358" s="52" t="s">
        <v>32</v>
      </c>
      <c r="G358" s="53">
        <v>46182.542361111111</v>
      </c>
      <c r="H358" s="53">
        <v>46184.626388888886</v>
      </c>
      <c r="I358" s="52">
        <v>45</v>
      </c>
      <c r="J358" s="52" t="s">
        <v>1156</v>
      </c>
      <c r="K358" s="52" t="s">
        <v>1156</v>
      </c>
      <c r="L358" s="52" t="s">
        <v>20</v>
      </c>
      <c r="M358" s="52">
        <v>40</v>
      </c>
      <c r="N358" s="52">
        <v>8</v>
      </c>
      <c r="O358" s="52">
        <v>9</v>
      </c>
      <c r="P358" s="52" t="s">
        <v>8778</v>
      </c>
      <c r="Q358" s="52" t="s">
        <v>1517</v>
      </c>
      <c r="R358" s="52" t="s">
        <v>8817</v>
      </c>
      <c r="S358" s="52">
        <f t="shared" si="5"/>
        <v>2.08</v>
      </c>
      <c r="T358" s="52"/>
      <c r="U358" s="52"/>
    </row>
    <row r="359" spans="1:21" s="46" customFormat="1" ht="16.5" thickTop="1" thickBot="1" x14ac:dyDescent="0.3">
      <c r="A359" s="50" t="s">
        <v>8721</v>
      </c>
      <c r="B359" s="43" t="s">
        <v>8722</v>
      </c>
      <c r="C359" s="43" t="s">
        <v>38</v>
      </c>
      <c r="D359" s="43" t="s">
        <v>17</v>
      </c>
      <c r="E359" s="43" t="s">
        <v>18</v>
      </c>
      <c r="F359" s="43" t="s">
        <v>32</v>
      </c>
      <c r="G359" s="48">
        <v>46182.549305555556</v>
      </c>
      <c r="H359" s="48">
        <v>46185.720138888886</v>
      </c>
      <c r="I359" s="43">
        <v>281</v>
      </c>
      <c r="J359" s="43" t="s">
        <v>1156</v>
      </c>
      <c r="K359" s="43" t="s">
        <v>1156</v>
      </c>
      <c r="L359" s="43" t="s">
        <v>20</v>
      </c>
      <c r="M359" s="43">
        <v>281</v>
      </c>
      <c r="N359" s="43">
        <v>56</v>
      </c>
      <c r="O359" s="43">
        <v>56</v>
      </c>
      <c r="P359" s="43" t="s">
        <v>8777</v>
      </c>
      <c r="Q359" s="43" t="s">
        <v>1517</v>
      </c>
      <c r="R359" s="43" t="s">
        <v>8816</v>
      </c>
      <c r="S359" s="52">
        <f t="shared" si="5"/>
        <v>3.17</v>
      </c>
      <c r="T359" s="47"/>
      <c r="U359" s="47"/>
    </row>
    <row r="360" spans="1:21" ht="16.5" thickTop="1" thickBot="1" x14ac:dyDescent="0.3">
      <c r="A360" s="51" t="s">
        <v>8719</v>
      </c>
      <c r="B360" s="52" t="s">
        <v>8720</v>
      </c>
      <c r="C360" s="52" t="s">
        <v>38</v>
      </c>
      <c r="D360" s="52" t="s">
        <v>17</v>
      </c>
      <c r="E360" s="52" t="s">
        <v>18</v>
      </c>
      <c r="F360" s="52" t="s">
        <v>42</v>
      </c>
      <c r="G360" s="53">
        <v>46182.554861111108</v>
      </c>
      <c r="H360" s="53">
        <v>46184.706250000003</v>
      </c>
      <c r="I360" s="52">
        <v>238</v>
      </c>
      <c r="J360" s="52" t="s">
        <v>1156</v>
      </c>
      <c r="K360" s="52" t="s">
        <v>1156</v>
      </c>
      <c r="L360" s="52" t="s">
        <v>36</v>
      </c>
      <c r="M360" s="52">
        <v>226</v>
      </c>
      <c r="N360" s="52">
        <v>226</v>
      </c>
      <c r="O360" s="52">
        <v>238</v>
      </c>
      <c r="P360" s="52" t="s">
        <v>8776</v>
      </c>
      <c r="Q360" s="52" t="s">
        <v>1517</v>
      </c>
      <c r="R360" s="52" t="s">
        <v>8815</v>
      </c>
      <c r="S360" s="52">
        <f t="shared" si="5"/>
        <v>2.15</v>
      </c>
      <c r="T360" s="52"/>
      <c r="U360" s="52"/>
    </row>
    <row r="361" spans="1:21" s="46" customFormat="1" ht="16.5" thickTop="1" thickBot="1" x14ac:dyDescent="0.3">
      <c r="A361" s="50" t="s">
        <v>8717</v>
      </c>
      <c r="B361" s="43" t="s">
        <v>8718</v>
      </c>
      <c r="C361" s="43" t="s">
        <v>38</v>
      </c>
      <c r="D361" s="43" t="s">
        <v>17</v>
      </c>
      <c r="E361" s="43" t="s">
        <v>18</v>
      </c>
      <c r="F361" s="43" t="s">
        <v>42</v>
      </c>
      <c r="G361" s="48">
        <v>46182.636805555558</v>
      </c>
      <c r="H361" s="48">
        <v>46185.801388888889</v>
      </c>
      <c r="I361" s="43">
        <v>53</v>
      </c>
      <c r="J361" s="43" t="s">
        <v>1156</v>
      </c>
      <c r="K361" s="43" t="s">
        <v>1156</v>
      </c>
      <c r="L361" s="43" t="s">
        <v>20</v>
      </c>
      <c r="M361" s="43">
        <v>53</v>
      </c>
      <c r="N361" s="43">
        <v>8</v>
      </c>
      <c r="O361" s="43">
        <v>8</v>
      </c>
      <c r="P361" s="43" t="s">
        <v>1414</v>
      </c>
      <c r="Q361" s="43" t="s">
        <v>1517</v>
      </c>
      <c r="R361" s="43" t="s">
        <v>8814</v>
      </c>
      <c r="S361" s="52">
        <f t="shared" si="5"/>
        <v>3.16</v>
      </c>
      <c r="T361" s="47"/>
      <c r="U361" s="47"/>
    </row>
    <row r="362" spans="1:21" ht="16.5" thickTop="1" thickBot="1" x14ac:dyDescent="0.3">
      <c r="A362" s="51" t="s">
        <v>8715</v>
      </c>
      <c r="B362" s="52" t="s">
        <v>8716</v>
      </c>
      <c r="C362" s="52" t="s">
        <v>38</v>
      </c>
      <c r="D362" s="52" t="s">
        <v>17</v>
      </c>
      <c r="E362" s="52" t="s">
        <v>18</v>
      </c>
      <c r="F362" s="52" t="s">
        <v>32</v>
      </c>
      <c r="G362" s="53">
        <v>46182.668055555558</v>
      </c>
      <c r="H362" s="53">
        <v>46184.617361111108</v>
      </c>
      <c r="I362" s="52">
        <v>956</v>
      </c>
      <c r="J362" s="52" t="s">
        <v>1156</v>
      </c>
      <c r="K362" s="52" t="s">
        <v>1156</v>
      </c>
      <c r="L362" s="52" t="s">
        <v>20</v>
      </c>
      <c r="M362" s="52">
        <v>945</v>
      </c>
      <c r="N362" s="52">
        <v>184</v>
      </c>
      <c r="O362" s="52">
        <v>186</v>
      </c>
      <c r="P362" s="52" t="s">
        <v>8443</v>
      </c>
      <c r="Q362" s="52" t="s">
        <v>1517</v>
      </c>
      <c r="R362" s="52" t="s">
        <v>8813</v>
      </c>
      <c r="S362" s="52">
        <f t="shared" si="5"/>
        <v>1.95</v>
      </c>
      <c r="T362" s="52"/>
      <c r="U362" s="52"/>
    </row>
    <row r="363" spans="1:21" s="46" customFormat="1" ht="16.5" thickTop="1" thickBot="1" x14ac:dyDescent="0.3">
      <c r="A363" s="50" t="s">
        <v>8714</v>
      </c>
      <c r="B363" s="43" t="s">
        <v>8490</v>
      </c>
      <c r="C363" s="43" t="s">
        <v>38</v>
      </c>
      <c r="D363" s="43" t="s">
        <v>17</v>
      </c>
      <c r="E363" s="43" t="s">
        <v>18</v>
      </c>
      <c r="F363" s="43" t="s">
        <v>32</v>
      </c>
      <c r="G363" s="48">
        <v>46182.71875</v>
      </c>
      <c r="H363" s="48">
        <v>46189.747916666667</v>
      </c>
      <c r="I363" s="43">
        <v>746</v>
      </c>
      <c r="J363" s="43" t="s">
        <v>1156</v>
      </c>
      <c r="K363" s="43" t="s">
        <v>8294</v>
      </c>
      <c r="L363" s="43" t="s">
        <v>20</v>
      </c>
      <c r="M363" s="43">
        <v>494</v>
      </c>
      <c r="N363" s="43">
        <v>66</v>
      </c>
      <c r="O363" s="43">
        <v>98</v>
      </c>
      <c r="P363" s="43" t="s">
        <v>1412</v>
      </c>
      <c r="Q363" s="43" t="s">
        <v>1546</v>
      </c>
      <c r="R363" s="43" t="s">
        <v>8812</v>
      </c>
      <c r="S363" s="52">
        <f t="shared" si="5"/>
        <v>7.03</v>
      </c>
      <c r="T363" s="47"/>
      <c r="U363" s="47"/>
    </row>
    <row r="364" spans="1:21" ht="16.5" thickTop="1" thickBot="1" x14ac:dyDescent="0.3">
      <c r="A364" s="51" t="s">
        <v>8712</v>
      </c>
      <c r="B364" s="52" t="s">
        <v>8713</v>
      </c>
      <c r="C364" s="52" t="s">
        <v>38</v>
      </c>
      <c r="D364" s="52" t="s">
        <v>17</v>
      </c>
      <c r="E364" s="52" t="s">
        <v>19</v>
      </c>
      <c r="F364" s="52" t="s">
        <v>23</v>
      </c>
      <c r="G364" s="53">
        <v>46182.986805555556</v>
      </c>
      <c r="H364" s="53">
        <v>46184.5</v>
      </c>
      <c r="I364" s="52">
        <v>60</v>
      </c>
      <c r="J364" s="52" t="s">
        <v>2373</v>
      </c>
      <c r="K364" s="52" t="s">
        <v>8278</v>
      </c>
      <c r="L364" s="52" t="s">
        <v>31</v>
      </c>
      <c r="M364" s="52">
        <v>60</v>
      </c>
      <c r="N364" s="52">
        <v>14</v>
      </c>
      <c r="O364" s="52">
        <v>14</v>
      </c>
      <c r="P364" s="52" t="s">
        <v>1295</v>
      </c>
      <c r="Q364" s="52" t="s">
        <v>1517</v>
      </c>
      <c r="R364" s="52" t="s">
        <v>8811</v>
      </c>
      <c r="S364" s="52">
        <f t="shared" si="5"/>
        <v>1.51</v>
      </c>
      <c r="T364" s="52"/>
      <c r="U364" s="52"/>
    </row>
    <row r="365" spans="1:21" s="46" customFormat="1" ht="16.5" thickTop="1" thickBot="1" x14ac:dyDescent="0.3">
      <c r="A365" s="50" t="s">
        <v>8710</v>
      </c>
      <c r="B365" s="43" t="s">
        <v>8711</v>
      </c>
      <c r="C365" s="43" t="s">
        <v>39</v>
      </c>
      <c r="D365" s="43" t="s">
        <v>17</v>
      </c>
      <c r="E365" s="43" t="s">
        <v>18</v>
      </c>
      <c r="F365" s="43" t="s">
        <v>32</v>
      </c>
      <c r="G365" s="48">
        <v>46183.51458333333</v>
      </c>
      <c r="H365" s="48">
        <v>46189.394444444442</v>
      </c>
      <c r="I365" s="43">
        <v>3</v>
      </c>
      <c r="J365" s="43" t="s">
        <v>1156</v>
      </c>
      <c r="K365" s="43" t="s">
        <v>1156</v>
      </c>
      <c r="L365" s="43" t="s">
        <v>33</v>
      </c>
      <c r="M365" s="43">
        <v>0</v>
      </c>
      <c r="N365" s="43">
        <v>0</v>
      </c>
      <c r="O365" s="43">
        <v>3</v>
      </c>
      <c r="P365" s="43" t="s">
        <v>8775</v>
      </c>
      <c r="Q365" s="43" t="s">
        <v>1517</v>
      </c>
      <c r="R365" s="43" t="s">
        <v>8810</v>
      </c>
      <c r="S365" s="52">
        <f t="shared" si="5"/>
        <v>5.88</v>
      </c>
      <c r="T365" s="47"/>
      <c r="U365" s="47"/>
    </row>
    <row r="366" spans="1:21" ht="16.5" thickTop="1" thickBot="1" x14ac:dyDescent="0.3">
      <c r="A366" s="51" t="s">
        <v>8708</v>
      </c>
      <c r="B366" s="52" t="s">
        <v>8709</v>
      </c>
      <c r="C366" s="52" t="s">
        <v>38</v>
      </c>
      <c r="D366" s="52" t="s">
        <v>17</v>
      </c>
      <c r="E366" s="52" t="s">
        <v>18</v>
      </c>
      <c r="F366" s="52" t="s">
        <v>32</v>
      </c>
      <c r="G366" s="53">
        <v>46183.536805555559</v>
      </c>
      <c r="H366" s="53">
        <v>46190.772222222222</v>
      </c>
      <c r="I366" s="52">
        <v>309</v>
      </c>
      <c r="J366" s="52" t="s">
        <v>1156</v>
      </c>
      <c r="K366" s="52" t="s">
        <v>1156</v>
      </c>
      <c r="L366" s="52" t="s">
        <v>20</v>
      </c>
      <c r="M366" s="52">
        <v>269</v>
      </c>
      <c r="N366" s="52">
        <v>32</v>
      </c>
      <c r="O366" s="52">
        <v>49</v>
      </c>
      <c r="P366" s="52" t="s">
        <v>8774</v>
      </c>
      <c r="Q366" s="52" t="s">
        <v>1514</v>
      </c>
      <c r="R366" s="52" t="s">
        <v>8809</v>
      </c>
      <c r="S366" s="52">
        <f t="shared" si="5"/>
        <v>7.24</v>
      </c>
      <c r="T366" s="52"/>
      <c r="U366" s="52"/>
    </row>
    <row r="367" spans="1:21" s="46" customFormat="1" ht="16.5" thickTop="1" thickBot="1" x14ac:dyDescent="0.3">
      <c r="A367" s="50" t="s">
        <v>8706</v>
      </c>
      <c r="B367" s="43" t="s">
        <v>8707</v>
      </c>
      <c r="C367" s="43" t="s">
        <v>38</v>
      </c>
      <c r="D367" s="43" t="s">
        <v>17</v>
      </c>
      <c r="E367" s="43" t="s">
        <v>18</v>
      </c>
      <c r="F367" s="43" t="s">
        <v>28</v>
      </c>
      <c r="G367" s="48">
        <v>46183.568749999999</v>
      </c>
      <c r="H367" s="48">
        <v>46184.52847222222</v>
      </c>
      <c r="I367" s="43">
        <v>51</v>
      </c>
      <c r="J367" s="43" t="s">
        <v>1156</v>
      </c>
      <c r="K367" s="43" t="s">
        <v>1156</v>
      </c>
      <c r="L367" s="43" t="s">
        <v>20</v>
      </c>
      <c r="M367" s="43">
        <v>51</v>
      </c>
      <c r="N367" s="43">
        <v>4</v>
      </c>
      <c r="O367" s="43">
        <v>4</v>
      </c>
      <c r="P367" s="43" t="s">
        <v>8773</v>
      </c>
      <c r="Q367" s="43" t="s">
        <v>1514</v>
      </c>
      <c r="R367" s="43" t="s">
        <v>8808</v>
      </c>
      <c r="S367" s="52">
        <f t="shared" si="5"/>
        <v>0.96</v>
      </c>
      <c r="T367" s="47"/>
      <c r="U367" s="47"/>
    </row>
    <row r="368" spans="1:21" ht="16.5" thickTop="1" thickBot="1" x14ac:dyDescent="0.3">
      <c r="A368" s="51" t="s">
        <v>8704</v>
      </c>
      <c r="B368" s="52" t="s">
        <v>8705</v>
      </c>
      <c r="C368" s="52" t="s">
        <v>39</v>
      </c>
      <c r="D368" s="52" t="s">
        <v>17</v>
      </c>
      <c r="E368" s="52" t="s">
        <v>18</v>
      </c>
      <c r="F368" s="52" t="s">
        <v>32</v>
      </c>
      <c r="G368" s="53">
        <v>46183.728472222225</v>
      </c>
      <c r="H368" s="53">
        <v>46189.40902777778</v>
      </c>
      <c r="I368" s="52">
        <v>6</v>
      </c>
      <c r="J368" s="52" t="s">
        <v>1156</v>
      </c>
      <c r="K368" s="52" t="s">
        <v>1156</v>
      </c>
      <c r="L368" s="52" t="s">
        <v>33</v>
      </c>
      <c r="M368" s="52">
        <v>0</v>
      </c>
      <c r="N368" s="52">
        <v>0</v>
      </c>
      <c r="O368" s="52">
        <v>6</v>
      </c>
      <c r="P368" s="52" t="s">
        <v>8772</v>
      </c>
      <c r="Q368" s="52" t="s">
        <v>1517</v>
      </c>
      <c r="R368" s="52" t="s">
        <v>8807</v>
      </c>
      <c r="S368" s="52">
        <f t="shared" si="5"/>
        <v>5.68</v>
      </c>
      <c r="T368" s="52"/>
      <c r="U368" s="52"/>
    </row>
    <row r="369" spans="1:21" s="46" customFormat="1" ht="16.5" thickTop="1" thickBot="1" x14ac:dyDescent="0.3">
      <c r="A369" s="50" t="s">
        <v>8702</v>
      </c>
      <c r="B369" s="43" t="s">
        <v>8703</v>
      </c>
      <c r="C369" s="43" t="s">
        <v>39</v>
      </c>
      <c r="D369" s="43" t="s">
        <v>17</v>
      </c>
      <c r="E369" s="43" t="s">
        <v>18</v>
      </c>
      <c r="F369" s="43" t="s">
        <v>28</v>
      </c>
      <c r="G369" s="48">
        <v>46183.740972222222</v>
      </c>
      <c r="H369" s="48">
        <v>46191.482638888891</v>
      </c>
      <c r="I369" s="43">
        <v>3</v>
      </c>
      <c r="J369" s="43" t="s">
        <v>1156</v>
      </c>
      <c r="K369" s="43" t="s">
        <v>1156</v>
      </c>
      <c r="L369" s="43" t="s">
        <v>33</v>
      </c>
      <c r="M369" s="43">
        <v>0</v>
      </c>
      <c r="N369" s="43">
        <v>0</v>
      </c>
      <c r="O369" s="43">
        <v>3</v>
      </c>
      <c r="P369" s="43" t="s">
        <v>1483</v>
      </c>
      <c r="Q369" s="43" t="s">
        <v>1514</v>
      </c>
      <c r="R369" s="43" t="s">
        <v>8806</v>
      </c>
      <c r="S369" s="52">
        <f t="shared" si="5"/>
        <v>7.74</v>
      </c>
      <c r="T369" s="47"/>
      <c r="U369" s="47"/>
    </row>
    <row r="370" spans="1:21" ht="16.5" thickTop="1" thickBot="1" x14ac:dyDescent="0.3">
      <c r="A370" s="51" t="s">
        <v>8700</v>
      </c>
      <c r="B370" s="52" t="s">
        <v>8701</v>
      </c>
      <c r="C370" s="52" t="s">
        <v>38</v>
      </c>
      <c r="D370" s="52" t="s">
        <v>17</v>
      </c>
      <c r="E370" s="52" t="s">
        <v>18</v>
      </c>
      <c r="F370" s="52" t="s">
        <v>19</v>
      </c>
      <c r="G370" s="53">
        <v>46183.792361111111</v>
      </c>
      <c r="H370" s="53">
        <v>46204.45208333333</v>
      </c>
      <c r="I370" s="52">
        <v>1</v>
      </c>
      <c r="J370" s="52" t="s">
        <v>1156</v>
      </c>
      <c r="K370" s="52" t="s">
        <v>1156</v>
      </c>
      <c r="L370" s="52" t="s">
        <v>20</v>
      </c>
      <c r="M370" s="52">
        <v>1</v>
      </c>
      <c r="N370" s="52">
        <v>1</v>
      </c>
      <c r="O370" s="52">
        <v>1</v>
      </c>
      <c r="P370" s="52" t="s">
        <v>1316</v>
      </c>
      <c r="Q370" s="52" t="s">
        <v>1517</v>
      </c>
      <c r="R370" s="52" t="s">
        <v>8805</v>
      </c>
      <c r="S370" s="52">
        <f t="shared" si="5"/>
        <v>20.66</v>
      </c>
      <c r="T370" s="52"/>
      <c r="U370" s="52"/>
    </row>
    <row r="371" spans="1:21" s="46" customFormat="1" ht="16.5" thickTop="1" thickBot="1" x14ac:dyDescent="0.3">
      <c r="A371" s="50" t="s">
        <v>8698</v>
      </c>
      <c r="B371" s="43" t="s">
        <v>8699</v>
      </c>
      <c r="C371" s="43" t="s">
        <v>38</v>
      </c>
      <c r="D371" s="43" t="s">
        <v>17</v>
      </c>
      <c r="E371" s="43" t="s">
        <v>18</v>
      </c>
      <c r="F371" s="43" t="s">
        <v>42</v>
      </c>
      <c r="G371" s="48">
        <v>46184.441666666666</v>
      </c>
      <c r="H371" s="48">
        <v>46190.553472222222</v>
      </c>
      <c r="I371" s="43">
        <v>6</v>
      </c>
      <c r="J371" s="43" t="s">
        <v>1156</v>
      </c>
      <c r="K371" s="43" t="s">
        <v>1156</v>
      </c>
      <c r="L371" s="43" t="s">
        <v>33</v>
      </c>
      <c r="M371" s="43">
        <v>6</v>
      </c>
      <c r="N371" s="43">
        <v>6</v>
      </c>
      <c r="O371" s="43">
        <v>6</v>
      </c>
      <c r="P371" s="43" t="s">
        <v>1421</v>
      </c>
      <c r="Q371" s="43" t="s">
        <v>1517</v>
      </c>
      <c r="R371" s="43" t="s">
        <v>8804</v>
      </c>
      <c r="S371" s="52">
        <f t="shared" si="5"/>
        <v>6.11</v>
      </c>
      <c r="T371" s="47"/>
      <c r="U371" s="47"/>
    </row>
    <row r="372" spans="1:21" ht="16.5" thickTop="1" thickBot="1" x14ac:dyDescent="0.3">
      <c r="A372" s="51" t="s">
        <v>8696</v>
      </c>
      <c r="B372" s="52" t="s">
        <v>8697</v>
      </c>
      <c r="C372" s="52" t="s">
        <v>39</v>
      </c>
      <c r="D372" s="52" t="s">
        <v>17</v>
      </c>
      <c r="E372" s="52" t="s">
        <v>18</v>
      </c>
      <c r="F372" s="52" t="s">
        <v>42</v>
      </c>
      <c r="G372" s="53">
        <v>46184.45</v>
      </c>
      <c r="H372" s="53">
        <v>46192.782638888886</v>
      </c>
      <c r="I372" s="52">
        <v>19</v>
      </c>
      <c r="J372" s="52" t="s">
        <v>1156</v>
      </c>
      <c r="K372" s="52" t="s">
        <v>1156</v>
      </c>
      <c r="L372" s="52" t="s">
        <v>33</v>
      </c>
      <c r="M372" s="52">
        <v>0</v>
      </c>
      <c r="N372" s="52">
        <v>0</v>
      </c>
      <c r="O372" s="52">
        <v>19</v>
      </c>
      <c r="P372" s="52" t="s">
        <v>8771</v>
      </c>
      <c r="Q372" s="52" t="s">
        <v>1546</v>
      </c>
      <c r="R372" s="52" t="s">
        <v>8803</v>
      </c>
      <c r="S372" s="52">
        <f t="shared" si="5"/>
        <v>8.33</v>
      </c>
      <c r="T372" s="52"/>
      <c r="U372" s="52"/>
    </row>
    <row r="373" spans="1:21" s="46" customFormat="1" ht="16.5" thickTop="1" thickBot="1" x14ac:dyDescent="0.3">
      <c r="A373" s="50" t="s">
        <v>8694</v>
      </c>
      <c r="B373" s="43" t="s">
        <v>8695</v>
      </c>
      <c r="C373" s="43" t="s">
        <v>38</v>
      </c>
      <c r="D373" s="43" t="s">
        <v>17</v>
      </c>
      <c r="E373" s="43" t="s">
        <v>18</v>
      </c>
      <c r="F373" s="43" t="s">
        <v>42</v>
      </c>
      <c r="G373" s="48">
        <v>46184.535416666666</v>
      </c>
      <c r="H373" s="48">
        <v>46190.556944444441</v>
      </c>
      <c r="I373" s="43">
        <v>1</v>
      </c>
      <c r="J373" s="43" t="s">
        <v>1156</v>
      </c>
      <c r="K373" s="43" t="s">
        <v>1156</v>
      </c>
      <c r="L373" s="43" t="s">
        <v>33</v>
      </c>
      <c r="M373" s="43">
        <v>1</v>
      </c>
      <c r="N373" s="43">
        <v>1</v>
      </c>
      <c r="O373" s="43">
        <v>1</v>
      </c>
      <c r="P373" s="43" t="s">
        <v>1421</v>
      </c>
      <c r="Q373" s="43" t="s">
        <v>1517</v>
      </c>
      <c r="R373" s="43" t="s">
        <v>8802</v>
      </c>
      <c r="S373" s="52">
        <f t="shared" si="5"/>
        <v>6.02</v>
      </c>
      <c r="T373" s="47"/>
      <c r="U373" s="47"/>
    </row>
    <row r="374" spans="1:21" ht="16.5" thickTop="1" thickBot="1" x14ac:dyDescent="0.3">
      <c r="A374" s="51" t="s">
        <v>8692</v>
      </c>
      <c r="B374" s="52" t="s">
        <v>8693</v>
      </c>
      <c r="C374" s="52" t="s">
        <v>38</v>
      </c>
      <c r="D374" s="52" t="s">
        <v>17</v>
      </c>
      <c r="E374" s="52" t="s">
        <v>18</v>
      </c>
      <c r="F374" s="52" t="s">
        <v>28</v>
      </c>
      <c r="G374" s="53">
        <v>46184.679861111108</v>
      </c>
      <c r="H374" s="53">
        <v>46188.51458333333</v>
      </c>
      <c r="I374" s="52">
        <v>3528</v>
      </c>
      <c r="J374" s="52" t="s">
        <v>1156</v>
      </c>
      <c r="K374" s="52" t="s">
        <v>1156</v>
      </c>
      <c r="L374" s="52" t="s">
        <v>20</v>
      </c>
      <c r="M374" s="52">
        <v>3015</v>
      </c>
      <c r="N374" s="52">
        <v>414</v>
      </c>
      <c r="O374" s="52">
        <v>491</v>
      </c>
      <c r="P374" s="52" t="s">
        <v>1501</v>
      </c>
      <c r="Q374" s="52" t="s">
        <v>1514</v>
      </c>
      <c r="R374" s="52" t="s">
        <v>8801</v>
      </c>
      <c r="S374" s="52">
        <f t="shared" si="5"/>
        <v>3.83</v>
      </c>
      <c r="T374" s="52"/>
      <c r="U374" s="52"/>
    </row>
    <row r="375" spans="1:21" s="46" customFormat="1" ht="16.5" thickTop="1" thickBot="1" x14ac:dyDescent="0.3">
      <c r="A375" s="50" t="s">
        <v>8690</v>
      </c>
      <c r="B375" s="43" t="s">
        <v>8691</v>
      </c>
      <c r="C375" s="43" t="s">
        <v>38</v>
      </c>
      <c r="D375" s="43" t="s">
        <v>17</v>
      </c>
      <c r="E375" s="43" t="s">
        <v>18</v>
      </c>
      <c r="F375" s="43" t="s">
        <v>42</v>
      </c>
      <c r="G375" s="48">
        <v>46184.681944444441</v>
      </c>
      <c r="H375" s="48">
        <v>46186.50277777778</v>
      </c>
      <c r="I375" s="43">
        <v>266</v>
      </c>
      <c r="J375" s="43" t="s">
        <v>1156</v>
      </c>
      <c r="K375" s="43" t="s">
        <v>1156</v>
      </c>
      <c r="L375" s="43" t="s">
        <v>36</v>
      </c>
      <c r="M375" s="43">
        <v>218</v>
      </c>
      <c r="N375" s="43">
        <v>218</v>
      </c>
      <c r="O375" s="43">
        <v>266</v>
      </c>
      <c r="P375" s="43" t="s">
        <v>8770</v>
      </c>
      <c r="Q375" s="43" t="s">
        <v>1517</v>
      </c>
      <c r="R375" s="43" t="s">
        <v>8800</v>
      </c>
      <c r="S375" s="52">
        <f t="shared" si="5"/>
        <v>1.82</v>
      </c>
      <c r="T375" s="47"/>
      <c r="U375" s="47"/>
    </row>
    <row r="376" spans="1:21" ht="16.5" thickTop="1" thickBot="1" x14ac:dyDescent="0.3">
      <c r="A376" s="51" t="s">
        <v>8688</v>
      </c>
      <c r="B376" s="52" t="s">
        <v>8689</v>
      </c>
      <c r="C376" s="52" t="s">
        <v>38</v>
      </c>
      <c r="D376" s="52" t="s">
        <v>17</v>
      </c>
      <c r="E376" s="52" t="s">
        <v>18</v>
      </c>
      <c r="F376" s="52" t="s">
        <v>42</v>
      </c>
      <c r="G376" s="53">
        <v>46184.688194444447</v>
      </c>
      <c r="H376" s="53">
        <v>46190.561111111114</v>
      </c>
      <c r="I376" s="52">
        <v>79</v>
      </c>
      <c r="J376" s="52" t="s">
        <v>1156</v>
      </c>
      <c r="K376" s="52" t="s">
        <v>1156</v>
      </c>
      <c r="L376" s="52" t="s">
        <v>33</v>
      </c>
      <c r="M376" s="52">
        <v>72</v>
      </c>
      <c r="N376" s="52">
        <v>72</v>
      </c>
      <c r="O376" s="52">
        <v>79</v>
      </c>
      <c r="P376" s="52" t="s">
        <v>8769</v>
      </c>
      <c r="Q376" s="52" t="s">
        <v>1517</v>
      </c>
      <c r="R376" s="52" t="s">
        <v>8799</v>
      </c>
      <c r="S376" s="52">
        <f t="shared" si="5"/>
        <v>5.87</v>
      </c>
      <c r="T376" s="52"/>
      <c r="U376" s="52"/>
    </row>
    <row r="377" spans="1:21" s="46" customFormat="1" ht="16.5" thickTop="1" thickBot="1" x14ac:dyDescent="0.3">
      <c r="A377" s="50" t="s">
        <v>8686</v>
      </c>
      <c r="B377" s="43" t="s">
        <v>8687</v>
      </c>
      <c r="C377" s="43" t="s">
        <v>38</v>
      </c>
      <c r="D377" s="43" t="s">
        <v>17</v>
      </c>
      <c r="E377" s="43" t="s">
        <v>18</v>
      </c>
      <c r="F377" s="43" t="s">
        <v>32</v>
      </c>
      <c r="G377" s="48">
        <v>46185.543749999997</v>
      </c>
      <c r="H377" s="48">
        <v>46189.486111111109</v>
      </c>
      <c r="I377" s="43">
        <v>2</v>
      </c>
      <c r="J377" s="43" t="s">
        <v>1156</v>
      </c>
      <c r="K377" s="43" t="s">
        <v>1156</v>
      </c>
      <c r="L377" s="43" t="s">
        <v>33</v>
      </c>
      <c r="M377" s="43">
        <v>2</v>
      </c>
      <c r="N377" s="43">
        <v>2</v>
      </c>
      <c r="O377" s="43">
        <v>2</v>
      </c>
      <c r="P377" s="43" t="s">
        <v>8768</v>
      </c>
      <c r="Q377" s="43" t="s">
        <v>1514</v>
      </c>
      <c r="R377" s="43" t="s">
        <v>8798</v>
      </c>
      <c r="S377" s="52">
        <f t="shared" si="5"/>
        <v>3.94</v>
      </c>
      <c r="T377" s="47"/>
      <c r="U377" s="47"/>
    </row>
    <row r="378" spans="1:21" ht="16.5" thickTop="1" thickBot="1" x14ac:dyDescent="0.3">
      <c r="A378" s="51" t="s">
        <v>8684</v>
      </c>
      <c r="B378" s="52" t="s">
        <v>8685</v>
      </c>
      <c r="C378" s="52" t="s">
        <v>39</v>
      </c>
      <c r="D378" s="52" t="s">
        <v>17</v>
      </c>
      <c r="E378" s="52" t="s">
        <v>18</v>
      </c>
      <c r="F378" s="52" t="s">
        <v>32</v>
      </c>
      <c r="G378" s="53">
        <v>46185.59097222222</v>
      </c>
      <c r="H378" s="53">
        <v>46189.84652777778</v>
      </c>
      <c r="I378" s="52">
        <v>52</v>
      </c>
      <c r="J378" s="52" t="s">
        <v>1156</v>
      </c>
      <c r="K378" s="52" t="s">
        <v>1156</v>
      </c>
      <c r="L378" s="52" t="s">
        <v>33</v>
      </c>
      <c r="M378" s="52">
        <v>0</v>
      </c>
      <c r="N378" s="52">
        <v>0</v>
      </c>
      <c r="O378" s="52">
        <v>52</v>
      </c>
      <c r="P378" s="52" t="s">
        <v>8767</v>
      </c>
      <c r="Q378" s="52" t="s">
        <v>1514</v>
      </c>
      <c r="R378" s="52" t="s">
        <v>8797</v>
      </c>
      <c r="S378" s="52">
        <f t="shared" si="5"/>
        <v>4.26</v>
      </c>
      <c r="T378" s="52"/>
      <c r="U378" s="52"/>
    </row>
    <row r="379" spans="1:21" s="46" customFormat="1" ht="16.5" thickTop="1" thickBot="1" x14ac:dyDescent="0.3">
      <c r="A379" s="50" t="s">
        <v>8682</v>
      </c>
      <c r="B379" s="43" t="s">
        <v>8683</v>
      </c>
      <c r="C379" s="43" t="s">
        <v>38</v>
      </c>
      <c r="D379" s="43" t="s">
        <v>17</v>
      </c>
      <c r="E379" s="43" t="s">
        <v>18</v>
      </c>
      <c r="F379" s="43" t="s">
        <v>42</v>
      </c>
      <c r="G379" s="48">
        <v>46185.633333333331</v>
      </c>
      <c r="H379" s="48">
        <v>46190.591666666667</v>
      </c>
      <c r="I379" s="43">
        <v>525</v>
      </c>
      <c r="J379" s="43" t="s">
        <v>1156</v>
      </c>
      <c r="K379" s="43" t="s">
        <v>8343</v>
      </c>
      <c r="L379" s="43" t="s">
        <v>20</v>
      </c>
      <c r="M379" s="43">
        <v>415</v>
      </c>
      <c r="N379" s="43">
        <v>62</v>
      </c>
      <c r="O379" s="43">
        <v>88</v>
      </c>
      <c r="P379" s="43" t="s">
        <v>8766</v>
      </c>
      <c r="Q379" s="43" t="s">
        <v>1517</v>
      </c>
      <c r="R379" s="43" t="s">
        <v>8796</v>
      </c>
      <c r="S379" s="52">
        <f t="shared" si="5"/>
        <v>4.96</v>
      </c>
      <c r="T379" s="47"/>
      <c r="U379" s="47"/>
    </row>
    <row r="380" spans="1:21" ht="16.5" thickTop="1" thickBot="1" x14ac:dyDescent="0.3">
      <c r="A380" s="51" t="s">
        <v>8680</v>
      </c>
      <c r="B380" s="52" t="s">
        <v>8681</v>
      </c>
      <c r="C380" s="52" t="s">
        <v>38</v>
      </c>
      <c r="D380" s="52" t="s">
        <v>17</v>
      </c>
      <c r="E380" s="52" t="s">
        <v>18</v>
      </c>
      <c r="F380" s="52" t="s">
        <v>42</v>
      </c>
      <c r="G380" s="53">
        <v>46185.702777777777</v>
      </c>
      <c r="H380" s="53">
        <v>46190.616666666669</v>
      </c>
      <c r="I380" s="52">
        <v>16</v>
      </c>
      <c r="J380" s="52" t="s">
        <v>1156</v>
      </c>
      <c r="K380" s="52" t="s">
        <v>1156</v>
      </c>
      <c r="L380" s="52" t="s">
        <v>33</v>
      </c>
      <c r="M380" s="52">
        <v>16</v>
      </c>
      <c r="N380" s="52">
        <v>16</v>
      </c>
      <c r="O380" s="52">
        <v>16</v>
      </c>
      <c r="P380" s="52" t="s">
        <v>1355</v>
      </c>
      <c r="Q380" s="52" t="s">
        <v>1546</v>
      </c>
      <c r="R380" s="52"/>
      <c r="S380" s="52">
        <f t="shared" si="5"/>
        <v>4.91</v>
      </c>
      <c r="T380" s="52"/>
      <c r="U380" s="52"/>
    </row>
    <row r="381" spans="1:21" s="46" customFormat="1" ht="16.5" thickTop="1" thickBot="1" x14ac:dyDescent="0.3">
      <c r="A381" s="50" t="s">
        <v>8677</v>
      </c>
      <c r="B381" s="43" t="s">
        <v>8678</v>
      </c>
      <c r="C381" s="43" t="s">
        <v>38</v>
      </c>
      <c r="D381" s="43" t="s">
        <v>17</v>
      </c>
      <c r="E381" s="43" t="s">
        <v>18</v>
      </c>
      <c r="F381" s="43" t="s">
        <v>42</v>
      </c>
      <c r="G381" s="48">
        <v>46185.709027777775</v>
      </c>
      <c r="H381" s="48">
        <v>46188.583333333336</v>
      </c>
      <c r="I381" s="43">
        <v>25</v>
      </c>
      <c r="J381" s="43" t="s">
        <v>1156</v>
      </c>
      <c r="K381" s="43" t="s">
        <v>1156</v>
      </c>
      <c r="L381" s="43" t="s">
        <v>8679</v>
      </c>
      <c r="M381" s="43">
        <v>25</v>
      </c>
      <c r="N381" s="43">
        <v>25</v>
      </c>
      <c r="O381" s="43">
        <v>25</v>
      </c>
      <c r="P381" s="43" t="s">
        <v>8765</v>
      </c>
      <c r="Q381" s="43" t="s">
        <v>1517</v>
      </c>
      <c r="R381" s="43" t="s">
        <v>8795</v>
      </c>
      <c r="S381" s="52">
        <f t="shared" si="5"/>
        <v>2.87</v>
      </c>
      <c r="T381" s="47"/>
      <c r="U381" s="47"/>
    </row>
    <row r="382" spans="1:21" ht="16.5" thickTop="1" thickBot="1" x14ac:dyDescent="0.3">
      <c r="A382" s="51" t="s">
        <v>8675</v>
      </c>
      <c r="B382" s="52" t="s">
        <v>8676</v>
      </c>
      <c r="C382" s="52" t="s">
        <v>38</v>
      </c>
      <c r="D382" s="52" t="s">
        <v>17</v>
      </c>
      <c r="E382" s="52" t="s">
        <v>19</v>
      </c>
      <c r="F382" s="52" t="s">
        <v>42</v>
      </c>
      <c r="G382" s="53">
        <v>46185.722222222219</v>
      </c>
      <c r="H382" s="53">
        <v>46199.818055555559</v>
      </c>
      <c r="I382" s="52">
        <v>181</v>
      </c>
      <c r="J382" s="52" t="s">
        <v>1156</v>
      </c>
      <c r="K382" s="52" t="s">
        <v>8350</v>
      </c>
      <c r="L382" s="52" t="s">
        <v>20</v>
      </c>
      <c r="M382" s="52">
        <v>181</v>
      </c>
      <c r="N382" s="52">
        <v>40</v>
      </c>
      <c r="O382" s="52">
        <v>40</v>
      </c>
      <c r="P382" s="52" t="s">
        <v>8764</v>
      </c>
      <c r="Q382" s="52" t="s">
        <v>1546</v>
      </c>
      <c r="R382" s="52" t="s">
        <v>8794</v>
      </c>
      <c r="S382" s="52">
        <f t="shared" si="5"/>
        <v>14.1</v>
      </c>
      <c r="T382" s="52"/>
      <c r="U382" s="52"/>
    </row>
    <row r="383" spans="1:21" s="46" customFormat="1" ht="16.5" thickTop="1" thickBot="1" x14ac:dyDescent="0.3">
      <c r="A383" s="50" t="s">
        <v>8673</v>
      </c>
      <c r="B383" s="43" t="s">
        <v>8674</v>
      </c>
      <c r="C383" s="43" t="s">
        <v>38</v>
      </c>
      <c r="D383" s="43" t="s">
        <v>17</v>
      </c>
      <c r="E383" s="43" t="s">
        <v>18</v>
      </c>
      <c r="F383" s="43" t="s">
        <v>32</v>
      </c>
      <c r="G383" s="48">
        <v>46185.731249999997</v>
      </c>
      <c r="H383" s="48">
        <v>46188.604166666664</v>
      </c>
      <c r="I383" s="43">
        <v>148</v>
      </c>
      <c r="J383" s="43" t="s">
        <v>1156</v>
      </c>
      <c r="K383" s="43" t="s">
        <v>1156</v>
      </c>
      <c r="L383" s="43" t="s">
        <v>20</v>
      </c>
      <c r="M383" s="43">
        <v>148</v>
      </c>
      <c r="N383" s="43">
        <v>18</v>
      </c>
      <c r="O383" s="43">
        <v>18</v>
      </c>
      <c r="P383" s="43" t="s">
        <v>1321</v>
      </c>
      <c r="Q383" s="43" t="s">
        <v>1514</v>
      </c>
      <c r="R383" s="43" t="s">
        <v>8793</v>
      </c>
      <c r="S383" s="52">
        <f t="shared" si="5"/>
        <v>2.87</v>
      </c>
      <c r="T383" s="47"/>
      <c r="U383" s="47"/>
    </row>
    <row r="384" spans="1:21" ht="16.5" thickTop="1" thickBot="1" x14ac:dyDescent="0.3">
      <c r="A384" s="51" t="s">
        <v>8671</v>
      </c>
      <c r="B384" s="52" t="s">
        <v>8672</v>
      </c>
      <c r="C384" s="52" t="s">
        <v>38</v>
      </c>
      <c r="D384" s="52" t="s">
        <v>17</v>
      </c>
      <c r="E384" s="52" t="s">
        <v>19</v>
      </c>
      <c r="F384" s="52" t="s">
        <v>19</v>
      </c>
      <c r="G384" s="53">
        <v>46186.575694444444</v>
      </c>
      <c r="H384" s="53">
        <v>46188.612500000003</v>
      </c>
      <c r="I384" s="52">
        <v>51</v>
      </c>
      <c r="J384" s="52" t="s">
        <v>1156</v>
      </c>
      <c r="K384" s="52" t="s">
        <v>1156</v>
      </c>
      <c r="L384" s="52" t="s">
        <v>36</v>
      </c>
      <c r="M384" s="52">
        <v>51</v>
      </c>
      <c r="N384" s="52">
        <v>51</v>
      </c>
      <c r="O384" s="52">
        <v>51</v>
      </c>
      <c r="P384" s="52" t="s">
        <v>8763</v>
      </c>
      <c r="Q384" s="52" t="s">
        <v>1517</v>
      </c>
      <c r="R384" s="52" t="s">
        <v>8792</v>
      </c>
      <c r="S384" s="52">
        <f t="shared" si="5"/>
        <v>2.04</v>
      </c>
      <c r="T384" s="52"/>
      <c r="U384" s="52"/>
    </row>
    <row r="385" spans="1:21" s="46" customFormat="1" ht="16.5" thickTop="1" thickBot="1" x14ac:dyDescent="0.3">
      <c r="A385" s="50" t="s">
        <v>8669</v>
      </c>
      <c r="B385" s="43" t="s">
        <v>8670</v>
      </c>
      <c r="C385" s="43" t="s">
        <v>38</v>
      </c>
      <c r="D385" s="43" t="s">
        <v>17</v>
      </c>
      <c r="E385" s="43" t="s">
        <v>18</v>
      </c>
      <c r="F385" s="43" t="s">
        <v>42</v>
      </c>
      <c r="G385" s="48">
        <v>46186.632638888892</v>
      </c>
      <c r="H385" s="48">
        <v>46191.445833333331</v>
      </c>
      <c r="I385" s="43">
        <v>194</v>
      </c>
      <c r="J385" s="43" t="s">
        <v>1156</v>
      </c>
      <c r="K385" s="43" t="s">
        <v>1156</v>
      </c>
      <c r="L385" s="43" t="s">
        <v>36</v>
      </c>
      <c r="M385" s="43">
        <v>194</v>
      </c>
      <c r="N385" s="43">
        <v>15</v>
      </c>
      <c r="O385" s="43">
        <v>194</v>
      </c>
      <c r="P385" s="43" t="s">
        <v>8762</v>
      </c>
      <c r="Q385" s="43" t="s">
        <v>1517</v>
      </c>
      <c r="R385" s="43" t="s">
        <v>8791</v>
      </c>
      <c r="S385" s="52">
        <f t="shared" si="5"/>
        <v>4.8099999999999996</v>
      </c>
      <c r="T385" s="47"/>
      <c r="U385" s="47"/>
    </row>
    <row r="386" spans="1:21" ht="16.5" thickTop="1" thickBot="1" x14ac:dyDescent="0.3">
      <c r="A386" s="51" t="s">
        <v>8667</v>
      </c>
      <c r="B386" s="52" t="s">
        <v>8668</v>
      </c>
      <c r="C386" s="52" t="s">
        <v>38</v>
      </c>
      <c r="D386" s="52" t="s">
        <v>17</v>
      </c>
      <c r="E386" s="52" t="s">
        <v>18</v>
      </c>
      <c r="F386" s="52" t="s">
        <v>42</v>
      </c>
      <c r="G386" s="53">
        <v>46186.636111111111</v>
      </c>
      <c r="H386" s="53">
        <v>46191.474305555559</v>
      </c>
      <c r="I386" s="52">
        <v>156</v>
      </c>
      <c r="J386" s="52" t="s">
        <v>1156</v>
      </c>
      <c r="K386" s="52" t="s">
        <v>8294</v>
      </c>
      <c r="L386" s="52" t="s">
        <v>20</v>
      </c>
      <c r="M386" s="52">
        <v>156</v>
      </c>
      <c r="N386" s="52">
        <v>26</v>
      </c>
      <c r="O386" s="52">
        <v>24</v>
      </c>
      <c r="P386" s="52" t="s">
        <v>8761</v>
      </c>
      <c r="Q386" s="52" t="s">
        <v>1546</v>
      </c>
      <c r="R386" s="52" t="s">
        <v>8790</v>
      </c>
      <c r="S386" s="52">
        <f t="shared" ref="S386:S449" si="6">IF(OR(G386="",H386=""),"",ROUND(H386-G386,2))</f>
        <v>4.84</v>
      </c>
      <c r="T386" s="52"/>
      <c r="U386" s="52"/>
    </row>
    <row r="387" spans="1:21" s="46" customFormat="1" ht="16.5" thickTop="1" thickBot="1" x14ac:dyDescent="0.3">
      <c r="A387" s="50" t="s">
        <v>8665</v>
      </c>
      <c r="B387" s="43" t="s">
        <v>8666</v>
      </c>
      <c r="C387" s="43" t="s">
        <v>38</v>
      </c>
      <c r="D387" s="43" t="s">
        <v>17</v>
      </c>
      <c r="E387" s="43" t="s">
        <v>18</v>
      </c>
      <c r="F387" s="43" t="s">
        <v>42</v>
      </c>
      <c r="G387" s="48">
        <v>46186.64166666667</v>
      </c>
      <c r="H387" s="48">
        <v>46191.662499999999</v>
      </c>
      <c r="I387" s="43">
        <v>24</v>
      </c>
      <c r="J387" s="43" t="s">
        <v>1156</v>
      </c>
      <c r="K387" s="43" t="s">
        <v>1156</v>
      </c>
      <c r="L387" s="43" t="s">
        <v>36</v>
      </c>
      <c r="M387" s="43">
        <v>23</v>
      </c>
      <c r="N387" s="43">
        <v>23</v>
      </c>
      <c r="O387" s="43">
        <v>24</v>
      </c>
      <c r="P387" s="43" t="s">
        <v>8760</v>
      </c>
      <c r="Q387" s="43" t="s">
        <v>1514</v>
      </c>
      <c r="R387" s="43" t="s">
        <v>8789</v>
      </c>
      <c r="S387" s="52">
        <f t="shared" si="6"/>
        <v>5.0199999999999996</v>
      </c>
      <c r="T387" s="47"/>
      <c r="U387" s="47"/>
    </row>
    <row r="388" spans="1:21" ht="16.5" thickTop="1" thickBot="1" x14ac:dyDescent="0.3">
      <c r="A388" s="51" t="s">
        <v>8907</v>
      </c>
      <c r="B388" s="52" t="s">
        <v>8978</v>
      </c>
      <c r="C388" s="52" t="s">
        <v>39</v>
      </c>
      <c r="D388" s="52" t="s">
        <v>17</v>
      </c>
      <c r="E388" s="52" t="s">
        <v>18</v>
      </c>
      <c r="F388" s="52" t="s">
        <v>32</v>
      </c>
      <c r="G388" s="53">
        <v>46188.502083333333</v>
      </c>
      <c r="H388" s="53">
        <v>46199.55972222222</v>
      </c>
      <c r="I388" s="52">
        <v>114</v>
      </c>
      <c r="J388" s="52" t="s">
        <v>1156</v>
      </c>
      <c r="K388" s="52" t="s">
        <v>1156</v>
      </c>
      <c r="L388" s="52" t="s">
        <v>20</v>
      </c>
      <c r="M388" s="52">
        <v>0</v>
      </c>
      <c r="N388" s="52">
        <v>0</v>
      </c>
      <c r="O388" s="52">
        <v>15</v>
      </c>
      <c r="P388" s="52" t="s">
        <v>9082</v>
      </c>
      <c r="Q388" s="52" t="s">
        <v>1517</v>
      </c>
      <c r="R388" s="52" t="s">
        <v>9083</v>
      </c>
      <c r="S388" s="52">
        <f t="shared" si="6"/>
        <v>11.06</v>
      </c>
      <c r="T388" s="52"/>
      <c r="U388" s="52"/>
    </row>
    <row r="389" spans="1:21" s="46" customFormat="1" ht="16.5" thickTop="1" thickBot="1" x14ac:dyDescent="0.3">
      <c r="A389" s="50" t="s">
        <v>8906</v>
      </c>
      <c r="B389" s="43" t="s">
        <v>8977</v>
      </c>
      <c r="C389" s="43" t="s">
        <v>38</v>
      </c>
      <c r="D389" s="43" t="s">
        <v>17</v>
      </c>
      <c r="E389" s="43" t="s">
        <v>18</v>
      </c>
      <c r="F389" s="43" t="s">
        <v>32</v>
      </c>
      <c r="G389" s="48">
        <v>46188.505555555559</v>
      </c>
      <c r="H389" s="48">
        <v>46189.442361111112</v>
      </c>
      <c r="I389" s="43">
        <v>1</v>
      </c>
      <c r="J389" s="43" t="s">
        <v>2373</v>
      </c>
      <c r="K389" s="43" t="s">
        <v>8317</v>
      </c>
      <c r="L389" s="43" t="s">
        <v>33</v>
      </c>
      <c r="M389" s="43">
        <v>1</v>
      </c>
      <c r="N389" s="43">
        <v>1</v>
      </c>
      <c r="O389" s="43">
        <v>1</v>
      </c>
      <c r="P389" s="43" t="s">
        <v>9080</v>
      </c>
      <c r="Q389" s="43" t="s">
        <v>1517</v>
      </c>
      <c r="R389" s="43" t="s">
        <v>9081</v>
      </c>
      <c r="S389" s="52">
        <f t="shared" si="6"/>
        <v>0.94</v>
      </c>
      <c r="T389" s="47"/>
      <c r="U389" s="47"/>
    </row>
    <row r="390" spans="1:21" ht="16.5" thickTop="1" thickBot="1" x14ac:dyDescent="0.3">
      <c r="A390" s="51" t="s">
        <v>8905</v>
      </c>
      <c r="B390" s="52" t="s">
        <v>8976</v>
      </c>
      <c r="C390" s="52" t="s">
        <v>38</v>
      </c>
      <c r="D390" s="52" t="s">
        <v>17</v>
      </c>
      <c r="E390" s="52" t="s">
        <v>19</v>
      </c>
      <c r="F390" s="52" t="s">
        <v>19</v>
      </c>
      <c r="G390" s="53">
        <v>46188.524305555555</v>
      </c>
      <c r="H390" s="53">
        <v>46189.504861111112</v>
      </c>
      <c r="I390" s="52">
        <v>6</v>
      </c>
      <c r="J390" s="52" t="s">
        <v>1156</v>
      </c>
      <c r="K390" s="52" t="s">
        <v>1156</v>
      </c>
      <c r="L390" s="52" t="s">
        <v>33</v>
      </c>
      <c r="M390" s="52">
        <v>6</v>
      </c>
      <c r="N390" s="52">
        <v>6</v>
      </c>
      <c r="O390" s="52">
        <v>6</v>
      </c>
      <c r="P390" s="52" t="s">
        <v>9078</v>
      </c>
      <c r="Q390" s="52" t="s">
        <v>1514</v>
      </c>
      <c r="R390" s="52" t="s">
        <v>9079</v>
      </c>
      <c r="S390" s="52">
        <f t="shared" si="6"/>
        <v>0.98</v>
      </c>
      <c r="T390" s="52"/>
      <c r="U390" s="52"/>
    </row>
    <row r="391" spans="1:21" s="46" customFormat="1" ht="16.5" thickTop="1" thickBot="1" x14ac:dyDescent="0.3">
      <c r="A391" s="50" t="s">
        <v>8904</v>
      </c>
      <c r="B391" s="43" t="s">
        <v>8975</v>
      </c>
      <c r="C391" s="43" t="s">
        <v>38</v>
      </c>
      <c r="D391" s="43" t="s">
        <v>17</v>
      </c>
      <c r="E391" s="43" t="s">
        <v>18</v>
      </c>
      <c r="F391" s="43" t="s">
        <v>32</v>
      </c>
      <c r="G391" s="48">
        <v>46188.563888888886</v>
      </c>
      <c r="H391" s="48">
        <v>46189.449305555558</v>
      </c>
      <c r="I391" s="43">
        <v>7</v>
      </c>
      <c r="J391" s="43" t="s">
        <v>2373</v>
      </c>
      <c r="K391" s="43" t="s">
        <v>8310</v>
      </c>
      <c r="L391" s="43" t="s">
        <v>33</v>
      </c>
      <c r="M391" s="43">
        <v>7</v>
      </c>
      <c r="N391" s="43">
        <v>7</v>
      </c>
      <c r="O391" s="43">
        <v>7</v>
      </c>
      <c r="P391" s="43" t="s">
        <v>9076</v>
      </c>
      <c r="Q391" s="43" t="s">
        <v>1517</v>
      </c>
      <c r="R391" s="43" t="s">
        <v>9077</v>
      </c>
      <c r="S391" s="52">
        <f t="shared" si="6"/>
        <v>0.89</v>
      </c>
      <c r="T391" s="47"/>
      <c r="U391" s="47"/>
    </row>
    <row r="392" spans="1:21" ht="16.5" thickTop="1" thickBot="1" x14ac:dyDescent="0.3">
      <c r="A392" s="51" t="s">
        <v>8903</v>
      </c>
      <c r="B392" s="52" t="s">
        <v>8974</v>
      </c>
      <c r="C392" s="52" t="s">
        <v>38</v>
      </c>
      <c r="D392" s="52" t="s">
        <v>17</v>
      </c>
      <c r="E392" s="52" t="s">
        <v>18</v>
      </c>
      <c r="F392" s="52" t="s">
        <v>28</v>
      </c>
      <c r="G392" s="53">
        <v>46188.660416666666</v>
      </c>
      <c r="H392" s="53">
        <v>46189.513888888891</v>
      </c>
      <c r="I392" s="52">
        <v>39</v>
      </c>
      <c r="J392" s="52" t="s">
        <v>1156</v>
      </c>
      <c r="K392" s="52" t="s">
        <v>1156</v>
      </c>
      <c r="L392" s="52" t="s">
        <v>8486</v>
      </c>
      <c r="M392" s="52">
        <v>38</v>
      </c>
      <c r="N392" s="52">
        <v>38</v>
      </c>
      <c r="O392" s="52">
        <v>39</v>
      </c>
      <c r="P392" s="52" t="s">
        <v>9034</v>
      </c>
      <c r="Q392" s="52" t="s">
        <v>1517</v>
      </c>
      <c r="R392" s="52" t="s">
        <v>9075</v>
      </c>
      <c r="S392" s="52">
        <f t="shared" si="6"/>
        <v>0.85</v>
      </c>
      <c r="T392" s="52"/>
      <c r="U392" s="52"/>
    </row>
    <row r="393" spans="1:21" s="46" customFormat="1" ht="16.5" thickTop="1" thickBot="1" x14ac:dyDescent="0.3">
      <c r="A393" s="50" t="s">
        <v>8902</v>
      </c>
      <c r="B393" s="43" t="s">
        <v>8973</v>
      </c>
      <c r="C393" s="43" t="s">
        <v>38</v>
      </c>
      <c r="D393" s="43" t="s">
        <v>17</v>
      </c>
      <c r="E393" s="43" t="s">
        <v>18</v>
      </c>
      <c r="F393" s="43" t="s">
        <v>42</v>
      </c>
      <c r="G393" s="48">
        <v>46188.661111111112</v>
      </c>
      <c r="H393" s="48">
        <v>46189.538194444445</v>
      </c>
      <c r="I393" s="43">
        <v>4</v>
      </c>
      <c r="J393" s="43" t="s">
        <v>1156</v>
      </c>
      <c r="K393" s="43" t="s">
        <v>1156</v>
      </c>
      <c r="L393" s="43" t="s">
        <v>33</v>
      </c>
      <c r="M393" s="43">
        <v>4</v>
      </c>
      <c r="N393" s="43">
        <v>4</v>
      </c>
      <c r="O393" s="43">
        <v>4</v>
      </c>
      <c r="P393" s="43" t="s">
        <v>8627</v>
      </c>
      <c r="Q393" s="43" t="s">
        <v>1517</v>
      </c>
      <c r="R393" s="43" t="s">
        <v>9074</v>
      </c>
      <c r="S393" s="52">
        <f t="shared" si="6"/>
        <v>0.88</v>
      </c>
      <c r="T393" s="47"/>
      <c r="U393" s="47"/>
    </row>
    <row r="394" spans="1:21" ht="16.5" thickTop="1" thickBot="1" x14ac:dyDescent="0.3">
      <c r="A394" s="51" t="s">
        <v>8901</v>
      </c>
      <c r="B394" s="52" t="s">
        <v>8972</v>
      </c>
      <c r="C394" s="52" t="s">
        <v>38</v>
      </c>
      <c r="D394" s="52" t="s">
        <v>17</v>
      </c>
      <c r="E394" s="52" t="s">
        <v>18</v>
      </c>
      <c r="F394" s="52" t="s">
        <v>42</v>
      </c>
      <c r="G394" s="53">
        <v>46188.695138888892</v>
      </c>
      <c r="H394" s="53">
        <v>46193.607638888891</v>
      </c>
      <c r="I394" s="52">
        <v>31</v>
      </c>
      <c r="J394" s="52" t="s">
        <v>1156</v>
      </c>
      <c r="K394" s="52" t="s">
        <v>1156</v>
      </c>
      <c r="L394" s="52" t="s">
        <v>25</v>
      </c>
      <c r="M394" s="52">
        <v>31</v>
      </c>
      <c r="N394" s="52">
        <v>14</v>
      </c>
      <c r="O394" s="52">
        <v>14</v>
      </c>
      <c r="P394" s="52" t="s">
        <v>9072</v>
      </c>
      <c r="Q394" s="52" t="s">
        <v>1517</v>
      </c>
      <c r="R394" s="52" t="s">
        <v>9073</v>
      </c>
      <c r="S394" s="52">
        <f t="shared" si="6"/>
        <v>4.91</v>
      </c>
      <c r="T394" s="52"/>
      <c r="U394" s="52"/>
    </row>
    <row r="395" spans="1:21" s="46" customFormat="1" ht="16.5" thickTop="1" thickBot="1" x14ac:dyDescent="0.3">
      <c r="A395" s="50" t="s">
        <v>8900</v>
      </c>
      <c r="B395" s="43" t="s">
        <v>8971</v>
      </c>
      <c r="C395" s="43" t="s">
        <v>38</v>
      </c>
      <c r="D395" s="43" t="s">
        <v>17</v>
      </c>
      <c r="E395" s="43" t="s">
        <v>24</v>
      </c>
      <c r="F395" s="43" t="s">
        <v>24</v>
      </c>
      <c r="G395" s="48">
        <v>46188.797222222223</v>
      </c>
      <c r="H395" s="48">
        <v>46193.893750000003</v>
      </c>
      <c r="I395" s="43">
        <v>5</v>
      </c>
      <c r="J395" s="43" t="s">
        <v>2373</v>
      </c>
      <c r="K395" s="43" t="s">
        <v>8264</v>
      </c>
      <c r="L395" s="43" t="s">
        <v>25</v>
      </c>
      <c r="M395" s="43">
        <v>5</v>
      </c>
      <c r="N395" s="43">
        <v>1</v>
      </c>
      <c r="O395" s="43">
        <v>1</v>
      </c>
      <c r="P395" s="43" t="s">
        <v>9071</v>
      </c>
      <c r="Q395" s="43" t="s">
        <v>1517</v>
      </c>
      <c r="R395" s="43"/>
      <c r="S395" s="52">
        <f t="shared" si="6"/>
        <v>5.0999999999999996</v>
      </c>
      <c r="T395" s="47"/>
      <c r="U395" s="47"/>
    </row>
    <row r="396" spans="1:21" ht="16.5" thickTop="1" thickBot="1" x14ac:dyDescent="0.3">
      <c r="A396" s="51" t="s">
        <v>8899</v>
      </c>
      <c r="B396" s="52" t="s">
        <v>8970</v>
      </c>
      <c r="C396" s="52" t="s">
        <v>38</v>
      </c>
      <c r="D396" s="52" t="s">
        <v>22</v>
      </c>
      <c r="E396" s="52" t="s">
        <v>19</v>
      </c>
      <c r="F396" s="52" t="s">
        <v>24</v>
      </c>
      <c r="G396" s="53">
        <v>46189.383333333331</v>
      </c>
      <c r="H396" s="53">
        <v>46189.634722222225</v>
      </c>
      <c r="I396" s="52">
        <v>341</v>
      </c>
      <c r="J396" s="52" t="s">
        <v>2373</v>
      </c>
      <c r="K396" s="52" t="s">
        <v>31</v>
      </c>
      <c r="L396" s="52" t="s">
        <v>25</v>
      </c>
      <c r="M396" s="52">
        <v>339</v>
      </c>
      <c r="N396" s="52">
        <v>90</v>
      </c>
      <c r="O396" s="52">
        <v>91</v>
      </c>
      <c r="P396" s="52" t="s">
        <v>1440</v>
      </c>
      <c r="Q396" s="52" t="s">
        <v>1546</v>
      </c>
      <c r="R396" s="52" t="s">
        <v>9070</v>
      </c>
      <c r="S396" s="52">
        <f t="shared" si="6"/>
        <v>0.25</v>
      </c>
      <c r="T396" s="52"/>
      <c r="U396" s="52"/>
    </row>
    <row r="397" spans="1:21" s="46" customFormat="1" ht="16.5" thickTop="1" thickBot="1" x14ac:dyDescent="0.3">
      <c r="A397" s="50" t="s">
        <v>8898</v>
      </c>
      <c r="B397" s="43" t="s">
        <v>8970</v>
      </c>
      <c r="C397" s="43" t="s">
        <v>39</v>
      </c>
      <c r="D397" s="43" t="s">
        <v>17</v>
      </c>
      <c r="E397" s="43" t="s">
        <v>19</v>
      </c>
      <c r="F397" s="43" t="s">
        <v>24</v>
      </c>
      <c r="G397" s="48">
        <v>46189.383333333331</v>
      </c>
      <c r="H397" s="48">
        <v>46190.386805555558</v>
      </c>
      <c r="I397" s="43">
        <v>0</v>
      </c>
      <c r="J397" s="43" t="s">
        <v>2373</v>
      </c>
      <c r="K397" s="43" t="s">
        <v>31</v>
      </c>
      <c r="L397" s="43" t="s">
        <v>25</v>
      </c>
      <c r="M397" s="43">
        <v>0</v>
      </c>
      <c r="N397" s="43">
        <v>0</v>
      </c>
      <c r="O397" s="43">
        <v>586</v>
      </c>
      <c r="P397" s="43" t="s">
        <v>1440</v>
      </c>
      <c r="Q397" s="43" t="s">
        <v>1546</v>
      </c>
      <c r="R397" s="43" t="s">
        <v>9069</v>
      </c>
      <c r="S397" s="52">
        <f t="shared" si="6"/>
        <v>1</v>
      </c>
      <c r="T397" s="47"/>
      <c r="U397" s="47"/>
    </row>
    <row r="398" spans="1:21" ht="16.5" thickTop="1" thickBot="1" x14ac:dyDescent="0.3">
      <c r="A398" s="51" t="s">
        <v>8897</v>
      </c>
      <c r="B398" s="52" t="s">
        <v>8969</v>
      </c>
      <c r="C398" s="52" t="s">
        <v>38</v>
      </c>
      <c r="D398" s="52" t="s">
        <v>17</v>
      </c>
      <c r="E398" s="52" t="s">
        <v>18</v>
      </c>
      <c r="F398" s="52" t="s">
        <v>42</v>
      </c>
      <c r="G398" s="53">
        <v>46189.461111111108</v>
      </c>
      <c r="H398" s="53">
        <v>46190.636111111111</v>
      </c>
      <c r="I398" s="52">
        <v>11</v>
      </c>
      <c r="J398" s="52" t="s">
        <v>1156</v>
      </c>
      <c r="K398" s="52" t="s">
        <v>1156</v>
      </c>
      <c r="L398" s="52" t="s">
        <v>33</v>
      </c>
      <c r="M398" s="52">
        <v>11</v>
      </c>
      <c r="N398" s="52">
        <v>11</v>
      </c>
      <c r="O398" s="52">
        <v>11</v>
      </c>
      <c r="P398" s="52" t="s">
        <v>9067</v>
      </c>
      <c r="Q398" s="52" t="s">
        <v>1514</v>
      </c>
      <c r="R398" s="52" t="s">
        <v>9068</v>
      </c>
      <c r="S398" s="52">
        <f t="shared" si="6"/>
        <v>1.18</v>
      </c>
      <c r="T398" s="52"/>
      <c r="U398" s="52"/>
    </row>
    <row r="399" spans="1:21" s="46" customFormat="1" ht="16.5" thickTop="1" thickBot="1" x14ac:dyDescent="0.3">
      <c r="A399" s="50" t="s">
        <v>8896</v>
      </c>
      <c r="B399" s="43" t="s">
        <v>8968</v>
      </c>
      <c r="C399" s="43" t="s">
        <v>38</v>
      </c>
      <c r="D399" s="43" t="s">
        <v>17</v>
      </c>
      <c r="E399" s="43" t="s">
        <v>18</v>
      </c>
      <c r="F399" s="43" t="s">
        <v>42</v>
      </c>
      <c r="G399" s="48">
        <v>46189.478472222225</v>
      </c>
      <c r="H399" s="48">
        <v>46191.477083333331</v>
      </c>
      <c r="I399" s="43">
        <v>11</v>
      </c>
      <c r="J399" s="43" t="s">
        <v>2373</v>
      </c>
      <c r="K399" s="43" t="s">
        <v>8310</v>
      </c>
      <c r="L399" s="43" t="s">
        <v>33</v>
      </c>
      <c r="M399" s="43">
        <v>11</v>
      </c>
      <c r="N399" s="43">
        <v>11</v>
      </c>
      <c r="O399" s="43">
        <v>11</v>
      </c>
      <c r="P399" s="43" t="s">
        <v>9065</v>
      </c>
      <c r="Q399" s="43" t="s">
        <v>1517</v>
      </c>
      <c r="R399" s="43" t="s">
        <v>9066</v>
      </c>
      <c r="S399" s="52">
        <f t="shared" si="6"/>
        <v>2</v>
      </c>
      <c r="T399" s="47"/>
      <c r="U399" s="47"/>
    </row>
    <row r="400" spans="1:21" ht="16.5" thickTop="1" thickBot="1" x14ac:dyDescent="0.3">
      <c r="A400" s="51" t="s">
        <v>8895</v>
      </c>
      <c r="B400" s="52" t="s">
        <v>8967</v>
      </c>
      <c r="C400" s="52" t="s">
        <v>38</v>
      </c>
      <c r="D400" s="52" t="s">
        <v>17</v>
      </c>
      <c r="E400" s="52" t="s">
        <v>18</v>
      </c>
      <c r="F400" s="52" t="s">
        <v>42</v>
      </c>
      <c r="G400" s="53">
        <v>46189.486111111109</v>
      </c>
      <c r="H400" s="53">
        <v>46190.496527777781</v>
      </c>
      <c r="I400" s="52">
        <v>4</v>
      </c>
      <c r="J400" s="52" t="s">
        <v>2373</v>
      </c>
      <c r="K400" s="52" t="s">
        <v>8317</v>
      </c>
      <c r="L400" s="52" t="s">
        <v>33</v>
      </c>
      <c r="M400" s="52">
        <v>4</v>
      </c>
      <c r="N400" s="52">
        <v>4</v>
      </c>
      <c r="O400" s="52">
        <v>4</v>
      </c>
      <c r="P400" s="52" t="s">
        <v>1425</v>
      </c>
      <c r="Q400" s="52" t="s">
        <v>1517</v>
      </c>
      <c r="R400" s="52" t="s">
        <v>9064</v>
      </c>
      <c r="S400" s="52">
        <f t="shared" si="6"/>
        <v>1.01</v>
      </c>
      <c r="T400" s="52"/>
      <c r="U400" s="52"/>
    </row>
    <row r="401" spans="1:21" s="46" customFormat="1" ht="16.5" thickTop="1" thickBot="1" x14ac:dyDescent="0.3">
      <c r="A401" s="50" t="s">
        <v>8894</v>
      </c>
      <c r="B401" s="43" t="s">
        <v>8966</v>
      </c>
      <c r="C401" s="43" t="s">
        <v>38</v>
      </c>
      <c r="D401" s="43" t="s">
        <v>17</v>
      </c>
      <c r="E401" s="43" t="s">
        <v>19</v>
      </c>
      <c r="F401" s="43" t="s">
        <v>23</v>
      </c>
      <c r="G401" s="48">
        <v>46189.490277777775</v>
      </c>
      <c r="H401" s="48">
        <v>46193.893750000003</v>
      </c>
      <c r="I401" s="43">
        <v>12</v>
      </c>
      <c r="J401" s="43" t="s">
        <v>2373</v>
      </c>
      <c r="K401" s="43" t="s">
        <v>8278</v>
      </c>
      <c r="L401" s="43" t="s">
        <v>31</v>
      </c>
      <c r="M401" s="43">
        <v>12</v>
      </c>
      <c r="N401" s="43">
        <v>12</v>
      </c>
      <c r="O401" s="43">
        <v>12</v>
      </c>
      <c r="P401" s="43" t="s">
        <v>1295</v>
      </c>
      <c r="Q401" s="43" t="s">
        <v>1517</v>
      </c>
      <c r="R401" s="43"/>
      <c r="S401" s="52">
        <f t="shared" si="6"/>
        <v>4.4000000000000004</v>
      </c>
      <c r="T401" s="47"/>
      <c r="U401" s="47"/>
    </row>
    <row r="402" spans="1:21" ht="16.5" thickTop="1" thickBot="1" x14ac:dyDescent="0.3">
      <c r="A402" s="51" t="s">
        <v>8893</v>
      </c>
      <c r="B402" s="52" t="s">
        <v>8965</v>
      </c>
      <c r="C402" s="52" t="s">
        <v>38</v>
      </c>
      <c r="D402" s="52" t="s">
        <v>17</v>
      </c>
      <c r="E402" s="52" t="s">
        <v>19</v>
      </c>
      <c r="F402" s="52" t="s">
        <v>19</v>
      </c>
      <c r="G402" s="53">
        <v>46189.520833333336</v>
      </c>
      <c r="H402" s="53">
        <v>46190.642361111109</v>
      </c>
      <c r="I402" s="52">
        <v>1</v>
      </c>
      <c r="J402" s="52" t="s">
        <v>1156</v>
      </c>
      <c r="K402" s="52" t="s">
        <v>1156</v>
      </c>
      <c r="L402" s="52" t="s">
        <v>33</v>
      </c>
      <c r="M402" s="52">
        <v>1</v>
      </c>
      <c r="N402" s="52">
        <v>1</v>
      </c>
      <c r="O402" s="52">
        <v>1</v>
      </c>
      <c r="P402" s="52" t="s">
        <v>8580</v>
      </c>
      <c r="Q402" s="52" t="s">
        <v>1517</v>
      </c>
      <c r="R402" s="52" t="s">
        <v>9063</v>
      </c>
      <c r="S402" s="52">
        <f t="shared" si="6"/>
        <v>1.1200000000000001</v>
      </c>
      <c r="T402" s="52"/>
      <c r="U402" s="52"/>
    </row>
    <row r="403" spans="1:21" s="46" customFormat="1" ht="16.5" thickTop="1" thickBot="1" x14ac:dyDescent="0.3">
      <c r="A403" s="50" t="s">
        <v>8892</v>
      </c>
      <c r="B403" s="43" t="s">
        <v>8964</v>
      </c>
      <c r="C403" s="43" t="s">
        <v>38</v>
      </c>
      <c r="D403" s="43" t="s">
        <v>17</v>
      </c>
      <c r="E403" s="43" t="s">
        <v>18</v>
      </c>
      <c r="F403" s="43" t="s">
        <v>42</v>
      </c>
      <c r="G403" s="48">
        <v>46189.555555555555</v>
      </c>
      <c r="H403" s="48">
        <v>46196.509722222225</v>
      </c>
      <c r="I403" s="43">
        <v>11</v>
      </c>
      <c r="J403" s="43" t="s">
        <v>1156</v>
      </c>
      <c r="K403" s="43" t="s">
        <v>1156</v>
      </c>
      <c r="L403" s="43" t="s">
        <v>33</v>
      </c>
      <c r="M403" s="43">
        <v>11</v>
      </c>
      <c r="N403" s="43">
        <v>11</v>
      </c>
      <c r="O403" s="43">
        <v>11</v>
      </c>
      <c r="P403" s="43" t="s">
        <v>9061</v>
      </c>
      <c r="Q403" s="43" t="s">
        <v>1514</v>
      </c>
      <c r="R403" s="43" t="s">
        <v>9062</v>
      </c>
      <c r="S403" s="52">
        <f t="shared" si="6"/>
        <v>6.95</v>
      </c>
      <c r="T403" s="47"/>
      <c r="U403" s="47"/>
    </row>
    <row r="404" spans="1:21" ht="16.5" thickTop="1" thickBot="1" x14ac:dyDescent="0.3">
      <c r="A404" s="51" t="s">
        <v>8891</v>
      </c>
      <c r="B404" s="52" t="s">
        <v>8963</v>
      </c>
      <c r="C404" s="52" t="s">
        <v>38</v>
      </c>
      <c r="D404" s="52" t="s">
        <v>17</v>
      </c>
      <c r="E404" s="52" t="s">
        <v>18</v>
      </c>
      <c r="F404" s="52" t="s">
        <v>42</v>
      </c>
      <c r="G404" s="53">
        <v>46189.629166666666</v>
      </c>
      <c r="H404" s="53">
        <v>46190.646527777775</v>
      </c>
      <c r="I404" s="52">
        <v>21</v>
      </c>
      <c r="J404" s="52" t="s">
        <v>1156</v>
      </c>
      <c r="K404" s="52" t="s">
        <v>1156</v>
      </c>
      <c r="L404" s="52" t="s">
        <v>36</v>
      </c>
      <c r="M404" s="52">
        <v>21</v>
      </c>
      <c r="N404" s="52">
        <v>21</v>
      </c>
      <c r="O404" s="52">
        <v>21</v>
      </c>
      <c r="P404" s="52" t="s">
        <v>9059</v>
      </c>
      <c r="Q404" s="52" t="s">
        <v>1517</v>
      </c>
      <c r="R404" s="52" t="s">
        <v>9060</v>
      </c>
      <c r="S404" s="52">
        <f t="shared" si="6"/>
        <v>1.02</v>
      </c>
      <c r="T404" s="52"/>
      <c r="U404" s="52"/>
    </row>
    <row r="405" spans="1:21" s="46" customFormat="1" ht="16.5" thickTop="1" thickBot="1" x14ac:dyDescent="0.3">
      <c r="A405" s="50" t="s">
        <v>8890</v>
      </c>
      <c r="B405" s="43" t="s">
        <v>8962</v>
      </c>
      <c r="C405" s="43" t="s">
        <v>38</v>
      </c>
      <c r="D405" s="43" t="s">
        <v>17</v>
      </c>
      <c r="E405" s="43" t="s">
        <v>18</v>
      </c>
      <c r="F405" s="43" t="s">
        <v>42</v>
      </c>
      <c r="G405" s="48">
        <v>46189.631249999999</v>
      </c>
      <c r="H405" s="48">
        <v>46191.521527777775</v>
      </c>
      <c r="I405" s="43">
        <v>231</v>
      </c>
      <c r="J405" s="43" t="s">
        <v>1156</v>
      </c>
      <c r="K405" s="43" t="s">
        <v>1156</v>
      </c>
      <c r="L405" s="43" t="s">
        <v>36</v>
      </c>
      <c r="M405" s="43">
        <v>231</v>
      </c>
      <c r="N405" s="43">
        <v>231</v>
      </c>
      <c r="O405" s="43">
        <v>231</v>
      </c>
      <c r="P405" s="43" t="s">
        <v>8770</v>
      </c>
      <c r="Q405" s="43" t="s">
        <v>1517</v>
      </c>
      <c r="R405" s="43" t="s">
        <v>9058</v>
      </c>
      <c r="S405" s="52">
        <f t="shared" si="6"/>
        <v>1.89</v>
      </c>
      <c r="T405" s="47"/>
      <c r="U405" s="47"/>
    </row>
    <row r="406" spans="1:21" ht="16.5" thickTop="1" thickBot="1" x14ac:dyDescent="0.3">
      <c r="A406" s="51" t="s">
        <v>8889</v>
      </c>
      <c r="B406" s="52" t="s">
        <v>8961</v>
      </c>
      <c r="C406" s="52" t="s">
        <v>38</v>
      </c>
      <c r="D406" s="52" t="s">
        <v>17</v>
      </c>
      <c r="E406" s="52" t="s">
        <v>18</v>
      </c>
      <c r="F406" s="52" t="s">
        <v>42</v>
      </c>
      <c r="G406" s="53">
        <v>46189.634722222225</v>
      </c>
      <c r="H406" s="53">
        <v>46190.498611111114</v>
      </c>
      <c r="I406" s="52">
        <v>1</v>
      </c>
      <c r="J406" s="52" t="s">
        <v>2373</v>
      </c>
      <c r="K406" s="52" t="s">
        <v>8317</v>
      </c>
      <c r="L406" s="52" t="s">
        <v>33</v>
      </c>
      <c r="M406" s="52">
        <v>1</v>
      </c>
      <c r="N406" s="52">
        <v>1</v>
      </c>
      <c r="O406" s="52">
        <v>1</v>
      </c>
      <c r="P406" s="52" t="s">
        <v>884</v>
      </c>
      <c r="Q406" s="52" t="s">
        <v>1517</v>
      </c>
      <c r="R406" s="52" t="s">
        <v>9057</v>
      </c>
      <c r="S406" s="52">
        <f t="shared" si="6"/>
        <v>0.86</v>
      </c>
      <c r="T406" s="52"/>
      <c r="U406" s="52"/>
    </row>
    <row r="407" spans="1:21" s="46" customFormat="1" ht="16.5" thickTop="1" thickBot="1" x14ac:dyDescent="0.3">
      <c r="A407" s="50" t="s">
        <v>8888</v>
      </c>
      <c r="B407" s="43" t="s">
        <v>8960</v>
      </c>
      <c r="C407" s="43" t="s">
        <v>38</v>
      </c>
      <c r="D407" s="43" t="s">
        <v>17</v>
      </c>
      <c r="E407" s="43" t="s">
        <v>18</v>
      </c>
      <c r="F407" s="43" t="s">
        <v>32</v>
      </c>
      <c r="G407" s="48">
        <v>46189.637499999997</v>
      </c>
      <c r="H407" s="48">
        <v>46190.673611111109</v>
      </c>
      <c r="I407" s="43">
        <v>14</v>
      </c>
      <c r="J407" s="43" t="s">
        <v>1156</v>
      </c>
      <c r="K407" s="43" t="s">
        <v>1156</v>
      </c>
      <c r="L407" s="43" t="s">
        <v>20</v>
      </c>
      <c r="M407" s="43">
        <v>14</v>
      </c>
      <c r="N407" s="43">
        <v>2</v>
      </c>
      <c r="O407" s="43">
        <v>2</v>
      </c>
      <c r="P407" s="43" t="s">
        <v>9055</v>
      </c>
      <c r="Q407" s="43" t="s">
        <v>1517</v>
      </c>
      <c r="R407" s="43" t="s">
        <v>9056</v>
      </c>
      <c r="S407" s="52">
        <f t="shared" si="6"/>
        <v>1.04</v>
      </c>
      <c r="T407" s="47"/>
      <c r="U407" s="47"/>
    </row>
    <row r="408" spans="1:21" ht="16.5" thickTop="1" thickBot="1" x14ac:dyDescent="0.3">
      <c r="A408" s="51" t="s">
        <v>8887</v>
      </c>
      <c r="B408" s="52" t="s">
        <v>8959</v>
      </c>
      <c r="C408" s="52" t="s">
        <v>39</v>
      </c>
      <c r="D408" s="52" t="s">
        <v>17</v>
      </c>
      <c r="E408" s="52" t="s">
        <v>18</v>
      </c>
      <c r="F408" s="52" t="s">
        <v>42</v>
      </c>
      <c r="G408" s="53">
        <v>46189.663194444445</v>
      </c>
      <c r="H408" s="53">
        <v>46193.370833333334</v>
      </c>
      <c r="I408" s="52">
        <v>457</v>
      </c>
      <c r="J408" s="52" t="s">
        <v>1156</v>
      </c>
      <c r="K408" s="52" t="s">
        <v>1156</v>
      </c>
      <c r="L408" s="52" t="s">
        <v>25</v>
      </c>
      <c r="M408" s="52">
        <v>0</v>
      </c>
      <c r="N408" s="52">
        <v>0</v>
      </c>
      <c r="O408" s="52">
        <v>102</v>
      </c>
      <c r="P408" s="52" t="s">
        <v>9053</v>
      </c>
      <c r="Q408" s="52" t="s">
        <v>1517</v>
      </c>
      <c r="R408" s="52" t="s">
        <v>9054</v>
      </c>
      <c r="S408" s="52">
        <f t="shared" si="6"/>
        <v>3.71</v>
      </c>
      <c r="T408" s="52"/>
      <c r="U408" s="52"/>
    </row>
    <row r="409" spans="1:21" s="46" customFormat="1" ht="16.5" thickTop="1" thickBot="1" x14ac:dyDescent="0.3">
      <c r="A409" s="50" t="s">
        <v>8886</v>
      </c>
      <c r="B409" s="43" t="s">
        <v>8958</v>
      </c>
      <c r="C409" s="43" t="s">
        <v>38</v>
      </c>
      <c r="D409" s="43" t="s">
        <v>17</v>
      </c>
      <c r="E409" s="43" t="s">
        <v>18</v>
      </c>
      <c r="F409" s="43" t="s">
        <v>42</v>
      </c>
      <c r="G409" s="48">
        <v>46189.699305555558</v>
      </c>
      <c r="H409" s="48">
        <v>46196.519444444442</v>
      </c>
      <c r="I409" s="43">
        <v>148</v>
      </c>
      <c r="J409" s="43" t="s">
        <v>1156</v>
      </c>
      <c r="K409" s="43" t="s">
        <v>1156</v>
      </c>
      <c r="L409" s="43" t="s">
        <v>25</v>
      </c>
      <c r="M409" s="43">
        <v>148</v>
      </c>
      <c r="N409" s="43">
        <v>35</v>
      </c>
      <c r="O409" s="43">
        <v>35</v>
      </c>
      <c r="P409" s="43" t="s">
        <v>9051</v>
      </c>
      <c r="Q409" s="43" t="s">
        <v>1517</v>
      </c>
      <c r="R409" s="43" t="s">
        <v>9052</v>
      </c>
      <c r="S409" s="52">
        <f t="shared" si="6"/>
        <v>6.82</v>
      </c>
      <c r="T409" s="47"/>
      <c r="U409" s="47"/>
    </row>
    <row r="410" spans="1:21" ht="16.5" thickTop="1" thickBot="1" x14ac:dyDescent="0.3">
      <c r="A410" s="51" t="s">
        <v>8885</v>
      </c>
      <c r="B410" s="52" t="s">
        <v>8957</v>
      </c>
      <c r="C410" s="52" t="s">
        <v>38</v>
      </c>
      <c r="D410" s="52" t="s">
        <v>17</v>
      </c>
      <c r="E410" s="52" t="s">
        <v>18</v>
      </c>
      <c r="F410" s="52" t="s">
        <v>28</v>
      </c>
      <c r="G410" s="53">
        <v>46189.748611111114</v>
      </c>
      <c r="H410" s="53">
        <v>46193.893750000003</v>
      </c>
      <c r="I410" s="52">
        <v>10</v>
      </c>
      <c r="J410" s="52" t="s">
        <v>1156</v>
      </c>
      <c r="K410" s="52" t="s">
        <v>1156</v>
      </c>
      <c r="L410" s="52" t="s">
        <v>20</v>
      </c>
      <c r="M410" s="52">
        <v>10</v>
      </c>
      <c r="N410" s="52">
        <v>1</v>
      </c>
      <c r="O410" s="52">
        <v>1</v>
      </c>
      <c r="P410" s="52" t="s">
        <v>1412</v>
      </c>
      <c r="Q410" s="52" t="s">
        <v>1517</v>
      </c>
      <c r="R410" s="52" t="s">
        <v>9050</v>
      </c>
      <c r="S410" s="52">
        <f t="shared" si="6"/>
        <v>4.1500000000000004</v>
      </c>
      <c r="T410" s="52"/>
      <c r="U410" s="52"/>
    </row>
    <row r="411" spans="1:21" s="46" customFormat="1" ht="16.5" thickTop="1" thickBot="1" x14ac:dyDescent="0.3">
      <c r="A411" s="50" t="s">
        <v>8884</v>
      </c>
      <c r="B411" s="43" t="s">
        <v>8956</v>
      </c>
      <c r="C411" s="43" t="s">
        <v>39</v>
      </c>
      <c r="D411" s="43" t="s">
        <v>17</v>
      </c>
      <c r="E411" s="43" t="s">
        <v>18</v>
      </c>
      <c r="F411" s="43" t="s">
        <v>28</v>
      </c>
      <c r="G411" s="48">
        <v>46189.804166666669</v>
      </c>
      <c r="H411" s="48">
        <v>46193.37222222222</v>
      </c>
      <c r="I411" s="43">
        <v>586</v>
      </c>
      <c r="J411" s="43" t="s">
        <v>1156</v>
      </c>
      <c r="K411" s="43" t="s">
        <v>8350</v>
      </c>
      <c r="L411" s="43" t="s">
        <v>20</v>
      </c>
      <c r="M411" s="43">
        <v>0</v>
      </c>
      <c r="N411" s="43">
        <v>0</v>
      </c>
      <c r="O411" s="43">
        <v>176</v>
      </c>
      <c r="P411" s="43" t="s">
        <v>8612</v>
      </c>
      <c r="Q411" s="43" t="s">
        <v>1546</v>
      </c>
      <c r="R411" s="43" t="s">
        <v>9049</v>
      </c>
      <c r="S411" s="52">
        <f t="shared" si="6"/>
        <v>3.57</v>
      </c>
      <c r="T411" s="47"/>
      <c r="U411" s="47"/>
    </row>
    <row r="412" spans="1:21" ht="16.5" thickTop="1" thickBot="1" x14ac:dyDescent="0.3">
      <c r="A412" s="51" t="s">
        <v>8883</v>
      </c>
      <c r="B412" s="52" t="s">
        <v>8955</v>
      </c>
      <c r="C412" s="52" t="s">
        <v>38</v>
      </c>
      <c r="D412" s="52" t="s">
        <v>17</v>
      </c>
      <c r="E412" s="52" t="s">
        <v>19</v>
      </c>
      <c r="F412" s="52" t="s">
        <v>24</v>
      </c>
      <c r="G412" s="53">
        <v>46190.034722222219</v>
      </c>
      <c r="H412" s="53">
        <v>46198.443055555559</v>
      </c>
      <c r="I412" s="52">
        <v>6</v>
      </c>
      <c r="J412" s="52" t="s">
        <v>2373</v>
      </c>
      <c r="K412" s="52" t="s">
        <v>8317</v>
      </c>
      <c r="L412" s="52" t="s">
        <v>25</v>
      </c>
      <c r="M412" s="52">
        <v>6</v>
      </c>
      <c r="N412" s="52">
        <v>1</v>
      </c>
      <c r="O412" s="52">
        <v>1</v>
      </c>
      <c r="P412" s="52" t="s">
        <v>9047</v>
      </c>
      <c r="Q412" s="52" t="s">
        <v>1517</v>
      </c>
      <c r="R412" s="52" t="s">
        <v>9048</v>
      </c>
      <c r="S412" s="52">
        <f t="shared" si="6"/>
        <v>8.41</v>
      </c>
      <c r="T412" s="52"/>
      <c r="U412" s="52"/>
    </row>
    <row r="413" spans="1:21" s="46" customFormat="1" ht="16.5" thickTop="1" thickBot="1" x14ac:dyDescent="0.3">
      <c r="A413" s="50" t="s">
        <v>8882</v>
      </c>
      <c r="B413" s="43" t="s">
        <v>8954</v>
      </c>
      <c r="C413" s="43" t="s">
        <v>38</v>
      </c>
      <c r="D413" s="43" t="s">
        <v>17</v>
      </c>
      <c r="E413" s="43" t="s">
        <v>18</v>
      </c>
      <c r="F413" s="43" t="s">
        <v>24</v>
      </c>
      <c r="G413" s="48">
        <v>46190.054861111108</v>
      </c>
      <c r="H413" s="48">
        <v>46192.734027777777</v>
      </c>
      <c r="I413" s="43">
        <v>13</v>
      </c>
      <c r="J413" s="43" t="s">
        <v>2373</v>
      </c>
      <c r="K413" s="43" t="s">
        <v>8317</v>
      </c>
      <c r="L413" s="43" t="s">
        <v>20</v>
      </c>
      <c r="M413" s="43">
        <v>13</v>
      </c>
      <c r="N413" s="43">
        <v>1</v>
      </c>
      <c r="O413" s="43">
        <v>1</v>
      </c>
      <c r="P413" s="43" t="s">
        <v>1341</v>
      </c>
      <c r="Q413" s="43" t="s">
        <v>1517</v>
      </c>
      <c r="R413" s="43" t="s">
        <v>9046</v>
      </c>
      <c r="S413" s="52">
        <f t="shared" si="6"/>
        <v>2.68</v>
      </c>
      <c r="T413" s="47"/>
      <c r="U413" s="47"/>
    </row>
    <row r="414" spans="1:21" ht="16.5" thickTop="1" thickBot="1" x14ac:dyDescent="0.3">
      <c r="A414" s="51" t="s">
        <v>8881</v>
      </c>
      <c r="B414" s="52" t="s">
        <v>8953</v>
      </c>
      <c r="C414" s="52" t="s">
        <v>38</v>
      </c>
      <c r="D414" s="52" t="s">
        <v>17</v>
      </c>
      <c r="E414" s="52" t="s">
        <v>18</v>
      </c>
      <c r="F414" s="52" t="s">
        <v>28</v>
      </c>
      <c r="G414" s="53">
        <v>46190.447916666664</v>
      </c>
      <c r="H414" s="53">
        <v>46191.538888888892</v>
      </c>
      <c r="I414" s="52">
        <v>35</v>
      </c>
      <c r="J414" s="52" t="s">
        <v>1156</v>
      </c>
      <c r="K414" s="52" t="s">
        <v>8350</v>
      </c>
      <c r="L414" s="52" t="s">
        <v>20</v>
      </c>
      <c r="M414" s="52">
        <v>34</v>
      </c>
      <c r="N414" s="52">
        <v>8</v>
      </c>
      <c r="O414" s="52">
        <v>9</v>
      </c>
      <c r="P414" s="52" t="s">
        <v>1410</v>
      </c>
      <c r="Q414" s="52" t="s">
        <v>1546</v>
      </c>
      <c r="R414" s="52" t="s">
        <v>9045</v>
      </c>
      <c r="S414" s="52">
        <f t="shared" si="6"/>
        <v>1.0900000000000001</v>
      </c>
      <c r="T414" s="52"/>
      <c r="U414" s="52"/>
    </row>
    <row r="415" spans="1:21" s="46" customFormat="1" ht="16.5" thickTop="1" thickBot="1" x14ac:dyDescent="0.3">
      <c r="A415" s="50" t="s">
        <v>8880</v>
      </c>
      <c r="B415" s="43" t="s">
        <v>8952</v>
      </c>
      <c r="C415" s="43" t="s">
        <v>38</v>
      </c>
      <c r="D415" s="43" t="s">
        <v>17</v>
      </c>
      <c r="E415" s="43" t="s">
        <v>19</v>
      </c>
      <c r="F415" s="43" t="s">
        <v>24</v>
      </c>
      <c r="G415" s="48">
        <v>46190.472916666666</v>
      </c>
      <c r="H415" s="48">
        <v>46196.461805555555</v>
      </c>
      <c r="I415" s="43">
        <v>6</v>
      </c>
      <c r="J415" s="43" t="s">
        <v>2373</v>
      </c>
      <c r="K415" s="43" t="s">
        <v>8317</v>
      </c>
      <c r="L415" s="43" t="s">
        <v>29</v>
      </c>
      <c r="M415" s="43">
        <v>6</v>
      </c>
      <c r="N415" s="43">
        <v>1</v>
      </c>
      <c r="O415" s="43">
        <v>1</v>
      </c>
      <c r="P415" s="43" t="s">
        <v>9043</v>
      </c>
      <c r="Q415" s="43" t="s">
        <v>1517</v>
      </c>
      <c r="R415" s="43" t="s">
        <v>9044</v>
      </c>
      <c r="S415" s="52">
        <f t="shared" si="6"/>
        <v>5.99</v>
      </c>
      <c r="T415" s="47"/>
      <c r="U415" s="47"/>
    </row>
    <row r="416" spans="1:21" ht="16.5" thickTop="1" thickBot="1" x14ac:dyDescent="0.3">
      <c r="A416" s="51" t="s">
        <v>8879</v>
      </c>
      <c r="B416" s="52" t="s">
        <v>8951</v>
      </c>
      <c r="C416" s="52" t="s">
        <v>38</v>
      </c>
      <c r="D416" s="52" t="s">
        <v>17</v>
      </c>
      <c r="E416" s="52" t="s">
        <v>18</v>
      </c>
      <c r="F416" s="52" t="s">
        <v>42</v>
      </c>
      <c r="G416" s="53">
        <v>46190.481249999997</v>
      </c>
      <c r="H416" s="53">
        <v>46192.55</v>
      </c>
      <c r="I416" s="52">
        <v>14</v>
      </c>
      <c r="J416" s="52" t="s">
        <v>1156</v>
      </c>
      <c r="K416" s="52" t="s">
        <v>1156</v>
      </c>
      <c r="L416" s="52" t="s">
        <v>33</v>
      </c>
      <c r="M416" s="52">
        <v>14</v>
      </c>
      <c r="N416" s="52">
        <v>14</v>
      </c>
      <c r="O416" s="52">
        <v>14</v>
      </c>
      <c r="P416" s="52" t="s">
        <v>9041</v>
      </c>
      <c r="Q416" s="52" t="s">
        <v>1514</v>
      </c>
      <c r="R416" s="52" t="s">
        <v>9042</v>
      </c>
      <c r="S416" s="52">
        <f t="shared" si="6"/>
        <v>2.0699999999999998</v>
      </c>
      <c r="T416" s="52"/>
      <c r="U416" s="52"/>
    </row>
    <row r="417" spans="1:21" s="46" customFormat="1" ht="16.5" thickTop="1" thickBot="1" x14ac:dyDescent="0.3">
      <c r="A417" s="50" t="s">
        <v>8878</v>
      </c>
      <c r="B417" s="43" t="s">
        <v>8950</v>
      </c>
      <c r="C417" s="43" t="s">
        <v>38</v>
      </c>
      <c r="D417" s="43" t="s">
        <v>17</v>
      </c>
      <c r="E417" s="43" t="s">
        <v>18</v>
      </c>
      <c r="F417" s="43" t="s">
        <v>42</v>
      </c>
      <c r="G417" s="48">
        <v>46190.502083333333</v>
      </c>
      <c r="H417" s="48">
        <v>46191.567361111112</v>
      </c>
      <c r="I417" s="43">
        <v>5</v>
      </c>
      <c r="J417" s="43" t="s">
        <v>1156</v>
      </c>
      <c r="K417" s="43" t="s">
        <v>1156</v>
      </c>
      <c r="L417" s="43" t="s">
        <v>33</v>
      </c>
      <c r="M417" s="43">
        <v>5</v>
      </c>
      <c r="N417" s="43">
        <v>5</v>
      </c>
      <c r="O417" s="43">
        <v>5</v>
      </c>
      <c r="P417" s="43" t="s">
        <v>8555</v>
      </c>
      <c r="Q417" s="43" t="s">
        <v>1517</v>
      </c>
      <c r="R417" s="43" t="s">
        <v>9040</v>
      </c>
      <c r="S417" s="52">
        <f t="shared" si="6"/>
        <v>1.07</v>
      </c>
      <c r="T417" s="47"/>
      <c r="U417" s="47"/>
    </row>
    <row r="418" spans="1:21" ht="16.5" thickTop="1" thickBot="1" x14ac:dyDescent="0.3">
      <c r="A418" s="51" t="s">
        <v>8877</v>
      </c>
      <c r="B418" s="52" t="s">
        <v>8949</v>
      </c>
      <c r="C418" s="52" t="s">
        <v>38</v>
      </c>
      <c r="D418" s="52" t="s">
        <v>17</v>
      </c>
      <c r="E418" s="52" t="s">
        <v>18</v>
      </c>
      <c r="F418" s="52" t="s">
        <v>42</v>
      </c>
      <c r="G418" s="53">
        <v>46190.515277777777</v>
      </c>
      <c r="H418" s="53">
        <v>46195.512499999997</v>
      </c>
      <c r="I418" s="52">
        <v>17</v>
      </c>
      <c r="J418" s="52" t="s">
        <v>2373</v>
      </c>
      <c r="K418" s="52" t="s">
        <v>8317</v>
      </c>
      <c r="L418" s="52" t="s">
        <v>33</v>
      </c>
      <c r="M418" s="52">
        <v>14</v>
      </c>
      <c r="N418" s="52">
        <v>14</v>
      </c>
      <c r="O418" s="52">
        <v>17</v>
      </c>
      <c r="P418" s="52" t="s">
        <v>1355</v>
      </c>
      <c r="Q418" s="52" t="s">
        <v>1517</v>
      </c>
      <c r="R418" s="52" t="s">
        <v>9039</v>
      </c>
      <c r="S418" s="52">
        <f t="shared" si="6"/>
        <v>5</v>
      </c>
      <c r="T418" s="52"/>
      <c r="U418" s="52"/>
    </row>
    <row r="419" spans="1:21" s="46" customFormat="1" ht="16.5" thickTop="1" thickBot="1" x14ac:dyDescent="0.3">
      <c r="A419" s="50" t="s">
        <v>8876</v>
      </c>
      <c r="B419" s="43" t="s">
        <v>8948</v>
      </c>
      <c r="C419" s="43" t="s">
        <v>38</v>
      </c>
      <c r="D419" s="43" t="s">
        <v>17</v>
      </c>
      <c r="E419" s="43" t="s">
        <v>18</v>
      </c>
      <c r="F419" s="43" t="s">
        <v>42</v>
      </c>
      <c r="G419" s="48">
        <v>46190.522222222222</v>
      </c>
      <c r="H419" s="48">
        <v>46193.484722222223</v>
      </c>
      <c r="I419" s="43">
        <v>10</v>
      </c>
      <c r="J419" s="43" t="s">
        <v>1156</v>
      </c>
      <c r="K419" s="43" t="s">
        <v>1156</v>
      </c>
      <c r="L419" s="43" t="s">
        <v>33</v>
      </c>
      <c r="M419" s="43">
        <v>10</v>
      </c>
      <c r="N419" s="43">
        <v>10</v>
      </c>
      <c r="O419" s="43">
        <v>10</v>
      </c>
      <c r="P419" s="43" t="s">
        <v>9037</v>
      </c>
      <c r="Q419" s="43" t="s">
        <v>1546</v>
      </c>
      <c r="R419" s="43" t="s">
        <v>9038</v>
      </c>
      <c r="S419" s="52">
        <f t="shared" si="6"/>
        <v>2.96</v>
      </c>
      <c r="T419" s="47"/>
      <c r="U419" s="47"/>
    </row>
    <row r="420" spans="1:21" ht="16.5" thickTop="1" thickBot="1" x14ac:dyDescent="0.3">
      <c r="A420" s="51" t="s">
        <v>8875</v>
      </c>
      <c r="B420" s="52" t="s">
        <v>8947</v>
      </c>
      <c r="C420" s="52" t="s">
        <v>38</v>
      </c>
      <c r="D420" s="52" t="s">
        <v>17</v>
      </c>
      <c r="E420" s="52" t="s">
        <v>18</v>
      </c>
      <c r="F420" s="52" t="s">
        <v>42</v>
      </c>
      <c r="G420" s="53">
        <v>46190.557638888888</v>
      </c>
      <c r="H420" s="53">
        <v>46191.579861111109</v>
      </c>
      <c r="I420" s="52">
        <v>199</v>
      </c>
      <c r="J420" s="52" t="s">
        <v>1156</v>
      </c>
      <c r="K420" s="52" t="s">
        <v>1156</v>
      </c>
      <c r="L420" s="52" t="s">
        <v>36</v>
      </c>
      <c r="M420" s="52">
        <v>199</v>
      </c>
      <c r="N420" s="52">
        <v>199</v>
      </c>
      <c r="O420" s="52">
        <v>199</v>
      </c>
      <c r="P420" s="52" t="s">
        <v>8770</v>
      </c>
      <c r="Q420" s="52" t="s">
        <v>1517</v>
      </c>
      <c r="R420" s="52" t="s">
        <v>9036</v>
      </c>
      <c r="S420" s="52">
        <f t="shared" si="6"/>
        <v>1.02</v>
      </c>
      <c r="T420" s="52"/>
      <c r="U420" s="52"/>
    </row>
    <row r="421" spans="1:21" s="46" customFormat="1" ht="16.5" thickTop="1" thickBot="1" x14ac:dyDescent="0.3">
      <c r="A421" s="50" t="s">
        <v>8874</v>
      </c>
      <c r="B421" s="43" t="s">
        <v>8946</v>
      </c>
      <c r="C421" s="43" t="s">
        <v>38</v>
      </c>
      <c r="D421" s="43" t="s">
        <v>17</v>
      </c>
      <c r="E421" s="43" t="s">
        <v>18</v>
      </c>
      <c r="F421" s="43" t="s">
        <v>42</v>
      </c>
      <c r="G421" s="48">
        <v>46190.563888888886</v>
      </c>
      <c r="H421" s="48">
        <v>46195.472222222219</v>
      </c>
      <c r="I421" s="43">
        <v>38</v>
      </c>
      <c r="J421" s="43" t="s">
        <v>1156</v>
      </c>
      <c r="K421" s="43" t="s">
        <v>1156</v>
      </c>
      <c r="L421" s="43" t="s">
        <v>36</v>
      </c>
      <c r="M421" s="43">
        <v>37</v>
      </c>
      <c r="N421" s="43">
        <v>37</v>
      </c>
      <c r="O421" s="43">
        <v>38</v>
      </c>
      <c r="P421" s="43" t="s">
        <v>9034</v>
      </c>
      <c r="Q421" s="43" t="s">
        <v>1517</v>
      </c>
      <c r="R421" s="43" t="s">
        <v>9035</v>
      </c>
      <c r="S421" s="52">
        <f t="shared" si="6"/>
        <v>4.91</v>
      </c>
      <c r="T421" s="47"/>
      <c r="U421" s="47"/>
    </row>
    <row r="422" spans="1:21" ht="16.5" thickTop="1" thickBot="1" x14ac:dyDescent="0.3">
      <c r="A422" s="51" t="s">
        <v>8873</v>
      </c>
      <c r="B422" s="52" t="s">
        <v>8945</v>
      </c>
      <c r="C422" s="52" t="s">
        <v>38</v>
      </c>
      <c r="D422" s="52" t="s">
        <v>17</v>
      </c>
      <c r="E422" s="52" t="s">
        <v>18</v>
      </c>
      <c r="F422" s="52" t="s">
        <v>42</v>
      </c>
      <c r="G422" s="53">
        <v>46190.566666666666</v>
      </c>
      <c r="H422" s="53">
        <v>46191.583333333336</v>
      </c>
      <c r="I422" s="52">
        <v>18</v>
      </c>
      <c r="J422" s="52" t="s">
        <v>1156</v>
      </c>
      <c r="K422" s="52" t="s">
        <v>1156</v>
      </c>
      <c r="L422" s="52" t="s">
        <v>36</v>
      </c>
      <c r="M422" s="52">
        <v>18</v>
      </c>
      <c r="N422" s="52">
        <v>18</v>
      </c>
      <c r="O422" s="52">
        <v>18</v>
      </c>
      <c r="P422" s="52" t="s">
        <v>1330</v>
      </c>
      <c r="Q422" s="52" t="s">
        <v>1517</v>
      </c>
      <c r="R422" s="52" t="s">
        <v>9033</v>
      </c>
      <c r="S422" s="52">
        <f t="shared" si="6"/>
        <v>1.02</v>
      </c>
      <c r="T422" s="52"/>
      <c r="U422" s="52"/>
    </row>
    <row r="423" spans="1:21" s="46" customFormat="1" ht="16.5" thickTop="1" thickBot="1" x14ac:dyDescent="0.3">
      <c r="A423" s="50" t="s">
        <v>8872</v>
      </c>
      <c r="B423" s="43" t="s">
        <v>8944</v>
      </c>
      <c r="C423" s="43" t="s">
        <v>38</v>
      </c>
      <c r="D423" s="43" t="s">
        <v>17</v>
      </c>
      <c r="E423" s="43" t="s">
        <v>19</v>
      </c>
      <c r="F423" s="43" t="s">
        <v>42</v>
      </c>
      <c r="G423" s="48">
        <v>46190.668055555558</v>
      </c>
      <c r="H423" s="48">
        <v>46192.558333333334</v>
      </c>
      <c r="I423" s="43">
        <v>1079</v>
      </c>
      <c r="J423" s="43" t="s">
        <v>1156</v>
      </c>
      <c r="K423" s="43" t="s">
        <v>1156</v>
      </c>
      <c r="L423" s="43" t="s">
        <v>20</v>
      </c>
      <c r="M423" s="43">
        <v>1078</v>
      </c>
      <c r="N423" s="43">
        <v>134</v>
      </c>
      <c r="O423" s="43">
        <v>134</v>
      </c>
      <c r="P423" s="43" t="s">
        <v>1287</v>
      </c>
      <c r="Q423" s="43" t="s">
        <v>1517</v>
      </c>
      <c r="R423" s="43" t="s">
        <v>9032</v>
      </c>
      <c r="S423" s="52">
        <f t="shared" si="6"/>
        <v>1.89</v>
      </c>
      <c r="T423" s="47"/>
      <c r="U423" s="47"/>
    </row>
    <row r="424" spans="1:21" ht="16.5" thickTop="1" thickBot="1" x14ac:dyDescent="0.3">
      <c r="A424" s="51" t="s">
        <v>8871</v>
      </c>
      <c r="B424" s="52" t="s">
        <v>8943</v>
      </c>
      <c r="C424" s="52" t="s">
        <v>38</v>
      </c>
      <c r="D424" s="52" t="s">
        <v>17</v>
      </c>
      <c r="E424" s="52" t="s">
        <v>18</v>
      </c>
      <c r="F424" s="52" t="s">
        <v>42</v>
      </c>
      <c r="G424" s="53">
        <v>46190.67291666667</v>
      </c>
      <c r="H424" s="53">
        <v>46193.509027777778</v>
      </c>
      <c r="I424" s="52">
        <v>55</v>
      </c>
      <c r="J424" s="52" t="s">
        <v>1156</v>
      </c>
      <c r="K424" s="52" t="s">
        <v>1156</v>
      </c>
      <c r="L424" s="52" t="s">
        <v>33</v>
      </c>
      <c r="M424" s="52">
        <v>55</v>
      </c>
      <c r="N424" s="52">
        <v>55</v>
      </c>
      <c r="O424" s="52">
        <v>55</v>
      </c>
      <c r="P424" s="52" t="s">
        <v>9030</v>
      </c>
      <c r="Q424" s="52" t="s">
        <v>1517</v>
      </c>
      <c r="R424" s="52" t="s">
        <v>9031</v>
      </c>
      <c r="S424" s="52">
        <f t="shared" si="6"/>
        <v>2.84</v>
      </c>
      <c r="T424" s="52"/>
      <c r="U424" s="52"/>
    </row>
    <row r="425" spans="1:21" s="46" customFormat="1" ht="16.5" thickTop="1" thickBot="1" x14ac:dyDescent="0.3">
      <c r="A425" s="50" t="s">
        <v>8870</v>
      </c>
      <c r="B425" s="43" t="s">
        <v>8942</v>
      </c>
      <c r="C425" s="43" t="s">
        <v>38</v>
      </c>
      <c r="D425" s="43" t="s">
        <v>17</v>
      </c>
      <c r="E425" s="43" t="s">
        <v>18</v>
      </c>
      <c r="F425" s="43" t="s">
        <v>42</v>
      </c>
      <c r="G425" s="48">
        <v>46190.686111111114</v>
      </c>
      <c r="H425" s="48">
        <v>46193.484722222223</v>
      </c>
      <c r="I425" s="43">
        <v>3</v>
      </c>
      <c r="J425" s="43" t="s">
        <v>1156</v>
      </c>
      <c r="K425" s="43" t="s">
        <v>1156</v>
      </c>
      <c r="L425" s="43" t="s">
        <v>33</v>
      </c>
      <c r="M425" s="43">
        <v>3</v>
      </c>
      <c r="N425" s="43">
        <v>3</v>
      </c>
      <c r="O425" s="43">
        <v>3</v>
      </c>
      <c r="P425" s="43" t="s">
        <v>1302</v>
      </c>
      <c r="Q425" s="43" t="s">
        <v>1517</v>
      </c>
      <c r="R425" s="43" t="s">
        <v>9029</v>
      </c>
      <c r="S425" s="52">
        <f t="shared" si="6"/>
        <v>2.8</v>
      </c>
      <c r="T425" s="47"/>
      <c r="U425" s="47"/>
    </row>
    <row r="426" spans="1:21" ht="16.5" thickTop="1" thickBot="1" x14ac:dyDescent="0.3">
      <c r="A426" s="51" t="s">
        <v>8869</v>
      </c>
      <c r="B426" s="52" t="s">
        <v>8941</v>
      </c>
      <c r="C426" s="52" t="s">
        <v>38</v>
      </c>
      <c r="D426" s="52" t="s">
        <v>17</v>
      </c>
      <c r="E426" s="52" t="s">
        <v>18</v>
      </c>
      <c r="F426" s="52" t="s">
        <v>42</v>
      </c>
      <c r="G426" s="53">
        <v>46190.69027777778</v>
      </c>
      <c r="H426" s="53">
        <v>46192.564583333333</v>
      </c>
      <c r="I426" s="52">
        <v>6</v>
      </c>
      <c r="J426" s="52" t="s">
        <v>1156</v>
      </c>
      <c r="K426" s="52" t="s">
        <v>1156</v>
      </c>
      <c r="L426" s="52" t="s">
        <v>33</v>
      </c>
      <c r="M426" s="52">
        <v>6</v>
      </c>
      <c r="N426" s="52">
        <v>6</v>
      </c>
      <c r="O426" s="52">
        <v>6</v>
      </c>
      <c r="P426" s="52" t="s">
        <v>8627</v>
      </c>
      <c r="Q426" s="52" t="s">
        <v>1517</v>
      </c>
      <c r="R426" s="52" t="s">
        <v>9028</v>
      </c>
      <c r="S426" s="52">
        <f t="shared" si="6"/>
        <v>1.87</v>
      </c>
      <c r="T426" s="52"/>
      <c r="U426" s="52"/>
    </row>
    <row r="427" spans="1:21" s="46" customFormat="1" ht="16.5" thickTop="1" thickBot="1" x14ac:dyDescent="0.3">
      <c r="A427" s="50" t="s">
        <v>8868</v>
      </c>
      <c r="B427" s="43" t="s">
        <v>8940</v>
      </c>
      <c r="C427" s="43" t="s">
        <v>38</v>
      </c>
      <c r="D427" s="43" t="s">
        <v>17</v>
      </c>
      <c r="E427" s="43" t="s">
        <v>18</v>
      </c>
      <c r="F427" s="43" t="s">
        <v>42</v>
      </c>
      <c r="G427" s="48">
        <v>46190.695833333331</v>
      </c>
      <c r="H427" s="48">
        <v>46193.517361111109</v>
      </c>
      <c r="I427" s="43">
        <v>61</v>
      </c>
      <c r="J427" s="43" t="s">
        <v>1156</v>
      </c>
      <c r="K427" s="43" t="s">
        <v>1156</v>
      </c>
      <c r="L427" s="43" t="s">
        <v>33</v>
      </c>
      <c r="M427" s="43">
        <v>61</v>
      </c>
      <c r="N427" s="43">
        <v>61</v>
      </c>
      <c r="O427" s="43">
        <v>61</v>
      </c>
      <c r="P427" s="43" t="s">
        <v>9026</v>
      </c>
      <c r="Q427" s="43" t="s">
        <v>1546</v>
      </c>
      <c r="R427" s="43" t="s">
        <v>9027</v>
      </c>
      <c r="S427" s="52">
        <f t="shared" si="6"/>
        <v>2.82</v>
      </c>
      <c r="T427" s="47"/>
      <c r="U427" s="47"/>
    </row>
    <row r="428" spans="1:21" ht="16.5" thickTop="1" thickBot="1" x14ac:dyDescent="0.3">
      <c r="A428" s="51" t="s">
        <v>8867</v>
      </c>
      <c r="B428" s="52" t="s">
        <v>8939</v>
      </c>
      <c r="C428" s="52" t="s">
        <v>38</v>
      </c>
      <c r="D428" s="52" t="s">
        <v>17</v>
      </c>
      <c r="E428" s="52" t="s">
        <v>18</v>
      </c>
      <c r="F428" s="52" t="s">
        <v>42</v>
      </c>
      <c r="G428" s="53">
        <v>46190.756249999999</v>
      </c>
      <c r="H428" s="53">
        <v>46195.429861111108</v>
      </c>
      <c r="I428" s="52">
        <v>1</v>
      </c>
      <c r="J428" s="52" t="s">
        <v>1156</v>
      </c>
      <c r="K428" s="52" t="s">
        <v>1156</v>
      </c>
      <c r="L428" s="52" t="s">
        <v>33</v>
      </c>
      <c r="M428" s="52">
        <v>1</v>
      </c>
      <c r="N428" s="52">
        <v>1</v>
      </c>
      <c r="O428" s="52">
        <v>1</v>
      </c>
      <c r="P428" s="52" t="s">
        <v>1308</v>
      </c>
      <c r="Q428" s="52" t="s">
        <v>1546</v>
      </c>
      <c r="R428" s="52" t="s">
        <v>9025</v>
      </c>
      <c r="S428" s="52">
        <f t="shared" si="6"/>
        <v>4.67</v>
      </c>
      <c r="T428" s="52"/>
      <c r="U428" s="52"/>
    </row>
    <row r="429" spans="1:21" s="46" customFormat="1" ht="16.5" thickTop="1" thickBot="1" x14ac:dyDescent="0.3">
      <c r="A429" s="50" t="s">
        <v>8866</v>
      </c>
      <c r="B429" s="43" t="s">
        <v>8938</v>
      </c>
      <c r="C429" s="43" t="s">
        <v>38</v>
      </c>
      <c r="D429" s="43" t="s">
        <v>17</v>
      </c>
      <c r="E429" s="43" t="s">
        <v>18</v>
      </c>
      <c r="F429" s="43" t="s">
        <v>32</v>
      </c>
      <c r="G429" s="48">
        <v>46190.76666666667</v>
      </c>
      <c r="H429" s="48">
        <v>46192.568749999999</v>
      </c>
      <c r="I429" s="43">
        <v>4</v>
      </c>
      <c r="J429" s="43" t="s">
        <v>1156</v>
      </c>
      <c r="K429" s="43" t="s">
        <v>8331</v>
      </c>
      <c r="L429" s="43" t="s">
        <v>33</v>
      </c>
      <c r="M429" s="43">
        <v>3</v>
      </c>
      <c r="N429" s="43">
        <v>3</v>
      </c>
      <c r="O429" s="43">
        <v>4</v>
      </c>
      <c r="P429" s="43" t="s">
        <v>1406</v>
      </c>
      <c r="Q429" s="43" t="s">
        <v>1546</v>
      </c>
      <c r="R429" s="43" t="s">
        <v>9024</v>
      </c>
      <c r="S429" s="52">
        <f t="shared" si="6"/>
        <v>1.8</v>
      </c>
      <c r="T429" s="47"/>
      <c r="U429" s="47"/>
    </row>
    <row r="430" spans="1:21" ht="16.5" thickTop="1" thickBot="1" x14ac:dyDescent="0.3">
      <c r="A430" s="51" t="s">
        <v>8865</v>
      </c>
      <c r="B430" s="52" t="s">
        <v>8937</v>
      </c>
      <c r="C430" s="52" t="s">
        <v>38</v>
      </c>
      <c r="D430" s="52" t="s">
        <v>17</v>
      </c>
      <c r="E430" s="52" t="s">
        <v>18</v>
      </c>
      <c r="F430" s="52" t="s">
        <v>42</v>
      </c>
      <c r="G430" s="53">
        <v>46191.442361111112</v>
      </c>
      <c r="H430" s="53">
        <v>46195.477777777778</v>
      </c>
      <c r="I430" s="52">
        <v>184</v>
      </c>
      <c r="J430" s="52" t="s">
        <v>1156</v>
      </c>
      <c r="K430" s="52" t="s">
        <v>1156</v>
      </c>
      <c r="L430" s="52" t="s">
        <v>36</v>
      </c>
      <c r="M430" s="52">
        <v>182</v>
      </c>
      <c r="N430" s="52">
        <v>182</v>
      </c>
      <c r="O430" s="52">
        <v>184</v>
      </c>
      <c r="P430" s="52" t="s">
        <v>9022</v>
      </c>
      <c r="Q430" s="52" t="s">
        <v>1517</v>
      </c>
      <c r="R430" s="52" t="s">
        <v>9023</v>
      </c>
      <c r="S430" s="52">
        <f t="shared" si="6"/>
        <v>4.04</v>
      </c>
      <c r="T430" s="52"/>
      <c r="U430" s="52"/>
    </row>
    <row r="431" spans="1:21" s="46" customFormat="1" ht="16.5" thickTop="1" thickBot="1" x14ac:dyDescent="0.3">
      <c r="A431" s="50" t="s">
        <v>8864</v>
      </c>
      <c r="B431" s="43" t="s">
        <v>8703</v>
      </c>
      <c r="C431" s="43" t="s">
        <v>38</v>
      </c>
      <c r="D431" s="43" t="s">
        <v>17</v>
      </c>
      <c r="E431" s="43" t="s">
        <v>18</v>
      </c>
      <c r="F431" s="43" t="s">
        <v>42</v>
      </c>
      <c r="G431" s="48">
        <v>46191.455555555556</v>
      </c>
      <c r="H431" s="48">
        <v>46192.572222222225</v>
      </c>
      <c r="I431" s="43">
        <v>3</v>
      </c>
      <c r="J431" s="43" t="s">
        <v>1156</v>
      </c>
      <c r="K431" s="43" t="s">
        <v>1156</v>
      </c>
      <c r="L431" s="43" t="s">
        <v>33</v>
      </c>
      <c r="M431" s="43">
        <v>3</v>
      </c>
      <c r="N431" s="43">
        <v>3</v>
      </c>
      <c r="O431" s="43">
        <v>3</v>
      </c>
      <c r="P431" s="43" t="s">
        <v>1483</v>
      </c>
      <c r="Q431" s="43" t="s">
        <v>1514</v>
      </c>
      <c r="R431" s="43" t="s">
        <v>9021</v>
      </c>
      <c r="S431" s="52">
        <f t="shared" si="6"/>
        <v>1.1200000000000001</v>
      </c>
      <c r="T431" s="47"/>
      <c r="U431" s="47"/>
    </row>
    <row r="432" spans="1:21" ht="16.5" thickTop="1" thickBot="1" x14ac:dyDescent="0.3">
      <c r="A432" s="51" t="s">
        <v>8863</v>
      </c>
      <c r="B432" s="52" t="s">
        <v>8936</v>
      </c>
      <c r="C432" s="52" t="s">
        <v>39</v>
      </c>
      <c r="D432" s="52" t="s">
        <v>17</v>
      </c>
      <c r="E432" s="52" t="s">
        <v>18</v>
      </c>
      <c r="F432" s="52" t="s">
        <v>42</v>
      </c>
      <c r="G432" s="53">
        <v>46191.459027777775</v>
      </c>
      <c r="H432" s="53">
        <v>46192.4</v>
      </c>
      <c r="I432" s="52">
        <v>11</v>
      </c>
      <c r="J432" s="52" t="s">
        <v>2373</v>
      </c>
      <c r="K432" s="52" t="s">
        <v>8310</v>
      </c>
      <c r="L432" s="52" t="s">
        <v>33</v>
      </c>
      <c r="M432" s="52">
        <v>0</v>
      </c>
      <c r="N432" s="52">
        <v>0</v>
      </c>
      <c r="O432" s="52">
        <v>11</v>
      </c>
      <c r="P432" s="52" t="s">
        <v>9019</v>
      </c>
      <c r="Q432" s="52" t="s">
        <v>1517</v>
      </c>
      <c r="R432" s="52" t="s">
        <v>9020</v>
      </c>
      <c r="S432" s="52">
        <f t="shared" si="6"/>
        <v>0.94</v>
      </c>
      <c r="T432" s="52"/>
      <c r="U432" s="52"/>
    </row>
    <row r="433" spans="1:21" s="46" customFormat="1" ht="16.5" thickTop="1" thickBot="1" x14ac:dyDescent="0.3">
      <c r="A433" s="50" t="s">
        <v>8862</v>
      </c>
      <c r="B433" s="43" t="s">
        <v>8935</v>
      </c>
      <c r="C433" s="43" t="s">
        <v>38</v>
      </c>
      <c r="D433" s="43" t="s">
        <v>17</v>
      </c>
      <c r="E433" s="43" t="s">
        <v>18</v>
      </c>
      <c r="F433" s="43" t="s">
        <v>42</v>
      </c>
      <c r="G433" s="48">
        <v>46191.474305555559</v>
      </c>
      <c r="H433" s="48">
        <v>46192.625694444447</v>
      </c>
      <c r="I433" s="43">
        <v>1</v>
      </c>
      <c r="J433" s="43" t="s">
        <v>2373</v>
      </c>
      <c r="K433" s="43" t="s">
        <v>8317</v>
      </c>
      <c r="L433" s="43" t="s">
        <v>33</v>
      </c>
      <c r="M433" s="43">
        <v>1</v>
      </c>
      <c r="N433" s="43">
        <v>1</v>
      </c>
      <c r="O433" s="43">
        <v>1</v>
      </c>
      <c r="P433" s="43" t="s">
        <v>9017</v>
      </c>
      <c r="Q433" s="43" t="s">
        <v>1517</v>
      </c>
      <c r="R433" s="43" t="s">
        <v>9018</v>
      </c>
      <c r="S433" s="52">
        <f t="shared" si="6"/>
        <v>1.1499999999999999</v>
      </c>
      <c r="T433" s="47"/>
      <c r="U433" s="47"/>
    </row>
    <row r="434" spans="1:21" ht="16.5" thickTop="1" thickBot="1" x14ac:dyDescent="0.3">
      <c r="A434" s="51" t="s">
        <v>8861</v>
      </c>
      <c r="B434" s="52" t="s">
        <v>8934</v>
      </c>
      <c r="C434" s="52" t="s">
        <v>38</v>
      </c>
      <c r="D434" s="52" t="s">
        <v>17</v>
      </c>
      <c r="E434" s="52" t="s">
        <v>18</v>
      </c>
      <c r="F434" s="52" t="s">
        <v>32</v>
      </c>
      <c r="G434" s="53">
        <v>46191.52847222222</v>
      </c>
      <c r="H434" s="53">
        <v>46192.575694444444</v>
      </c>
      <c r="I434" s="52">
        <v>12</v>
      </c>
      <c r="J434" s="52" t="s">
        <v>1156</v>
      </c>
      <c r="K434" s="52" t="s">
        <v>1156</v>
      </c>
      <c r="L434" s="52" t="s">
        <v>33</v>
      </c>
      <c r="M434" s="52">
        <v>12</v>
      </c>
      <c r="N434" s="52">
        <v>12</v>
      </c>
      <c r="O434" s="52">
        <v>12</v>
      </c>
      <c r="P434" s="52" t="s">
        <v>9015</v>
      </c>
      <c r="Q434" s="52" t="s">
        <v>1514</v>
      </c>
      <c r="R434" s="52" t="s">
        <v>9016</v>
      </c>
      <c r="S434" s="52">
        <f t="shared" si="6"/>
        <v>1.05</v>
      </c>
      <c r="T434" s="52"/>
      <c r="U434" s="52"/>
    </row>
    <row r="435" spans="1:21" s="46" customFormat="1" ht="16.5" thickTop="1" thickBot="1" x14ac:dyDescent="0.3">
      <c r="A435" s="50" t="s">
        <v>8860</v>
      </c>
      <c r="B435" s="43" t="s">
        <v>8933</v>
      </c>
      <c r="C435" s="43" t="s">
        <v>38</v>
      </c>
      <c r="D435" s="43" t="s">
        <v>17</v>
      </c>
      <c r="E435" s="43" t="s">
        <v>18</v>
      </c>
      <c r="F435" s="43" t="s">
        <v>42</v>
      </c>
      <c r="G435" s="48">
        <v>46191.558333333334</v>
      </c>
      <c r="H435" s="48">
        <v>46193.614583333336</v>
      </c>
      <c r="I435" s="43">
        <v>44</v>
      </c>
      <c r="J435" s="43" t="s">
        <v>1156</v>
      </c>
      <c r="K435" s="43" t="s">
        <v>1156</v>
      </c>
      <c r="L435" s="43" t="s">
        <v>25</v>
      </c>
      <c r="M435" s="43">
        <v>44</v>
      </c>
      <c r="N435" s="43">
        <v>8</v>
      </c>
      <c r="O435" s="43">
        <v>8</v>
      </c>
      <c r="P435" s="43" t="s">
        <v>9011</v>
      </c>
      <c r="Q435" s="43" t="s">
        <v>1517</v>
      </c>
      <c r="R435" s="43" t="s">
        <v>9014</v>
      </c>
      <c r="S435" s="52">
        <f t="shared" si="6"/>
        <v>2.06</v>
      </c>
      <c r="T435" s="47"/>
      <c r="U435" s="47"/>
    </row>
    <row r="436" spans="1:21" ht="16.5" thickTop="1" thickBot="1" x14ac:dyDescent="0.3">
      <c r="A436" s="51" t="s">
        <v>8859</v>
      </c>
      <c r="B436" s="52" t="s">
        <v>8932</v>
      </c>
      <c r="C436" s="52" t="s">
        <v>38</v>
      </c>
      <c r="D436" s="52" t="s">
        <v>17</v>
      </c>
      <c r="E436" s="52" t="s">
        <v>18</v>
      </c>
      <c r="F436" s="52" t="s">
        <v>42</v>
      </c>
      <c r="G436" s="53">
        <v>46191.5625</v>
      </c>
      <c r="H436" s="53">
        <v>46193.620138888888</v>
      </c>
      <c r="I436" s="52">
        <v>88</v>
      </c>
      <c r="J436" s="52" t="s">
        <v>1156</v>
      </c>
      <c r="K436" s="52" t="s">
        <v>1156</v>
      </c>
      <c r="L436" s="52" t="s">
        <v>25</v>
      </c>
      <c r="M436" s="52">
        <v>87</v>
      </c>
      <c r="N436" s="52">
        <v>11</v>
      </c>
      <c r="O436" s="52">
        <v>11</v>
      </c>
      <c r="P436" s="52" t="s">
        <v>9011</v>
      </c>
      <c r="Q436" s="52" t="s">
        <v>1517</v>
      </c>
      <c r="R436" s="52" t="s">
        <v>9013</v>
      </c>
      <c r="S436" s="52">
        <f t="shared" si="6"/>
        <v>2.06</v>
      </c>
      <c r="T436" s="52"/>
      <c r="U436" s="52"/>
    </row>
    <row r="437" spans="1:21" s="46" customFormat="1" ht="16.5" thickTop="1" thickBot="1" x14ac:dyDescent="0.3">
      <c r="A437" s="50" t="s">
        <v>8858</v>
      </c>
      <c r="B437" s="43" t="s">
        <v>8931</v>
      </c>
      <c r="C437" s="43" t="s">
        <v>38</v>
      </c>
      <c r="D437" s="43" t="s">
        <v>17</v>
      </c>
      <c r="E437" s="43" t="s">
        <v>18</v>
      </c>
      <c r="F437" s="43" t="s">
        <v>42</v>
      </c>
      <c r="G437" s="48">
        <v>46191.564583333333</v>
      </c>
      <c r="H437" s="48">
        <v>46193.630555555559</v>
      </c>
      <c r="I437" s="43">
        <v>56</v>
      </c>
      <c r="J437" s="43" t="s">
        <v>1156</v>
      </c>
      <c r="K437" s="43" t="s">
        <v>1156</v>
      </c>
      <c r="L437" s="43" t="s">
        <v>25</v>
      </c>
      <c r="M437" s="43">
        <v>56</v>
      </c>
      <c r="N437" s="43">
        <v>7</v>
      </c>
      <c r="O437" s="43">
        <v>7</v>
      </c>
      <c r="P437" s="43" t="s">
        <v>9011</v>
      </c>
      <c r="Q437" s="43" t="s">
        <v>1517</v>
      </c>
      <c r="R437" s="43" t="s">
        <v>9012</v>
      </c>
      <c r="S437" s="52">
        <f t="shared" si="6"/>
        <v>2.0699999999999998</v>
      </c>
      <c r="T437" s="47"/>
      <c r="U437" s="47"/>
    </row>
    <row r="438" spans="1:21" ht="16.5" thickTop="1" thickBot="1" x14ac:dyDescent="0.3">
      <c r="A438" s="51" t="s">
        <v>8857</v>
      </c>
      <c r="B438" s="52" t="s">
        <v>8930</v>
      </c>
      <c r="C438" s="52" t="s">
        <v>38</v>
      </c>
      <c r="D438" s="52" t="s">
        <v>17</v>
      </c>
      <c r="E438" s="52" t="s">
        <v>18</v>
      </c>
      <c r="F438" s="52" t="s">
        <v>42</v>
      </c>
      <c r="G438" s="53">
        <v>46191.573611111111</v>
      </c>
      <c r="H438" s="53">
        <v>46195.501388888886</v>
      </c>
      <c r="I438" s="52">
        <v>113</v>
      </c>
      <c r="J438" s="52" t="s">
        <v>1156</v>
      </c>
      <c r="K438" s="52" t="s">
        <v>1156</v>
      </c>
      <c r="L438" s="52" t="s">
        <v>36</v>
      </c>
      <c r="M438" s="52">
        <v>113</v>
      </c>
      <c r="N438" s="52">
        <v>113</v>
      </c>
      <c r="O438" s="52">
        <v>113</v>
      </c>
      <c r="P438" s="52" t="s">
        <v>8523</v>
      </c>
      <c r="Q438" s="52" t="s">
        <v>1517</v>
      </c>
      <c r="R438" s="52" t="s">
        <v>9010</v>
      </c>
      <c r="S438" s="52">
        <f t="shared" si="6"/>
        <v>3.93</v>
      </c>
      <c r="T438" s="52"/>
      <c r="U438" s="52"/>
    </row>
    <row r="439" spans="1:21" s="46" customFormat="1" ht="16.5" thickTop="1" thickBot="1" x14ac:dyDescent="0.3">
      <c r="A439" s="50" t="s">
        <v>8856</v>
      </c>
      <c r="B439" s="43" t="s">
        <v>8929</v>
      </c>
      <c r="C439" s="43" t="s">
        <v>38</v>
      </c>
      <c r="D439" s="43" t="s">
        <v>17</v>
      </c>
      <c r="E439" s="43" t="s">
        <v>18</v>
      </c>
      <c r="F439" s="43" t="s">
        <v>42</v>
      </c>
      <c r="G439" s="48">
        <v>46191.574999999997</v>
      </c>
      <c r="H439" s="48">
        <v>46196.552083333336</v>
      </c>
      <c r="I439" s="43">
        <v>146</v>
      </c>
      <c r="J439" s="43" t="s">
        <v>1156</v>
      </c>
      <c r="K439" s="43" t="s">
        <v>1156</v>
      </c>
      <c r="L439" s="43" t="s">
        <v>36</v>
      </c>
      <c r="M439" s="43">
        <v>142</v>
      </c>
      <c r="N439" s="43">
        <v>142</v>
      </c>
      <c r="O439" s="43">
        <v>146</v>
      </c>
      <c r="P439" s="43" t="s">
        <v>1429</v>
      </c>
      <c r="Q439" s="43" t="s">
        <v>1517</v>
      </c>
      <c r="R439" s="43" t="s">
        <v>9009</v>
      </c>
      <c r="S439" s="52">
        <f t="shared" si="6"/>
        <v>4.9800000000000004</v>
      </c>
      <c r="T439" s="47"/>
      <c r="U439" s="47"/>
    </row>
    <row r="440" spans="1:21" ht="16.5" thickTop="1" thickBot="1" x14ac:dyDescent="0.3">
      <c r="A440" s="51" t="s">
        <v>8855</v>
      </c>
      <c r="B440" s="52" t="s">
        <v>8928</v>
      </c>
      <c r="C440" s="52" t="s">
        <v>38</v>
      </c>
      <c r="D440" s="52" t="s">
        <v>17</v>
      </c>
      <c r="E440" s="52" t="s">
        <v>18</v>
      </c>
      <c r="F440" s="52" t="s">
        <v>42</v>
      </c>
      <c r="G440" s="53">
        <v>46191.576388888891</v>
      </c>
      <c r="H440" s="53">
        <v>46196.556250000001</v>
      </c>
      <c r="I440" s="52">
        <v>204</v>
      </c>
      <c r="J440" s="52" t="s">
        <v>1156</v>
      </c>
      <c r="K440" s="52" t="s">
        <v>1156</v>
      </c>
      <c r="L440" s="52" t="s">
        <v>36</v>
      </c>
      <c r="M440" s="52">
        <v>198</v>
      </c>
      <c r="N440" s="52">
        <v>198</v>
      </c>
      <c r="O440" s="52">
        <v>204</v>
      </c>
      <c r="P440" s="52" t="s">
        <v>1429</v>
      </c>
      <c r="Q440" s="52" t="s">
        <v>1517</v>
      </c>
      <c r="R440" s="52" t="s">
        <v>9008</v>
      </c>
      <c r="S440" s="52">
        <f t="shared" si="6"/>
        <v>4.9800000000000004</v>
      </c>
      <c r="T440" s="52"/>
      <c r="U440" s="52"/>
    </row>
    <row r="441" spans="1:21" s="46" customFormat="1" ht="16.5" thickTop="1" thickBot="1" x14ac:dyDescent="0.3">
      <c r="A441" s="50" t="s">
        <v>8854</v>
      </c>
      <c r="B441" s="43" t="s">
        <v>8927</v>
      </c>
      <c r="C441" s="43" t="s">
        <v>38</v>
      </c>
      <c r="D441" s="43" t="s">
        <v>17</v>
      </c>
      <c r="E441" s="43" t="s">
        <v>18</v>
      </c>
      <c r="F441" s="43" t="s">
        <v>28</v>
      </c>
      <c r="G441" s="48">
        <v>46191.652083333334</v>
      </c>
      <c r="H441" s="48">
        <v>46192.719444444447</v>
      </c>
      <c r="I441" s="43">
        <v>12</v>
      </c>
      <c r="J441" s="43" t="s">
        <v>1156</v>
      </c>
      <c r="K441" s="43" t="s">
        <v>8294</v>
      </c>
      <c r="L441" s="43" t="s">
        <v>20</v>
      </c>
      <c r="M441" s="43">
        <v>12</v>
      </c>
      <c r="N441" s="43">
        <v>1</v>
      </c>
      <c r="O441" s="43">
        <v>1</v>
      </c>
      <c r="P441" s="43" t="s">
        <v>1287</v>
      </c>
      <c r="Q441" s="43" t="s">
        <v>1514</v>
      </c>
      <c r="R441" s="43" t="s">
        <v>9007</v>
      </c>
      <c r="S441" s="52">
        <f t="shared" si="6"/>
        <v>1.07</v>
      </c>
      <c r="T441" s="47"/>
      <c r="U441" s="47"/>
    </row>
    <row r="442" spans="1:21" ht="16.5" thickTop="1" thickBot="1" x14ac:dyDescent="0.3">
      <c r="A442" s="51" t="s">
        <v>8853</v>
      </c>
      <c r="B442" s="52" t="s">
        <v>8926</v>
      </c>
      <c r="C442" s="52" t="s">
        <v>38</v>
      </c>
      <c r="D442" s="52" t="s">
        <v>17</v>
      </c>
      <c r="E442" s="52" t="s">
        <v>18</v>
      </c>
      <c r="F442" s="52" t="s">
        <v>42</v>
      </c>
      <c r="G442" s="53">
        <v>46191.669444444444</v>
      </c>
      <c r="H442" s="53">
        <v>46199.590277777781</v>
      </c>
      <c r="I442" s="52">
        <v>1</v>
      </c>
      <c r="J442" s="52" t="s">
        <v>2373</v>
      </c>
      <c r="K442" s="52" t="s">
        <v>8310</v>
      </c>
      <c r="L442" s="52" t="s">
        <v>33</v>
      </c>
      <c r="M442" s="52">
        <v>1</v>
      </c>
      <c r="N442" s="52">
        <v>1</v>
      </c>
      <c r="O442" s="52">
        <v>1</v>
      </c>
      <c r="P442" s="52" t="s">
        <v>1499</v>
      </c>
      <c r="Q442" s="52" t="s">
        <v>1546</v>
      </c>
      <c r="R442" s="52" t="s">
        <v>9006</v>
      </c>
      <c r="S442" s="52">
        <f t="shared" si="6"/>
        <v>7.92</v>
      </c>
      <c r="T442" s="52"/>
      <c r="U442" s="52"/>
    </row>
    <row r="443" spans="1:21" s="46" customFormat="1" ht="16.5" thickTop="1" thickBot="1" x14ac:dyDescent="0.3">
      <c r="A443" s="50" t="s">
        <v>8852</v>
      </c>
      <c r="B443" s="43" t="s">
        <v>8925</v>
      </c>
      <c r="C443" s="43" t="s">
        <v>38</v>
      </c>
      <c r="D443" s="43" t="s">
        <v>17</v>
      </c>
      <c r="E443" s="43" t="s">
        <v>18</v>
      </c>
      <c r="F443" s="43" t="s">
        <v>28</v>
      </c>
      <c r="G443" s="48">
        <v>46191.706944444442</v>
      </c>
      <c r="H443" s="48">
        <v>46195.587500000001</v>
      </c>
      <c r="I443" s="43">
        <v>520</v>
      </c>
      <c r="J443" s="43" t="s">
        <v>1156</v>
      </c>
      <c r="K443" s="43" t="s">
        <v>1156</v>
      </c>
      <c r="L443" s="43" t="s">
        <v>20</v>
      </c>
      <c r="M443" s="43">
        <v>474</v>
      </c>
      <c r="N443" s="43">
        <v>96</v>
      </c>
      <c r="O443" s="43">
        <v>68</v>
      </c>
      <c r="P443" s="43" t="s">
        <v>8788</v>
      </c>
      <c r="Q443" s="43" t="s">
        <v>1517</v>
      </c>
      <c r="R443" s="43" t="s">
        <v>9005</v>
      </c>
      <c r="S443" s="52">
        <f t="shared" si="6"/>
        <v>3.88</v>
      </c>
      <c r="T443" s="47"/>
      <c r="U443" s="47"/>
    </row>
    <row r="444" spans="1:21" ht="16.5" thickTop="1" thickBot="1" x14ac:dyDescent="0.3">
      <c r="A444" s="51" t="s">
        <v>8851</v>
      </c>
      <c r="B444" s="52" t="s">
        <v>8924</v>
      </c>
      <c r="C444" s="52" t="s">
        <v>38</v>
      </c>
      <c r="D444" s="52" t="s">
        <v>17</v>
      </c>
      <c r="E444" s="52" t="s">
        <v>18</v>
      </c>
      <c r="F444" s="52" t="s">
        <v>32</v>
      </c>
      <c r="G444" s="53">
        <v>46191.711111111108</v>
      </c>
      <c r="H444" s="53">
        <v>46193.540972222225</v>
      </c>
      <c r="I444" s="52">
        <v>2</v>
      </c>
      <c r="J444" s="52" t="s">
        <v>1156</v>
      </c>
      <c r="K444" s="52" t="s">
        <v>1156</v>
      </c>
      <c r="L444" s="52" t="s">
        <v>33</v>
      </c>
      <c r="M444" s="52">
        <v>2</v>
      </c>
      <c r="N444" s="52">
        <v>2</v>
      </c>
      <c r="O444" s="52">
        <v>2</v>
      </c>
      <c r="P444" s="52" t="s">
        <v>9003</v>
      </c>
      <c r="Q444" s="52" t="s">
        <v>1517</v>
      </c>
      <c r="R444" s="52" t="s">
        <v>9004</v>
      </c>
      <c r="S444" s="52">
        <f t="shared" si="6"/>
        <v>1.83</v>
      </c>
      <c r="T444" s="52"/>
      <c r="U444" s="52"/>
    </row>
    <row r="445" spans="1:21" s="46" customFormat="1" ht="16.5" thickTop="1" thickBot="1" x14ac:dyDescent="0.3">
      <c r="A445" s="50" t="s">
        <v>8850</v>
      </c>
      <c r="B445" s="43" t="s">
        <v>8923</v>
      </c>
      <c r="C445" s="43" t="s">
        <v>38</v>
      </c>
      <c r="D445" s="43" t="s">
        <v>17</v>
      </c>
      <c r="E445" s="43" t="s">
        <v>19</v>
      </c>
      <c r="F445" s="43" t="s">
        <v>23</v>
      </c>
      <c r="G445" s="48">
        <v>46191.786111111112</v>
      </c>
      <c r="H445" s="48">
        <v>46192.374305555553</v>
      </c>
      <c r="I445" s="43">
        <v>39</v>
      </c>
      <c r="J445" s="43" t="s">
        <v>2373</v>
      </c>
      <c r="K445" s="43" t="s">
        <v>8278</v>
      </c>
      <c r="L445" s="43" t="s">
        <v>31</v>
      </c>
      <c r="M445" s="43">
        <v>39</v>
      </c>
      <c r="N445" s="43">
        <v>39</v>
      </c>
      <c r="O445" s="43">
        <v>39</v>
      </c>
      <c r="P445" s="43" t="s">
        <v>1295</v>
      </c>
      <c r="Q445" s="43" t="s">
        <v>1546</v>
      </c>
      <c r="R445" s="43" t="s">
        <v>9002</v>
      </c>
      <c r="S445" s="52">
        <f t="shared" si="6"/>
        <v>0.59</v>
      </c>
      <c r="T445" s="47"/>
      <c r="U445" s="47"/>
    </row>
    <row r="446" spans="1:21" ht="16.5" thickTop="1" thickBot="1" x14ac:dyDescent="0.3">
      <c r="A446" s="51" t="s">
        <v>8849</v>
      </c>
      <c r="B446" s="52" t="s">
        <v>8922</v>
      </c>
      <c r="C446" s="52" t="s">
        <v>38</v>
      </c>
      <c r="D446" s="52" t="s">
        <v>17</v>
      </c>
      <c r="E446" s="52" t="s">
        <v>18</v>
      </c>
      <c r="F446" s="52" t="s">
        <v>32</v>
      </c>
      <c r="G446" s="53">
        <v>46191.916666666664</v>
      </c>
      <c r="H446" s="53">
        <v>46193.600694444445</v>
      </c>
      <c r="I446" s="52">
        <v>2</v>
      </c>
      <c r="J446" s="52" t="s">
        <v>1156</v>
      </c>
      <c r="K446" s="52" t="s">
        <v>8331</v>
      </c>
      <c r="L446" s="52" t="s">
        <v>33</v>
      </c>
      <c r="M446" s="52">
        <v>2</v>
      </c>
      <c r="N446" s="52">
        <v>2</v>
      </c>
      <c r="O446" s="52">
        <v>2</v>
      </c>
      <c r="P446" s="52" t="s">
        <v>1461</v>
      </c>
      <c r="Q446" s="52" t="s">
        <v>1517</v>
      </c>
      <c r="R446" s="52" t="s">
        <v>9001</v>
      </c>
      <c r="S446" s="52">
        <f t="shared" si="6"/>
        <v>1.68</v>
      </c>
      <c r="T446" s="52"/>
      <c r="U446" s="52"/>
    </row>
    <row r="447" spans="1:21" s="46" customFormat="1" ht="16.5" thickTop="1" thickBot="1" x14ac:dyDescent="0.3">
      <c r="A447" s="50" t="s">
        <v>8848</v>
      </c>
      <c r="B447" s="43" t="s">
        <v>8921</v>
      </c>
      <c r="C447" s="43" t="s">
        <v>38</v>
      </c>
      <c r="D447" s="43" t="s">
        <v>17</v>
      </c>
      <c r="E447" s="43" t="s">
        <v>18</v>
      </c>
      <c r="F447" s="43" t="s">
        <v>32</v>
      </c>
      <c r="G447" s="48">
        <v>46191.943749999999</v>
      </c>
      <c r="H447" s="48">
        <v>46196.551388888889</v>
      </c>
      <c r="I447" s="43">
        <v>10</v>
      </c>
      <c r="J447" s="43" t="s">
        <v>2373</v>
      </c>
      <c r="K447" s="43" t="s">
        <v>8326</v>
      </c>
      <c r="L447" s="43" t="s">
        <v>33</v>
      </c>
      <c r="M447" s="43">
        <v>10</v>
      </c>
      <c r="N447" s="43">
        <v>10</v>
      </c>
      <c r="O447" s="43">
        <v>10</v>
      </c>
      <c r="P447" s="43" t="s">
        <v>1461</v>
      </c>
      <c r="Q447" s="43" t="s">
        <v>1517</v>
      </c>
      <c r="R447" s="43" t="s">
        <v>9000</v>
      </c>
      <c r="S447" s="52">
        <f t="shared" si="6"/>
        <v>4.6100000000000003</v>
      </c>
      <c r="T447" s="47"/>
      <c r="U447" s="47"/>
    </row>
    <row r="448" spans="1:21" ht="16.5" thickTop="1" thickBot="1" x14ac:dyDescent="0.3">
      <c r="A448" s="51" t="s">
        <v>8847</v>
      </c>
      <c r="B448" s="52" t="s">
        <v>8920</v>
      </c>
      <c r="C448" s="52" t="s">
        <v>38</v>
      </c>
      <c r="D448" s="52" t="s">
        <v>17</v>
      </c>
      <c r="E448" s="52" t="s">
        <v>18</v>
      </c>
      <c r="F448" s="52" t="s">
        <v>28</v>
      </c>
      <c r="G448" s="53">
        <v>46192.431944444441</v>
      </c>
      <c r="H448" s="53">
        <v>46198.73333333333</v>
      </c>
      <c r="I448" s="52">
        <v>488</v>
      </c>
      <c r="J448" s="52" t="s">
        <v>1156</v>
      </c>
      <c r="K448" s="52" t="s">
        <v>1156</v>
      </c>
      <c r="L448" s="52" t="s">
        <v>25</v>
      </c>
      <c r="M448" s="52">
        <v>434</v>
      </c>
      <c r="N448" s="52">
        <v>76</v>
      </c>
      <c r="O448" s="52">
        <v>86</v>
      </c>
      <c r="P448" s="52" t="s">
        <v>8998</v>
      </c>
      <c r="Q448" s="52" t="s">
        <v>1546</v>
      </c>
      <c r="R448" s="52" t="s">
        <v>8999</v>
      </c>
      <c r="S448" s="52">
        <f t="shared" si="6"/>
        <v>6.3</v>
      </c>
      <c r="T448" s="52"/>
      <c r="U448" s="52"/>
    </row>
    <row r="449" spans="1:21" s="46" customFormat="1" ht="16.5" thickTop="1" thickBot="1" x14ac:dyDescent="0.3">
      <c r="A449" s="50" t="s">
        <v>8846</v>
      </c>
      <c r="B449" s="43" t="s">
        <v>8919</v>
      </c>
      <c r="C449" s="43" t="s">
        <v>38</v>
      </c>
      <c r="D449" s="43" t="s">
        <v>17</v>
      </c>
      <c r="E449" s="43" t="s">
        <v>18</v>
      </c>
      <c r="F449" s="43" t="s">
        <v>42</v>
      </c>
      <c r="G449" s="48">
        <v>46192.489583333336</v>
      </c>
      <c r="H449" s="48">
        <v>46193.632638888892</v>
      </c>
      <c r="I449" s="43">
        <v>1</v>
      </c>
      <c r="J449" s="43" t="s">
        <v>1156</v>
      </c>
      <c r="K449" s="43" t="s">
        <v>1156</v>
      </c>
      <c r="L449" s="43" t="s">
        <v>33</v>
      </c>
      <c r="M449" s="43">
        <v>1</v>
      </c>
      <c r="N449" s="43">
        <v>1</v>
      </c>
      <c r="O449" s="43">
        <v>1</v>
      </c>
      <c r="P449" s="43" t="s">
        <v>1417</v>
      </c>
      <c r="Q449" s="43" t="s">
        <v>1517</v>
      </c>
      <c r="R449" s="43" t="s">
        <v>8997</v>
      </c>
      <c r="S449" s="52">
        <f t="shared" si="6"/>
        <v>1.1399999999999999</v>
      </c>
      <c r="T449" s="47"/>
      <c r="U449" s="47"/>
    </row>
    <row r="450" spans="1:21" ht="16.5" thickTop="1" thickBot="1" x14ac:dyDescent="0.3">
      <c r="A450" s="51" t="s">
        <v>8845</v>
      </c>
      <c r="B450" s="52" t="s">
        <v>8918</v>
      </c>
      <c r="C450" s="52" t="s">
        <v>38</v>
      </c>
      <c r="D450" s="52" t="s">
        <v>17</v>
      </c>
      <c r="E450" s="52" t="s">
        <v>18</v>
      </c>
      <c r="F450" s="52" t="s">
        <v>42</v>
      </c>
      <c r="G450" s="53">
        <v>46192.508333333331</v>
      </c>
      <c r="H450" s="53">
        <v>46197.728472222225</v>
      </c>
      <c r="I450" s="52">
        <v>9</v>
      </c>
      <c r="J450" s="52" t="s">
        <v>2373</v>
      </c>
      <c r="K450" s="52" t="s">
        <v>8317</v>
      </c>
      <c r="L450" s="52" t="s">
        <v>33</v>
      </c>
      <c r="M450" s="52">
        <v>9</v>
      </c>
      <c r="N450" s="52">
        <v>9</v>
      </c>
      <c r="O450" s="52">
        <v>9</v>
      </c>
      <c r="P450" s="52" t="s">
        <v>8503</v>
      </c>
      <c r="Q450" s="52" t="s">
        <v>1517</v>
      </c>
      <c r="R450" s="52" t="s">
        <v>8996</v>
      </c>
      <c r="S450" s="52">
        <f t="shared" ref="S450:S513" si="7">IF(OR(G450="",H450=""),"",ROUND(H450-G450,2))</f>
        <v>5.22</v>
      </c>
      <c r="T450" s="52"/>
      <c r="U450" s="52"/>
    </row>
    <row r="451" spans="1:21" s="46" customFormat="1" ht="16.5" thickTop="1" thickBot="1" x14ac:dyDescent="0.3">
      <c r="A451" s="50" t="s">
        <v>8844</v>
      </c>
      <c r="B451" s="43" t="s">
        <v>8917</v>
      </c>
      <c r="C451" s="43" t="s">
        <v>38</v>
      </c>
      <c r="D451" s="43" t="s">
        <v>17</v>
      </c>
      <c r="E451" s="43" t="s">
        <v>18</v>
      </c>
      <c r="F451" s="43" t="s">
        <v>28</v>
      </c>
      <c r="G451" s="48">
        <v>46192.551388888889</v>
      </c>
      <c r="H451" s="48">
        <v>46195.540972222225</v>
      </c>
      <c r="I451" s="43">
        <v>24</v>
      </c>
      <c r="J451" s="43" t="s">
        <v>1156</v>
      </c>
      <c r="K451" s="43" t="s">
        <v>1156</v>
      </c>
      <c r="L451" s="43" t="s">
        <v>20</v>
      </c>
      <c r="M451" s="43">
        <v>24</v>
      </c>
      <c r="N451" s="43">
        <v>4</v>
      </c>
      <c r="O451" s="43">
        <v>4</v>
      </c>
      <c r="P451" s="43" t="s">
        <v>1428</v>
      </c>
      <c r="Q451" s="43" t="s">
        <v>1514</v>
      </c>
      <c r="R451" s="43" t="s">
        <v>8995</v>
      </c>
      <c r="S451" s="52">
        <f t="shared" si="7"/>
        <v>2.99</v>
      </c>
      <c r="T451" s="47"/>
      <c r="U451" s="47"/>
    </row>
    <row r="452" spans="1:21" ht="16.5" thickTop="1" thickBot="1" x14ac:dyDescent="0.3">
      <c r="A452" s="51" t="s">
        <v>8843</v>
      </c>
      <c r="B452" s="52" t="s">
        <v>8916</v>
      </c>
      <c r="C452" s="52" t="s">
        <v>38</v>
      </c>
      <c r="D452" s="52" t="s">
        <v>17</v>
      </c>
      <c r="E452" s="52" t="s">
        <v>18</v>
      </c>
      <c r="F452" s="52" t="s">
        <v>42</v>
      </c>
      <c r="G452" s="53">
        <v>46192.558333333334</v>
      </c>
      <c r="H452" s="53">
        <v>46195.545138888891</v>
      </c>
      <c r="I452" s="52">
        <v>47</v>
      </c>
      <c r="J452" s="52" t="s">
        <v>1156</v>
      </c>
      <c r="K452" s="52" t="s">
        <v>1156</v>
      </c>
      <c r="L452" s="52" t="s">
        <v>36</v>
      </c>
      <c r="M452" s="52">
        <v>47</v>
      </c>
      <c r="N452" s="52">
        <v>47</v>
      </c>
      <c r="O452" s="52">
        <v>47</v>
      </c>
      <c r="P452" s="52" t="s">
        <v>8993</v>
      </c>
      <c r="Q452" s="52" t="s">
        <v>1517</v>
      </c>
      <c r="R452" s="52" t="s">
        <v>8994</v>
      </c>
      <c r="S452" s="52">
        <f t="shared" si="7"/>
        <v>2.99</v>
      </c>
      <c r="T452" s="52"/>
      <c r="U452" s="52"/>
    </row>
    <row r="453" spans="1:21" s="46" customFormat="1" ht="16.5" thickTop="1" thickBot="1" x14ac:dyDescent="0.3">
      <c r="A453" s="50" t="s">
        <v>8842</v>
      </c>
      <c r="B453" s="43" t="s">
        <v>8915</v>
      </c>
      <c r="C453" s="43" t="s">
        <v>38</v>
      </c>
      <c r="D453" s="43" t="s">
        <v>17</v>
      </c>
      <c r="E453" s="43" t="s">
        <v>18</v>
      </c>
      <c r="F453" s="43" t="s">
        <v>28</v>
      </c>
      <c r="G453" s="48">
        <v>46192.559027777781</v>
      </c>
      <c r="H453" s="48">
        <v>46196.561111111114</v>
      </c>
      <c r="I453" s="43">
        <v>68</v>
      </c>
      <c r="J453" s="43" t="s">
        <v>1156</v>
      </c>
      <c r="K453" s="43" t="s">
        <v>1156</v>
      </c>
      <c r="L453" s="43" t="s">
        <v>36</v>
      </c>
      <c r="M453" s="43">
        <v>61</v>
      </c>
      <c r="N453" s="43">
        <v>61</v>
      </c>
      <c r="O453" s="43">
        <v>68</v>
      </c>
      <c r="P453" s="43" t="s">
        <v>8991</v>
      </c>
      <c r="Q453" s="43" t="s">
        <v>1514</v>
      </c>
      <c r="R453" s="43" t="s">
        <v>8992</v>
      </c>
      <c r="S453" s="52">
        <f t="shared" si="7"/>
        <v>4</v>
      </c>
      <c r="T453" s="47"/>
      <c r="U453" s="47"/>
    </row>
    <row r="454" spans="1:21" ht="16.5" thickTop="1" thickBot="1" x14ac:dyDescent="0.3">
      <c r="A454" s="51" t="s">
        <v>8841</v>
      </c>
      <c r="B454" s="52" t="s">
        <v>8914</v>
      </c>
      <c r="C454" s="52" t="s">
        <v>38</v>
      </c>
      <c r="D454" s="52" t="s">
        <v>17</v>
      </c>
      <c r="E454" s="52" t="s">
        <v>18</v>
      </c>
      <c r="F454" s="52" t="s">
        <v>42</v>
      </c>
      <c r="G454" s="53">
        <v>46192.567361111112</v>
      </c>
      <c r="H454" s="53">
        <v>46193.643055555556</v>
      </c>
      <c r="I454" s="52">
        <v>3</v>
      </c>
      <c r="J454" s="52" t="s">
        <v>1156</v>
      </c>
      <c r="K454" s="52" t="s">
        <v>1156</v>
      </c>
      <c r="L454" s="52" t="s">
        <v>33</v>
      </c>
      <c r="M454" s="52">
        <v>3</v>
      </c>
      <c r="N454" s="52">
        <v>3</v>
      </c>
      <c r="O454" s="52">
        <v>3</v>
      </c>
      <c r="P454" s="52" t="s">
        <v>8989</v>
      </c>
      <c r="Q454" s="52" t="s">
        <v>1517</v>
      </c>
      <c r="R454" s="52" t="s">
        <v>8990</v>
      </c>
      <c r="S454" s="52">
        <f t="shared" si="7"/>
        <v>1.08</v>
      </c>
      <c r="T454" s="52"/>
      <c r="U454" s="52"/>
    </row>
    <row r="455" spans="1:21" s="46" customFormat="1" ht="16.5" thickTop="1" thickBot="1" x14ac:dyDescent="0.3">
      <c r="A455" s="50" t="s">
        <v>8840</v>
      </c>
      <c r="B455" s="43" t="s">
        <v>8913</v>
      </c>
      <c r="C455" s="43" t="s">
        <v>38</v>
      </c>
      <c r="D455" s="43" t="s">
        <v>17</v>
      </c>
      <c r="E455" s="43" t="s">
        <v>18</v>
      </c>
      <c r="F455" s="43" t="s">
        <v>42</v>
      </c>
      <c r="G455" s="48">
        <v>46192.584722222222</v>
      </c>
      <c r="H455" s="48">
        <v>46204.456250000003</v>
      </c>
      <c r="I455" s="43">
        <v>20</v>
      </c>
      <c r="J455" s="43" t="s">
        <v>2373</v>
      </c>
      <c r="K455" s="43" t="s">
        <v>8317</v>
      </c>
      <c r="L455" s="43" t="s">
        <v>33</v>
      </c>
      <c r="M455" s="43">
        <v>20</v>
      </c>
      <c r="N455" s="43">
        <v>20</v>
      </c>
      <c r="O455" s="43">
        <v>20</v>
      </c>
      <c r="P455" s="43" t="s">
        <v>8987</v>
      </c>
      <c r="Q455" s="43" t="s">
        <v>1517</v>
      </c>
      <c r="R455" s="43" t="s">
        <v>8988</v>
      </c>
      <c r="S455" s="52">
        <f t="shared" si="7"/>
        <v>11.87</v>
      </c>
      <c r="T455" s="47"/>
      <c r="U455" s="47"/>
    </row>
    <row r="456" spans="1:21" ht="16.5" thickTop="1" thickBot="1" x14ac:dyDescent="0.3">
      <c r="A456" s="51" t="s">
        <v>8839</v>
      </c>
      <c r="B456" s="52" t="s">
        <v>8912</v>
      </c>
      <c r="C456" s="52" t="s">
        <v>38</v>
      </c>
      <c r="D456" s="52" t="s">
        <v>17</v>
      </c>
      <c r="E456" s="52" t="s">
        <v>18</v>
      </c>
      <c r="F456" s="52" t="s">
        <v>28</v>
      </c>
      <c r="G456" s="53">
        <v>46192.695138888892</v>
      </c>
      <c r="H456" s="53">
        <v>46196.734722222223</v>
      </c>
      <c r="I456" s="52">
        <v>801</v>
      </c>
      <c r="J456" s="52" t="s">
        <v>1156</v>
      </c>
      <c r="K456" s="52" t="s">
        <v>1156</v>
      </c>
      <c r="L456" s="52" t="s">
        <v>20</v>
      </c>
      <c r="M456" s="52">
        <v>734</v>
      </c>
      <c r="N456" s="52">
        <v>134</v>
      </c>
      <c r="O456" s="52">
        <v>92</v>
      </c>
      <c r="P456" s="52" t="s">
        <v>1410</v>
      </c>
      <c r="Q456" s="52" t="s">
        <v>1517</v>
      </c>
      <c r="R456" s="52" t="s">
        <v>8986</v>
      </c>
      <c r="S456" s="52">
        <f t="shared" si="7"/>
        <v>4.04</v>
      </c>
      <c r="T456" s="52"/>
      <c r="U456" s="52"/>
    </row>
    <row r="457" spans="1:21" s="46" customFormat="1" ht="16.5" thickTop="1" thickBot="1" x14ac:dyDescent="0.3">
      <c r="A457" s="50" t="s">
        <v>8838</v>
      </c>
      <c r="B457" s="43" t="s">
        <v>8911</v>
      </c>
      <c r="C457" s="43" t="s">
        <v>38</v>
      </c>
      <c r="D457" s="43" t="s">
        <v>17</v>
      </c>
      <c r="E457" s="43" t="s">
        <v>19</v>
      </c>
      <c r="F457" s="43" t="s">
        <v>19</v>
      </c>
      <c r="G457" s="48">
        <v>46192.73333333333</v>
      </c>
      <c r="H457" s="48">
        <v>46193.640277777777</v>
      </c>
      <c r="I457" s="43">
        <v>19</v>
      </c>
      <c r="J457" s="43" t="s">
        <v>1156</v>
      </c>
      <c r="K457" s="43" t="s">
        <v>1156</v>
      </c>
      <c r="L457" s="43" t="s">
        <v>33</v>
      </c>
      <c r="M457" s="43">
        <v>16</v>
      </c>
      <c r="N457" s="43">
        <v>16</v>
      </c>
      <c r="O457" s="43">
        <v>19</v>
      </c>
      <c r="P457" s="43" t="s">
        <v>8984</v>
      </c>
      <c r="Q457" s="43" t="s">
        <v>1546</v>
      </c>
      <c r="R457" s="43" t="s">
        <v>8985</v>
      </c>
      <c r="S457" s="52">
        <f t="shared" si="7"/>
        <v>0.91</v>
      </c>
      <c r="T457" s="47"/>
      <c r="U457" s="47"/>
    </row>
    <row r="458" spans="1:21" ht="16.5" thickTop="1" thickBot="1" x14ac:dyDescent="0.3">
      <c r="A458" s="51" t="s">
        <v>8837</v>
      </c>
      <c r="B458" s="52" t="s">
        <v>8910</v>
      </c>
      <c r="C458" s="52" t="s">
        <v>39</v>
      </c>
      <c r="D458" s="52" t="s">
        <v>17</v>
      </c>
      <c r="E458" s="52" t="s">
        <v>18</v>
      </c>
      <c r="F458" s="52" t="s">
        <v>32</v>
      </c>
      <c r="G458" s="53">
        <v>46192.740277777775</v>
      </c>
      <c r="H458" s="53">
        <v>46197.424305555556</v>
      </c>
      <c r="I458" s="52">
        <v>208</v>
      </c>
      <c r="J458" s="52" t="s">
        <v>1156</v>
      </c>
      <c r="K458" s="52" t="s">
        <v>1156</v>
      </c>
      <c r="L458" s="52" t="s">
        <v>20</v>
      </c>
      <c r="M458" s="52">
        <v>0</v>
      </c>
      <c r="N458" s="52">
        <v>0</v>
      </c>
      <c r="O458" s="52">
        <v>30</v>
      </c>
      <c r="P458" s="52" t="s">
        <v>8982</v>
      </c>
      <c r="Q458" s="52" t="s">
        <v>1517</v>
      </c>
      <c r="R458" s="52" t="s">
        <v>8983</v>
      </c>
      <c r="S458" s="52">
        <f t="shared" si="7"/>
        <v>4.68</v>
      </c>
      <c r="T458" s="52"/>
      <c r="U458" s="52"/>
    </row>
    <row r="459" spans="1:21" s="46" customFormat="1" ht="16.5" thickTop="1" thickBot="1" x14ac:dyDescent="0.3">
      <c r="A459" s="50" t="s">
        <v>8836</v>
      </c>
      <c r="B459" s="43" t="s">
        <v>8909</v>
      </c>
      <c r="C459" s="43" t="s">
        <v>38</v>
      </c>
      <c r="D459" s="43" t="s">
        <v>17</v>
      </c>
      <c r="E459" s="43" t="s">
        <v>18</v>
      </c>
      <c r="F459" s="43" t="s">
        <v>32</v>
      </c>
      <c r="G459" s="48">
        <v>46192.750694444447</v>
      </c>
      <c r="H459" s="48">
        <v>46200.435416666667</v>
      </c>
      <c r="I459" s="43">
        <v>18</v>
      </c>
      <c r="J459" s="43" t="s">
        <v>2373</v>
      </c>
      <c r="K459" s="43" t="s">
        <v>8317</v>
      </c>
      <c r="L459" s="43" t="s">
        <v>33</v>
      </c>
      <c r="M459" s="43">
        <v>3</v>
      </c>
      <c r="N459" s="43">
        <v>3</v>
      </c>
      <c r="O459" s="43">
        <v>18</v>
      </c>
      <c r="P459" s="43" t="s">
        <v>8980</v>
      </c>
      <c r="Q459" s="43" t="s">
        <v>1546</v>
      </c>
      <c r="R459" s="43" t="s">
        <v>8981</v>
      </c>
      <c r="S459" s="52">
        <f t="shared" si="7"/>
        <v>7.68</v>
      </c>
      <c r="T459" s="47"/>
      <c r="U459" s="47"/>
    </row>
    <row r="460" spans="1:21" ht="16.5" thickTop="1" thickBot="1" x14ac:dyDescent="0.3">
      <c r="A460" s="51" t="s">
        <v>8835</v>
      </c>
      <c r="B460" s="52" t="s">
        <v>8908</v>
      </c>
      <c r="C460" s="52" t="s">
        <v>38</v>
      </c>
      <c r="D460" s="52" t="s">
        <v>17</v>
      </c>
      <c r="E460" s="52" t="s">
        <v>18</v>
      </c>
      <c r="F460" s="52" t="s">
        <v>32</v>
      </c>
      <c r="G460" s="53">
        <v>46193.729166666664</v>
      </c>
      <c r="H460" s="53">
        <v>46196.455555555556</v>
      </c>
      <c r="I460" s="52">
        <v>2</v>
      </c>
      <c r="J460" s="52" t="s">
        <v>2373</v>
      </c>
      <c r="K460" s="52" t="s">
        <v>8317</v>
      </c>
      <c r="L460" s="52" t="s">
        <v>33</v>
      </c>
      <c r="M460" s="52">
        <v>2</v>
      </c>
      <c r="N460" s="52">
        <v>2</v>
      </c>
      <c r="O460" s="52">
        <v>2</v>
      </c>
      <c r="P460" s="52" t="s">
        <v>8979</v>
      </c>
      <c r="Q460" s="52" t="s">
        <v>1517</v>
      </c>
      <c r="R460" s="52"/>
      <c r="S460" s="52">
        <f t="shared" si="7"/>
        <v>2.73</v>
      </c>
      <c r="T460" s="52"/>
      <c r="U460" s="52"/>
    </row>
    <row r="461" spans="1:21" s="46" customFormat="1" ht="16.5" thickTop="1" thickBot="1" x14ac:dyDescent="0.3">
      <c r="A461" s="50" t="s">
        <v>9142</v>
      </c>
      <c r="B461" s="43" t="s">
        <v>9198</v>
      </c>
      <c r="C461" s="43" t="s">
        <v>38</v>
      </c>
      <c r="D461" s="43" t="s">
        <v>17</v>
      </c>
      <c r="E461" s="43" t="s">
        <v>18</v>
      </c>
      <c r="F461" s="43" t="s">
        <v>42</v>
      </c>
      <c r="G461" s="48">
        <v>46195.683333333334</v>
      </c>
      <c r="H461" s="48">
        <v>46200.790277777778</v>
      </c>
      <c r="I461" s="43">
        <v>85</v>
      </c>
      <c r="J461" s="43" t="s">
        <v>1156</v>
      </c>
      <c r="K461" s="43" t="s">
        <v>1156</v>
      </c>
      <c r="L461" s="43" t="s">
        <v>25</v>
      </c>
      <c r="M461" s="43">
        <v>85</v>
      </c>
      <c r="N461" s="43">
        <v>17</v>
      </c>
      <c r="O461" s="43">
        <v>17</v>
      </c>
      <c r="P461" s="43" t="s">
        <v>9224</v>
      </c>
      <c r="Q461" s="43" t="s">
        <v>1517</v>
      </c>
      <c r="R461" s="43" t="s">
        <v>9282</v>
      </c>
      <c r="S461" s="52">
        <f t="shared" si="7"/>
        <v>5.1100000000000003</v>
      </c>
      <c r="T461" s="47"/>
      <c r="U461" s="47"/>
    </row>
    <row r="462" spans="1:21" ht="16.5" thickTop="1" thickBot="1" x14ac:dyDescent="0.3">
      <c r="A462" s="51" t="s">
        <v>9141</v>
      </c>
      <c r="B462" s="52" t="s">
        <v>9197</v>
      </c>
      <c r="C462" s="52" t="s">
        <v>38</v>
      </c>
      <c r="D462" s="52" t="s">
        <v>17</v>
      </c>
      <c r="E462" s="52" t="s">
        <v>18</v>
      </c>
      <c r="F462" s="52" t="s">
        <v>42</v>
      </c>
      <c r="G462" s="53">
        <v>46195.686805555553</v>
      </c>
      <c r="H462" s="53">
        <v>46199.615277777775</v>
      </c>
      <c r="I462" s="52">
        <v>230</v>
      </c>
      <c r="J462" s="52" t="s">
        <v>1156</v>
      </c>
      <c r="K462" s="52" t="s">
        <v>1156</v>
      </c>
      <c r="L462" s="52" t="s">
        <v>20</v>
      </c>
      <c r="M462" s="52">
        <v>215</v>
      </c>
      <c r="N462" s="52">
        <v>43</v>
      </c>
      <c r="O462" s="52">
        <v>49</v>
      </c>
      <c r="P462" s="52" t="s">
        <v>9223</v>
      </c>
      <c r="Q462" s="52" t="s">
        <v>1517</v>
      </c>
      <c r="R462" s="52" t="s">
        <v>9281</v>
      </c>
      <c r="S462" s="52">
        <f t="shared" si="7"/>
        <v>3.93</v>
      </c>
      <c r="T462" s="52"/>
      <c r="U462" s="52"/>
    </row>
    <row r="463" spans="1:21" s="46" customFormat="1" ht="16.5" thickTop="1" thickBot="1" x14ac:dyDescent="0.3">
      <c r="A463" s="50" t="s">
        <v>9140</v>
      </c>
      <c r="B463" s="43" t="s">
        <v>9196</v>
      </c>
      <c r="C463" s="43" t="s">
        <v>39</v>
      </c>
      <c r="D463" s="43" t="s">
        <v>17</v>
      </c>
      <c r="E463" s="43" t="s">
        <v>18</v>
      </c>
      <c r="F463" s="43" t="s">
        <v>28</v>
      </c>
      <c r="G463" s="48">
        <v>46195.71875</v>
      </c>
      <c r="H463" s="48">
        <v>46203.442361111112</v>
      </c>
      <c r="I463" s="43">
        <v>185</v>
      </c>
      <c r="J463" s="43" t="s">
        <v>1156</v>
      </c>
      <c r="K463" s="43" t="s">
        <v>8294</v>
      </c>
      <c r="L463" s="43" t="s">
        <v>20</v>
      </c>
      <c r="M463" s="43">
        <v>0</v>
      </c>
      <c r="N463" s="43">
        <v>0</v>
      </c>
      <c r="O463" s="43">
        <v>45</v>
      </c>
      <c r="P463" s="43" t="s">
        <v>1410</v>
      </c>
      <c r="Q463" s="43" t="s">
        <v>1514</v>
      </c>
      <c r="R463" s="43" t="s">
        <v>9280</v>
      </c>
      <c r="S463" s="52">
        <f t="shared" si="7"/>
        <v>7.72</v>
      </c>
      <c r="T463" s="47"/>
      <c r="U463" s="47"/>
    </row>
    <row r="464" spans="1:21" ht="16.5" thickTop="1" thickBot="1" x14ac:dyDescent="0.3">
      <c r="A464" s="51" t="s">
        <v>9139</v>
      </c>
      <c r="B464" s="52" t="s">
        <v>9195</v>
      </c>
      <c r="C464" s="52" t="s">
        <v>38</v>
      </c>
      <c r="D464" s="52" t="s">
        <v>17</v>
      </c>
      <c r="E464" s="52" t="s">
        <v>18</v>
      </c>
      <c r="F464" s="52" t="s">
        <v>42</v>
      </c>
      <c r="G464" s="53">
        <v>46195.78125</v>
      </c>
      <c r="H464" s="53">
        <v>46204.654861111114</v>
      </c>
      <c r="I464" s="52">
        <v>1607</v>
      </c>
      <c r="J464" s="52" t="s">
        <v>1156</v>
      </c>
      <c r="K464" s="52" t="s">
        <v>1156</v>
      </c>
      <c r="L464" s="52" t="s">
        <v>25</v>
      </c>
      <c r="M464" s="52">
        <v>88</v>
      </c>
      <c r="N464" s="52">
        <v>88</v>
      </c>
      <c r="O464" s="52">
        <v>417</v>
      </c>
      <c r="P464" s="52" t="s">
        <v>9222</v>
      </c>
      <c r="Q464" s="52" t="s">
        <v>1517</v>
      </c>
      <c r="R464" s="52" t="s">
        <v>9279</v>
      </c>
      <c r="S464" s="52">
        <f t="shared" si="7"/>
        <v>8.8699999999999992</v>
      </c>
      <c r="T464" s="52"/>
      <c r="U464" s="52"/>
    </row>
    <row r="465" spans="1:21" s="46" customFormat="1" ht="16.5" thickTop="1" thickBot="1" x14ac:dyDescent="0.3">
      <c r="A465" s="50" t="s">
        <v>9138</v>
      </c>
      <c r="B465" s="43" t="s">
        <v>9194</v>
      </c>
      <c r="C465" s="43" t="s">
        <v>38</v>
      </c>
      <c r="D465" s="43" t="s">
        <v>17</v>
      </c>
      <c r="E465" s="43" t="s">
        <v>18</v>
      </c>
      <c r="F465" s="43" t="s">
        <v>32</v>
      </c>
      <c r="G465" s="48">
        <v>46195.787499999999</v>
      </c>
      <c r="H465" s="48">
        <v>46197.548611111109</v>
      </c>
      <c r="I465" s="43">
        <v>1</v>
      </c>
      <c r="J465" s="43" t="s">
        <v>1156</v>
      </c>
      <c r="K465" s="43" t="s">
        <v>1156</v>
      </c>
      <c r="L465" s="43" t="s">
        <v>33</v>
      </c>
      <c r="M465" s="43">
        <v>1</v>
      </c>
      <c r="N465" s="43">
        <v>1</v>
      </c>
      <c r="O465" s="43">
        <v>1</v>
      </c>
      <c r="P465" s="43" t="s">
        <v>1461</v>
      </c>
      <c r="Q465" s="43" t="s">
        <v>1517</v>
      </c>
      <c r="R465" s="43" t="s">
        <v>9278</v>
      </c>
      <c r="S465" s="52">
        <f t="shared" si="7"/>
        <v>1.76</v>
      </c>
      <c r="T465" s="47"/>
      <c r="U465" s="47"/>
    </row>
    <row r="466" spans="1:21" ht="16.5" thickTop="1" thickBot="1" x14ac:dyDescent="0.3">
      <c r="A466" s="51" t="s">
        <v>9137</v>
      </c>
      <c r="B466" s="52" t="s">
        <v>9193</v>
      </c>
      <c r="C466" s="52" t="s">
        <v>38</v>
      </c>
      <c r="D466" s="52" t="s">
        <v>17</v>
      </c>
      <c r="E466" s="52" t="s">
        <v>18</v>
      </c>
      <c r="F466" s="52" t="s">
        <v>42</v>
      </c>
      <c r="G466" s="53">
        <v>46195.788888888892</v>
      </c>
      <c r="H466" s="53">
        <v>46199.655555555553</v>
      </c>
      <c r="I466" s="52">
        <v>1</v>
      </c>
      <c r="J466" s="52" t="s">
        <v>1156</v>
      </c>
      <c r="K466" s="52" t="s">
        <v>1156</v>
      </c>
      <c r="L466" s="52" t="s">
        <v>33</v>
      </c>
      <c r="M466" s="52">
        <v>1</v>
      </c>
      <c r="N466" s="52">
        <v>1</v>
      </c>
      <c r="O466" s="52">
        <v>1</v>
      </c>
      <c r="P466" s="52" t="s">
        <v>1470</v>
      </c>
      <c r="Q466" s="52" t="s">
        <v>1546</v>
      </c>
      <c r="R466" s="52" t="s">
        <v>9277</v>
      </c>
      <c r="S466" s="52">
        <f t="shared" si="7"/>
        <v>3.87</v>
      </c>
      <c r="T466" s="52"/>
      <c r="U466" s="52"/>
    </row>
    <row r="467" spans="1:21" s="46" customFormat="1" ht="16.5" thickTop="1" thickBot="1" x14ac:dyDescent="0.3">
      <c r="A467" s="50" t="s">
        <v>9136</v>
      </c>
      <c r="B467" s="43" t="s">
        <v>9192</v>
      </c>
      <c r="C467" s="43" t="s">
        <v>38</v>
      </c>
      <c r="D467" s="43" t="s">
        <v>17</v>
      </c>
      <c r="E467" s="43" t="s">
        <v>18</v>
      </c>
      <c r="F467" s="43" t="s">
        <v>32</v>
      </c>
      <c r="G467" s="48">
        <v>46195.794444444444</v>
      </c>
      <c r="H467" s="48">
        <v>46197.552777777775</v>
      </c>
      <c r="I467" s="43">
        <v>1</v>
      </c>
      <c r="J467" s="43" t="s">
        <v>1156</v>
      </c>
      <c r="K467" s="43" t="s">
        <v>1156</v>
      </c>
      <c r="L467" s="43" t="s">
        <v>33</v>
      </c>
      <c r="M467" s="43">
        <v>1</v>
      </c>
      <c r="N467" s="43">
        <v>1</v>
      </c>
      <c r="O467" s="43">
        <v>1</v>
      </c>
      <c r="P467" s="43" t="s">
        <v>8503</v>
      </c>
      <c r="Q467" s="43" t="s">
        <v>1517</v>
      </c>
      <c r="R467" s="43" t="s">
        <v>9276</v>
      </c>
      <c r="S467" s="52">
        <f t="shared" si="7"/>
        <v>1.76</v>
      </c>
      <c r="T467" s="47"/>
      <c r="U467" s="47"/>
    </row>
    <row r="468" spans="1:21" ht="16.5" thickTop="1" thickBot="1" x14ac:dyDescent="0.3">
      <c r="A468" s="51" t="s">
        <v>9135</v>
      </c>
      <c r="B468" s="52" t="s">
        <v>9191</v>
      </c>
      <c r="C468" s="52" t="s">
        <v>38</v>
      </c>
      <c r="D468" s="52" t="s">
        <v>17</v>
      </c>
      <c r="E468" s="52" t="s">
        <v>18</v>
      </c>
      <c r="F468" s="52" t="s">
        <v>42</v>
      </c>
      <c r="G468" s="53">
        <v>46195.796527777777</v>
      </c>
      <c r="H468" s="53">
        <v>46198.493055555555</v>
      </c>
      <c r="I468" s="52">
        <v>1497</v>
      </c>
      <c r="J468" s="52" t="s">
        <v>1156</v>
      </c>
      <c r="K468" s="52" t="s">
        <v>1156</v>
      </c>
      <c r="L468" s="52" t="s">
        <v>20</v>
      </c>
      <c r="M468" s="52">
        <v>1497</v>
      </c>
      <c r="N468" s="52">
        <v>218</v>
      </c>
      <c r="O468" s="52">
        <v>218</v>
      </c>
      <c r="P468" s="52" t="s">
        <v>1300</v>
      </c>
      <c r="Q468" s="52" t="s">
        <v>1517</v>
      </c>
      <c r="R468" s="52" t="s">
        <v>9275</v>
      </c>
      <c r="S468" s="52">
        <f t="shared" si="7"/>
        <v>2.7</v>
      </c>
      <c r="T468" s="52"/>
      <c r="U468" s="52"/>
    </row>
    <row r="469" spans="1:21" s="46" customFormat="1" ht="16.5" thickTop="1" thickBot="1" x14ac:dyDescent="0.3">
      <c r="A469" s="50" t="s">
        <v>9134</v>
      </c>
      <c r="B469" s="43" t="s">
        <v>9190</v>
      </c>
      <c r="C469" s="43" t="s">
        <v>38</v>
      </c>
      <c r="D469" s="43" t="s">
        <v>17</v>
      </c>
      <c r="E469" s="43" t="s">
        <v>18</v>
      </c>
      <c r="F469" s="43" t="s">
        <v>42</v>
      </c>
      <c r="G469" s="48">
        <v>46195.798611111109</v>
      </c>
      <c r="H469" s="48">
        <v>46197.72152777778</v>
      </c>
      <c r="I469" s="43">
        <v>1</v>
      </c>
      <c r="J469" s="43" t="s">
        <v>2373</v>
      </c>
      <c r="K469" s="43" t="s">
        <v>8317</v>
      </c>
      <c r="L469" s="43" t="s">
        <v>33</v>
      </c>
      <c r="M469" s="43">
        <v>1</v>
      </c>
      <c r="N469" s="43">
        <v>1</v>
      </c>
      <c r="O469" s="43">
        <v>1</v>
      </c>
      <c r="P469" s="43" t="s">
        <v>1424</v>
      </c>
      <c r="Q469" s="43" t="s">
        <v>1517</v>
      </c>
      <c r="R469" s="43" t="s">
        <v>9274</v>
      </c>
      <c r="S469" s="52">
        <f t="shared" si="7"/>
        <v>1.92</v>
      </c>
      <c r="T469" s="47"/>
      <c r="U469" s="47"/>
    </row>
    <row r="470" spans="1:21" ht="16.5" thickTop="1" thickBot="1" x14ac:dyDescent="0.3">
      <c r="A470" s="51" t="s">
        <v>9133</v>
      </c>
      <c r="B470" s="52" t="s">
        <v>9189</v>
      </c>
      <c r="C470" s="52" t="s">
        <v>38</v>
      </c>
      <c r="D470" s="52" t="s">
        <v>17</v>
      </c>
      <c r="E470" s="52" t="s">
        <v>18</v>
      </c>
      <c r="F470" s="52" t="s">
        <v>42</v>
      </c>
      <c r="G470" s="53">
        <v>46196.438194444447</v>
      </c>
      <c r="H470" s="53">
        <v>46200.719444444447</v>
      </c>
      <c r="I470" s="52">
        <v>75</v>
      </c>
      <c r="J470" s="52" t="s">
        <v>2373</v>
      </c>
      <c r="K470" s="52" t="s">
        <v>8315</v>
      </c>
      <c r="L470" s="52" t="s">
        <v>33</v>
      </c>
      <c r="M470" s="52">
        <v>53</v>
      </c>
      <c r="N470" s="52">
        <v>53</v>
      </c>
      <c r="O470" s="52">
        <v>75</v>
      </c>
      <c r="P470" s="52" t="s">
        <v>9221</v>
      </c>
      <c r="Q470" s="52" t="s">
        <v>1517</v>
      </c>
      <c r="R470" s="52" t="s">
        <v>9273</v>
      </c>
      <c r="S470" s="52">
        <f t="shared" si="7"/>
        <v>4.28</v>
      </c>
      <c r="T470" s="52"/>
      <c r="U470" s="52"/>
    </row>
    <row r="471" spans="1:21" s="46" customFormat="1" ht="16.5" thickTop="1" thickBot="1" x14ac:dyDescent="0.3">
      <c r="A471" s="50" t="s">
        <v>9132</v>
      </c>
      <c r="B471" s="43" t="s">
        <v>9188</v>
      </c>
      <c r="C471" s="43" t="s">
        <v>38</v>
      </c>
      <c r="D471" s="43" t="s">
        <v>17</v>
      </c>
      <c r="E471" s="43" t="s">
        <v>19</v>
      </c>
      <c r="F471" s="43" t="s">
        <v>19</v>
      </c>
      <c r="G471" s="48">
        <v>46196.557638888888</v>
      </c>
      <c r="H471" s="48">
        <v>46198.500694444447</v>
      </c>
      <c r="I471" s="43">
        <v>13</v>
      </c>
      <c r="J471" s="43" t="s">
        <v>1156</v>
      </c>
      <c r="K471" s="43" t="s">
        <v>1156</v>
      </c>
      <c r="L471" s="43" t="s">
        <v>33</v>
      </c>
      <c r="M471" s="43">
        <v>13</v>
      </c>
      <c r="N471" s="43">
        <v>13</v>
      </c>
      <c r="O471" s="43">
        <v>13</v>
      </c>
      <c r="P471" s="43" t="s">
        <v>9220</v>
      </c>
      <c r="Q471" s="43" t="s">
        <v>1517</v>
      </c>
      <c r="R471" s="43" t="s">
        <v>9272</v>
      </c>
      <c r="S471" s="52">
        <f t="shared" si="7"/>
        <v>1.94</v>
      </c>
      <c r="T471" s="47"/>
      <c r="U471" s="47"/>
    </row>
    <row r="472" spans="1:21" ht="16.5" thickTop="1" thickBot="1" x14ac:dyDescent="0.3">
      <c r="A472" s="51" t="s">
        <v>9131</v>
      </c>
      <c r="B472" s="52" t="s">
        <v>8502</v>
      </c>
      <c r="C472" s="52" t="s">
        <v>38</v>
      </c>
      <c r="D472" s="52" t="s">
        <v>17</v>
      </c>
      <c r="E472" s="52" t="s">
        <v>18</v>
      </c>
      <c r="F472" s="52" t="s">
        <v>42</v>
      </c>
      <c r="G472" s="53">
        <v>46196.62222222222</v>
      </c>
      <c r="H472" s="53">
        <v>46202.374305555553</v>
      </c>
      <c r="I472" s="52">
        <v>2</v>
      </c>
      <c r="J472" s="52" t="s">
        <v>1156</v>
      </c>
      <c r="K472" s="52" t="s">
        <v>1156</v>
      </c>
      <c r="L472" s="52" t="s">
        <v>33</v>
      </c>
      <c r="M472" s="52">
        <v>2</v>
      </c>
      <c r="N472" s="52">
        <v>2</v>
      </c>
      <c r="O472" s="52">
        <v>2</v>
      </c>
      <c r="P472" s="52" t="s">
        <v>8503</v>
      </c>
      <c r="Q472" s="52" t="s">
        <v>1517</v>
      </c>
      <c r="R472" s="52" t="s">
        <v>9271</v>
      </c>
      <c r="S472" s="52">
        <f t="shared" si="7"/>
        <v>5.75</v>
      </c>
      <c r="T472" s="52"/>
      <c r="U472" s="52"/>
    </row>
    <row r="473" spans="1:21" s="46" customFormat="1" ht="16.5" thickTop="1" thickBot="1" x14ac:dyDescent="0.3">
      <c r="A473" s="50" t="s">
        <v>9130</v>
      </c>
      <c r="B473" s="43" t="s">
        <v>9187</v>
      </c>
      <c r="C473" s="43" t="s">
        <v>38</v>
      </c>
      <c r="D473" s="43" t="s">
        <v>17</v>
      </c>
      <c r="E473" s="43" t="s">
        <v>18</v>
      </c>
      <c r="F473" s="43" t="s">
        <v>42</v>
      </c>
      <c r="G473" s="48">
        <v>46196.624305555553</v>
      </c>
      <c r="H473" s="48">
        <v>46202.373611111114</v>
      </c>
      <c r="I473" s="43">
        <v>8</v>
      </c>
      <c r="J473" s="43" t="s">
        <v>1156</v>
      </c>
      <c r="K473" s="43" t="s">
        <v>1156</v>
      </c>
      <c r="L473" s="43" t="s">
        <v>33</v>
      </c>
      <c r="M473" s="43">
        <v>8</v>
      </c>
      <c r="N473" s="43">
        <v>8</v>
      </c>
      <c r="O473" s="43">
        <v>8</v>
      </c>
      <c r="P473" s="43" t="s">
        <v>9219</v>
      </c>
      <c r="Q473" s="43" t="s">
        <v>1517</v>
      </c>
      <c r="R473" s="43" t="s">
        <v>9270</v>
      </c>
      <c r="S473" s="52">
        <f t="shared" si="7"/>
        <v>5.75</v>
      </c>
      <c r="T473" s="47"/>
      <c r="U473" s="47"/>
    </row>
    <row r="474" spans="1:21" ht="16.5" thickTop="1" thickBot="1" x14ac:dyDescent="0.3">
      <c r="A474" s="51" t="s">
        <v>9129</v>
      </c>
      <c r="B474" s="52" t="s">
        <v>9186</v>
      </c>
      <c r="C474" s="52" t="s">
        <v>38</v>
      </c>
      <c r="D474" s="52" t="s">
        <v>17</v>
      </c>
      <c r="E474" s="52" t="s">
        <v>18</v>
      </c>
      <c r="F474" s="52" t="s">
        <v>42</v>
      </c>
      <c r="G474" s="53">
        <v>46196.629166666666</v>
      </c>
      <c r="H474" s="53">
        <v>46198.465277777781</v>
      </c>
      <c r="I474" s="52">
        <v>36</v>
      </c>
      <c r="J474" s="52" t="s">
        <v>2373</v>
      </c>
      <c r="K474" s="52" t="s">
        <v>8317</v>
      </c>
      <c r="L474" s="52" t="s">
        <v>33</v>
      </c>
      <c r="M474" s="52">
        <v>36</v>
      </c>
      <c r="N474" s="52">
        <v>36</v>
      </c>
      <c r="O474" s="52">
        <v>36</v>
      </c>
      <c r="P474" s="52" t="s">
        <v>9218</v>
      </c>
      <c r="Q474" s="52" t="s">
        <v>1546</v>
      </c>
      <c r="R474" s="52" t="s">
        <v>9269</v>
      </c>
      <c r="S474" s="52">
        <f t="shared" si="7"/>
        <v>1.84</v>
      </c>
      <c r="T474" s="52"/>
      <c r="U474" s="52"/>
    </row>
    <row r="475" spans="1:21" s="46" customFormat="1" ht="16.5" thickTop="1" thickBot="1" x14ac:dyDescent="0.3">
      <c r="A475" s="50" t="s">
        <v>9128</v>
      </c>
      <c r="B475" s="43" t="s">
        <v>9185</v>
      </c>
      <c r="C475" s="43" t="s">
        <v>38</v>
      </c>
      <c r="D475" s="43" t="s">
        <v>17</v>
      </c>
      <c r="E475" s="43" t="s">
        <v>18</v>
      </c>
      <c r="F475" s="43" t="s">
        <v>42</v>
      </c>
      <c r="G475" s="48">
        <v>46196.65625</v>
      </c>
      <c r="H475" s="48">
        <v>46198.533333333333</v>
      </c>
      <c r="I475" s="43">
        <v>7</v>
      </c>
      <c r="J475" s="43" t="s">
        <v>1156</v>
      </c>
      <c r="K475" s="43" t="s">
        <v>1156</v>
      </c>
      <c r="L475" s="43" t="s">
        <v>33</v>
      </c>
      <c r="M475" s="43">
        <v>7</v>
      </c>
      <c r="N475" s="43">
        <v>7</v>
      </c>
      <c r="O475" s="43">
        <v>7</v>
      </c>
      <c r="P475" s="43" t="s">
        <v>9217</v>
      </c>
      <c r="Q475" s="43" t="s">
        <v>1546</v>
      </c>
      <c r="R475" s="43" t="s">
        <v>9268</v>
      </c>
      <c r="S475" s="52">
        <f t="shared" si="7"/>
        <v>1.88</v>
      </c>
      <c r="T475" s="47"/>
      <c r="U475" s="47"/>
    </row>
    <row r="476" spans="1:21" ht="16.5" thickTop="1" thickBot="1" x14ac:dyDescent="0.3">
      <c r="A476" s="51" t="s">
        <v>9127</v>
      </c>
      <c r="B476" s="52" t="s">
        <v>9184</v>
      </c>
      <c r="C476" s="52" t="s">
        <v>39</v>
      </c>
      <c r="D476" s="52" t="s">
        <v>17</v>
      </c>
      <c r="E476" s="52" t="s">
        <v>18</v>
      </c>
      <c r="F476" s="52" t="s">
        <v>42</v>
      </c>
      <c r="G476" s="53">
        <v>46196.657638888886</v>
      </c>
      <c r="H476" s="53">
        <v>46199.459027777775</v>
      </c>
      <c r="I476" s="52">
        <v>3</v>
      </c>
      <c r="J476" s="52" t="s">
        <v>1156</v>
      </c>
      <c r="K476" s="52" t="s">
        <v>1156</v>
      </c>
      <c r="L476" s="52" t="s">
        <v>33</v>
      </c>
      <c r="M476" s="52">
        <v>0</v>
      </c>
      <c r="N476" s="52">
        <v>0</v>
      </c>
      <c r="O476" s="52">
        <v>3</v>
      </c>
      <c r="P476" s="52" t="s">
        <v>9216</v>
      </c>
      <c r="Q476" s="52" t="s">
        <v>1517</v>
      </c>
      <c r="R476" s="52" t="s">
        <v>9267</v>
      </c>
      <c r="S476" s="52">
        <f t="shared" si="7"/>
        <v>2.8</v>
      </c>
      <c r="T476" s="52"/>
      <c r="U476" s="52"/>
    </row>
    <row r="477" spans="1:21" s="46" customFormat="1" ht="16.5" thickTop="1" thickBot="1" x14ac:dyDescent="0.3">
      <c r="A477" s="50" t="s">
        <v>9126</v>
      </c>
      <c r="B477" s="43" t="s">
        <v>9183</v>
      </c>
      <c r="C477" s="43" t="s">
        <v>38</v>
      </c>
      <c r="D477" s="43" t="s">
        <v>17</v>
      </c>
      <c r="E477" s="43" t="s">
        <v>18</v>
      </c>
      <c r="F477" s="43" t="s">
        <v>42</v>
      </c>
      <c r="G477" s="48">
        <v>46196.666666666664</v>
      </c>
      <c r="H477" s="48">
        <v>46199.600694444445</v>
      </c>
      <c r="I477" s="43">
        <v>13</v>
      </c>
      <c r="J477" s="43" t="s">
        <v>1156</v>
      </c>
      <c r="K477" s="43" t="s">
        <v>1156</v>
      </c>
      <c r="L477" s="43" t="s">
        <v>33</v>
      </c>
      <c r="M477" s="43">
        <v>13</v>
      </c>
      <c r="N477" s="43">
        <v>13</v>
      </c>
      <c r="O477" s="43">
        <v>13</v>
      </c>
      <c r="P477" s="43" t="s">
        <v>1417</v>
      </c>
      <c r="Q477" s="43" t="s">
        <v>1517</v>
      </c>
      <c r="R477" s="43" t="s">
        <v>9266</v>
      </c>
      <c r="S477" s="52">
        <f t="shared" si="7"/>
        <v>2.93</v>
      </c>
      <c r="T477" s="47"/>
      <c r="U477" s="47"/>
    </row>
    <row r="478" spans="1:21" ht="16.5" thickTop="1" thickBot="1" x14ac:dyDescent="0.3">
      <c r="A478" s="51" t="s">
        <v>9125</v>
      </c>
      <c r="B478" s="52" t="s">
        <v>9182</v>
      </c>
      <c r="C478" s="52" t="s">
        <v>38</v>
      </c>
      <c r="D478" s="52" t="s">
        <v>17</v>
      </c>
      <c r="E478" s="52" t="s">
        <v>18</v>
      </c>
      <c r="F478" s="52" t="s">
        <v>42</v>
      </c>
      <c r="G478" s="53">
        <v>46196.679166666669</v>
      </c>
      <c r="H478" s="53">
        <v>46198.500694444447</v>
      </c>
      <c r="I478" s="52">
        <v>2</v>
      </c>
      <c r="J478" s="52" t="s">
        <v>2373</v>
      </c>
      <c r="K478" s="52" t="s">
        <v>8317</v>
      </c>
      <c r="L478" s="52" t="s">
        <v>33</v>
      </c>
      <c r="M478" s="52">
        <v>2</v>
      </c>
      <c r="N478" s="52">
        <v>2</v>
      </c>
      <c r="O478" s="52">
        <v>2</v>
      </c>
      <c r="P478" s="52" t="s">
        <v>1424</v>
      </c>
      <c r="Q478" s="52" t="s">
        <v>1517</v>
      </c>
      <c r="R478" s="52" t="s">
        <v>9265</v>
      </c>
      <c r="S478" s="52">
        <f t="shared" si="7"/>
        <v>1.82</v>
      </c>
      <c r="T478" s="52"/>
      <c r="U478" s="52"/>
    </row>
    <row r="479" spans="1:21" s="46" customFormat="1" ht="16.5" thickTop="1" thickBot="1" x14ac:dyDescent="0.3">
      <c r="A479" s="50" t="s">
        <v>9124</v>
      </c>
      <c r="B479" s="43" t="s">
        <v>9181</v>
      </c>
      <c r="C479" s="43" t="s">
        <v>38</v>
      </c>
      <c r="D479" s="43" t="s">
        <v>17</v>
      </c>
      <c r="E479" s="43" t="s">
        <v>18</v>
      </c>
      <c r="F479" s="43" t="s">
        <v>42</v>
      </c>
      <c r="G479" s="48">
        <v>46196.683333333334</v>
      </c>
      <c r="H479" s="48">
        <v>46198.429861111108</v>
      </c>
      <c r="I479" s="43">
        <v>1</v>
      </c>
      <c r="J479" s="43" t="s">
        <v>2373</v>
      </c>
      <c r="K479" s="43" t="s">
        <v>8317</v>
      </c>
      <c r="L479" s="43" t="s">
        <v>33</v>
      </c>
      <c r="M479" s="43">
        <v>1</v>
      </c>
      <c r="N479" s="43">
        <v>1</v>
      </c>
      <c r="O479" s="43">
        <v>1</v>
      </c>
      <c r="P479" s="43" t="s">
        <v>9215</v>
      </c>
      <c r="Q479" s="43" t="s">
        <v>1546</v>
      </c>
      <c r="R479" s="43" t="s">
        <v>9264</v>
      </c>
      <c r="S479" s="52">
        <f t="shared" si="7"/>
        <v>1.75</v>
      </c>
      <c r="T479" s="47"/>
      <c r="U479" s="47"/>
    </row>
    <row r="480" spans="1:21" ht="16.5" thickTop="1" thickBot="1" x14ac:dyDescent="0.3">
      <c r="A480" s="51" t="s">
        <v>9123</v>
      </c>
      <c r="B480" s="52" t="s">
        <v>9180</v>
      </c>
      <c r="C480" s="52" t="s">
        <v>38</v>
      </c>
      <c r="D480" s="52" t="s">
        <v>17</v>
      </c>
      <c r="E480" s="52" t="s">
        <v>18</v>
      </c>
      <c r="F480" s="52" t="s">
        <v>24</v>
      </c>
      <c r="G480" s="53">
        <v>46196.749305555553</v>
      </c>
      <c r="H480" s="53">
        <v>46199.322916666664</v>
      </c>
      <c r="I480" s="52">
        <v>598</v>
      </c>
      <c r="J480" s="52" t="s">
        <v>1156</v>
      </c>
      <c r="K480" s="52" t="s">
        <v>1156</v>
      </c>
      <c r="L480" s="52" t="s">
        <v>25</v>
      </c>
      <c r="M480" s="52">
        <v>528</v>
      </c>
      <c r="N480" s="52">
        <v>305</v>
      </c>
      <c r="O480" s="52">
        <v>340</v>
      </c>
      <c r="P480" s="52" t="s">
        <v>1445</v>
      </c>
      <c r="Q480" s="52" t="s">
        <v>1517</v>
      </c>
      <c r="R480" s="52" t="s">
        <v>9263</v>
      </c>
      <c r="S480" s="52">
        <f t="shared" si="7"/>
        <v>2.57</v>
      </c>
      <c r="T480" s="52"/>
      <c r="U480" s="52"/>
    </row>
    <row r="481" spans="1:21" s="46" customFormat="1" ht="16.5" thickTop="1" thickBot="1" x14ac:dyDescent="0.3">
      <c r="A481" s="50" t="s">
        <v>9122</v>
      </c>
      <c r="B481" s="43" t="s">
        <v>9179</v>
      </c>
      <c r="C481" s="43" t="s">
        <v>38</v>
      </c>
      <c r="D481" s="43" t="s">
        <v>17</v>
      </c>
      <c r="E481" s="43" t="s">
        <v>18</v>
      </c>
      <c r="F481" s="43" t="s">
        <v>42</v>
      </c>
      <c r="G481" s="48">
        <v>46197.481944444444</v>
      </c>
      <c r="H481" s="48">
        <v>46210.678472222222</v>
      </c>
      <c r="I481" s="43">
        <v>78</v>
      </c>
      <c r="J481" s="43" t="s">
        <v>2373</v>
      </c>
      <c r="K481" s="43" t="s">
        <v>8317</v>
      </c>
      <c r="L481" s="43" t="s">
        <v>33</v>
      </c>
      <c r="M481" s="43">
        <v>78</v>
      </c>
      <c r="N481" s="43">
        <v>78</v>
      </c>
      <c r="O481" s="43">
        <v>78</v>
      </c>
      <c r="P481" s="43" t="s">
        <v>1355</v>
      </c>
      <c r="Q481" s="43" t="s">
        <v>1546</v>
      </c>
      <c r="R481" s="43" t="s">
        <v>9262</v>
      </c>
      <c r="S481" s="52">
        <f t="shared" si="7"/>
        <v>13.2</v>
      </c>
      <c r="T481" s="47"/>
      <c r="U481" s="47"/>
    </row>
    <row r="482" spans="1:21" ht="16.5" thickTop="1" thickBot="1" x14ac:dyDescent="0.3">
      <c r="A482" s="51" t="s">
        <v>9121</v>
      </c>
      <c r="B482" s="52" t="s">
        <v>9178</v>
      </c>
      <c r="C482" s="52" t="s">
        <v>38</v>
      </c>
      <c r="D482" s="52" t="s">
        <v>17</v>
      </c>
      <c r="E482" s="52" t="s">
        <v>18</v>
      </c>
      <c r="F482" s="52" t="s">
        <v>42</v>
      </c>
      <c r="G482" s="53">
        <v>46197.484027777777</v>
      </c>
      <c r="H482" s="53">
        <v>46202.451388888891</v>
      </c>
      <c r="I482" s="52">
        <v>3</v>
      </c>
      <c r="J482" s="52" t="s">
        <v>1156</v>
      </c>
      <c r="K482" s="52" t="s">
        <v>1156</v>
      </c>
      <c r="L482" s="52" t="s">
        <v>33</v>
      </c>
      <c r="M482" s="52">
        <v>3</v>
      </c>
      <c r="N482" s="52">
        <v>3</v>
      </c>
      <c r="O482" s="52">
        <v>3</v>
      </c>
      <c r="P482" s="52" t="s">
        <v>9214</v>
      </c>
      <c r="Q482" s="52" t="s">
        <v>1546</v>
      </c>
      <c r="R482" s="52" t="s">
        <v>9261</v>
      </c>
      <c r="S482" s="52">
        <f t="shared" si="7"/>
        <v>4.97</v>
      </c>
      <c r="T482" s="52"/>
      <c r="U482" s="52"/>
    </row>
    <row r="483" spans="1:21" s="46" customFormat="1" ht="16.5" thickTop="1" thickBot="1" x14ac:dyDescent="0.3">
      <c r="A483" s="50" t="s">
        <v>9120</v>
      </c>
      <c r="B483" s="43" t="s">
        <v>9177</v>
      </c>
      <c r="C483" s="43" t="s">
        <v>38</v>
      </c>
      <c r="D483" s="43" t="s">
        <v>17</v>
      </c>
      <c r="E483" s="43" t="s">
        <v>18</v>
      </c>
      <c r="F483" s="43" t="s">
        <v>28</v>
      </c>
      <c r="G483" s="48">
        <v>46197.511111111111</v>
      </c>
      <c r="H483" s="48">
        <v>46202.376388888886</v>
      </c>
      <c r="I483" s="43">
        <v>33</v>
      </c>
      <c r="J483" s="43" t="s">
        <v>1156</v>
      </c>
      <c r="K483" s="43" t="s">
        <v>8350</v>
      </c>
      <c r="L483" s="43" t="s">
        <v>20</v>
      </c>
      <c r="M483" s="43">
        <v>33</v>
      </c>
      <c r="N483" s="43">
        <v>13</v>
      </c>
      <c r="O483" s="43">
        <v>13</v>
      </c>
      <c r="P483" s="43" t="s">
        <v>1410</v>
      </c>
      <c r="Q483" s="43" t="s">
        <v>1546</v>
      </c>
      <c r="R483" s="43" t="s">
        <v>9260</v>
      </c>
      <c r="S483" s="52">
        <f t="shared" si="7"/>
        <v>4.87</v>
      </c>
      <c r="T483" s="47"/>
      <c r="U483" s="47"/>
    </row>
    <row r="484" spans="1:21" ht="16.5" thickTop="1" thickBot="1" x14ac:dyDescent="0.3">
      <c r="A484" s="51" t="s">
        <v>9119</v>
      </c>
      <c r="B484" s="52" t="s">
        <v>9176</v>
      </c>
      <c r="C484" s="52" t="s">
        <v>38</v>
      </c>
      <c r="D484" s="52" t="s">
        <v>17</v>
      </c>
      <c r="E484" s="52" t="s">
        <v>18</v>
      </c>
      <c r="F484" s="52" t="s">
        <v>42</v>
      </c>
      <c r="G484" s="53">
        <v>46197.643055555556</v>
      </c>
      <c r="H484" s="53">
        <v>46202.473611111112</v>
      </c>
      <c r="I484" s="52">
        <v>28</v>
      </c>
      <c r="J484" s="52" t="s">
        <v>1156</v>
      </c>
      <c r="K484" s="52" t="s">
        <v>1156</v>
      </c>
      <c r="L484" s="52" t="s">
        <v>25</v>
      </c>
      <c r="M484" s="52">
        <v>26</v>
      </c>
      <c r="N484" s="52">
        <v>26</v>
      </c>
      <c r="O484" s="52">
        <v>28</v>
      </c>
      <c r="P484" s="52" t="s">
        <v>9213</v>
      </c>
      <c r="Q484" s="52" t="s">
        <v>1517</v>
      </c>
      <c r="R484" s="52" t="s">
        <v>9259</v>
      </c>
      <c r="S484" s="52">
        <f t="shared" si="7"/>
        <v>4.83</v>
      </c>
      <c r="T484" s="52"/>
      <c r="U484" s="52"/>
    </row>
    <row r="485" spans="1:21" s="46" customFormat="1" ht="16.5" thickTop="1" thickBot="1" x14ac:dyDescent="0.3">
      <c r="A485" s="50" t="s">
        <v>9118</v>
      </c>
      <c r="B485" s="43" t="s">
        <v>9175</v>
      </c>
      <c r="C485" s="43" t="s">
        <v>38</v>
      </c>
      <c r="D485" s="43" t="s">
        <v>17</v>
      </c>
      <c r="E485" s="43" t="s">
        <v>18</v>
      </c>
      <c r="F485" s="43" t="s">
        <v>42</v>
      </c>
      <c r="G485" s="48">
        <v>46197.668055555558</v>
      </c>
      <c r="H485" s="48">
        <v>46203.460416666669</v>
      </c>
      <c r="I485" s="43">
        <v>56</v>
      </c>
      <c r="J485" s="43" t="s">
        <v>1156</v>
      </c>
      <c r="K485" s="43" t="s">
        <v>1156</v>
      </c>
      <c r="L485" s="43" t="s">
        <v>8486</v>
      </c>
      <c r="M485" s="43">
        <v>56</v>
      </c>
      <c r="N485" s="43">
        <v>56</v>
      </c>
      <c r="O485" s="43">
        <v>56</v>
      </c>
      <c r="P485" s="43" t="s">
        <v>8523</v>
      </c>
      <c r="Q485" s="43" t="s">
        <v>1517</v>
      </c>
      <c r="R485" s="43" t="s">
        <v>9258</v>
      </c>
      <c r="S485" s="52">
        <f t="shared" si="7"/>
        <v>5.79</v>
      </c>
      <c r="T485" s="47"/>
      <c r="U485" s="47"/>
    </row>
    <row r="486" spans="1:21" ht="16.5" thickTop="1" thickBot="1" x14ac:dyDescent="0.3">
      <c r="A486" s="51" t="s">
        <v>9117</v>
      </c>
      <c r="B486" s="52" t="s">
        <v>9174</v>
      </c>
      <c r="C486" s="52" t="s">
        <v>38</v>
      </c>
      <c r="D486" s="52" t="s">
        <v>17</v>
      </c>
      <c r="E486" s="52" t="s">
        <v>18</v>
      </c>
      <c r="F486" s="52" t="s">
        <v>42</v>
      </c>
      <c r="G486" s="53">
        <v>46197.679861111108</v>
      </c>
      <c r="H486" s="53">
        <v>46198.527083333334</v>
      </c>
      <c r="I486" s="52">
        <v>4</v>
      </c>
      <c r="J486" s="52" t="s">
        <v>1156</v>
      </c>
      <c r="K486" s="52" t="s">
        <v>1156</v>
      </c>
      <c r="L486" s="52" t="s">
        <v>8679</v>
      </c>
      <c r="M486" s="52">
        <v>3</v>
      </c>
      <c r="N486" s="52">
        <v>3</v>
      </c>
      <c r="O486" s="52">
        <v>4</v>
      </c>
      <c r="P486" s="52" t="s">
        <v>9212</v>
      </c>
      <c r="Q486" s="52" t="s">
        <v>1517</v>
      </c>
      <c r="R486" s="52" t="s">
        <v>9257</v>
      </c>
      <c r="S486" s="52">
        <f t="shared" si="7"/>
        <v>0.85</v>
      </c>
      <c r="T486" s="52"/>
      <c r="U486" s="52"/>
    </row>
    <row r="487" spans="1:21" s="46" customFormat="1" ht="16.5" thickTop="1" thickBot="1" x14ac:dyDescent="0.3">
      <c r="A487" s="50" t="s">
        <v>9116</v>
      </c>
      <c r="B487" s="43" t="s">
        <v>9173</v>
      </c>
      <c r="C487" s="43" t="s">
        <v>38</v>
      </c>
      <c r="D487" s="43" t="s">
        <v>17</v>
      </c>
      <c r="E487" s="43" t="s">
        <v>18</v>
      </c>
      <c r="F487" s="43" t="s">
        <v>42</v>
      </c>
      <c r="G487" s="48">
        <v>46197.717361111114</v>
      </c>
      <c r="H487" s="48">
        <v>46199.476388888892</v>
      </c>
      <c r="I487" s="43">
        <v>7</v>
      </c>
      <c r="J487" s="43" t="s">
        <v>2373</v>
      </c>
      <c r="K487" s="43" t="s">
        <v>8310</v>
      </c>
      <c r="L487" s="43" t="s">
        <v>33</v>
      </c>
      <c r="M487" s="43">
        <v>7</v>
      </c>
      <c r="N487" s="43">
        <v>7</v>
      </c>
      <c r="O487" s="43">
        <v>7</v>
      </c>
      <c r="P487" s="43" t="s">
        <v>9211</v>
      </c>
      <c r="Q487" s="43" t="s">
        <v>1517</v>
      </c>
      <c r="R487" s="43" t="s">
        <v>9256</v>
      </c>
      <c r="S487" s="52">
        <f t="shared" si="7"/>
        <v>1.76</v>
      </c>
      <c r="T487" s="47"/>
      <c r="U487" s="47"/>
    </row>
    <row r="488" spans="1:21" ht="16.5" thickTop="1" thickBot="1" x14ac:dyDescent="0.3">
      <c r="A488" s="51" t="s">
        <v>9115</v>
      </c>
      <c r="B488" s="52" t="s">
        <v>9172</v>
      </c>
      <c r="C488" s="52" t="s">
        <v>38</v>
      </c>
      <c r="D488" s="52" t="s">
        <v>17</v>
      </c>
      <c r="E488" s="52" t="s">
        <v>18</v>
      </c>
      <c r="F488" s="52" t="s">
        <v>42</v>
      </c>
      <c r="G488" s="53">
        <v>46197.765972222223</v>
      </c>
      <c r="H488" s="53">
        <v>46205.557638888888</v>
      </c>
      <c r="I488" s="52">
        <v>264</v>
      </c>
      <c r="J488" s="52" t="s">
        <v>1156</v>
      </c>
      <c r="K488" s="52" t="s">
        <v>1156</v>
      </c>
      <c r="L488" s="52" t="s">
        <v>25</v>
      </c>
      <c r="M488" s="52">
        <v>264</v>
      </c>
      <c r="N488" s="52">
        <v>62</v>
      </c>
      <c r="O488" s="52">
        <v>62</v>
      </c>
      <c r="P488" s="52" t="s">
        <v>9210</v>
      </c>
      <c r="Q488" s="52" t="s">
        <v>1546</v>
      </c>
      <c r="R488" s="52" t="s">
        <v>9255</v>
      </c>
      <c r="S488" s="52">
        <f t="shared" si="7"/>
        <v>7.79</v>
      </c>
      <c r="T488" s="52"/>
      <c r="U488" s="52"/>
    </row>
    <row r="489" spans="1:21" s="46" customFormat="1" ht="16.5" thickTop="1" thickBot="1" x14ac:dyDescent="0.3">
      <c r="A489" s="50" t="s">
        <v>9114</v>
      </c>
      <c r="B489" s="43" t="s">
        <v>9171</v>
      </c>
      <c r="C489" s="43" t="s">
        <v>38</v>
      </c>
      <c r="D489" s="43" t="s">
        <v>17</v>
      </c>
      <c r="E489" s="43" t="s">
        <v>18</v>
      </c>
      <c r="F489" s="43" t="s">
        <v>42</v>
      </c>
      <c r="G489" s="48">
        <v>46197.822916666664</v>
      </c>
      <c r="H489" s="48">
        <v>46205.448611111111</v>
      </c>
      <c r="I489" s="43">
        <v>90</v>
      </c>
      <c r="J489" s="43" t="s">
        <v>1156</v>
      </c>
      <c r="K489" s="43" t="s">
        <v>1156</v>
      </c>
      <c r="L489" s="43" t="s">
        <v>36</v>
      </c>
      <c r="M489" s="43">
        <v>61</v>
      </c>
      <c r="N489" s="43">
        <v>61</v>
      </c>
      <c r="O489" s="43">
        <v>90</v>
      </c>
      <c r="P489" s="43" t="s">
        <v>9034</v>
      </c>
      <c r="Q489" s="43" t="s">
        <v>1517</v>
      </c>
      <c r="R489" s="43" t="s">
        <v>9254</v>
      </c>
      <c r="S489" s="52">
        <f t="shared" si="7"/>
        <v>7.63</v>
      </c>
      <c r="T489" s="47"/>
      <c r="U489" s="47"/>
    </row>
    <row r="490" spans="1:21" ht="16.5" thickTop="1" thickBot="1" x14ac:dyDescent="0.3">
      <c r="A490" s="51" t="s">
        <v>9113</v>
      </c>
      <c r="B490" s="52" t="s">
        <v>9170</v>
      </c>
      <c r="C490" s="52" t="s">
        <v>38</v>
      </c>
      <c r="D490" s="52" t="s">
        <v>17</v>
      </c>
      <c r="E490" s="52" t="s">
        <v>18</v>
      </c>
      <c r="F490" s="52" t="s">
        <v>32</v>
      </c>
      <c r="G490" s="53">
        <v>46198.517361111109</v>
      </c>
      <c r="H490" s="53">
        <v>46203.540277777778</v>
      </c>
      <c r="I490" s="52">
        <v>503</v>
      </c>
      <c r="J490" s="52" t="s">
        <v>1156</v>
      </c>
      <c r="K490" s="52" t="s">
        <v>1156</v>
      </c>
      <c r="L490" s="52" t="s">
        <v>20</v>
      </c>
      <c r="M490" s="52">
        <v>497</v>
      </c>
      <c r="N490" s="52">
        <v>63</v>
      </c>
      <c r="O490" s="52">
        <v>63</v>
      </c>
      <c r="P490" s="52" t="s">
        <v>1411</v>
      </c>
      <c r="Q490" s="52" t="s">
        <v>1517</v>
      </c>
      <c r="R490" s="52" t="s">
        <v>9253</v>
      </c>
      <c r="S490" s="52">
        <f t="shared" si="7"/>
        <v>5.0199999999999996</v>
      </c>
      <c r="T490" s="52"/>
      <c r="U490" s="52"/>
    </row>
    <row r="491" spans="1:21" s="46" customFormat="1" ht="16.5" thickTop="1" thickBot="1" x14ac:dyDescent="0.3">
      <c r="A491" s="50" t="s">
        <v>9112</v>
      </c>
      <c r="B491" s="43" t="s">
        <v>9169</v>
      </c>
      <c r="C491" s="43" t="s">
        <v>38</v>
      </c>
      <c r="D491" s="43" t="s">
        <v>17</v>
      </c>
      <c r="E491" s="43" t="s">
        <v>18</v>
      </c>
      <c r="F491" s="43" t="s">
        <v>42</v>
      </c>
      <c r="G491" s="48">
        <v>46198.6</v>
      </c>
      <c r="H491" s="48">
        <v>46200.443749999999</v>
      </c>
      <c r="I491" s="43">
        <v>9</v>
      </c>
      <c r="J491" s="43" t="s">
        <v>2373</v>
      </c>
      <c r="K491" s="43" t="s">
        <v>8317</v>
      </c>
      <c r="L491" s="43" t="s">
        <v>36</v>
      </c>
      <c r="M491" s="43">
        <v>9</v>
      </c>
      <c r="N491" s="43">
        <v>9</v>
      </c>
      <c r="O491" s="43">
        <v>9</v>
      </c>
      <c r="P491" s="43" t="s">
        <v>9209</v>
      </c>
      <c r="Q491" s="43" t="s">
        <v>1517</v>
      </c>
      <c r="R491" s="43" t="s">
        <v>9252</v>
      </c>
      <c r="S491" s="52">
        <f t="shared" si="7"/>
        <v>1.84</v>
      </c>
      <c r="T491" s="47"/>
      <c r="U491" s="47"/>
    </row>
    <row r="492" spans="1:21" ht="16.5" thickTop="1" thickBot="1" x14ac:dyDescent="0.3">
      <c r="A492" s="51" t="s">
        <v>9111</v>
      </c>
      <c r="B492" s="52" t="s">
        <v>9168</v>
      </c>
      <c r="C492" s="52" t="s">
        <v>38</v>
      </c>
      <c r="D492" s="52" t="s">
        <v>17</v>
      </c>
      <c r="E492" s="52" t="s">
        <v>18</v>
      </c>
      <c r="F492" s="52" t="s">
        <v>28</v>
      </c>
      <c r="G492" s="53">
        <v>46198.613194444442</v>
      </c>
      <c r="H492" s="53">
        <v>46205.435416666667</v>
      </c>
      <c r="I492" s="52">
        <v>879</v>
      </c>
      <c r="J492" s="52" t="s">
        <v>1156</v>
      </c>
      <c r="K492" s="52" t="s">
        <v>8350</v>
      </c>
      <c r="L492" s="52" t="s">
        <v>20</v>
      </c>
      <c r="M492" s="52">
        <v>248</v>
      </c>
      <c r="N492" s="52">
        <v>39</v>
      </c>
      <c r="O492" s="52">
        <v>135</v>
      </c>
      <c r="P492" s="52" t="s">
        <v>1464</v>
      </c>
      <c r="Q492" s="52" t="s">
        <v>1546</v>
      </c>
      <c r="R492" s="52" t="s">
        <v>9251</v>
      </c>
      <c r="S492" s="52">
        <f t="shared" si="7"/>
        <v>6.82</v>
      </c>
      <c r="T492" s="52"/>
      <c r="U492" s="52"/>
    </row>
    <row r="493" spans="1:21" s="46" customFormat="1" ht="16.5" thickTop="1" thickBot="1" x14ac:dyDescent="0.3">
      <c r="A493" s="50" t="s">
        <v>9110</v>
      </c>
      <c r="B493" s="43" t="s">
        <v>9167</v>
      </c>
      <c r="C493" s="43" t="s">
        <v>39</v>
      </c>
      <c r="D493" s="43" t="s">
        <v>17</v>
      </c>
      <c r="E493" s="43" t="s">
        <v>18</v>
      </c>
      <c r="F493" s="43" t="s">
        <v>42</v>
      </c>
      <c r="G493" s="48">
        <v>46198.631249999999</v>
      </c>
      <c r="H493" s="48">
        <v>46203.595138888886</v>
      </c>
      <c r="I493" s="43">
        <v>20</v>
      </c>
      <c r="J493" s="43" t="s">
        <v>1156</v>
      </c>
      <c r="K493" s="43" t="s">
        <v>1156</v>
      </c>
      <c r="L493" s="43" t="s">
        <v>33</v>
      </c>
      <c r="M493" s="43">
        <v>0</v>
      </c>
      <c r="N493" s="43">
        <v>0</v>
      </c>
      <c r="O493" s="43">
        <v>3</v>
      </c>
      <c r="P493" s="43" t="s">
        <v>1485</v>
      </c>
      <c r="Q493" s="43" t="s">
        <v>1546</v>
      </c>
      <c r="R493" s="43" t="s">
        <v>9250</v>
      </c>
      <c r="S493" s="52">
        <f t="shared" si="7"/>
        <v>4.96</v>
      </c>
      <c r="T493" s="47"/>
      <c r="U493" s="47"/>
    </row>
    <row r="494" spans="1:21" ht="16.5" thickTop="1" thickBot="1" x14ac:dyDescent="0.3">
      <c r="A494" s="51" t="s">
        <v>9109</v>
      </c>
      <c r="B494" s="52" t="s">
        <v>9154</v>
      </c>
      <c r="C494" s="52" t="s">
        <v>39</v>
      </c>
      <c r="D494" s="52" t="s">
        <v>17</v>
      </c>
      <c r="E494" s="52" t="s">
        <v>18</v>
      </c>
      <c r="F494" s="52" t="s">
        <v>42</v>
      </c>
      <c r="G494" s="53">
        <v>46198.632638888892</v>
      </c>
      <c r="H494" s="53">
        <v>46204.364583333336</v>
      </c>
      <c r="I494" s="52">
        <v>17</v>
      </c>
      <c r="J494" s="52" t="s">
        <v>1156</v>
      </c>
      <c r="K494" s="52" t="s">
        <v>1156</v>
      </c>
      <c r="L494" s="52" t="s">
        <v>33</v>
      </c>
      <c r="M494" s="52">
        <v>0</v>
      </c>
      <c r="N494" s="52">
        <v>0</v>
      </c>
      <c r="O494" s="52">
        <v>1</v>
      </c>
      <c r="P494" s="52" t="s">
        <v>1485</v>
      </c>
      <c r="Q494" s="52" t="s">
        <v>1546</v>
      </c>
      <c r="R494" s="52" t="s">
        <v>9249</v>
      </c>
      <c r="S494" s="52">
        <f t="shared" si="7"/>
        <v>5.73</v>
      </c>
      <c r="T494" s="52"/>
      <c r="U494" s="52"/>
    </row>
    <row r="495" spans="1:21" s="46" customFormat="1" ht="16.5" thickTop="1" thickBot="1" x14ac:dyDescent="0.3">
      <c r="A495" s="50" t="s">
        <v>9108</v>
      </c>
      <c r="B495" s="43" t="s">
        <v>9166</v>
      </c>
      <c r="C495" s="43" t="s">
        <v>38</v>
      </c>
      <c r="D495" s="43" t="s">
        <v>17</v>
      </c>
      <c r="E495" s="43" t="s">
        <v>18</v>
      </c>
      <c r="F495" s="43" t="s">
        <v>42</v>
      </c>
      <c r="G495" s="48">
        <v>46198.633333333331</v>
      </c>
      <c r="H495" s="48">
        <v>46199.720138888886</v>
      </c>
      <c r="I495" s="43">
        <v>2</v>
      </c>
      <c r="J495" s="43" t="s">
        <v>2373</v>
      </c>
      <c r="K495" s="43" t="s">
        <v>8317</v>
      </c>
      <c r="L495" s="43" t="s">
        <v>33</v>
      </c>
      <c r="M495" s="43">
        <v>2</v>
      </c>
      <c r="N495" s="43">
        <v>2</v>
      </c>
      <c r="O495" s="43">
        <v>2</v>
      </c>
      <c r="P495" s="43" t="s">
        <v>8627</v>
      </c>
      <c r="Q495" s="43" t="s">
        <v>1517</v>
      </c>
      <c r="R495" s="43" t="s">
        <v>9248</v>
      </c>
      <c r="S495" s="52">
        <f t="shared" si="7"/>
        <v>1.0900000000000001</v>
      </c>
      <c r="T495" s="47"/>
      <c r="U495" s="47"/>
    </row>
    <row r="496" spans="1:21" ht="16.5" thickTop="1" thickBot="1" x14ac:dyDescent="0.3">
      <c r="A496" s="51" t="s">
        <v>9107</v>
      </c>
      <c r="B496" s="52" t="s">
        <v>9165</v>
      </c>
      <c r="C496" s="52" t="s">
        <v>38</v>
      </c>
      <c r="D496" s="52" t="s">
        <v>17</v>
      </c>
      <c r="E496" s="52" t="s">
        <v>18</v>
      </c>
      <c r="F496" s="52" t="s">
        <v>42</v>
      </c>
      <c r="G496" s="53">
        <v>46198.636805555558</v>
      </c>
      <c r="H496" s="53">
        <v>46203.472222222219</v>
      </c>
      <c r="I496" s="52">
        <v>1</v>
      </c>
      <c r="J496" s="52" t="s">
        <v>1156</v>
      </c>
      <c r="K496" s="52" t="s">
        <v>1156</v>
      </c>
      <c r="L496" s="52" t="s">
        <v>33</v>
      </c>
      <c r="M496" s="52">
        <v>1</v>
      </c>
      <c r="N496" s="52">
        <v>1</v>
      </c>
      <c r="O496" s="52">
        <v>1</v>
      </c>
      <c r="P496" s="52" t="s">
        <v>1308</v>
      </c>
      <c r="Q496" s="52" t="s">
        <v>1514</v>
      </c>
      <c r="R496" s="52" t="s">
        <v>9247</v>
      </c>
      <c r="S496" s="52">
        <f t="shared" si="7"/>
        <v>4.84</v>
      </c>
      <c r="T496" s="52"/>
      <c r="U496" s="52"/>
    </row>
    <row r="497" spans="1:21" s="46" customFormat="1" ht="16.5" thickTop="1" thickBot="1" x14ac:dyDescent="0.3">
      <c r="A497" s="50" t="s">
        <v>9106</v>
      </c>
      <c r="B497" s="43" t="s">
        <v>9164</v>
      </c>
      <c r="C497" s="43" t="s">
        <v>38</v>
      </c>
      <c r="D497" s="43" t="s">
        <v>17</v>
      </c>
      <c r="E497" s="43" t="s">
        <v>18</v>
      </c>
      <c r="F497" s="43" t="s">
        <v>42</v>
      </c>
      <c r="G497" s="48">
        <v>46198.640972222223</v>
      </c>
      <c r="H497" s="48">
        <v>46199.711111111108</v>
      </c>
      <c r="I497" s="43">
        <v>10</v>
      </c>
      <c r="J497" s="43" t="s">
        <v>2373</v>
      </c>
      <c r="K497" s="43" t="s">
        <v>8326</v>
      </c>
      <c r="L497" s="43" t="s">
        <v>33</v>
      </c>
      <c r="M497" s="43">
        <v>10</v>
      </c>
      <c r="N497" s="43">
        <v>10</v>
      </c>
      <c r="O497" s="43">
        <v>10</v>
      </c>
      <c r="P497" s="43" t="s">
        <v>1424</v>
      </c>
      <c r="Q497" s="43" t="s">
        <v>1517</v>
      </c>
      <c r="R497" s="43" t="s">
        <v>9246</v>
      </c>
      <c r="S497" s="52">
        <f t="shared" si="7"/>
        <v>1.07</v>
      </c>
      <c r="T497" s="47"/>
      <c r="U497" s="47"/>
    </row>
    <row r="498" spans="1:21" ht="16.5" thickTop="1" thickBot="1" x14ac:dyDescent="0.3">
      <c r="A498" s="51" t="s">
        <v>9105</v>
      </c>
      <c r="B498" s="52" t="s">
        <v>9163</v>
      </c>
      <c r="C498" s="52" t="s">
        <v>38</v>
      </c>
      <c r="D498" s="52" t="s">
        <v>17</v>
      </c>
      <c r="E498" s="52" t="s">
        <v>19</v>
      </c>
      <c r="F498" s="52" t="s">
        <v>42</v>
      </c>
      <c r="G498" s="53">
        <v>46198.642361111109</v>
      </c>
      <c r="H498" s="53">
        <v>46199.487500000003</v>
      </c>
      <c r="I498" s="52">
        <v>3</v>
      </c>
      <c r="J498" s="52" t="s">
        <v>2373</v>
      </c>
      <c r="K498" s="52" t="s">
        <v>8264</v>
      </c>
      <c r="L498" s="52" t="s">
        <v>33</v>
      </c>
      <c r="M498" s="52">
        <v>3</v>
      </c>
      <c r="N498" s="52">
        <v>3</v>
      </c>
      <c r="O498" s="52">
        <v>3</v>
      </c>
      <c r="P498" s="52" t="s">
        <v>9208</v>
      </c>
      <c r="Q498" s="52" t="s">
        <v>1514</v>
      </c>
      <c r="R498" s="52" t="s">
        <v>9245</v>
      </c>
      <c r="S498" s="52">
        <f t="shared" si="7"/>
        <v>0.85</v>
      </c>
      <c r="T498" s="52"/>
      <c r="U498" s="52"/>
    </row>
    <row r="499" spans="1:21" s="46" customFormat="1" ht="16.5" thickTop="1" thickBot="1" x14ac:dyDescent="0.3">
      <c r="A499" s="50" t="s">
        <v>9104</v>
      </c>
      <c r="B499" s="43" t="s">
        <v>9162</v>
      </c>
      <c r="C499" s="43" t="s">
        <v>38</v>
      </c>
      <c r="D499" s="43" t="s">
        <v>17</v>
      </c>
      <c r="E499" s="43" t="s">
        <v>18</v>
      </c>
      <c r="F499" s="43" t="s">
        <v>42</v>
      </c>
      <c r="G499" s="48">
        <v>46198.678472222222</v>
      </c>
      <c r="H499" s="48">
        <v>46203.459027777775</v>
      </c>
      <c r="I499" s="43">
        <v>42</v>
      </c>
      <c r="J499" s="43" t="s">
        <v>1156</v>
      </c>
      <c r="K499" s="43" t="s">
        <v>1156</v>
      </c>
      <c r="L499" s="43" t="s">
        <v>20</v>
      </c>
      <c r="M499" s="43">
        <v>42</v>
      </c>
      <c r="N499" s="43">
        <v>7</v>
      </c>
      <c r="O499" s="43">
        <v>7</v>
      </c>
      <c r="P499" s="43" t="s">
        <v>9207</v>
      </c>
      <c r="Q499" s="43" t="s">
        <v>1517</v>
      </c>
      <c r="R499" s="43" t="s">
        <v>9244</v>
      </c>
      <c r="S499" s="52">
        <f t="shared" si="7"/>
        <v>4.78</v>
      </c>
      <c r="T499" s="47"/>
      <c r="U499" s="47"/>
    </row>
    <row r="500" spans="1:21" ht="16.5" thickTop="1" thickBot="1" x14ac:dyDescent="0.3">
      <c r="A500" s="51" t="s">
        <v>9103</v>
      </c>
      <c r="B500" s="52" t="s">
        <v>9161</v>
      </c>
      <c r="C500" s="52" t="s">
        <v>38</v>
      </c>
      <c r="D500" s="52" t="s">
        <v>17</v>
      </c>
      <c r="E500" s="52" t="s">
        <v>18</v>
      </c>
      <c r="F500" s="52" t="s">
        <v>32</v>
      </c>
      <c r="G500" s="53">
        <v>46198.684027777781</v>
      </c>
      <c r="H500" s="53">
        <v>46202.48333333333</v>
      </c>
      <c r="I500" s="52">
        <v>5</v>
      </c>
      <c r="J500" s="52" t="s">
        <v>1156</v>
      </c>
      <c r="K500" s="52" t="s">
        <v>1156</v>
      </c>
      <c r="L500" s="52" t="s">
        <v>33</v>
      </c>
      <c r="M500" s="52">
        <v>2</v>
      </c>
      <c r="N500" s="52">
        <v>2</v>
      </c>
      <c r="O500" s="52">
        <v>5</v>
      </c>
      <c r="P500" s="52" t="s">
        <v>1435</v>
      </c>
      <c r="Q500" s="52" t="s">
        <v>1517</v>
      </c>
      <c r="R500" s="52" t="s">
        <v>9243</v>
      </c>
      <c r="S500" s="52">
        <f t="shared" si="7"/>
        <v>3.8</v>
      </c>
      <c r="T500" s="52"/>
      <c r="U500" s="52"/>
    </row>
    <row r="501" spans="1:21" s="46" customFormat="1" ht="16.5" thickTop="1" thickBot="1" x14ac:dyDescent="0.3">
      <c r="A501" s="50" t="s">
        <v>9102</v>
      </c>
      <c r="B501" s="43" t="s">
        <v>9160</v>
      </c>
      <c r="C501" s="43" t="s">
        <v>38</v>
      </c>
      <c r="D501" s="43" t="s">
        <v>17</v>
      </c>
      <c r="E501" s="43" t="s">
        <v>18</v>
      </c>
      <c r="F501" s="43" t="s">
        <v>42</v>
      </c>
      <c r="G501" s="48">
        <v>46198.722222222219</v>
      </c>
      <c r="H501" s="48">
        <v>46205.477083333331</v>
      </c>
      <c r="I501" s="43">
        <v>10</v>
      </c>
      <c r="J501" s="43" t="s">
        <v>1156</v>
      </c>
      <c r="K501" s="43" t="s">
        <v>1156</v>
      </c>
      <c r="L501" s="43" t="s">
        <v>33</v>
      </c>
      <c r="M501" s="43">
        <v>10</v>
      </c>
      <c r="N501" s="43">
        <v>10</v>
      </c>
      <c r="O501" s="43">
        <v>10</v>
      </c>
      <c r="P501" s="43" t="s">
        <v>8785</v>
      </c>
      <c r="Q501" s="43" t="s">
        <v>1514</v>
      </c>
      <c r="R501" s="43" t="s">
        <v>9242</v>
      </c>
      <c r="S501" s="52">
        <f t="shared" si="7"/>
        <v>6.75</v>
      </c>
      <c r="T501" s="47"/>
      <c r="U501" s="47"/>
    </row>
    <row r="502" spans="1:21" ht="16.5" thickTop="1" thickBot="1" x14ac:dyDescent="0.3">
      <c r="A502" s="51" t="s">
        <v>9101</v>
      </c>
      <c r="B502" s="52" t="s">
        <v>9159</v>
      </c>
      <c r="C502" s="52" t="s">
        <v>38</v>
      </c>
      <c r="D502" s="52" t="s">
        <v>17</v>
      </c>
      <c r="E502" s="52" t="s">
        <v>19</v>
      </c>
      <c r="F502" s="52" t="s">
        <v>9199</v>
      </c>
      <c r="G502" s="53">
        <v>46198.729166666664</v>
      </c>
      <c r="H502" s="53">
        <v>46211.636805555558</v>
      </c>
      <c r="I502" s="52">
        <v>4795</v>
      </c>
      <c r="J502" s="52" t="s">
        <v>1156</v>
      </c>
      <c r="K502" s="52" t="s">
        <v>1156</v>
      </c>
      <c r="L502" s="52" t="s">
        <v>20</v>
      </c>
      <c r="M502" s="52">
        <v>28</v>
      </c>
      <c r="N502" s="52">
        <v>28</v>
      </c>
      <c r="O502" s="52">
        <v>758</v>
      </c>
      <c r="P502" s="52" t="s">
        <v>9206</v>
      </c>
      <c r="Q502" s="52" t="s">
        <v>1517</v>
      </c>
      <c r="R502" s="52" t="s">
        <v>9241</v>
      </c>
      <c r="S502" s="52">
        <f t="shared" si="7"/>
        <v>12.91</v>
      </c>
      <c r="T502" s="52"/>
      <c r="U502" s="52"/>
    </row>
    <row r="503" spans="1:21" s="46" customFormat="1" ht="16.5" thickTop="1" thickBot="1" x14ac:dyDescent="0.3">
      <c r="A503" s="50" t="s">
        <v>9100</v>
      </c>
      <c r="B503" s="43" t="s">
        <v>9158</v>
      </c>
      <c r="C503" s="43" t="s">
        <v>38</v>
      </c>
      <c r="D503" s="43" t="s">
        <v>17</v>
      </c>
      <c r="E503" s="43" t="s">
        <v>18</v>
      </c>
      <c r="F503" s="43" t="s">
        <v>42</v>
      </c>
      <c r="G503" s="48">
        <v>46198.731944444444</v>
      </c>
      <c r="H503" s="48">
        <v>46205.587500000001</v>
      </c>
      <c r="I503" s="43">
        <v>111</v>
      </c>
      <c r="J503" s="43" t="s">
        <v>2373</v>
      </c>
      <c r="K503" s="43" t="s">
        <v>8317</v>
      </c>
      <c r="L503" s="43" t="s">
        <v>33</v>
      </c>
      <c r="M503" s="43">
        <v>105</v>
      </c>
      <c r="N503" s="43">
        <v>105</v>
      </c>
      <c r="O503" s="43">
        <v>111</v>
      </c>
      <c r="P503" s="43" t="s">
        <v>9205</v>
      </c>
      <c r="Q503" s="43" t="s">
        <v>1546</v>
      </c>
      <c r="R503" s="43" t="s">
        <v>9240</v>
      </c>
      <c r="S503" s="52">
        <f t="shared" si="7"/>
        <v>6.86</v>
      </c>
      <c r="T503" s="47"/>
      <c r="U503" s="47"/>
    </row>
    <row r="504" spans="1:21" ht="16.5" thickTop="1" thickBot="1" x14ac:dyDescent="0.3">
      <c r="A504" s="51" t="s">
        <v>9099</v>
      </c>
      <c r="B504" s="52" t="s">
        <v>9157</v>
      </c>
      <c r="C504" s="52" t="s">
        <v>38</v>
      </c>
      <c r="D504" s="52" t="s">
        <v>17</v>
      </c>
      <c r="E504" s="52" t="s">
        <v>19</v>
      </c>
      <c r="F504" s="52" t="s">
        <v>28</v>
      </c>
      <c r="G504" s="53">
        <v>46198.79791666667</v>
      </c>
      <c r="H504" s="53">
        <v>46202.406944444447</v>
      </c>
      <c r="I504" s="52">
        <v>378</v>
      </c>
      <c r="J504" s="52" t="s">
        <v>2373</v>
      </c>
      <c r="K504" s="52" t="s">
        <v>8264</v>
      </c>
      <c r="L504" s="52" t="s">
        <v>20</v>
      </c>
      <c r="M504" s="52">
        <v>343</v>
      </c>
      <c r="N504" s="52">
        <v>70</v>
      </c>
      <c r="O504" s="52">
        <v>78</v>
      </c>
      <c r="P504" s="52" t="s">
        <v>1412</v>
      </c>
      <c r="Q504" s="52" t="s">
        <v>1517</v>
      </c>
      <c r="R504" s="52" t="s">
        <v>9239</v>
      </c>
      <c r="S504" s="52">
        <f t="shared" si="7"/>
        <v>3.61</v>
      </c>
      <c r="T504" s="52"/>
      <c r="U504" s="52"/>
    </row>
    <row r="505" spans="1:21" s="46" customFormat="1" ht="16.5" thickTop="1" thickBot="1" x14ac:dyDescent="0.3">
      <c r="A505" s="50" t="s">
        <v>9098</v>
      </c>
      <c r="B505" s="43" t="s">
        <v>9156</v>
      </c>
      <c r="C505" s="43" t="s">
        <v>38</v>
      </c>
      <c r="D505" s="43" t="s">
        <v>17</v>
      </c>
      <c r="E505" s="43" t="s">
        <v>18</v>
      </c>
      <c r="F505" s="43" t="s">
        <v>42</v>
      </c>
      <c r="G505" s="48">
        <v>46198.92291666667</v>
      </c>
      <c r="H505" s="48">
        <v>46202.493055555555</v>
      </c>
      <c r="I505" s="43">
        <v>20</v>
      </c>
      <c r="J505" s="43" t="s">
        <v>1156</v>
      </c>
      <c r="K505" s="43" t="s">
        <v>1156</v>
      </c>
      <c r="L505" s="43" t="s">
        <v>33</v>
      </c>
      <c r="M505" s="43">
        <v>10</v>
      </c>
      <c r="N505" s="43">
        <v>10</v>
      </c>
      <c r="O505" s="43">
        <v>20</v>
      </c>
      <c r="P505" s="43" t="s">
        <v>1618</v>
      </c>
      <c r="Q505" s="43" t="s">
        <v>1517</v>
      </c>
      <c r="R505" s="43" t="s">
        <v>9238</v>
      </c>
      <c r="S505" s="52">
        <f t="shared" si="7"/>
        <v>3.57</v>
      </c>
      <c r="T505" s="47"/>
      <c r="U505" s="47"/>
    </row>
    <row r="506" spans="1:21" ht="16.5" thickTop="1" thickBot="1" x14ac:dyDescent="0.3">
      <c r="A506" s="51" t="s">
        <v>9097</v>
      </c>
      <c r="B506" s="52" t="s">
        <v>9155</v>
      </c>
      <c r="C506" s="52" t="s">
        <v>38</v>
      </c>
      <c r="D506" s="52" t="s">
        <v>17</v>
      </c>
      <c r="E506" s="52" t="s">
        <v>18</v>
      </c>
      <c r="F506" s="52" t="s">
        <v>32</v>
      </c>
      <c r="G506" s="53">
        <v>46199.456944444442</v>
      </c>
      <c r="H506" s="53">
        <v>46202.643055555556</v>
      </c>
      <c r="I506" s="52">
        <v>1080</v>
      </c>
      <c r="J506" s="52" t="s">
        <v>1156</v>
      </c>
      <c r="K506" s="52" t="s">
        <v>1156</v>
      </c>
      <c r="L506" s="52" t="s">
        <v>20</v>
      </c>
      <c r="M506" s="52">
        <v>1079</v>
      </c>
      <c r="N506" s="52">
        <v>134</v>
      </c>
      <c r="O506" s="52">
        <v>134</v>
      </c>
      <c r="P506" s="52" t="s">
        <v>9055</v>
      </c>
      <c r="Q506" s="52" t="s">
        <v>1514</v>
      </c>
      <c r="R506" s="52" t="s">
        <v>9237</v>
      </c>
      <c r="S506" s="52">
        <f t="shared" si="7"/>
        <v>3.19</v>
      </c>
      <c r="T506" s="52"/>
      <c r="U506" s="52"/>
    </row>
    <row r="507" spans="1:21" s="46" customFormat="1" ht="16.5" thickTop="1" thickBot="1" x14ac:dyDescent="0.3">
      <c r="A507" s="50" t="s">
        <v>9096</v>
      </c>
      <c r="B507" s="43" t="s">
        <v>9154</v>
      </c>
      <c r="C507" s="43" t="s">
        <v>39</v>
      </c>
      <c r="D507" s="43" t="s">
        <v>17</v>
      </c>
      <c r="E507" s="43" t="s">
        <v>18</v>
      </c>
      <c r="F507" s="43" t="s">
        <v>32</v>
      </c>
      <c r="G507" s="48">
        <v>46199.499305555553</v>
      </c>
      <c r="H507" s="48">
        <v>46202.570833333331</v>
      </c>
      <c r="I507" s="43">
        <v>9</v>
      </c>
      <c r="J507" s="43" t="s">
        <v>1156</v>
      </c>
      <c r="K507" s="43" t="s">
        <v>1156</v>
      </c>
      <c r="L507" s="43" t="s">
        <v>33</v>
      </c>
      <c r="M507" s="43">
        <v>0</v>
      </c>
      <c r="N507" s="43">
        <v>0</v>
      </c>
      <c r="O507" s="43">
        <v>9</v>
      </c>
      <c r="P507" s="43" t="s">
        <v>9204</v>
      </c>
      <c r="Q507" s="43" t="s">
        <v>1546</v>
      </c>
      <c r="R507" s="43" t="s">
        <v>9236</v>
      </c>
      <c r="S507" s="52">
        <f t="shared" si="7"/>
        <v>3.07</v>
      </c>
      <c r="T507" s="47"/>
      <c r="U507" s="47"/>
    </row>
    <row r="508" spans="1:21" ht="16.5" thickTop="1" thickBot="1" x14ac:dyDescent="0.3">
      <c r="A508" s="51" t="s">
        <v>9095</v>
      </c>
      <c r="B508" s="52" t="s">
        <v>9153</v>
      </c>
      <c r="C508" s="52" t="s">
        <v>38</v>
      </c>
      <c r="D508" s="52" t="s">
        <v>17</v>
      </c>
      <c r="E508" s="52" t="s">
        <v>18</v>
      </c>
      <c r="F508" s="52" t="s">
        <v>19</v>
      </c>
      <c r="G508" s="53">
        <v>46199.509722222225</v>
      </c>
      <c r="H508" s="53">
        <v>46203.547222222223</v>
      </c>
      <c r="I508" s="52">
        <v>64</v>
      </c>
      <c r="J508" s="52" t="s">
        <v>1156</v>
      </c>
      <c r="K508" s="52" t="s">
        <v>1156</v>
      </c>
      <c r="L508" s="52" t="s">
        <v>20</v>
      </c>
      <c r="M508" s="52">
        <v>62</v>
      </c>
      <c r="N508" s="52">
        <v>13</v>
      </c>
      <c r="O508" s="52">
        <v>13</v>
      </c>
      <c r="P508" s="52" t="s">
        <v>9082</v>
      </c>
      <c r="Q508" s="52" t="s">
        <v>1517</v>
      </c>
      <c r="R508" s="52" t="s">
        <v>9235</v>
      </c>
      <c r="S508" s="52">
        <f t="shared" si="7"/>
        <v>4.04</v>
      </c>
      <c r="T508" s="52"/>
      <c r="U508" s="52"/>
    </row>
    <row r="509" spans="1:21" s="46" customFormat="1" ht="16.5" thickTop="1" thickBot="1" x14ac:dyDescent="0.3">
      <c r="A509" s="50" t="s">
        <v>9094</v>
      </c>
      <c r="B509" s="43" t="s">
        <v>9152</v>
      </c>
      <c r="C509" s="43" t="s">
        <v>38</v>
      </c>
      <c r="D509" s="43" t="s">
        <v>17</v>
      </c>
      <c r="E509" s="43" t="s">
        <v>18</v>
      </c>
      <c r="F509" s="43" t="s">
        <v>42</v>
      </c>
      <c r="G509" s="48">
        <v>46199.55</v>
      </c>
      <c r="H509" s="48">
        <v>46203.55</v>
      </c>
      <c r="I509" s="43">
        <v>190</v>
      </c>
      <c r="J509" s="43" t="s">
        <v>1156</v>
      </c>
      <c r="K509" s="43" t="s">
        <v>1156</v>
      </c>
      <c r="L509" s="43" t="s">
        <v>20</v>
      </c>
      <c r="M509" s="43">
        <v>188</v>
      </c>
      <c r="N509" s="43">
        <v>38</v>
      </c>
      <c r="O509" s="43">
        <v>38</v>
      </c>
      <c r="P509" s="43" t="s">
        <v>8777</v>
      </c>
      <c r="Q509" s="43" t="s">
        <v>1517</v>
      </c>
      <c r="R509" s="43" t="s">
        <v>9234</v>
      </c>
      <c r="S509" s="52">
        <f t="shared" si="7"/>
        <v>4</v>
      </c>
      <c r="T509" s="47"/>
      <c r="U509" s="47"/>
    </row>
    <row r="510" spans="1:21" ht="16.5" thickTop="1" thickBot="1" x14ac:dyDescent="0.3">
      <c r="A510" s="51" t="s">
        <v>9093</v>
      </c>
      <c r="B510" s="52" t="s">
        <v>9151</v>
      </c>
      <c r="C510" s="52" t="s">
        <v>38</v>
      </c>
      <c r="D510" s="52" t="s">
        <v>17</v>
      </c>
      <c r="E510" s="52" t="s">
        <v>18</v>
      </c>
      <c r="F510" s="52" t="s">
        <v>28</v>
      </c>
      <c r="G510" s="53">
        <v>46199.557638888888</v>
      </c>
      <c r="H510" s="53">
        <v>46203.554166666669</v>
      </c>
      <c r="I510" s="52">
        <v>208</v>
      </c>
      <c r="J510" s="52" t="s">
        <v>1156</v>
      </c>
      <c r="K510" s="52" t="s">
        <v>1156</v>
      </c>
      <c r="L510" s="52" t="s">
        <v>20</v>
      </c>
      <c r="M510" s="52">
        <v>204</v>
      </c>
      <c r="N510" s="52">
        <v>30</v>
      </c>
      <c r="O510" s="52">
        <v>30</v>
      </c>
      <c r="P510" s="52" t="s">
        <v>8774</v>
      </c>
      <c r="Q510" s="52" t="s">
        <v>1514</v>
      </c>
      <c r="R510" s="52" t="s">
        <v>9233</v>
      </c>
      <c r="S510" s="52">
        <f t="shared" si="7"/>
        <v>4</v>
      </c>
      <c r="T510" s="52"/>
      <c r="U510" s="52"/>
    </row>
    <row r="511" spans="1:21" s="46" customFormat="1" ht="16.5" thickTop="1" thickBot="1" x14ac:dyDescent="0.3">
      <c r="A511" s="50" t="s">
        <v>9092</v>
      </c>
      <c r="B511" s="43" t="s">
        <v>9150</v>
      </c>
      <c r="C511" s="43" t="s">
        <v>38</v>
      </c>
      <c r="D511" s="43" t="s">
        <v>17</v>
      </c>
      <c r="E511" s="43" t="s">
        <v>18</v>
      </c>
      <c r="F511" s="43" t="s">
        <v>42</v>
      </c>
      <c r="G511" s="48">
        <v>46199.616666666669</v>
      </c>
      <c r="H511" s="48">
        <v>46204.703472222223</v>
      </c>
      <c r="I511" s="43">
        <v>130</v>
      </c>
      <c r="J511" s="43" t="s">
        <v>1156</v>
      </c>
      <c r="K511" s="43" t="s">
        <v>1156</v>
      </c>
      <c r="L511" s="43" t="s">
        <v>25</v>
      </c>
      <c r="M511" s="43">
        <v>130</v>
      </c>
      <c r="N511" s="43">
        <v>30</v>
      </c>
      <c r="O511" s="43">
        <v>30</v>
      </c>
      <c r="P511" s="43" t="s">
        <v>1333</v>
      </c>
      <c r="Q511" s="43" t="s">
        <v>1517</v>
      </c>
      <c r="R511" s="43" t="s">
        <v>9232</v>
      </c>
      <c r="S511" s="52">
        <f t="shared" si="7"/>
        <v>5.09</v>
      </c>
      <c r="T511" s="47"/>
      <c r="U511" s="47"/>
    </row>
    <row r="512" spans="1:21" ht="16.5" thickTop="1" thickBot="1" x14ac:dyDescent="0.3">
      <c r="A512" s="51" t="s">
        <v>9091</v>
      </c>
      <c r="B512" s="52" t="s">
        <v>9149</v>
      </c>
      <c r="C512" s="52" t="s">
        <v>39</v>
      </c>
      <c r="D512" s="52" t="s">
        <v>17</v>
      </c>
      <c r="E512" s="52" t="s">
        <v>21</v>
      </c>
      <c r="F512" s="52" t="s">
        <v>42</v>
      </c>
      <c r="G512" s="53">
        <v>46199.62222222222</v>
      </c>
      <c r="H512" s="53">
        <v>46207.637499999997</v>
      </c>
      <c r="I512" s="52">
        <v>2273</v>
      </c>
      <c r="J512" s="52" t="s">
        <v>1156</v>
      </c>
      <c r="K512" s="52" t="s">
        <v>1156</v>
      </c>
      <c r="L512" s="52" t="s">
        <v>20</v>
      </c>
      <c r="M512" s="52">
        <v>0</v>
      </c>
      <c r="N512" s="52">
        <v>0</v>
      </c>
      <c r="O512" s="52">
        <v>288</v>
      </c>
      <c r="P512" s="52" t="s">
        <v>9203</v>
      </c>
      <c r="Q512" s="52" t="s">
        <v>1517</v>
      </c>
      <c r="R512" s="52" t="s">
        <v>9231</v>
      </c>
      <c r="S512" s="52">
        <f t="shared" si="7"/>
        <v>8.02</v>
      </c>
      <c r="T512" s="52"/>
      <c r="U512" s="52"/>
    </row>
    <row r="513" spans="1:21" s="46" customFormat="1" ht="16.5" thickTop="1" thickBot="1" x14ac:dyDescent="0.3">
      <c r="A513" s="50" t="s">
        <v>9090</v>
      </c>
      <c r="B513" s="43" t="s">
        <v>9148</v>
      </c>
      <c r="C513" s="43" t="s">
        <v>38</v>
      </c>
      <c r="D513" s="43" t="s">
        <v>17</v>
      </c>
      <c r="E513" s="43" t="s">
        <v>18</v>
      </c>
      <c r="F513" s="43" t="s">
        <v>28</v>
      </c>
      <c r="G513" s="48">
        <v>46199.62777777778</v>
      </c>
      <c r="H513" s="48">
        <v>46204.49722222222</v>
      </c>
      <c r="I513" s="43">
        <v>64</v>
      </c>
      <c r="J513" s="43" t="s">
        <v>1156</v>
      </c>
      <c r="K513" s="43" t="s">
        <v>1156</v>
      </c>
      <c r="L513" s="43" t="s">
        <v>20</v>
      </c>
      <c r="M513" s="43">
        <v>64</v>
      </c>
      <c r="N513" s="43">
        <v>8</v>
      </c>
      <c r="O513" s="43">
        <v>8</v>
      </c>
      <c r="P513" s="43" t="s">
        <v>9202</v>
      </c>
      <c r="Q513" s="43" t="s">
        <v>1514</v>
      </c>
      <c r="R513" s="43" t="s">
        <v>9230</v>
      </c>
      <c r="S513" s="52">
        <f t="shared" si="7"/>
        <v>4.87</v>
      </c>
      <c r="T513" s="47"/>
      <c r="U513" s="47"/>
    </row>
    <row r="514" spans="1:21" ht="16.5" thickTop="1" thickBot="1" x14ac:dyDescent="0.3">
      <c r="A514" s="51" t="s">
        <v>9089</v>
      </c>
      <c r="B514" s="52" t="s">
        <v>9147</v>
      </c>
      <c r="C514" s="52" t="s">
        <v>38</v>
      </c>
      <c r="D514" s="52" t="s">
        <v>17</v>
      </c>
      <c r="E514" s="52" t="s">
        <v>18</v>
      </c>
      <c r="F514" s="52" t="s">
        <v>42</v>
      </c>
      <c r="G514" s="53">
        <v>46199.707638888889</v>
      </c>
      <c r="H514" s="53">
        <v>46202.539583333331</v>
      </c>
      <c r="I514" s="52">
        <v>271</v>
      </c>
      <c r="J514" s="52" t="s">
        <v>1156</v>
      </c>
      <c r="K514" s="52" t="s">
        <v>1156</v>
      </c>
      <c r="L514" s="52" t="s">
        <v>36</v>
      </c>
      <c r="M514" s="52">
        <v>271</v>
      </c>
      <c r="N514" s="52">
        <v>271</v>
      </c>
      <c r="O514" s="52">
        <v>271</v>
      </c>
      <c r="P514" s="52" t="s">
        <v>9201</v>
      </c>
      <c r="Q514" s="52" t="s">
        <v>1517</v>
      </c>
      <c r="R514" s="52" t="s">
        <v>9229</v>
      </c>
      <c r="S514" s="52">
        <f t="shared" ref="S514:S577" si="8">IF(OR(G514="",H514=""),"",ROUND(H514-G514,2))</f>
        <v>2.83</v>
      </c>
      <c r="T514" s="52"/>
      <c r="U514" s="52"/>
    </row>
    <row r="515" spans="1:21" s="46" customFormat="1" ht="16.5" thickTop="1" thickBot="1" x14ac:dyDescent="0.3">
      <c r="A515" s="50" t="s">
        <v>9088</v>
      </c>
      <c r="B515" s="43" t="s">
        <v>9146</v>
      </c>
      <c r="C515" s="43" t="s">
        <v>38</v>
      </c>
      <c r="D515" s="43" t="s">
        <v>17</v>
      </c>
      <c r="E515" s="43" t="s">
        <v>18</v>
      </c>
      <c r="F515" s="43" t="s">
        <v>42</v>
      </c>
      <c r="G515" s="48">
        <v>46199.712500000001</v>
      </c>
      <c r="H515" s="48">
        <v>46202.543749999997</v>
      </c>
      <c r="I515" s="43">
        <v>13</v>
      </c>
      <c r="J515" s="43" t="s">
        <v>1156</v>
      </c>
      <c r="K515" s="43" t="s">
        <v>1156</v>
      </c>
      <c r="L515" s="43" t="s">
        <v>36</v>
      </c>
      <c r="M515" s="43">
        <v>13</v>
      </c>
      <c r="N515" s="43">
        <v>13</v>
      </c>
      <c r="O515" s="43">
        <v>13</v>
      </c>
      <c r="P515" s="43" t="s">
        <v>1330</v>
      </c>
      <c r="Q515" s="43" t="s">
        <v>1517</v>
      </c>
      <c r="R515" s="43" t="s">
        <v>9228</v>
      </c>
      <c r="S515" s="52">
        <f t="shared" si="8"/>
        <v>2.83</v>
      </c>
      <c r="T515" s="47"/>
      <c r="U515" s="47"/>
    </row>
    <row r="516" spans="1:21" ht="16.5" thickTop="1" thickBot="1" x14ac:dyDescent="0.3">
      <c r="A516" s="51" t="s">
        <v>9087</v>
      </c>
      <c r="B516" s="52" t="s">
        <v>9145</v>
      </c>
      <c r="C516" s="52" t="s">
        <v>38</v>
      </c>
      <c r="D516" s="52" t="s">
        <v>17</v>
      </c>
      <c r="E516" s="52" t="s">
        <v>18</v>
      </c>
      <c r="F516" s="52" t="s">
        <v>42</v>
      </c>
      <c r="G516" s="53">
        <v>46199.715277777781</v>
      </c>
      <c r="H516" s="53">
        <v>46203.48333333333</v>
      </c>
      <c r="I516" s="52">
        <v>184</v>
      </c>
      <c r="J516" s="52" t="s">
        <v>1156</v>
      </c>
      <c r="K516" s="52" t="s">
        <v>1156</v>
      </c>
      <c r="L516" s="52" t="s">
        <v>36</v>
      </c>
      <c r="M516" s="52">
        <v>184</v>
      </c>
      <c r="N516" s="52">
        <v>34</v>
      </c>
      <c r="O516" s="52">
        <v>184</v>
      </c>
      <c r="P516" s="52" t="s">
        <v>8762</v>
      </c>
      <c r="Q516" s="52" t="s">
        <v>1517</v>
      </c>
      <c r="R516" s="52" t="s">
        <v>9227</v>
      </c>
      <c r="S516" s="52">
        <f t="shared" si="8"/>
        <v>3.77</v>
      </c>
      <c r="T516" s="52"/>
      <c r="U516" s="52"/>
    </row>
    <row r="517" spans="1:21" s="46" customFormat="1" ht="16.5" thickTop="1" thickBot="1" x14ac:dyDescent="0.3">
      <c r="A517" s="50" t="s">
        <v>9086</v>
      </c>
      <c r="B517" s="43" t="s">
        <v>9144</v>
      </c>
      <c r="C517" s="43" t="s">
        <v>38</v>
      </c>
      <c r="D517" s="43" t="s">
        <v>17</v>
      </c>
      <c r="E517" s="43" t="s">
        <v>18</v>
      </c>
      <c r="F517" s="43" t="s">
        <v>42</v>
      </c>
      <c r="G517" s="48">
        <v>46199.728472222225</v>
      </c>
      <c r="H517" s="48">
        <v>46202.547222222223</v>
      </c>
      <c r="I517" s="43">
        <v>1</v>
      </c>
      <c r="J517" s="43" t="s">
        <v>1156</v>
      </c>
      <c r="K517" s="43" t="s">
        <v>1156</v>
      </c>
      <c r="L517" s="43" t="s">
        <v>33</v>
      </c>
      <c r="M517" s="43">
        <v>1</v>
      </c>
      <c r="N517" s="43">
        <v>1</v>
      </c>
      <c r="O517" s="43">
        <v>1</v>
      </c>
      <c r="P517" s="43" t="s">
        <v>9061</v>
      </c>
      <c r="Q517" s="43" t="s">
        <v>1514</v>
      </c>
      <c r="R517" s="43" t="s">
        <v>9226</v>
      </c>
      <c r="S517" s="52">
        <f t="shared" si="8"/>
        <v>2.82</v>
      </c>
      <c r="T517" s="47"/>
      <c r="U517" s="47"/>
    </row>
    <row r="518" spans="1:21" ht="16.5" thickTop="1" thickBot="1" x14ac:dyDescent="0.3">
      <c r="A518" s="51" t="s">
        <v>9085</v>
      </c>
      <c r="B518" s="52" t="s">
        <v>9143</v>
      </c>
      <c r="C518" s="52" t="s">
        <v>38</v>
      </c>
      <c r="D518" s="52" t="s">
        <v>17</v>
      </c>
      <c r="E518" s="52" t="s">
        <v>18</v>
      </c>
      <c r="F518" s="52" t="s">
        <v>42</v>
      </c>
      <c r="G518" s="53">
        <v>46199.763194444444</v>
      </c>
      <c r="H518" s="53">
        <v>46202.438194444447</v>
      </c>
      <c r="I518" s="52">
        <v>1</v>
      </c>
      <c r="J518" s="52" t="s">
        <v>2373</v>
      </c>
      <c r="K518" s="52" t="s">
        <v>8315</v>
      </c>
      <c r="L518" s="52" t="s">
        <v>33</v>
      </c>
      <c r="M518" s="52">
        <v>1</v>
      </c>
      <c r="N518" s="52">
        <v>1</v>
      </c>
      <c r="O518" s="52">
        <v>1</v>
      </c>
      <c r="P518" s="52" t="s">
        <v>9200</v>
      </c>
      <c r="Q518" s="52" t="s">
        <v>1546</v>
      </c>
      <c r="R518" s="52" t="s">
        <v>9225</v>
      </c>
      <c r="S518" s="52">
        <f t="shared" si="8"/>
        <v>2.68</v>
      </c>
      <c r="T518" s="52"/>
      <c r="U518" s="52"/>
    </row>
    <row r="519" spans="1:21" s="46" customFormat="1" ht="16.5" thickTop="1" thickBot="1" x14ac:dyDescent="0.3">
      <c r="A519" s="50" t="s">
        <v>9311</v>
      </c>
      <c r="B519" s="43" t="s">
        <v>9341</v>
      </c>
      <c r="C519" s="43" t="s">
        <v>38</v>
      </c>
      <c r="D519" s="43" t="s">
        <v>17</v>
      </c>
      <c r="E519" s="43" t="s">
        <v>19</v>
      </c>
      <c r="F519" s="43" t="s">
        <v>24</v>
      </c>
      <c r="G519" s="48">
        <v>46202.442361111112</v>
      </c>
      <c r="H519" s="48">
        <v>46205.763194444444</v>
      </c>
      <c r="I519" s="43">
        <v>292</v>
      </c>
      <c r="J519" s="43" t="s">
        <v>2373</v>
      </c>
      <c r="K519" s="43" t="s">
        <v>8264</v>
      </c>
      <c r="L519" s="43" t="s">
        <v>20</v>
      </c>
      <c r="M519" s="43">
        <v>292</v>
      </c>
      <c r="N519" s="43">
        <v>25</v>
      </c>
      <c r="O519" s="43">
        <v>25</v>
      </c>
      <c r="P519" s="43" t="s">
        <v>8773</v>
      </c>
      <c r="Q519" s="43" t="s">
        <v>1514</v>
      </c>
      <c r="R519" s="43" t="s">
        <v>9380</v>
      </c>
      <c r="S519" s="52">
        <f t="shared" si="8"/>
        <v>3.32</v>
      </c>
      <c r="T519" s="47"/>
      <c r="U519" s="47"/>
    </row>
    <row r="520" spans="1:21" ht="16.5" thickTop="1" thickBot="1" x14ac:dyDescent="0.3">
      <c r="A520" s="51" t="s">
        <v>9310</v>
      </c>
      <c r="B520" s="52" t="s">
        <v>9340</v>
      </c>
      <c r="C520" s="52" t="s">
        <v>38</v>
      </c>
      <c r="D520" s="52" t="s">
        <v>17</v>
      </c>
      <c r="E520" s="52" t="s">
        <v>18</v>
      </c>
      <c r="F520" s="52" t="s">
        <v>32</v>
      </c>
      <c r="G520" s="53">
        <v>46202.497916666667</v>
      </c>
      <c r="H520" s="53">
        <v>46204.50277777778</v>
      </c>
      <c r="I520" s="52">
        <v>247</v>
      </c>
      <c r="J520" s="52" t="s">
        <v>1156</v>
      </c>
      <c r="K520" s="52" t="s">
        <v>1156</v>
      </c>
      <c r="L520" s="52" t="s">
        <v>20</v>
      </c>
      <c r="M520" s="52">
        <v>240</v>
      </c>
      <c r="N520" s="52">
        <v>34</v>
      </c>
      <c r="O520" s="52">
        <v>34</v>
      </c>
      <c r="P520" s="52" t="s">
        <v>1316</v>
      </c>
      <c r="Q520" s="52" t="s">
        <v>1517</v>
      </c>
      <c r="R520" s="52" t="s">
        <v>9379</v>
      </c>
      <c r="S520" s="52">
        <f t="shared" si="8"/>
        <v>2</v>
      </c>
      <c r="T520" s="52"/>
      <c r="U520" s="52"/>
    </row>
    <row r="521" spans="1:21" s="46" customFormat="1" ht="16.5" thickTop="1" thickBot="1" x14ac:dyDescent="0.3">
      <c r="A521" s="50" t="s">
        <v>9309</v>
      </c>
      <c r="B521" s="43" t="s">
        <v>9339</v>
      </c>
      <c r="C521" s="43" t="s">
        <v>38</v>
      </c>
      <c r="D521" s="43" t="s">
        <v>17</v>
      </c>
      <c r="E521" s="43" t="s">
        <v>18</v>
      </c>
      <c r="F521" s="43" t="s">
        <v>32</v>
      </c>
      <c r="G521" s="48">
        <v>46202.518750000003</v>
      </c>
      <c r="H521" s="48">
        <v>46203.477083333331</v>
      </c>
      <c r="I521" s="43">
        <v>56</v>
      </c>
      <c r="J521" s="43" t="s">
        <v>1156</v>
      </c>
      <c r="K521" s="43" t="s">
        <v>1156</v>
      </c>
      <c r="L521" s="43" t="s">
        <v>20</v>
      </c>
      <c r="M521" s="43">
        <v>56</v>
      </c>
      <c r="N521" s="43">
        <v>9</v>
      </c>
      <c r="O521" s="43">
        <v>9</v>
      </c>
      <c r="P521" s="43" t="s">
        <v>1414</v>
      </c>
      <c r="Q521" s="43" t="s">
        <v>1517</v>
      </c>
      <c r="R521" s="43" t="s">
        <v>9378</v>
      </c>
      <c r="S521" s="52">
        <f t="shared" si="8"/>
        <v>0.96</v>
      </c>
      <c r="T521" s="47"/>
      <c r="U521" s="47"/>
    </row>
    <row r="522" spans="1:21" ht="16.5" thickTop="1" thickBot="1" x14ac:dyDescent="0.3">
      <c r="A522" s="51" t="s">
        <v>9308</v>
      </c>
      <c r="B522" s="52" t="s">
        <v>9338</v>
      </c>
      <c r="C522" s="52" t="s">
        <v>38</v>
      </c>
      <c r="D522" s="52" t="s">
        <v>17</v>
      </c>
      <c r="E522" s="52" t="s">
        <v>18</v>
      </c>
      <c r="F522" s="52" t="s">
        <v>19</v>
      </c>
      <c r="G522" s="53">
        <v>46202.5625</v>
      </c>
      <c r="H522" s="53">
        <v>46203.493055555555</v>
      </c>
      <c r="I522" s="52">
        <v>16</v>
      </c>
      <c r="J522" s="52" t="s">
        <v>1156</v>
      </c>
      <c r="K522" s="52" t="s">
        <v>1156</v>
      </c>
      <c r="L522" s="52" t="s">
        <v>33</v>
      </c>
      <c r="M522" s="52">
        <v>16</v>
      </c>
      <c r="N522" s="52">
        <v>16</v>
      </c>
      <c r="O522" s="52">
        <v>16</v>
      </c>
      <c r="P522" s="52" t="s">
        <v>8551</v>
      </c>
      <c r="Q522" s="52" t="s">
        <v>1517</v>
      </c>
      <c r="R522" s="52" t="s">
        <v>9377</v>
      </c>
      <c r="S522" s="52">
        <f t="shared" si="8"/>
        <v>0.93</v>
      </c>
      <c r="T522" s="52"/>
      <c r="U522" s="52"/>
    </row>
    <row r="523" spans="1:21" s="46" customFormat="1" ht="16.5" thickTop="1" thickBot="1" x14ac:dyDescent="0.3">
      <c r="A523" s="50" t="s">
        <v>9307</v>
      </c>
      <c r="B523" s="43" t="s">
        <v>9337</v>
      </c>
      <c r="C523" s="43" t="s">
        <v>38</v>
      </c>
      <c r="D523" s="43" t="s">
        <v>17</v>
      </c>
      <c r="E523" s="43" t="s">
        <v>18</v>
      </c>
      <c r="F523" s="43" t="s">
        <v>42</v>
      </c>
      <c r="G523" s="48">
        <v>46202.631944444445</v>
      </c>
      <c r="H523" s="48">
        <v>46204.511111111111</v>
      </c>
      <c r="I523" s="43">
        <v>144</v>
      </c>
      <c r="J523" s="43" t="s">
        <v>1156</v>
      </c>
      <c r="K523" s="43" t="s">
        <v>1156</v>
      </c>
      <c r="L523" s="43" t="s">
        <v>20</v>
      </c>
      <c r="M523" s="43">
        <v>144</v>
      </c>
      <c r="N523" s="43">
        <v>24</v>
      </c>
      <c r="O523" s="43">
        <v>24</v>
      </c>
      <c r="P523" s="43" t="s">
        <v>9375</v>
      </c>
      <c r="Q523" s="43" t="s">
        <v>1517</v>
      </c>
      <c r="R523" s="43" t="s">
        <v>9376</v>
      </c>
      <c r="S523" s="52">
        <f t="shared" si="8"/>
        <v>1.88</v>
      </c>
      <c r="T523" s="47"/>
      <c r="U523" s="47"/>
    </row>
    <row r="524" spans="1:21" ht="16.5" thickTop="1" thickBot="1" x14ac:dyDescent="0.3">
      <c r="A524" s="51" t="s">
        <v>9306</v>
      </c>
      <c r="B524" s="52" t="s">
        <v>9336</v>
      </c>
      <c r="C524" s="52" t="s">
        <v>38</v>
      </c>
      <c r="D524" s="52" t="s">
        <v>17</v>
      </c>
      <c r="E524" s="52" t="s">
        <v>18</v>
      </c>
      <c r="F524" s="52" t="s">
        <v>42</v>
      </c>
      <c r="G524" s="53">
        <v>46202.65625</v>
      </c>
      <c r="H524" s="53">
        <v>46204.521527777775</v>
      </c>
      <c r="I524" s="52">
        <v>8</v>
      </c>
      <c r="J524" s="52" t="s">
        <v>1156</v>
      </c>
      <c r="K524" s="52" t="s">
        <v>1156</v>
      </c>
      <c r="L524" s="52" t="s">
        <v>33</v>
      </c>
      <c r="M524" s="52">
        <v>8</v>
      </c>
      <c r="N524" s="52">
        <v>8</v>
      </c>
      <c r="O524" s="52">
        <v>8</v>
      </c>
      <c r="P524" s="52" t="s">
        <v>9373</v>
      </c>
      <c r="Q524" s="52" t="s">
        <v>1546</v>
      </c>
      <c r="R524" s="52" t="s">
        <v>9374</v>
      </c>
      <c r="S524" s="52">
        <f t="shared" si="8"/>
        <v>1.87</v>
      </c>
      <c r="T524" s="52"/>
      <c r="U524" s="52"/>
    </row>
    <row r="525" spans="1:21" s="46" customFormat="1" ht="16.5" thickTop="1" thickBot="1" x14ac:dyDescent="0.3">
      <c r="A525" s="50" t="s">
        <v>9305</v>
      </c>
      <c r="B525" s="43" t="s">
        <v>9335</v>
      </c>
      <c r="C525" s="43" t="s">
        <v>38</v>
      </c>
      <c r="D525" s="43" t="s">
        <v>17</v>
      </c>
      <c r="E525" s="43" t="s">
        <v>18</v>
      </c>
      <c r="F525" s="43" t="s">
        <v>42</v>
      </c>
      <c r="G525" s="48">
        <v>46202.67083333333</v>
      </c>
      <c r="H525" s="48">
        <v>46205.628472222219</v>
      </c>
      <c r="I525" s="43">
        <v>511</v>
      </c>
      <c r="J525" s="43" t="s">
        <v>1156</v>
      </c>
      <c r="K525" s="43" t="s">
        <v>1156</v>
      </c>
      <c r="L525" s="43" t="s">
        <v>25</v>
      </c>
      <c r="M525" s="43">
        <v>511</v>
      </c>
      <c r="N525" s="43">
        <v>130</v>
      </c>
      <c r="O525" s="43">
        <v>130</v>
      </c>
      <c r="P525" s="43" t="s">
        <v>1333</v>
      </c>
      <c r="Q525" s="43" t="s">
        <v>1517</v>
      </c>
      <c r="R525" s="43" t="s">
        <v>9372</v>
      </c>
      <c r="S525" s="52">
        <f t="shared" si="8"/>
        <v>2.96</v>
      </c>
      <c r="T525" s="47"/>
      <c r="U525" s="47"/>
    </row>
    <row r="526" spans="1:21" ht="16.5" thickTop="1" thickBot="1" x14ac:dyDescent="0.3">
      <c r="A526" s="51" t="s">
        <v>9304</v>
      </c>
      <c r="B526" s="52" t="s">
        <v>9334</v>
      </c>
      <c r="C526" s="52" t="s">
        <v>38</v>
      </c>
      <c r="D526" s="52" t="s">
        <v>17</v>
      </c>
      <c r="E526" s="52" t="s">
        <v>18</v>
      </c>
      <c r="F526" s="52" t="s">
        <v>42</v>
      </c>
      <c r="G526" s="53">
        <v>46202.676388888889</v>
      </c>
      <c r="H526" s="53">
        <v>46204.529861111114</v>
      </c>
      <c r="I526" s="52">
        <v>14</v>
      </c>
      <c r="J526" s="52" t="s">
        <v>1156</v>
      </c>
      <c r="K526" s="52" t="s">
        <v>1156</v>
      </c>
      <c r="L526" s="52" t="s">
        <v>33</v>
      </c>
      <c r="M526" s="52">
        <v>14</v>
      </c>
      <c r="N526" s="52">
        <v>14</v>
      </c>
      <c r="O526" s="52">
        <v>14</v>
      </c>
      <c r="P526" s="52" t="s">
        <v>9370</v>
      </c>
      <c r="Q526" s="52" t="s">
        <v>1514</v>
      </c>
      <c r="R526" s="52" t="s">
        <v>9371</v>
      </c>
      <c r="S526" s="52">
        <f t="shared" si="8"/>
        <v>1.85</v>
      </c>
      <c r="T526" s="52"/>
      <c r="U526" s="52"/>
    </row>
    <row r="527" spans="1:21" s="46" customFormat="1" ht="16.5" thickTop="1" thickBot="1" x14ac:dyDescent="0.3">
      <c r="A527" s="50" t="s">
        <v>9303</v>
      </c>
      <c r="B527" s="43" t="s">
        <v>9333</v>
      </c>
      <c r="C527" s="43" t="s">
        <v>39</v>
      </c>
      <c r="D527" s="43" t="s">
        <v>17</v>
      </c>
      <c r="E527" s="43" t="s">
        <v>18</v>
      </c>
      <c r="F527" s="43" t="s">
        <v>42</v>
      </c>
      <c r="G527" s="48">
        <v>46202.678472222222</v>
      </c>
      <c r="H527" s="48">
        <v>46204.570138888892</v>
      </c>
      <c r="I527" s="43">
        <v>25</v>
      </c>
      <c r="J527" s="43" t="s">
        <v>1156</v>
      </c>
      <c r="K527" s="43" t="s">
        <v>1156</v>
      </c>
      <c r="L527" s="43" t="s">
        <v>33</v>
      </c>
      <c r="M527" s="43">
        <v>0</v>
      </c>
      <c r="N527" s="43">
        <v>0</v>
      </c>
      <c r="O527" s="43">
        <v>25</v>
      </c>
      <c r="P527" s="43" t="s">
        <v>9368</v>
      </c>
      <c r="Q527" s="43" t="s">
        <v>1517</v>
      </c>
      <c r="R527" s="43" t="s">
        <v>9369</v>
      </c>
      <c r="S527" s="52">
        <f t="shared" si="8"/>
        <v>1.89</v>
      </c>
      <c r="T527" s="47"/>
      <c r="U527" s="47"/>
    </row>
    <row r="528" spans="1:21" ht="16.5" thickTop="1" thickBot="1" x14ac:dyDescent="0.3">
      <c r="A528" s="51" t="s">
        <v>9302</v>
      </c>
      <c r="B528" s="52" t="s">
        <v>9332</v>
      </c>
      <c r="C528" s="52" t="s">
        <v>39</v>
      </c>
      <c r="D528" s="52" t="s">
        <v>17</v>
      </c>
      <c r="E528" s="52" t="s">
        <v>18</v>
      </c>
      <c r="F528" s="52" t="s">
        <v>42</v>
      </c>
      <c r="G528" s="53">
        <v>46202.692361111112</v>
      </c>
      <c r="H528" s="53">
        <v>46206.424305555556</v>
      </c>
      <c r="I528" s="52">
        <v>1</v>
      </c>
      <c r="J528" s="52" t="s">
        <v>1156</v>
      </c>
      <c r="K528" s="52" t="s">
        <v>1156</v>
      </c>
      <c r="L528" s="52" t="s">
        <v>33</v>
      </c>
      <c r="M528" s="52">
        <v>0</v>
      </c>
      <c r="N528" s="52">
        <v>0</v>
      </c>
      <c r="O528" s="52">
        <v>1</v>
      </c>
      <c r="P528" s="52" t="s">
        <v>9366</v>
      </c>
      <c r="Q528" s="52" t="s">
        <v>1546</v>
      </c>
      <c r="R528" s="52" t="s">
        <v>9367</v>
      </c>
      <c r="S528" s="52">
        <f t="shared" si="8"/>
        <v>3.73</v>
      </c>
      <c r="T528" s="52"/>
      <c r="U528" s="52"/>
    </row>
    <row r="529" spans="1:21" s="46" customFormat="1" ht="16.5" thickTop="1" thickBot="1" x14ac:dyDescent="0.3">
      <c r="A529" s="50" t="s">
        <v>9301</v>
      </c>
      <c r="B529" s="43" t="s">
        <v>9331</v>
      </c>
      <c r="C529" s="43" t="s">
        <v>38</v>
      </c>
      <c r="D529" s="43" t="s">
        <v>17</v>
      </c>
      <c r="E529" s="43" t="s">
        <v>18</v>
      </c>
      <c r="F529" s="43" t="s">
        <v>42</v>
      </c>
      <c r="G529" s="48">
        <v>46202.694444444445</v>
      </c>
      <c r="H529" s="48">
        <v>46204.53402777778</v>
      </c>
      <c r="I529" s="43">
        <v>2</v>
      </c>
      <c r="J529" s="43" t="s">
        <v>1156</v>
      </c>
      <c r="K529" s="43" t="s">
        <v>1156</v>
      </c>
      <c r="L529" s="43" t="s">
        <v>33</v>
      </c>
      <c r="M529" s="43">
        <v>2</v>
      </c>
      <c r="N529" s="43">
        <v>2</v>
      </c>
      <c r="O529" s="43">
        <v>2</v>
      </c>
      <c r="P529" s="43" t="s">
        <v>9364</v>
      </c>
      <c r="Q529" s="43" t="s">
        <v>1514</v>
      </c>
      <c r="R529" s="43" t="s">
        <v>9365</v>
      </c>
      <c r="S529" s="52">
        <f t="shared" si="8"/>
        <v>1.84</v>
      </c>
      <c r="T529" s="47"/>
      <c r="U529" s="47"/>
    </row>
    <row r="530" spans="1:21" ht="16.5" thickTop="1" thickBot="1" x14ac:dyDescent="0.3">
      <c r="A530" s="51" t="s">
        <v>9300</v>
      </c>
      <c r="B530" s="52" t="s">
        <v>9330</v>
      </c>
      <c r="C530" s="52" t="s">
        <v>38</v>
      </c>
      <c r="D530" s="52" t="s">
        <v>17</v>
      </c>
      <c r="E530" s="52" t="s">
        <v>18</v>
      </c>
      <c r="F530" s="52" t="s">
        <v>28</v>
      </c>
      <c r="G530" s="53">
        <v>46202.709722222222</v>
      </c>
      <c r="H530" s="53">
        <v>46210.481944444444</v>
      </c>
      <c r="I530" s="52">
        <v>154</v>
      </c>
      <c r="J530" s="52" t="s">
        <v>1156</v>
      </c>
      <c r="K530" s="52" t="s">
        <v>8350</v>
      </c>
      <c r="L530" s="52" t="s">
        <v>20</v>
      </c>
      <c r="M530" s="52">
        <v>152</v>
      </c>
      <c r="N530" s="52">
        <v>22</v>
      </c>
      <c r="O530" s="52">
        <v>22</v>
      </c>
      <c r="P530" s="52" t="s">
        <v>9362</v>
      </c>
      <c r="Q530" s="52" t="s">
        <v>1546</v>
      </c>
      <c r="R530" s="52" t="s">
        <v>9363</v>
      </c>
      <c r="S530" s="52">
        <f t="shared" si="8"/>
        <v>7.77</v>
      </c>
      <c r="T530" s="52"/>
      <c r="U530" s="52"/>
    </row>
    <row r="531" spans="1:21" s="46" customFormat="1" ht="16.5" thickTop="1" thickBot="1" x14ac:dyDescent="0.3">
      <c r="A531" s="50" t="s">
        <v>9299</v>
      </c>
      <c r="B531" s="43" t="s">
        <v>9329</v>
      </c>
      <c r="C531" s="43" t="s">
        <v>38</v>
      </c>
      <c r="D531" s="43" t="s">
        <v>17</v>
      </c>
      <c r="E531" s="43" t="s">
        <v>18</v>
      </c>
      <c r="F531" s="43" t="s">
        <v>42</v>
      </c>
      <c r="G531" s="48">
        <v>46202.743750000001</v>
      </c>
      <c r="H531" s="48">
        <v>46204.54583333333</v>
      </c>
      <c r="I531" s="43">
        <v>9</v>
      </c>
      <c r="J531" s="43" t="s">
        <v>1156</v>
      </c>
      <c r="K531" s="43" t="s">
        <v>1156</v>
      </c>
      <c r="L531" s="43" t="s">
        <v>33</v>
      </c>
      <c r="M531" s="43">
        <v>9</v>
      </c>
      <c r="N531" s="43">
        <v>9</v>
      </c>
      <c r="O531" s="43">
        <v>9</v>
      </c>
      <c r="P531" s="43" t="s">
        <v>9219</v>
      </c>
      <c r="Q531" s="43" t="s">
        <v>1517</v>
      </c>
      <c r="R531" s="43" t="s">
        <v>9361</v>
      </c>
      <c r="S531" s="52">
        <f t="shared" si="8"/>
        <v>1.8</v>
      </c>
      <c r="T531" s="47"/>
      <c r="U531" s="47"/>
    </row>
    <row r="532" spans="1:21" ht="16.5" thickTop="1" thickBot="1" x14ac:dyDescent="0.3">
      <c r="A532" s="51" t="s">
        <v>9298</v>
      </c>
      <c r="B532" s="52" t="s">
        <v>9328</v>
      </c>
      <c r="C532" s="52" t="s">
        <v>38</v>
      </c>
      <c r="D532" s="52" t="s">
        <v>17</v>
      </c>
      <c r="E532" s="52" t="s">
        <v>18</v>
      </c>
      <c r="F532" s="52" t="s">
        <v>42</v>
      </c>
      <c r="G532" s="53">
        <v>46202.745833333334</v>
      </c>
      <c r="H532" s="53">
        <v>46204.553472222222</v>
      </c>
      <c r="I532" s="52">
        <v>13</v>
      </c>
      <c r="J532" s="52" t="s">
        <v>1156</v>
      </c>
      <c r="K532" s="52" t="s">
        <v>1156</v>
      </c>
      <c r="L532" s="52" t="s">
        <v>36</v>
      </c>
      <c r="M532" s="52">
        <v>13</v>
      </c>
      <c r="N532" s="52">
        <v>13</v>
      </c>
      <c r="O532" s="52">
        <v>13</v>
      </c>
      <c r="P532" s="52" t="s">
        <v>9034</v>
      </c>
      <c r="Q532" s="52" t="s">
        <v>1517</v>
      </c>
      <c r="R532" s="52" t="s">
        <v>9360</v>
      </c>
      <c r="S532" s="52">
        <f t="shared" si="8"/>
        <v>1.81</v>
      </c>
      <c r="T532" s="52"/>
      <c r="U532" s="52"/>
    </row>
    <row r="533" spans="1:21" s="46" customFormat="1" ht="16.5" thickTop="1" thickBot="1" x14ac:dyDescent="0.3">
      <c r="A533" s="50" t="s">
        <v>9297</v>
      </c>
      <c r="B533" s="43" t="s">
        <v>9327</v>
      </c>
      <c r="C533" s="43" t="s">
        <v>38</v>
      </c>
      <c r="D533" s="43" t="s">
        <v>17</v>
      </c>
      <c r="E533" s="43" t="s">
        <v>18</v>
      </c>
      <c r="F533" s="43" t="s">
        <v>42</v>
      </c>
      <c r="G533" s="48">
        <v>46203.456250000003</v>
      </c>
      <c r="H533" s="48">
        <v>46204.577777777777</v>
      </c>
      <c r="I533" s="43">
        <v>1</v>
      </c>
      <c r="J533" s="43" t="s">
        <v>1156</v>
      </c>
      <c r="K533" s="43" t="s">
        <v>8351</v>
      </c>
      <c r="L533" s="43" t="s">
        <v>33</v>
      </c>
      <c r="M533" s="43">
        <v>1</v>
      </c>
      <c r="N533" s="43">
        <v>1</v>
      </c>
      <c r="O533" s="43">
        <v>1</v>
      </c>
      <c r="P533" s="43" t="s">
        <v>9358</v>
      </c>
      <c r="Q533" s="43" t="s">
        <v>1546</v>
      </c>
      <c r="R533" s="43" t="s">
        <v>9359</v>
      </c>
      <c r="S533" s="52">
        <f t="shared" si="8"/>
        <v>1.1200000000000001</v>
      </c>
      <c r="T533" s="47"/>
      <c r="U533" s="47"/>
    </row>
    <row r="534" spans="1:21" ht="16.5" thickTop="1" thickBot="1" x14ac:dyDescent="0.3">
      <c r="A534" s="51" t="s">
        <v>9296</v>
      </c>
      <c r="B534" s="52" t="s">
        <v>9326</v>
      </c>
      <c r="C534" s="52" t="s">
        <v>38</v>
      </c>
      <c r="D534" s="52" t="s">
        <v>17</v>
      </c>
      <c r="E534" s="52" t="s">
        <v>18</v>
      </c>
      <c r="F534" s="52" t="s">
        <v>42</v>
      </c>
      <c r="G534" s="53">
        <v>46203.5</v>
      </c>
      <c r="H534" s="53">
        <v>46213.69027777778</v>
      </c>
      <c r="I534" s="52">
        <v>909</v>
      </c>
      <c r="J534" s="52" t="s">
        <v>1156</v>
      </c>
      <c r="K534" s="52" t="s">
        <v>1156</v>
      </c>
      <c r="L534" s="52" t="s">
        <v>31</v>
      </c>
      <c r="M534" s="52">
        <v>852</v>
      </c>
      <c r="N534" s="52">
        <v>184</v>
      </c>
      <c r="O534" s="52">
        <v>152</v>
      </c>
      <c r="P534" s="52" t="s">
        <v>8786</v>
      </c>
      <c r="Q534" s="52" t="s">
        <v>1517</v>
      </c>
      <c r="R534" s="52" t="s">
        <v>9357</v>
      </c>
      <c r="S534" s="52">
        <f t="shared" si="8"/>
        <v>10.19</v>
      </c>
      <c r="T534" s="52"/>
      <c r="U534" s="52"/>
    </row>
    <row r="535" spans="1:21" s="46" customFormat="1" ht="16.5" thickTop="1" thickBot="1" x14ac:dyDescent="0.3">
      <c r="A535" s="50" t="s">
        <v>9295</v>
      </c>
      <c r="B535" s="43" t="s">
        <v>9325</v>
      </c>
      <c r="C535" s="43" t="s">
        <v>38</v>
      </c>
      <c r="D535" s="43" t="s">
        <v>17</v>
      </c>
      <c r="E535" s="43" t="s">
        <v>18</v>
      </c>
      <c r="F535" s="43" t="s">
        <v>42</v>
      </c>
      <c r="G535" s="48">
        <v>46203.50277777778</v>
      </c>
      <c r="H535" s="48">
        <v>46204.589583333334</v>
      </c>
      <c r="I535" s="43">
        <v>71</v>
      </c>
      <c r="J535" s="43" t="s">
        <v>1156</v>
      </c>
      <c r="K535" s="43" t="s">
        <v>1156</v>
      </c>
      <c r="L535" s="43" t="s">
        <v>36</v>
      </c>
      <c r="M535" s="43">
        <v>71</v>
      </c>
      <c r="N535" s="43">
        <v>71</v>
      </c>
      <c r="O535" s="43">
        <v>71</v>
      </c>
      <c r="P535" s="43" t="s">
        <v>9355</v>
      </c>
      <c r="Q535" s="43" t="s">
        <v>1517</v>
      </c>
      <c r="R535" s="43" t="s">
        <v>9356</v>
      </c>
      <c r="S535" s="52">
        <f t="shared" si="8"/>
        <v>1.0900000000000001</v>
      </c>
      <c r="T535" s="47"/>
      <c r="U535" s="47"/>
    </row>
    <row r="536" spans="1:21" ht="16.5" thickTop="1" thickBot="1" x14ac:dyDescent="0.3">
      <c r="A536" s="51" t="s">
        <v>9294</v>
      </c>
      <c r="B536" s="52" t="s">
        <v>9324</v>
      </c>
      <c r="C536" s="52" t="s">
        <v>38</v>
      </c>
      <c r="D536" s="52" t="s">
        <v>17</v>
      </c>
      <c r="E536" s="52" t="s">
        <v>18</v>
      </c>
      <c r="F536" s="52" t="s">
        <v>28</v>
      </c>
      <c r="G536" s="53">
        <v>46203.524305555555</v>
      </c>
      <c r="H536" s="53">
        <v>46204.793055555558</v>
      </c>
      <c r="I536" s="52">
        <v>776</v>
      </c>
      <c r="J536" s="52" t="s">
        <v>1156</v>
      </c>
      <c r="K536" s="52" t="s">
        <v>1156</v>
      </c>
      <c r="L536" s="52" t="s">
        <v>20</v>
      </c>
      <c r="M536" s="52">
        <v>776</v>
      </c>
      <c r="N536" s="52">
        <v>37</v>
      </c>
      <c r="O536" s="52">
        <v>37</v>
      </c>
      <c r="P536" s="52" t="s">
        <v>1287</v>
      </c>
      <c r="Q536" s="52" t="s">
        <v>1517</v>
      </c>
      <c r="R536" s="52" t="s">
        <v>9354</v>
      </c>
      <c r="S536" s="52">
        <f t="shared" si="8"/>
        <v>1.27</v>
      </c>
      <c r="T536" s="52"/>
      <c r="U536" s="52"/>
    </row>
    <row r="537" spans="1:21" s="46" customFormat="1" ht="16.5" thickTop="1" thickBot="1" x14ac:dyDescent="0.3">
      <c r="A537" s="50" t="s">
        <v>9293</v>
      </c>
      <c r="B537" s="43" t="s">
        <v>9323</v>
      </c>
      <c r="C537" s="43" t="s">
        <v>38</v>
      </c>
      <c r="D537" s="43" t="s">
        <v>17</v>
      </c>
      <c r="E537" s="43" t="s">
        <v>18</v>
      </c>
      <c r="F537" s="43" t="s">
        <v>32</v>
      </c>
      <c r="G537" s="48">
        <v>46203.624305555553</v>
      </c>
      <c r="H537" s="48">
        <v>46205.488888888889</v>
      </c>
      <c r="I537" s="43">
        <v>2</v>
      </c>
      <c r="J537" s="43" t="s">
        <v>1156</v>
      </c>
      <c r="K537" s="43" t="s">
        <v>1156</v>
      </c>
      <c r="L537" s="43" t="s">
        <v>33</v>
      </c>
      <c r="M537" s="43">
        <v>2</v>
      </c>
      <c r="N537" s="43">
        <v>2</v>
      </c>
      <c r="O537" s="43">
        <v>2</v>
      </c>
      <c r="P537" s="43" t="s">
        <v>9352</v>
      </c>
      <c r="Q537" s="43" t="s">
        <v>1546</v>
      </c>
      <c r="R537" s="43" t="s">
        <v>9353</v>
      </c>
      <c r="S537" s="52">
        <f t="shared" si="8"/>
        <v>1.86</v>
      </c>
      <c r="T537" s="47"/>
      <c r="U537" s="47"/>
    </row>
    <row r="538" spans="1:21" ht="16.5" thickTop="1" thickBot="1" x14ac:dyDescent="0.3">
      <c r="A538" s="51" t="s">
        <v>9292</v>
      </c>
      <c r="B538" s="52" t="s">
        <v>9322</v>
      </c>
      <c r="C538" s="52" t="s">
        <v>38</v>
      </c>
      <c r="D538" s="52" t="s">
        <v>17</v>
      </c>
      <c r="E538" s="52" t="s">
        <v>18</v>
      </c>
      <c r="F538" s="52" t="s">
        <v>42</v>
      </c>
      <c r="G538" s="53">
        <v>46203.629166666666</v>
      </c>
      <c r="H538" s="53">
        <v>46210.541666666664</v>
      </c>
      <c r="I538" s="52">
        <v>418</v>
      </c>
      <c r="J538" s="52" t="s">
        <v>1156</v>
      </c>
      <c r="K538" s="52" t="s">
        <v>1156</v>
      </c>
      <c r="L538" s="52" t="s">
        <v>25</v>
      </c>
      <c r="M538" s="52">
        <v>338</v>
      </c>
      <c r="N538" s="52">
        <v>85</v>
      </c>
      <c r="O538" s="52">
        <v>97</v>
      </c>
      <c r="P538" s="52" t="s">
        <v>1359</v>
      </c>
      <c r="Q538" s="52" t="s">
        <v>1517</v>
      </c>
      <c r="R538" s="52"/>
      <c r="S538" s="52">
        <f t="shared" si="8"/>
        <v>6.91</v>
      </c>
      <c r="T538" s="52"/>
      <c r="U538" s="52"/>
    </row>
    <row r="539" spans="1:21" s="46" customFormat="1" ht="16.5" thickTop="1" thickBot="1" x14ac:dyDescent="0.3">
      <c r="A539" s="50" t="s">
        <v>9291</v>
      </c>
      <c r="B539" s="43" t="s">
        <v>9321</v>
      </c>
      <c r="C539" s="43" t="s">
        <v>38</v>
      </c>
      <c r="D539" s="43" t="s">
        <v>17</v>
      </c>
      <c r="E539" s="43" t="s">
        <v>18</v>
      </c>
      <c r="F539" s="43" t="s">
        <v>42</v>
      </c>
      <c r="G539" s="48">
        <v>46203.688888888886</v>
      </c>
      <c r="H539" s="48">
        <v>46205.487500000003</v>
      </c>
      <c r="I539" s="43">
        <v>898</v>
      </c>
      <c r="J539" s="43" t="s">
        <v>1156</v>
      </c>
      <c r="K539" s="43" t="s">
        <v>1156</v>
      </c>
      <c r="L539" s="43" t="s">
        <v>20</v>
      </c>
      <c r="M539" s="43">
        <v>898</v>
      </c>
      <c r="N539" s="43">
        <v>108</v>
      </c>
      <c r="O539" s="43">
        <v>60</v>
      </c>
      <c r="P539" s="43" t="s">
        <v>1287</v>
      </c>
      <c r="Q539" s="43" t="s">
        <v>1517</v>
      </c>
      <c r="R539" s="43" t="s">
        <v>9351</v>
      </c>
      <c r="S539" s="52">
        <f t="shared" si="8"/>
        <v>1.8</v>
      </c>
      <c r="T539" s="47"/>
      <c r="U539" s="47"/>
    </row>
    <row r="540" spans="1:21" ht="16.5" thickTop="1" thickBot="1" x14ac:dyDescent="0.3">
      <c r="A540" s="51" t="s">
        <v>9290</v>
      </c>
      <c r="B540" s="52" t="s">
        <v>9320</v>
      </c>
      <c r="C540" s="52" t="s">
        <v>38</v>
      </c>
      <c r="D540" s="52" t="s">
        <v>17</v>
      </c>
      <c r="E540" s="52" t="s">
        <v>18</v>
      </c>
      <c r="F540" s="52" t="s">
        <v>42</v>
      </c>
      <c r="G540" s="53">
        <v>46203.699305555558</v>
      </c>
      <c r="H540" s="53">
        <v>46209.529166666667</v>
      </c>
      <c r="I540" s="52">
        <v>28</v>
      </c>
      <c r="J540" s="52" t="s">
        <v>1156</v>
      </c>
      <c r="K540" s="52" t="s">
        <v>1156</v>
      </c>
      <c r="L540" s="52" t="s">
        <v>33</v>
      </c>
      <c r="M540" s="52">
        <v>28</v>
      </c>
      <c r="N540" s="52">
        <v>28</v>
      </c>
      <c r="O540" s="52">
        <v>28</v>
      </c>
      <c r="P540" s="52" t="s">
        <v>9350</v>
      </c>
      <c r="Q540" s="52" t="s">
        <v>1514</v>
      </c>
      <c r="R540" s="52"/>
      <c r="S540" s="52">
        <f t="shared" si="8"/>
        <v>5.83</v>
      </c>
      <c r="T540" s="52"/>
      <c r="U540" s="52"/>
    </row>
    <row r="541" spans="1:21" s="46" customFormat="1" ht="16.5" thickTop="1" thickBot="1" x14ac:dyDescent="0.3">
      <c r="A541" s="50" t="s">
        <v>9289</v>
      </c>
      <c r="B541" s="43" t="s">
        <v>9319</v>
      </c>
      <c r="C541" s="43" t="s">
        <v>38</v>
      </c>
      <c r="D541" s="43" t="s">
        <v>17</v>
      </c>
      <c r="E541" s="43" t="s">
        <v>18</v>
      </c>
      <c r="F541" s="43" t="s">
        <v>32</v>
      </c>
      <c r="G541" s="48">
        <v>46203.703472222223</v>
      </c>
      <c r="H541" s="48">
        <v>46209.543749999997</v>
      </c>
      <c r="I541" s="43">
        <v>1</v>
      </c>
      <c r="J541" s="43" t="s">
        <v>1156</v>
      </c>
      <c r="K541" s="43" t="s">
        <v>1156</v>
      </c>
      <c r="L541" s="43" t="s">
        <v>33</v>
      </c>
      <c r="M541" s="43">
        <v>1</v>
      </c>
      <c r="N541" s="43">
        <v>1</v>
      </c>
      <c r="O541" s="43">
        <v>1</v>
      </c>
      <c r="P541" s="43" t="s">
        <v>9348</v>
      </c>
      <c r="Q541" s="43" t="s">
        <v>1517</v>
      </c>
      <c r="R541" s="43" t="s">
        <v>9349</v>
      </c>
      <c r="S541" s="52">
        <f t="shared" si="8"/>
        <v>5.84</v>
      </c>
      <c r="T541" s="47"/>
      <c r="U541" s="47"/>
    </row>
    <row r="542" spans="1:21" ht="16.5" thickTop="1" thickBot="1" x14ac:dyDescent="0.3">
      <c r="A542" s="51" t="s">
        <v>9288</v>
      </c>
      <c r="B542" s="52" t="s">
        <v>9318</v>
      </c>
      <c r="C542" s="52" t="s">
        <v>38</v>
      </c>
      <c r="D542" s="52" t="s">
        <v>17</v>
      </c>
      <c r="E542" s="52" t="s">
        <v>18</v>
      </c>
      <c r="F542" s="52" t="s">
        <v>42</v>
      </c>
      <c r="G542" s="53">
        <v>46203.70416666667</v>
      </c>
      <c r="H542" s="53">
        <v>46204.574305555558</v>
      </c>
      <c r="I542" s="52">
        <v>46</v>
      </c>
      <c r="J542" s="52" t="s">
        <v>2373</v>
      </c>
      <c r="K542" s="52" t="s">
        <v>8317</v>
      </c>
      <c r="L542" s="52" t="s">
        <v>44</v>
      </c>
      <c r="M542" s="52">
        <v>28</v>
      </c>
      <c r="N542" s="52">
        <v>28</v>
      </c>
      <c r="O542" s="52">
        <v>46</v>
      </c>
      <c r="P542" s="52" t="s">
        <v>9346</v>
      </c>
      <c r="Q542" s="52" t="s">
        <v>1517</v>
      </c>
      <c r="R542" s="52" t="s">
        <v>9347</v>
      </c>
      <c r="S542" s="52">
        <f t="shared" si="8"/>
        <v>0.87</v>
      </c>
      <c r="T542" s="52"/>
      <c r="U542" s="52"/>
    </row>
    <row r="543" spans="1:21" s="46" customFormat="1" ht="16.5" thickTop="1" thickBot="1" x14ac:dyDescent="0.3">
      <c r="A543" s="50" t="s">
        <v>9287</v>
      </c>
      <c r="B543" s="43" t="s">
        <v>9317</v>
      </c>
      <c r="C543" s="43" t="s">
        <v>38</v>
      </c>
      <c r="D543" s="43" t="s">
        <v>17</v>
      </c>
      <c r="E543" s="43" t="s">
        <v>18</v>
      </c>
      <c r="F543" s="43" t="s">
        <v>32</v>
      </c>
      <c r="G543" s="48">
        <v>46203.720138888886</v>
      </c>
      <c r="H543" s="48">
        <v>46207.463194444441</v>
      </c>
      <c r="I543" s="43">
        <v>60</v>
      </c>
      <c r="J543" s="43" t="s">
        <v>1156</v>
      </c>
      <c r="K543" s="43" t="s">
        <v>1156</v>
      </c>
      <c r="L543" s="43" t="s">
        <v>20</v>
      </c>
      <c r="M543" s="43">
        <v>60</v>
      </c>
      <c r="N543" s="43">
        <v>10</v>
      </c>
      <c r="O543" s="43">
        <v>10</v>
      </c>
      <c r="P543" s="43" t="s">
        <v>9344</v>
      </c>
      <c r="Q543" s="43" t="s">
        <v>1517</v>
      </c>
      <c r="R543" s="43" t="s">
        <v>9345</v>
      </c>
      <c r="S543" s="52">
        <f t="shared" si="8"/>
        <v>3.74</v>
      </c>
      <c r="T543" s="47"/>
      <c r="U543" s="47"/>
    </row>
    <row r="544" spans="1:21" ht="16.5" thickTop="1" thickBot="1" x14ac:dyDescent="0.3">
      <c r="A544" s="51" t="s">
        <v>9286</v>
      </c>
      <c r="B544" s="52" t="s">
        <v>9316</v>
      </c>
      <c r="C544" s="52" t="s">
        <v>38</v>
      </c>
      <c r="D544" s="52" t="s">
        <v>17</v>
      </c>
      <c r="E544" s="52" t="s">
        <v>18</v>
      </c>
      <c r="F544" s="52" t="s">
        <v>42</v>
      </c>
      <c r="G544" s="53">
        <v>46203.727777777778</v>
      </c>
      <c r="H544" s="53">
        <v>46205.518750000003</v>
      </c>
      <c r="I544" s="52">
        <v>3</v>
      </c>
      <c r="J544" s="52" t="s">
        <v>1156</v>
      </c>
      <c r="K544" s="52" t="s">
        <v>1156</v>
      </c>
      <c r="L544" s="52" t="s">
        <v>33</v>
      </c>
      <c r="M544" s="52">
        <v>3</v>
      </c>
      <c r="N544" s="52">
        <v>3</v>
      </c>
      <c r="O544" s="52">
        <v>3</v>
      </c>
      <c r="P544" s="52" t="s">
        <v>9342</v>
      </c>
      <c r="Q544" s="52" t="s">
        <v>1517</v>
      </c>
      <c r="R544" s="52" t="s">
        <v>9343</v>
      </c>
      <c r="S544" s="52">
        <f t="shared" si="8"/>
        <v>1.79</v>
      </c>
      <c r="T544" s="52"/>
      <c r="U544" s="52"/>
    </row>
    <row r="545" spans="1:21" s="46" customFormat="1" ht="16.5" thickTop="1" thickBot="1" x14ac:dyDescent="0.3">
      <c r="A545" s="50" t="s">
        <v>9285</v>
      </c>
      <c r="B545" s="43" t="s">
        <v>9315</v>
      </c>
      <c r="C545" s="43" t="s">
        <v>38</v>
      </c>
      <c r="D545" s="43" t="s">
        <v>17</v>
      </c>
      <c r="E545" s="43" t="s">
        <v>18</v>
      </c>
      <c r="F545" s="43" t="s">
        <v>42</v>
      </c>
      <c r="G545" s="48">
        <v>46203.734027777777</v>
      </c>
      <c r="H545" s="48">
        <v>46212.51666666667</v>
      </c>
      <c r="I545" s="43">
        <v>666</v>
      </c>
      <c r="J545" s="43" t="s">
        <v>1156</v>
      </c>
      <c r="K545" s="43" t="s">
        <v>1156</v>
      </c>
      <c r="L545" s="43" t="s">
        <v>31</v>
      </c>
      <c r="M545" s="43">
        <v>666</v>
      </c>
      <c r="N545" s="43">
        <v>97</v>
      </c>
      <c r="O545" s="43">
        <v>97</v>
      </c>
      <c r="P545" s="43" t="s">
        <v>1478</v>
      </c>
      <c r="Q545" s="43" t="s">
        <v>1517</v>
      </c>
      <c r="R545" s="43"/>
      <c r="S545" s="52">
        <f t="shared" si="8"/>
        <v>8.7799999999999994</v>
      </c>
      <c r="T545" s="47"/>
      <c r="U545" s="47"/>
    </row>
    <row r="546" spans="1:21" ht="16.5" thickTop="1" thickBot="1" x14ac:dyDescent="0.3">
      <c r="A546" s="51" t="s">
        <v>9284</v>
      </c>
      <c r="B546" s="52" t="s">
        <v>9314</v>
      </c>
      <c r="C546" s="52" t="s">
        <v>38</v>
      </c>
      <c r="D546" s="52" t="s">
        <v>17</v>
      </c>
      <c r="E546" s="52" t="s">
        <v>18</v>
      </c>
      <c r="F546" s="52" t="s">
        <v>42</v>
      </c>
      <c r="G546" s="53">
        <v>46203.740277777775</v>
      </c>
      <c r="H546" s="53">
        <v>46210.634722222225</v>
      </c>
      <c r="I546" s="52">
        <v>766</v>
      </c>
      <c r="J546" s="52" t="s">
        <v>1156</v>
      </c>
      <c r="K546" s="52" t="s">
        <v>1156</v>
      </c>
      <c r="L546" s="52" t="s">
        <v>25</v>
      </c>
      <c r="M546" s="52">
        <v>766</v>
      </c>
      <c r="N546" s="52">
        <v>104</v>
      </c>
      <c r="O546" s="52">
        <v>104</v>
      </c>
      <c r="P546" s="52" t="s">
        <v>1478</v>
      </c>
      <c r="Q546" s="52" t="s">
        <v>1517</v>
      </c>
      <c r="R546" s="52"/>
      <c r="S546" s="52">
        <f t="shared" si="8"/>
        <v>6.89</v>
      </c>
      <c r="T546" s="52"/>
      <c r="U546" s="52"/>
    </row>
    <row r="547" spans="1:21" s="46" customFormat="1" ht="16.5" thickTop="1" thickBot="1" x14ac:dyDescent="0.3">
      <c r="A547" s="50" t="s">
        <v>9283</v>
      </c>
      <c r="B547" s="43" t="s">
        <v>9312</v>
      </c>
      <c r="C547" s="43" t="s">
        <v>38</v>
      </c>
      <c r="D547" s="43" t="s">
        <v>17</v>
      </c>
      <c r="E547" s="43" t="s">
        <v>18</v>
      </c>
      <c r="F547" s="43" t="s">
        <v>42</v>
      </c>
      <c r="G547" s="48">
        <v>46203.767361111109</v>
      </c>
      <c r="H547" s="48">
        <v>46205.540277777778</v>
      </c>
      <c r="I547" s="43">
        <v>13</v>
      </c>
      <c r="J547" s="43" t="s">
        <v>2373</v>
      </c>
      <c r="K547" s="43" t="s">
        <v>8317</v>
      </c>
      <c r="L547" s="43" t="s">
        <v>36</v>
      </c>
      <c r="M547" s="43">
        <v>13</v>
      </c>
      <c r="N547" s="43">
        <v>13</v>
      </c>
      <c r="O547" s="43">
        <v>13</v>
      </c>
      <c r="P547" s="43" t="s">
        <v>9034</v>
      </c>
      <c r="Q547" s="43" t="s">
        <v>1517</v>
      </c>
      <c r="R547" s="43"/>
      <c r="S547" s="52">
        <f t="shared" si="8"/>
        <v>1.77</v>
      </c>
      <c r="T547" s="47"/>
      <c r="U547" s="47"/>
    </row>
    <row r="548" spans="1:21" ht="16.5" thickTop="1" thickBot="1" x14ac:dyDescent="0.3">
      <c r="A548" s="51" t="s">
        <v>9409</v>
      </c>
      <c r="B548" s="52" t="s">
        <v>9469</v>
      </c>
      <c r="C548" s="52" t="s">
        <v>38</v>
      </c>
      <c r="D548" s="52" t="s">
        <v>17</v>
      </c>
      <c r="E548" s="52" t="s">
        <v>18</v>
      </c>
      <c r="F548" s="52" t="s">
        <v>42</v>
      </c>
      <c r="G548" s="53">
        <v>46204.479861111111</v>
      </c>
      <c r="H548" s="53">
        <v>46213.700694444444</v>
      </c>
      <c r="I548" s="52">
        <v>13</v>
      </c>
      <c r="J548" s="52" t="s">
        <v>1156</v>
      </c>
      <c r="K548" s="52" t="s">
        <v>1156</v>
      </c>
      <c r="L548" s="52" t="s">
        <v>33</v>
      </c>
      <c r="M548" s="52">
        <v>13</v>
      </c>
      <c r="N548" s="52">
        <v>13</v>
      </c>
      <c r="O548" s="52">
        <v>13</v>
      </c>
      <c r="P548" s="52" t="s">
        <v>9470</v>
      </c>
      <c r="Q548" s="52" t="s">
        <v>1546</v>
      </c>
      <c r="R548" s="52" t="s">
        <v>9471</v>
      </c>
      <c r="S548" s="52">
        <f t="shared" si="8"/>
        <v>9.2200000000000006</v>
      </c>
      <c r="T548" s="52"/>
      <c r="U548" s="52"/>
    </row>
    <row r="549" spans="1:21" s="46" customFormat="1" ht="16.5" thickTop="1" thickBot="1" x14ac:dyDescent="0.3">
      <c r="A549" s="50" t="s">
        <v>9408</v>
      </c>
      <c r="B549" s="43" t="s">
        <v>9466</v>
      </c>
      <c r="C549" s="43" t="s">
        <v>38</v>
      </c>
      <c r="D549" s="43" t="s">
        <v>17</v>
      </c>
      <c r="E549" s="43" t="s">
        <v>18</v>
      </c>
      <c r="F549" s="43" t="s">
        <v>42</v>
      </c>
      <c r="G549" s="48">
        <v>46204.5</v>
      </c>
      <c r="H549" s="48">
        <v>46212.534722222219</v>
      </c>
      <c r="I549" s="43">
        <v>291</v>
      </c>
      <c r="J549" s="43" t="s">
        <v>1156</v>
      </c>
      <c r="K549" s="43" t="s">
        <v>1156</v>
      </c>
      <c r="L549" s="43" t="s">
        <v>25</v>
      </c>
      <c r="M549" s="43">
        <v>287</v>
      </c>
      <c r="N549" s="43">
        <v>48</v>
      </c>
      <c r="O549" s="43">
        <v>50</v>
      </c>
      <c r="P549" s="43" t="s">
        <v>9467</v>
      </c>
      <c r="Q549" s="43" t="s">
        <v>1517</v>
      </c>
      <c r="R549" s="43" t="s">
        <v>9468</v>
      </c>
      <c r="S549" s="52">
        <f t="shared" si="8"/>
        <v>8.0299999999999994</v>
      </c>
      <c r="T549" s="47"/>
      <c r="U549" s="47"/>
    </row>
    <row r="550" spans="1:21" ht="16.5" thickTop="1" thickBot="1" x14ac:dyDescent="0.3">
      <c r="A550" s="51" t="s">
        <v>9407</v>
      </c>
      <c r="B550" s="52" t="s">
        <v>9464</v>
      </c>
      <c r="C550" s="52" t="s">
        <v>38</v>
      </c>
      <c r="D550" s="52" t="s">
        <v>17</v>
      </c>
      <c r="E550" s="52" t="s">
        <v>18</v>
      </c>
      <c r="F550" s="52" t="s">
        <v>42</v>
      </c>
      <c r="G550" s="53">
        <v>46204.50277777778</v>
      </c>
      <c r="H550" s="53">
        <v>46206.438194444447</v>
      </c>
      <c r="I550" s="52">
        <v>136</v>
      </c>
      <c r="J550" s="52" t="s">
        <v>1156</v>
      </c>
      <c r="K550" s="52" t="s">
        <v>1156</v>
      </c>
      <c r="L550" s="52" t="s">
        <v>36</v>
      </c>
      <c r="M550" s="52">
        <v>131</v>
      </c>
      <c r="N550" s="52">
        <v>130</v>
      </c>
      <c r="O550" s="52">
        <v>136</v>
      </c>
      <c r="P550" s="52" t="s">
        <v>1429</v>
      </c>
      <c r="Q550" s="52" t="s">
        <v>1517</v>
      </c>
      <c r="R550" s="52" t="s">
        <v>9465</v>
      </c>
      <c r="S550" s="52">
        <f t="shared" si="8"/>
        <v>1.94</v>
      </c>
      <c r="T550" s="52"/>
      <c r="U550" s="52"/>
    </row>
    <row r="551" spans="1:21" s="46" customFormat="1" ht="16.5" thickTop="1" thickBot="1" x14ac:dyDescent="0.3">
      <c r="A551" s="50" t="s">
        <v>9406</v>
      </c>
      <c r="B551" s="43" t="s">
        <v>9462</v>
      </c>
      <c r="C551" s="43" t="s">
        <v>39</v>
      </c>
      <c r="D551" s="43" t="s">
        <v>17</v>
      </c>
      <c r="E551" s="43" t="s">
        <v>18</v>
      </c>
      <c r="F551" s="43" t="s">
        <v>42</v>
      </c>
      <c r="G551" s="48">
        <v>46204.504166666666</v>
      </c>
      <c r="H551" s="48">
        <v>46210.713194444441</v>
      </c>
      <c r="I551" s="43">
        <v>212</v>
      </c>
      <c r="J551" s="43" t="s">
        <v>2373</v>
      </c>
      <c r="K551" s="43" t="s">
        <v>8317</v>
      </c>
      <c r="L551" s="43" t="s">
        <v>36</v>
      </c>
      <c r="M551" s="43">
        <v>0</v>
      </c>
      <c r="N551" s="43">
        <v>0</v>
      </c>
      <c r="O551" s="43">
        <v>212</v>
      </c>
      <c r="P551" s="43" t="s">
        <v>9034</v>
      </c>
      <c r="Q551" s="43" t="s">
        <v>1517</v>
      </c>
      <c r="R551" s="43" t="s">
        <v>9463</v>
      </c>
      <c r="S551" s="52">
        <f t="shared" si="8"/>
        <v>6.21</v>
      </c>
      <c r="T551" s="47"/>
      <c r="U551" s="47"/>
    </row>
    <row r="552" spans="1:21" ht="16.5" thickTop="1" thickBot="1" x14ac:dyDescent="0.3">
      <c r="A552" s="51" t="s">
        <v>9405</v>
      </c>
      <c r="B552" s="52" t="s">
        <v>9460</v>
      </c>
      <c r="C552" s="52" t="s">
        <v>38</v>
      </c>
      <c r="D552" s="52" t="s">
        <v>17</v>
      </c>
      <c r="E552" s="52" t="s">
        <v>19</v>
      </c>
      <c r="F552" s="52" t="s">
        <v>28</v>
      </c>
      <c r="G552" s="53">
        <v>46204.509027777778</v>
      </c>
      <c r="H552" s="53">
        <v>46205.461805555555</v>
      </c>
      <c r="I552" s="52">
        <v>251</v>
      </c>
      <c r="J552" s="52" t="s">
        <v>1156</v>
      </c>
      <c r="K552" s="52" t="s">
        <v>1156</v>
      </c>
      <c r="L552" s="52" t="s">
        <v>20</v>
      </c>
      <c r="M552" s="52">
        <v>243</v>
      </c>
      <c r="N552" s="52">
        <v>50</v>
      </c>
      <c r="O552" s="52">
        <v>52</v>
      </c>
      <c r="P552" s="52" t="s">
        <v>8774</v>
      </c>
      <c r="Q552" s="52" t="s">
        <v>1514</v>
      </c>
      <c r="R552" s="52" t="s">
        <v>9461</v>
      </c>
      <c r="S552" s="52">
        <f t="shared" si="8"/>
        <v>0.95</v>
      </c>
      <c r="T552" s="52"/>
      <c r="U552" s="52"/>
    </row>
    <row r="553" spans="1:21" s="46" customFormat="1" ht="16.5" thickTop="1" thickBot="1" x14ac:dyDescent="0.3">
      <c r="A553" s="50" t="s">
        <v>9404</v>
      </c>
      <c r="B553" s="43" t="s">
        <v>2051</v>
      </c>
      <c r="C553" s="43" t="s">
        <v>38</v>
      </c>
      <c r="D553" s="43" t="s">
        <v>17</v>
      </c>
      <c r="E553" s="43" t="s">
        <v>18</v>
      </c>
      <c r="F553" s="43" t="s">
        <v>42</v>
      </c>
      <c r="G553" s="48">
        <v>46204.527083333334</v>
      </c>
      <c r="H553" s="48">
        <v>46205.524305555555</v>
      </c>
      <c r="I553" s="43">
        <v>19</v>
      </c>
      <c r="J553" s="43" t="s">
        <v>1156</v>
      </c>
      <c r="K553" s="43" t="s">
        <v>1156</v>
      </c>
      <c r="L553" s="43" t="s">
        <v>33</v>
      </c>
      <c r="M553" s="43">
        <v>18</v>
      </c>
      <c r="N553" s="43">
        <v>18</v>
      </c>
      <c r="O553" s="43">
        <v>19</v>
      </c>
      <c r="P553" s="43" t="s">
        <v>1493</v>
      </c>
      <c r="Q553" s="43" t="s">
        <v>1517</v>
      </c>
      <c r="R553" s="43" t="s">
        <v>9459</v>
      </c>
      <c r="S553" s="52">
        <f t="shared" si="8"/>
        <v>1</v>
      </c>
      <c r="T553" s="47"/>
      <c r="U553" s="47"/>
    </row>
    <row r="554" spans="1:21" ht="16.5" thickTop="1" thickBot="1" x14ac:dyDescent="0.3">
      <c r="A554" s="51" t="s">
        <v>9403</v>
      </c>
      <c r="B554" s="52" t="s">
        <v>9457</v>
      </c>
      <c r="C554" s="52" t="s">
        <v>38</v>
      </c>
      <c r="D554" s="52" t="s">
        <v>17</v>
      </c>
      <c r="E554" s="52" t="s">
        <v>18</v>
      </c>
      <c r="F554" s="52" t="s">
        <v>42</v>
      </c>
      <c r="G554" s="53">
        <v>46204.538888888892</v>
      </c>
      <c r="H554" s="53">
        <v>46209.55</v>
      </c>
      <c r="I554" s="52">
        <v>13</v>
      </c>
      <c r="J554" s="52" t="s">
        <v>1156</v>
      </c>
      <c r="K554" s="52" t="s">
        <v>1156</v>
      </c>
      <c r="L554" s="52" t="s">
        <v>33</v>
      </c>
      <c r="M554" s="52">
        <v>13</v>
      </c>
      <c r="N554" s="52">
        <v>13</v>
      </c>
      <c r="O554" s="52">
        <v>13</v>
      </c>
      <c r="P554" s="52" t="s">
        <v>8503</v>
      </c>
      <c r="Q554" s="52" t="s">
        <v>1517</v>
      </c>
      <c r="R554" s="52" t="s">
        <v>9458</v>
      </c>
      <c r="S554" s="52">
        <f t="shared" si="8"/>
        <v>5.01</v>
      </c>
      <c r="T554" s="52"/>
      <c r="U554" s="52"/>
    </row>
    <row r="555" spans="1:21" s="46" customFormat="1" ht="16.5" thickTop="1" thickBot="1" x14ac:dyDescent="0.3">
      <c r="A555" s="50" t="s">
        <v>9402</v>
      </c>
      <c r="B555" s="43" t="s">
        <v>9455</v>
      </c>
      <c r="C555" s="43" t="s">
        <v>38</v>
      </c>
      <c r="D555" s="43" t="s">
        <v>17</v>
      </c>
      <c r="E555" s="43" t="s">
        <v>18</v>
      </c>
      <c r="F555" s="43" t="s">
        <v>42</v>
      </c>
      <c r="G555" s="48">
        <v>46204.605555555558</v>
      </c>
      <c r="H555" s="48">
        <v>46206.464583333334</v>
      </c>
      <c r="I555" s="43">
        <v>61</v>
      </c>
      <c r="J555" s="43" t="s">
        <v>1156</v>
      </c>
      <c r="K555" s="43" t="s">
        <v>1156</v>
      </c>
      <c r="L555" s="43" t="s">
        <v>36</v>
      </c>
      <c r="M555" s="43">
        <v>61</v>
      </c>
      <c r="N555" s="43">
        <v>61</v>
      </c>
      <c r="O555" s="43">
        <v>61</v>
      </c>
      <c r="P555" s="43" t="s">
        <v>8760</v>
      </c>
      <c r="Q555" s="43" t="s">
        <v>1514</v>
      </c>
      <c r="R555" s="43" t="s">
        <v>9456</v>
      </c>
      <c r="S555" s="52">
        <f t="shared" si="8"/>
        <v>1.86</v>
      </c>
      <c r="T555" s="47"/>
      <c r="U555" s="47"/>
    </row>
    <row r="556" spans="1:21" ht="16.5" thickTop="1" thickBot="1" x14ac:dyDescent="0.3">
      <c r="A556" s="51" t="s">
        <v>9401</v>
      </c>
      <c r="B556" s="52" t="s">
        <v>9453</v>
      </c>
      <c r="C556" s="52" t="s">
        <v>38</v>
      </c>
      <c r="D556" s="52" t="s">
        <v>17</v>
      </c>
      <c r="E556" s="52" t="s">
        <v>18</v>
      </c>
      <c r="F556" s="52" t="s">
        <v>28</v>
      </c>
      <c r="G556" s="53">
        <v>46204.613194444442</v>
      </c>
      <c r="H556" s="53">
        <v>46206.518055555556</v>
      </c>
      <c r="I556" s="52">
        <v>56</v>
      </c>
      <c r="J556" s="52" t="s">
        <v>1156</v>
      </c>
      <c r="K556" s="52" t="s">
        <v>1156</v>
      </c>
      <c r="L556" s="52" t="s">
        <v>20</v>
      </c>
      <c r="M556" s="52">
        <v>56</v>
      </c>
      <c r="N556" s="52">
        <v>8</v>
      </c>
      <c r="O556" s="52">
        <v>8</v>
      </c>
      <c r="P556" s="52" t="s">
        <v>1463</v>
      </c>
      <c r="Q556" s="52" t="s">
        <v>1517</v>
      </c>
      <c r="R556" s="52" t="s">
        <v>9454</v>
      </c>
      <c r="S556" s="52">
        <f t="shared" si="8"/>
        <v>1.9</v>
      </c>
      <c r="T556" s="52"/>
      <c r="U556" s="52"/>
    </row>
    <row r="557" spans="1:21" s="46" customFormat="1" ht="16.5" thickTop="1" thickBot="1" x14ac:dyDescent="0.3">
      <c r="A557" s="50" t="s">
        <v>9400</v>
      </c>
      <c r="B557" s="43" t="s">
        <v>9451</v>
      </c>
      <c r="C557" s="43" t="s">
        <v>38</v>
      </c>
      <c r="D557" s="43" t="s">
        <v>17</v>
      </c>
      <c r="E557" s="43" t="s">
        <v>18</v>
      </c>
      <c r="F557" s="43" t="s">
        <v>42</v>
      </c>
      <c r="G557" s="48">
        <v>46204.636111111111</v>
      </c>
      <c r="H557" s="48">
        <v>46207.513194444444</v>
      </c>
      <c r="I557" s="43">
        <v>1</v>
      </c>
      <c r="J557" s="43" t="s">
        <v>2373</v>
      </c>
      <c r="K557" s="43" t="s">
        <v>8310</v>
      </c>
      <c r="L557" s="43" t="s">
        <v>33</v>
      </c>
      <c r="M557" s="43">
        <v>1</v>
      </c>
      <c r="N557" s="43">
        <v>1</v>
      </c>
      <c r="O557" s="43">
        <v>1</v>
      </c>
      <c r="P557" s="43" t="s">
        <v>1470</v>
      </c>
      <c r="Q557" s="43" t="s">
        <v>1546</v>
      </c>
      <c r="R557" s="43" t="s">
        <v>9452</v>
      </c>
      <c r="S557" s="52">
        <f t="shared" si="8"/>
        <v>2.88</v>
      </c>
      <c r="T557" s="47"/>
      <c r="U557" s="47"/>
    </row>
    <row r="558" spans="1:21" ht="16.5" thickTop="1" thickBot="1" x14ac:dyDescent="0.3">
      <c r="A558" s="51" t="s">
        <v>9399</v>
      </c>
      <c r="B558" s="52" t="s">
        <v>9449</v>
      </c>
      <c r="C558" s="52" t="s">
        <v>38</v>
      </c>
      <c r="D558" s="52" t="s">
        <v>17</v>
      </c>
      <c r="E558" s="52" t="s">
        <v>18</v>
      </c>
      <c r="F558" s="52" t="s">
        <v>42</v>
      </c>
      <c r="G558" s="53">
        <v>46204.638888888891</v>
      </c>
      <c r="H558" s="53">
        <v>46210.469444444447</v>
      </c>
      <c r="I558" s="52">
        <v>3</v>
      </c>
      <c r="J558" s="52" t="s">
        <v>2373</v>
      </c>
      <c r="K558" s="52" t="s">
        <v>8310</v>
      </c>
      <c r="L558" s="52" t="s">
        <v>33</v>
      </c>
      <c r="M558" s="52">
        <v>3</v>
      </c>
      <c r="N558" s="52">
        <v>3</v>
      </c>
      <c r="O558" s="52">
        <v>3</v>
      </c>
      <c r="P558" s="52" t="s">
        <v>1470</v>
      </c>
      <c r="Q558" s="52" t="s">
        <v>1546</v>
      </c>
      <c r="R558" s="52" t="s">
        <v>9450</v>
      </c>
      <c r="S558" s="52">
        <f t="shared" si="8"/>
        <v>5.83</v>
      </c>
      <c r="T558" s="52"/>
      <c r="U558" s="52"/>
    </row>
    <row r="559" spans="1:21" s="46" customFormat="1" ht="16.5" thickTop="1" thickBot="1" x14ac:dyDescent="0.3">
      <c r="A559" s="50" t="s">
        <v>9398</v>
      </c>
      <c r="B559" s="43" t="s">
        <v>9447</v>
      </c>
      <c r="C559" s="43" t="s">
        <v>38</v>
      </c>
      <c r="D559" s="43" t="s">
        <v>17</v>
      </c>
      <c r="E559" s="43" t="s">
        <v>18</v>
      </c>
      <c r="F559" s="43" t="s">
        <v>42</v>
      </c>
      <c r="G559" s="48">
        <v>46204.654861111114</v>
      </c>
      <c r="H559" s="48">
        <v>46217.759722222225</v>
      </c>
      <c r="I559" s="43">
        <v>320</v>
      </c>
      <c r="J559" s="43" t="s">
        <v>2373</v>
      </c>
      <c r="K559" s="43" t="s">
        <v>8317</v>
      </c>
      <c r="L559" s="43" t="s">
        <v>36</v>
      </c>
      <c r="M559" s="43">
        <v>320</v>
      </c>
      <c r="N559" s="43">
        <v>320</v>
      </c>
      <c r="O559" s="43">
        <v>320</v>
      </c>
      <c r="P559" s="43" t="s">
        <v>9034</v>
      </c>
      <c r="Q559" s="43" t="s">
        <v>1517</v>
      </c>
      <c r="R559" s="43" t="s">
        <v>9448</v>
      </c>
      <c r="S559" s="52">
        <f t="shared" si="8"/>
        <v>13.1</v>
      </c>
      <c r="T559" s="47"/>
      <c r="U559" s="47"/>
    </row>
    <row r="560" spans="1:21" ht="16.5" thickTop="1" thickBot="1" x14ac:dyDescent="0.3">
      <c r="A560" s="51" t="s">
        <v>9397</v>
      </c>
      <c r="B560" s="52" t="s">
        <v>9444</v>
      </c>
      <c r="C560" s="52" t="s">
        <v>38</v>
      </c>
      <c r="D560" s="52" t="s">
        <v>17</v>
      </c>
      <c r="E560" s="52" t="s">
        <v>18</v>
      </c>
      <c r="F560" s="52" t="s">
        <v>32</v>
      </c>
      <c r="G560" s="53">
        <v>46205.634722222225</v>
      </c>
      <c r="H560" s="53">
        <v>46218.654861111114</v>
      </c>
      <c r="I560" s="52">
        <v>111</v>
      </c>
      <c r="J560" s="52" t="s">
        <v>2373</v>
      </c>
      <c r="K560" s="52" t="s">
        <v>8317</v>
      </c>
      <c r="L560" s="52" t="s">
        <v>33</v>
      </c>
      <c r="M560" s="52">
        <v>26</v>
      </c>
      <c r="N560" s="52">
        <v>26</v>
      </c>
      <c r="O560" s="52">
        <v>25</v>
      </c>
      <c r="P560" s="52" t="s">
        <v>9445</v>
      </c>
      <c r="Q560" s="52" t="s">
        <v>1546</v>
      </c>
      <c r="R560" s="52" t="s">
        <v>9446</v>
      </c>
      <c r="S560" s="52">
        <f t="shared" si="8"/>
        <v>13.02</v>
      </c>
      <c r="T560" s="52"/>
      <c r="U560" s="52"/>
    </row>
    <row r="561" spans="1:21" s="46" customFormat="1" ht="16.5" thickTop="1" thickBot="1" x14ac:dyDescent="0.3">
      <c r="A561" s="50" t="s">
        <v>9396</v>
      </c>
      <c r="B561" s="43" t="s">
        <v>9442</v>
      </c>
      <c r="C561" s="43" t="s">
        <v>38</v>
      </c>
      <c r="D561" s="43" t="s">
        <v>17</v>
      </c>
      <c r="E561" s="43" t="s">
        <v>18</v>
      </c>
      <c r="F561" s="43" t="s">
        <v>42</v>
      </c>
      <c r="G561" s="48">
        <v>46205.645138888889</v>
      </c>
      <c r="H561" s="48">
        <v>46207.477777777778</v>
      </c>
      <c r="I561" s="43">
        <v>1</v>
      </c>
      <c r="J561" s="43" t="s">
        <v>1156</v>
      </c>
      <c r="K561" s="43" t="s">
        <v>1156</v>
      </c>
      <c r="L561" s="43" t="s">
        <v>33</v>
      </c>
      <c r="M561" s="43">
        <v>1</v>
      </c>
      <c r="N561" s="43">
        <v>1</v>
      </c>
      <c r="O561" s="43">
        <v>1</v>
      </c>
      <c r="P561" s="43" t="s">
        <v>1461</v>
      </c>
      <c r="Q561" s="43" t="s">
        <v>1517</v>
      </c>
      <c r="R561" s="43" t="s">
        <v>9443</v>
      </c>
      <c r="S561" s="52">
        <f t="shared" si="8"/>
        <v>1.83</v>
      </c>
      <c r="T561" s="47"/>
      <c r="U561" s="47"/>
    </row>
    <row r="562" spans="1:21" ht="16.5" thickTop="1" thickBot="1" x14ac:dyDescent="0.3">
      <c r="A562" s="51" t="s">
        <v>9395</v>
      </c>
      <c r="B562" s="52" t="s">
        <v>9440</v>
      </c>
      <c r="C562" s="52" t="s">
        <v>38</v>
      </c>
      <c r="D562" s="52" t="s">
        <v>17</v>
      </c>
      <c r="E562" s="52" t="s">
        <v>18</v>
      </c>
      <c r="F562" s="52" t="s">
        <v>42</v>
      </c>
      <c r="G562" s="53">
        <v>46205.662499999999</v>
      </c>
      <c r="H562" s="53">
        <v>46207.486805555556</v>
      </c>
      <c r="I562" s="52">
        <v>105</v>
      </c>
      <c r="J562" s="52" t="s">
        <v>1156</v>
      </c>
      <c r="K562" s="52" t="s">
        <v>1156</v>
      </c>
      <c r="L562" s="52" t="s">
        <v>20</v>
      </c>
      <c r="M562" s="52">
        <v>105</v>
      </c>
      <c r="N562" s="52">
        <v>12</v>
      </c>
      <c r="O562" s="52">
        <v>12</v>
      </c>
      <c r="P562" s="52" t="s">
        <v>1287</v>
      </c>
      <c r="Q562" s="52" t="s">
        <v>1514</v>
      </c>
      <c r="R562" s="52" t="s">
        <v>9441</v>
      </c>
      <c r="S562" s="52">
        <f t="shared" si="8"/>
        <v>1.82</v>
      </c>
      <c r="T562" s="52"/>
      <c r="U562" s="52"/>
    </row>
    <row r="563" spans="1:21" s="46" customFormat="1" ht="16.5" thickTop="1" thickBot="1" x14ac:dyDescent="0.3">
      <c r="A563" s="50" t="s">
        <v>9394</v>
      </c>
      <c r="B563" s="43" t="s">
        <v>9437</v>
      </c>
      <c r="C563" s="43" t="s">
        <v>38</v>
      </c>
      <c r="D563" s="43" t="s">
        <v>17</v>
      </c>
      <c r="E563" s="43" t="s">
        <v>18</v>
      </c>
      <c r="F563" s="43" t="s">
        <v>42</v>
      </c>
      <c r="G563" s="48">
        <v>46205.670138888891</v>
      </c>
      <c r="H563" s="48">
        <v>46209.557638888888</v>
      </c>
      <c r="I563" s="43">
        <v>17</v>
      </c>
      <c r="J563" s="43" t="s">
        <v>1156</v>
      </c>
      <c r="K563" s="43" t="s">
        <v>1156</v>
      </c>
      <c r="L563" s="43" t="s">
        <v>33</v>
      </c>
      <c r="M563" s="43">
        <v>14</v>
      </c>
      <c r="N563" s="43">
        <v>14</v>
      </c>
      <c r="O563" s="43">
        <v>17</v>
      </c>
      <c r="P563" s="43" t="s">
        <v>9438</v>
      </c>
      <c r="Q563" s="43" t="s">
        <v>1546</v>
      </c>
      <c r="R563" s="43" t="s">
        <v>9439</v>
      </c>
      <c r="S563" s="52">
        <f t="shared" si="8"/>
        <v>3.89</v>
      </c>
      <c r="T563" s="47"/>
      <c r="U563" s="47"/>
    </row>
    <row r="564" spans="1:21" ht="16.5" thickTop="1" thickBot="1" x14ac:dyDescent="0.3">
      <c r="A564" s="51" t="s">
        <v>9393</v>
      </c>
      <c r="B564" s="52" t="s">
        <v>9434</v>
      </c>
      <c r="C564" s="52" t="s">
        <v>38</v>
      </c>
      <c r="D564" s="52" t="s">
        <v>17</v>
      </c>
      <c r="E564" s="52" t="s">
        <v>18</v>
      </c>
      <c r="F564" s="52" t="s">
        <v>42</v>
      </c>
      <c r="G564" s="53">
        <v>46205.675000000003</v>
      </c>
      <c r="H564" s="53">
        <v>46209.575694444444</v>
      </c>
      <c r="I564" s="52">
        <v>5</v>
      </c>
      <c r="J564" s="52" t="s">
        <v>1156</v>
      </c>
      <c r="K564" s="52" t="s">
        <v>1156</v>
      </c>
      <c r="L564" s="52" t="s">
        <v>33</v>
      </c>
      <c r="M564" s="52">
        <v>4</v>
      </c>
      <c r="N564" s="52">
        <v>4</v>
      </c>
      <c r="O564" s="52">
        <v>5</v>
      </c>
      <c r="P564" s="52" t="s">
        <v>9435</v>
      </c>
      <c r="Q564" s="52" t="s">
        <v>1517</v>
      </c>
      <c r="R564" s="52" t="s">
        <v>9436</v>
      </c>
      <c r="S564" s="52">
        <f t="shared" si="8"/>
        <v>3.9</v>
      </c>
      <c r="T564" s="52"/>
      <c r="U564" s="52"/>
    </row>
    <row r="565" spans="1:21" s="46" customFormat="1" ht="16.5" thickTop="1" thickBot="1" x14ac:dyDescent="0.3">
      <c r="A565" s="50" t="s">
        <v>9392</v>
      </c>
      <c r="B565" s="43" t="s">
        <v>9431</v>
      </c>
      <c r="C565" s="43" t="s">
        <v>38</v>
      </c>
      <c r="D565" s="43" t="s">
        <v>17</v>
      </c>
      <c r="E565" s="43" t="s">
        <v>18</v>
      </c>
      <c r="F565" s="43" t="s">
        <v>42</v>
      </c>
      <c r="G565" s="48">
        <v>46205.681250000001</v>
      </c>
      <c r="H565" s="48">
        <v>46209.585416666669</v>
      </c>
      <c r="I565" s="43">
        <v>4</v>
      </c>
      <c r="J565" s="43" t="s">
        <v>1156</v>
      </c>
      <c r="K565" s="43" t="s">
        <v>1156</v>
      </c>
      <c r="L565" s="43" t="s">
        <v>33</v>
      </c>
      <c r="M565" s="43">
        <v>8</v>
      </c>
      <c r="N565" s="43">
        <v>8</v>
      </c>
      <c r="O565" s="43">
        <v>4</v>
      </c>
      <c r="P565" s="43" t="s">
        <v>9432</v>
      </c>
      <c r="Q565" s="43" t="s">
        <v>1517</v>
      </c>
      <c r="R565" s="43" t="s">
        <v>9433</v>
      </c>
      <c r="S565" s="52">
        <f t="shared" si="8"/>
        <v>3.9</v>
      </c>
      <c r="T565" s="47"/>
      <c r="U565" s="47"/>
    </row>
    <row r="566" spans="1:21" ht="16.5" thickTop="1" thickBot="1" x14ac:dyDescent="0.3">
      <c r="A566" s="51" t="s">
        <v>9391</v>
      </c>
      <c r="B566" s="52" t="s">
        <v>9429</v>
      </c>
      <c r="C566" s="52" t="s">
        <v>38</v>
      </c>
      <c r="D566" s="52" t="s">
        <v>17</v>
      </c>
      <c r="E566" s="52" t="s">
        <v>18</v>
      </c>
      <c r="F566" s="52" t="s">
        <v>42</v>
      </c>
      <c r="G566" s="53">
        <v>46205.854861111111</v>
      </c>
      <c r="H566" s="53">
        <v>46207.497916666667</v>
      </c>
      <c r="I566" s="52">
        <v>54</v>
      </c>
      <c r="J566" s="52" t="s">
        <v>1156</v>
      </c>
      <c r="K566" s="52" t="s">
        <v>1156</v>
      </c>
      <c r="L566" s="52" t="s">
        <v>36</v>
      </c>
      <c r="M566" s="52">
        <v>54</v>
      </c>
      <c r="N566" s="52">
        <v>54</v>
      </c>
      <c r="O566" s="52">
        <v>54</v>
      </c>
      <c r="P566" s="52" t="s">
        <v>8523</v>
      </c>
      <c r="Q566" s="52" t="s">
        <v>1517</v>
      </c>
      <c r="R566" s="52" t="s">
        <v>9430</v>
      </c>
      <c r="S566" s="52">
        <f t="shared" si="8"/>
        <v>1.64</v>
      </c>
      <c r="T566" s="52"/>
      <c r="U566" s="52"/>
    </row>
    <row r="567" spans="1:21" s="46" customFormat="1" ht="16.5" thickTop="1" thickBot="1" x14ac:dyDescent="0.3">
      <c r="A567" s="50" t="s">
        <v>9390</v>
      </c>
      <c r="B567" s="43" t="s">
        <v>9427</v>
      </c>
      <c r="C567" s="43" t="s">
        <v>38</v>
      </c>
      <c r="D567" s="43" t="s">
        <v>17</v>
      </c>
      <c r="E567" s="43" t="s">
        <v>18</v>
      </c>
      <c r="F567" s="43" t="s">
        <v>42</v>
      </c>
      <c r="G567" s="48">
        <v>46205.859722222223</v>
      </c>
      <c r="H567" s="48">
        <v>46209.597222222219</v>
      </c>
      <c r="I567" s="43">
        <v>39</v>
      </c>
      <c r="J567" s="43" t="s">
        <v>1156</v>
      </c>
      <c r="K567" s="43" t="s">
        <v>1156</v>
      </c>
      <c r="L567" s="43" t="s">
        <v>36</v>
      </c>
      <c r="M567" s="43">
        <v>39</v>
      </c>
      <c r="N567" s="43">
        <v>39</v>
      </c>
      <c r="O567" s="43">
        <v>39</v>
      </c>
      <c r="P567" s="43" t="s">
        <v>1567</v>
      </c>
      <c r="Q567" s="43" t="s">
        <v>1517</v>
      </c>
      <c r="R567" s="43" t="s">
        <v>9428</v>
      </c>
      <c r="S567" s="52">
        <f t="shared" si="8"/>
        <v>3.74</v>
      </c>
      <c r="T567" s="47"/>
      <c r="U567" s="47"/>
    </row>
    <row r="568" spans="1:21" ht="16.5" thickTop="1" thickBot="1" x14ac:dyDescent="0.3">
      <c r="A568" s="51" t="s">
        <v>9389</v>
      </c>
      <c r="B568" s="52" t="s">
        <v>9425</v>
      </c>
      <c r="C568" s="52" t="s">
        <v>38</v>
      </c>
      <c r="D568" s="52" t="s">
        <v>17</v>
      </c>
      <c r="E568" s="52" t="s">
        <v>18</v>
      </c>
      <c r="F568" s="52" t="s">
        <v>42</v>
      </c>
      <c r="G568" s="53">
        <v>46205.86041666667</v>
      </c>
      <c r="H568" s="53">
        <v>46207.51458333333</v>
      </c>
      <c r="I568" s="52">
        <v>7</v>
      </c>
      <c r="J568" s="52" t="s">
        <v>1156</v>
      </c>
      <c r="K568" s="52" t="s">
        <v>1156</v>
      </c>
      <c r="L568" s="52" t="s">
        <v>36</v>
      </c>
      <c r="M568" s="52">
        <v>7</v>
      </c>
      <c r="N568" s="52">
        <v>7</v>
      </c>
      <c r="O568" s="52">
        <v>7</v>
      </c>
      <c r="P568" s="52" t="s">
        <v>9059</v>
      </c>
      <c r="Q568" s="52" t="s">
        <v>1517</v>
      </c>
      <c r="R568" s="52" t="s">
        <v>9426</v>
      </c>
      <c r="S568" s="52">
        <f t="shared" si="8"/>
        <v>1.65</v>
      </c>
      <c r="T568" s="52"/>
      <c r="U568" s="52"/>
    </row>
    <row r="569" spans="1:21" s="46" customFormat="1" ht="16.5" thickTop="1" thickBot="1" x14ac:dyDescent="0.3">
      <c r="A569" s="50" t="s">
        <v>9388</v>
      </c>
      <c r="B569" s="43" t="s">
        <v>9423</v>
      </c>
      <c r="C569" s="43" t="s">
        <v>38</v>
      </c>
      <c r="D569" s="43" t="s">
        <v>17</v>
      </c>
      <c r="E569" s="43" t="s">
        <v>18</v>
      </c>
      <c r="F569" s="43" t="s">
        <v>42</v>
      </c>
      <c r="G569" s="48">
        <v>46206.554861111108</v>
      </c>
      <c r="H569" s="48">
        <v>46213.709722222222</v>
      </c>
      <c r="I569" s="43">
        <v>349</v>
      </c>
      <c r="J569" s="43" t="s">
        <v>1156</v>
      </c>
      <c r="K569" s="43" t="s">
        <v>1156</v>
      </c>
      <c r="L569" s="43" t="s">
        <v>25</v>
      </c>
      <c r="M569" s="43">
        <v>298</v>
      </c>
      <c r="N569" s="43">
        <v>52</v>
      </c>
      <c r="O569" s="43">
        <v>38</v>
      </c>
      <c r="P569" s="43" t="s">
        <v>8786</v>
      </c>
      <c r="Q569" s="43" t="s">
        <v>1517</v>
      </c>
      <c r="R569" s="43" t="s">
        <v>9424</v>
      </c>
      <c r="S569" s="52">
        <f t="shared" si="8"/>
        <v>7.15</v>
      </c>
      <c r="T569" s="47"/>
      <c r="U569" s="47"/>
    </row>
    <row r="570" spans="1:21" ht="16.5" thickTop="1" thickBot="1" x14ac:dyDescent="0.3">
      <c r="A570" s="51" t="s">
        <v>9387</v>
      </c>
      <c r="B570" s="52" t="s">
        <v>9422</v>
      </c>
      <c r="C570" s="52" t="s">
        <v>38</v>
      </c>
      <c r="D570" s="52" t="s">
        <v>17</v>
      </c>
      <c r="E570" s="52" t="s">
        <v>18</v>
      </c>
      <c r="F570" s="52" t="s">
        <v>42</v>
      </c>
      <c r="G570" s="53">
        <v>46206.666666666664</v>
      </c>
      <c r="H570" s="53">
        <v>46217.686111111114</v>
      </c>
      <c r="I570" s="52">
        <v>1</v>
      </c>
      <c r="J570" s="52" t="s">
        <v>2373</v>
      </c>
      <c r="K570" s="52" t="s">
        <v>8317</v>
      </c>
      <c r="L570" s="52" t="s">
        <v>33</v>
      </c>
      <c r="M570" s="52">
        <v>1</v>
      </c>
      <c r="N570" s="52">
        <v>1</v>
      </c>
      <c r="O570" s="52">
        <v>1</v>
      </c>
      <c r="P570" s="52" t="s">
        <v>1470</v>
      </c>
      <c r="Q570" s="52" t="s">
        <v>1517</v>
      </c>
      <c r="R570" s="52"/>
      <c r="S570" s="52">
        <f t="shared" si="8"/>
        <v>11.02</v>
      </c>
      <c r="T570" s="52"/>
      <c r="U570" s="52"/>
    </row>
    <row r="571" spans="1:21" s="46" customFormat="1" ht="16.5" thickTop="1" thickBot="1" x14ac:dyDescent="0.3">
      <c r="A571" s="50" t="s">
        <v>9386</v>
      </c>
      <c r="B571" s="43" t="s">
        <v>9419</v>
      </c>
      <c r="C571" s="43" t="s">
        <v>38</v>
      </c>
      <c r="D571" s="43" t="s">
        <v>17</v>
      </c>
      <c r="E571" s="43" t="s">
        <v>18</v>
      </c>
      <c r="F571" s="43" t="s">
        <v>9199</v>
      </c>
      <c r="G571" s="48">
        <v>46206.706944444442</v>
      </c>
      <c r="H571" s="48">
        <v>46210.722222222219</v>
      </c>
      <c r="I571" s="43">
        <v>267</v>
      </c>
      <c r="J571" s="43" t="s">
        <v>1156</v>
      </c>
      <c r="K571" s="43" t="s">
        <v>8343</v>
      </c>
      <c r="L571" s="43" t="s">
        <v>20</v>
      </c>
      <c r="M571" s="43">
        <v>257</v>
      </c>
      <c r="N571" s="43">
        <v>32</v>
      </c>
      <c r="O571" s="43">
        <v>36</v>
      </c>
      <c r="P571" s="43" t="s">
        <v>9420</v>
      </c>
      <c r="Q571" s="43" t="s">
        <v>1517</v>
      </c>
      <c r="R571" s="43" t="s">
        <v>9421</v>
      </c>
      <c r="S571" s="52">
        <f t="shared" si="8"/>
        <v>4.0199999999999996</v>
      </c>
      <c r="T571" s="47"/>
      <c r="U571" s="47"/>
    </row>
    <row r="572" spans="1:21" ht="16.5" thickTop="1" thickBot="1" x14ac:dyDescent="0.3">
      <c r="A572" s="51" t="s">
        <v>9385</v>
      </c>
      <c r="B572" s="52" t="s">
        <v>9417</v>
      </c>
      <c r="C572" s="52" t="s">
        <v>38</v>
      </c>
      <c r="D572" s="52" t="s">
        <v>17</v>
      </c>
      <c r="E572" s="52" t="s">
        <v>18</v>
      </c>
      <c r="F572" s="52" t="s">
        <v>42</v>
      </c>
      <c r="G572" s="53">
        <v>46206.722222222219</v>
      </c>
      <c r="H572" s="53">
        <v>46210.674305555556</v>
      </c>
      <c r="I572" s="52">
        <v>40</v>
      </c>
      <c r="J572" s="52" t="s">
        <v>1156</v>
      </c>
      <c r="K572" s="52" t="s">
        <v>1156</v>
      </c>
      <c r="L572" s="52" t="s">
        <v>20</v>
      </c>
      <c r="M572" s="52">
        <v>40</v>
      </c>
      <c r="N572" s="52">
        <v>8</v>
      </c>
      <c r="O572" s="52">
        <v>8</v>
      </c>
      <c r="P572" s="52" t="s">
        <v>1427</v>
      </c>
      <c r="Q572" s="52" t="s">
        <v>1517</v>
      </c>
      <c r="R572" s="52" t="s">
        <v>9418</v>
      </c>
      <c r="S572" s="52">
        <f t="shared" si="8"/>
        <v>3.95</v>
      </c>
      <c r="T572" s="52"/>
      <c r="U572" s="52"/>
    </row>
    <row r="573" spans="1:21" s="46" customFormat="1" ht="16.5" thickTop="1" thickBot="1" x14ac:dyDescent="0.3">
      <c r="A573" s="50" t="s">
        <v>9384</v>
      </c>
      <c r="B573" s="43" t="s">
        <v>9415</v>
      </c>
      <c r="C573" s="43" t="s">
        <v>38</v>
      </c>
      <c r="D573" s="43" t="s">
        <v>17</v>
      </c>
      <c r="E573" s="43" t="s">
        <v>18</v>
      </c>
      <c r="F573" s="43" t="s">
        <v>42</v>
      </c>
      <c r="G573" s="48">
        <v>46206.722916666666</v>
      </c>
      <c r="H573" s="48">
        <v>46218.558333333334</v>
      </c>
      <c r="I573" s="43">
        <v>2</v>
      </c>
      <c r="J573" s="43" t="s">
        <v>2373</v>
      </c>
      <c r="K573" s="43" t="s">
        <v>8317</v>
      </c>
      <c r="L573" s="43" t="s">
        <v>33</v>
      </c>
      <c r="M573" s="43">
        <v>2</v>
      </c>
      <c r="N573" s="43">
        <v>2</v>
      </c>
      <c r="O573" s="43">
        <v>2</v>
      </c>
      <c r="P573" s="43" t="s">
        <v>8627</v>
      </c>
      <c r="Q573" s="43" t="s">
        <v>1517</v>
      </c>
      <c r="R573" s="43" t="s">
        <v>9416</v>
      </c>
      <c r="S573" s="52">
        <f t="shared" si="8"/>
        <v>11.84</v>
      </c>
      <c r="T573" s="47"/>
      <c r="U573" s="47"/>
    </row>
    <row r="574" spans="1:21" ht="16.5" thickTop="1" thickBot="1" x14ac:dyDescent="0.3">
      <c r="A574" s="51" t="s">
        <v>9383</v>
      </c>
      <c r="B574" s="52" t="s">
        <v>9313</v>
      </c>
      <c r="C574" s="52" t="s">
        <v>39</v>
      </c>
      <c r="D574" s="52" t="s">
        <v>17</v>
      </c>
      <c r="E574" s="52" t="s">
        <v>18</v>
      </c>
      <c r="F574" s="52" t="s">
        <v>42</v>
      </c>
      <c r="G574" s="53">
        <v>46206.743750000001</v>
      </c>
      <c r="H574" s="53">
        <v>46211.428472222222</v>
      </c>
      <c r="I574" s="52">
        <v>12</v>
      </c>
      <c r="J574" s="52" t="s">
        <v>1156</v>
      </c>
      <c r="K574" s="52" t="s">
        <v>1156</v>
      </c>
      <c r="L574" s="52" t="s">
        <v>33</v>
      </c>
      <c r="M574" s="52">
        <v>0</v>
      </c>
      <c r="N574" s="52">
        <v>0</v>
      </c>
      <c r="O574" s="52">
        <v>12</v>
      </c>
      <c r="P574" s="52" t="s">
        <v>1494</v>
      </c>
      <c r="Q574" s="52" t="s">
        <v>1546</v>
      </c>
      <c r="R574" s="52" t="s">
        <v>9414</v>
      </c>
      <c r="S574" s="52">
        <f t="shared" si="8"/>
        <v>4.68</v>
      </c>
      <c r="T574" s="52"/>
      <c r="U574" s="52"/>
    </row>
    <row r="575" spans="1:21" s="46" customFormat="1" ht="16.5" thickTop="1" thickBot="1" x14ac:dyDescent="0.3">
      <c r="A575" s="50" t="s">
        <v>9382</v>
      </c>
      <c r="B575" s="43" t="s">
        <v>9411</v>
      </c>
      <c r="C575" s="43" t="s">
        <v>38</v>
      </c>
      <c r="D575" s="43" t="s">
        <v>17</v>
      </c>
      <c r="E575" s="43" t="s">
        <v>18</v>
      </c>
      <c r="F575" s="43" t="s">
        <v>42</v>
      </c>
      <c r="G575" s="48">
        <v>46206.749305555553</v>
      </c>
      <c r="H575" s="48">
        <v>46212.574999999997</v>
      </c>
      <c r="I575" s="43">
        <v>578</v>
      </c>
      <c r="J575" s="43" t="s">
        <v>1156</v>
      </c>
      <c r="K575" s="43" t="s">
        <v>1156</v>
      </c>
      <c r="L575" s="43" t="s">
        <v>25</v>
      </c>
      <c r="M575" s="43">
        <v>386</v>
      </c>
      <c r="N575" s="43">
        <v>76</v>
      </c>
      <c r="O575" s="43">
        <v>102</v>
      </c>
      <c r="P575" s="43" t="s">
        <v>9412</v>
      </c>
      <c r="Q575" s="43" t="s">
        <v>1517</v>
      </c>
      <c r="R575" s="43" t="s">
        <v>9413</v>
      </c>
      <c r="S575" s="52">
        <f t="shared" si="8"/>
        <v>5.83</v>
      </c>
      <c r="T575" s="47"/>
      <c r="U575" s="47"/>
    </row>
    <row r="576" spans="1:21" ht="16.5" thickTop="1" thickBot="1" x14ac:dyDescent="0.3">
      <c r="A576" s="51" t="s">
        <v>9381</v>
      </c>
      <c r="B576" s="52" t="s">
        <v>8918</v>
      </c>
      <c r="C576" s="52" t="s">
        <v>38</v>
      </c>
      <c r="D576" s="52" t="s">
        <v>17</v>
      </c>
      <c r="E576" s="52" t="s">
        <v>18</v>
      </c>
      <c r="F576" s="52" t="s">
        <v>42</v>
      </c>
      <c r="G576" s="53">
        <v>46206.804166666669</v>
      </c>
      <c r="H576" s="53">
        <v>46218.681250000001</v>
      </c>
      <c r="I576" s="52">
        <v>6</v>
      </c>
      <c r="J576" s="52" t="s">
        <v>2373</v>
      </c>
      <c r="K576" s="52" t="s">
        <v>8317</v>
      </c>
      <c r="L576" s="52" t="s">
        <v>33</v>
      </c>
      <c r="M576" s="52">
        <v>6</v>
      </c>
      <c r="N576" s="52">
        <v>6</v>
      </c>
      <c r="O576" s="52">
        <v>6</v>
      </c>
      <c r="P576" s="52" t="s">
        <v>8503</v>
      </c>
      <c r="Q576" s="52" t="s">
        <v>1517</v>
      </c>
      <c r="R576" s="52" t="s">
        <v>9410</v>
      </c>
      <c r="S576" s="52">
        <f t="shared" si="8"/>
        <v>11.88</v>
      </c>
      <c r="T576" s="52"/>
      <c r="U576" s="52"/>
    </row>
    <row r="577" spans="1:21" s="46" customFormat="1" ht="16.5" thickTop="1" thickBot="1" x14ac:dyDescent="0.3">
      <c r="A577" s="50" t="s">
        <v>9653</v>
      </c>
      <c r="B577" s="43" t="s">
        <v>9654</v>
      </c>
      <c r="C577" s="43" t="s">
        <v>38</v>
      </c>
      <c r="D577" s="43" t="s">
        <v>17</v>
      </c>
      <c r="E577" s="43" t="s">
        <v>18</v>
      </c>
      <c r="F577" s="43" t="s">
        <v>42</v>
      </c>
      <c r="G577" s="48">
        <v>46209.464583333334</v>
      </c>
      <c r="H577" s="48">
        <v>46213.717361111114</v>
      </c>
      <c r="I577" s="43">
        <v>257</v>
      </c>
      <c r="J577" s="43" t="s">
        <v>1156</v>
      </c>
      <c r="K577" s="43" t="s">
        <v>1156</v>
      </c>
      <c r="L577" s="43" t="s">
        <v>36</v>
      </c>
      <c r="M577" s="43">
        <v>257</v>
      </c>
      <c r="N577" s="43">
        <v>257</v>
      </c>
      <c r="O577" s="43">
        <v>257</v>
      </c>
      <c r="P577" s="43" t="s">
        <v>9655</v>
      </c>
      <c r="Q577" s="43" t="s">
        <v>1517</v>
      </c>
      <c r="R577" s="43" t="s">
        <v>9656</v>
      </c>
      <c r="S577" s="52">
        <f t="shared" si="8"/>
        <v>4.25</v>
      </c>
      <c r="T577" s="47"/>
      <c r="U577" s="47"/>
    </row>
    <row r="578" spans="1:21" ht="16.5" thickTop="1" thickBot="1" x14ac:dyDescent="0.3">
      <c r="A578" s="51" t="s">
        <v>9649</v>
      </c>
      <c r="B578" s="52" t="s">
        <v>9650</v>
      </c>
      <c r="C578" s="52" t="s">
        <v>38</v>
      </c>
      <c r="D578" s="52" t="s">
        <v>17</v>
      </c>
      <c r="E578" s="52" t="s">
        <v>19</v>
      </c>
      <c r="F578" s="52" t="s">
        <v>42</v>
      </c>
      <c r="G578" s="53">
        <v>46209.469444444447</v>
      </c>
      <c r="H578" s="53">
        <v>46225.563888888886</v>
      </c>
      <c r="I578" s="52">
        <v>10</v>
      </c>
      <c r="J578" s="52" t="s">
        <v>2373</v>
      </c>
      <c r="K578" s="52" t="s">
        <v>8315</v>
      </c>
      <c r="L578" s="52" t="s">
        <v>33</v>
      </c>
      <c r="M578" s="52">
        <v>10</v>
      </c>
      <c r="N578" s="52">
        <v>10</v>
      </c>
      <c r="O578" s="52">
        <v>10</v>
      </c>
      <c r="P578" s="52" t="s">
        <v>9651</v>
      </c>
      <c r="Q578" s="52" t="s">
        <v>1514</v>
      </c>
      <c r="R578" s="52" t="s">
        <v>9652</v>
      </c>
      <c r="S578" s="52">
        <f t="shared" ref="S578:S641" si="9">IF(OR(G578="",H578=""),"",ROUND(H578-G578,2))</f>
        <v>16.09</v>
      </c>
      <c r="T578" s="52"/>
      <c r="U578" s="52"/>
    </row>
    <row r="579" spans="1:21" s="46" customFormat="1" ht="16.5" thickTop="1" thickBot="1" x14ac:dyDescent="0.3">
      <c r="A579" s="50" t="s">
        <v>9645</v>
      </c>
      <c r="B579" s="43" t="s">
        <v>9646</v>
      </c>
      <c r="C579" s="43" t="s">
        <v>38</v>
      </c>
      <c r="D579" s="43" t="s">
        <v>17</v>
      </c>
      <c r="E579" s="43" t="s">
        <v>18</v>
      </c>
      <c r="F579" s="43" t="s">
        <v>42</v>
      </c>
      <c r="G579" s="48">
        <v>46209.602777777778</v>
      </c>
      <c r="H579" s="48">
        <v>46219.515277777777</v>
      </c>
      <c r="I579" s="43">
        <v>737</v>
      </c>
      <c r="J579" s="43" t="s">
        <v>1156</v>
      </c>
      <c r="K579" s="43" t="s">
        <v>1156</v>
      </c>
      <c r="L579" s="43" t="s">
        <v>25</v>
      </c>
      <c r="M579" s="43">
        <v>737</v>
      </c>
      <c r="N579" s="43">
        <v>90</v>
      </c>
      <c r="O579" s="43">
        <v>62</v>
      </c>
      <c r="P579" s="43" t="s">
        <v>9647</v>
      </c>
      <c r="Q579" s="43" t="s">
        <v>1517</v>
      </c>
      <c r="R579" s="43" t="s">
        <v>9648</v>
      </c>
      <c r="S579" s="52">
        <f t="shared" si="9"/>
        <v>9.91</v>
      </c>
      <c r="T579" s="47"/>
      <c r="U579" s="47"/>
    </row>
    <row r="580" spans="1:21" ht="16.5" thickTop="1" thickBot="1" x14ac:dyDescent="0.3">
      <c r="A580" s="51" t="s">
        <v>9643</v>
      </c>
      <c r="B580" s="52" t="s">
        <v>9644</v>
      </c>
      <c r="C580" s="52" t="s">
        <v>38</v>
      </c>
      <c r="D580" s="52" t="s">
        <v>17</v>
      </c>
      <c r="E580" s="52" t="s">
        <v>18</v>
      </c>
      <c r="F580" s="52" t="s">
        <v>28</v>
      </c>
      <c r="G580" s="53">
        <v>46209.637499999997</v>
      </c>
      <c r="H580" s="53">
        <v>46217.679166666669</v>
      </c>
      <c r="I580" s="52">
        <v>28</v>
      </c>
      <c r="J580" s="52" t="s">
        <v>2373</v>
      </c>
      <c r="K580" s="52" t="s">
        <v>8326</v>
      </c>
      <c r="L580" s="52" t="s">
        <v>20</v>
      </c>
      <c r="M580" s="52">
        <v>12</v>
      </c>
      <c r="N580" s="52">
        <v>12</v>
      </c>
      <c r="O580" s="52">
        <v>5</v>
      </c>
      <c r="P580" s="52" t="s">
        <v>8774</v>
      </c>
      <c r="Q580" s="52" t="s">
        <v>1514</v>
      </c>
      <c r="R580" s="52"/>
      <c r="S580" s="52">
        <f t="shared" si="9"/>
        <v>8.0399999999999991</v>
      </c>
      <c r="T580" s="52"/>
      <c r="U580" s="52"/>
    </row>
    <row r="581" spans="1:21" s="46" customFormat="1" ht="16.5" thickTop="1" thickBot="1" x14ac:dyDescent="0.3">
      <c r="A581" s="50" t="s">
        <v>9640</v>
      </c>
      <c r="B581" s="43" t="s">
        <v>9641</v>
      </c>
      <c r="C581" s="43" t="s">
        <v>38</v>
      </c>
      <c r="D581" s="43" t="s">
        <v>17</v>
      </c>
      <c r="E581" s="43" t="s">
        <v>18</v>
      </c>
      <c r="F581" s="43" t="s">
        <v>42</v>
      </c>
      <c r="G581" s="48">
        <v>46209.694444444445</v>
      </c>
      <c r="H581" s="48">
        <v>46218.655555555553</v>
      </c>
      <c r="I581" s="43">
        <v>52</v>
      </c>
      <c r="J581" s="43" t="s">
        <v>2373</v>
      </c>
      <c r="K581" s="43" t="s">
        <v>8317</v>
      </c>
      <c r="L581" s="43" t="s">
        <v>33</v>
      </c>
      <c r="M581" s="43">
        <v>34</v>
      </c>
      <c r="N581" s="43">
        <v>34</v>
      </c>
      <c r="O581" s="43">
        <v>52</v>
      </c>
      <c r="P581" s="43" t="s">
        <v>9364</v>
      </c>
      <c r="Q581" s="43" t="s">
        <v>1514</v>
      </c>
      <c r="R581" s="43" t="s">
        <v>9642</v>
      </c>
      <c r="S581" s="52">
        <f t="shared" si="9"/>
        <v>8.9600000000000009</v>
      </c>
      <c r="T581" s="47"/>
      <c r="U581" s="47"/>
    </row>
    <row r="582" spans="1:21" ht="16.5" thickTop="1" thickBot="1" x14ac:dyDescent="0.3">
      <c r="A582" s="51" t="s">
        <v>9637</v>
      </c>
      <c r="B582" s="52" t="s">
        <v>9638</v>
      </c>
      <c r="C582" s="52" t="s">
        <v>38</v>
      </c>
      <c r="D582" s="52" t="s">
        <v>17</v>
      </c>
      <c r="E582" s="52" t="s">
        <v>18</v>
      </c>
      <c r="F582" s="52" t="s">
        <v>42</v>
      </c>
      <c r="G582" s="53">
        <v>46209.701388888891</v>
      </c>
      <c r="H582" s="53">
        <v>46217.694444444445</v>
      </c>
      <c r="I582" s="52">
        <v>1</v>
      </c>
      <c r="J582" s="52" t="s">
        <v>2373</v>
      </c>
      <c r="K582" s="52" t="s">
        <v>8317</v>
      </c>
      <c r="L582" s="52" t="s">
        <v>33</v>
      </c>
      <c r="M582" s="52">
        <v>1</v>
      </c>
      <c r="N582" s="52">
        <v>1</v>
      </c>
      <c r="O582" s="52">
        <v>1</v>
      </c>
      <c r="P582" s="52" t="s">
        <v>8450</v>
      </c>
      <c r="Q582" s="52" t="s">
        <v>1517</v>
      </c>
      <c r="R582" s="52" t="s">
        <v>9639</v>
      </c>
      <c r="S582" s="52">
        <f t="shared" si="9"/>
        <v>7.99</v>
      </c>
      <c r="T582" s="52"/>
      <c r="U582" s="52"/>
    </row>
    <row r="583" spans="1:21" s="46" customFormat="1" ht="16.5" thickTop="1" thickBot="1" x14ac:dyDescent="0.3">
      <c r="A583" s="50" t="s">
        <v>9632</v>
      </c>
      <c r="B583" s="43" t="s">
        <v>9633</v>
      </c>
      <c r="C583" s="43" t="s">
        <v>38</v>
      </c>
      <c r="D583" s="43" t="s">
        <v>17</v>
      </c>
      <c r="E583" s="43" t="s">
        <v>18</v>
      </c>
      <c r="F583" s="43" t="s">
        <v>42</v>
      </c>
      <c r="G583" s="48">
        <v>46209.707638888889</v>
      </c>
      <c r="H583" s="48">
        <v>46210.647916666669</v>
      </c>
      <c r="I583" s="43">
        <v>4</v>
      </c>
      <c r="J583" s="43" t="s">
        <v>1156</v>
      </c>
      <c r="K583" s="43" t="s">
        <v>1156</v>
      </c>
      <c r="L583" s="43" t="s">
        <v>33</v>
      </c>
      <c r="M583" s="43">
        <v>4</v>
      </c>
      <c r="N583" s="43">
        <v>4</v>
      </c>
      <c r="O583" s="43">
        <v>4</v>
      </c>
      <c r="P583" s="43" t="s">
        <v>9634</v>
      </c>
      <c r="Q583" s="43" t="s">
        <v>1517</v>
      </c>
      <c r="R583" s="43" t="s">
        <v>9635</v>
      </c>
      <c r="S583" s="52">
        <f t="shared" si="9"/>
        <v>0.94</v>
      </c>
      <c r="T583" s="47"/>
      <c r="U583" s="47"/>
    </row>
    <row r="584" spans="1:21" ht="16.5" thickTop="1" thickBot="1" x14ac:dyDescent="0.3">
      <c r="A584" s="51" t="s">
        <v>9628</v>
      </c>
      <c r="B584" s="52" t="s">
        <v>9629</v>
      </c>
      <c r="C584" s="52" t="s">
        <v>38</v>
      </c>
      <c r="D584" s="52" t="s">
        <v>17</v>
      </c>
      <c r="E584" s="52" t="s">
        <v>18</v>
      </c>
      <c r="F584" s="52" t="s">
        <v>42</v>
      </c>
      <c r="G584" s="53">
        <v>46209.709027777775</v>
      </c>
      <c r="H584" s="53">
        <v>46211.507638888892</v>
      </c>
      <c r="I584" s="52">
        <v>10</v>
      </c>
      <c r="J584" s="52" t="s">
        <v>1156</v>
      </c>
      <c r="K584" s="52" t="s">
        <v>1156</v>
      </c>
      <c r="L584" s="52" t="s">
        <v>33</v>
      </c>
      <c r="M584" s="52">
        <v>10</v>
      </c>
      <c r="N584" s="52">
        <v>10</v>
      </c>
      <c r="O584" s="52">
        <v>10</v>
      </c>
      <c r="P584" s="52" t="s">
        <v>9630</v>
      </c>
      <c r="Q584" s="52" t="s">
        <v>1517</v>
      </c>
      <c r="R584" s="52" t="s">
        <v>9631</v>
      </c>
      <c r="S584" s="52">
        <f t="shared" si="9"/>
        <v>1.8</v>
      </c>
      <c r="T584" s="52"/>
      <c r="U584" s="52"/>
    </row>
    <row r="585" spans="1:21" s="46" customFormat="1" ht="16.5" thickTop="1" thickBot="1" x14ac:dyDescent="0.3">
      <c r="A585" s="50" t="s">
        <v>9624</v>
      </c>
      <c r="B585" s="43" t="s">
        <v>9625</v>
      </c>
      <c r="C585" s="43" t="s">
        <v>38</v>
      </c>
      <c r="D585" s="43" t="s">
        <v>17</v>
      </c>
      <c r="E585" s="43" t="s">
        <v>18</v>
      </c>
      <c r="F585" s="43" t="s">
        <v>42</v>
      </c>
      <c r="G585" s="48">
        <v>46209.743750000001</v>
      </c>
      <c r="H585" s="48">
        <v>46214.643750000003</v>
      </c>
      <c r="I585" s="43">
        <v>40</v>
      </c>
      <c r="J585" s="43" t="s">
        <v>1156</v>
      </c>
      <c r="K585" s="43" t="s">
        <v>1156</v>
      </c>
      <c r="L585" s="43" t="s">
        <v>33</v>
      </c>
      <c r="M585" s="43">
        <v>36</v>
      </c>
      <c r="N585" s="43">
        <v>36</v>
      </c>
      <c r="O585" s="43">
        <v>40</v>
      </c>
      <c r="P585" s="43" t="s">
        <v>9626</v>
      </c>
      <c r="Q585" s="43" t="s">
        <v>1514</v>
      </c>
      <c r="R585" s="43" t="s">
        <v>9627</v>
      </c>
      <c r="S585" s="52">
        <f t="shared" si="9"/>
        <v>4.9000000000000004</v>
      </c>
      <c r="T585" s="47"/>
      <c r="U585" s="47"/>
    </row>
    <row r="586" spans="1:21" ht="16.5" thickTop="1" thickBot="1" x14ac:dyDescent="0.3">
      <c r="A586" s="51" t="s">
        <v>9620</v>
      </c>
      <c r="B586" s="52" t="s">
        <v>9621</v>
      </c>
      <c r="C586" s="52" t="s">
        <v>38</v>
      </c>
      <c r="D586" s="52" t="s">
        <v>17</v>
      </c>
      <c r="E586" s="52" t="s">
        <v>18</v>
      </c>
      <c r="F586" s="52" t="s">
        <v>42</v>
      </c>
      <c r="G586" s="53">
        <v>46209.763888888891</v>
      </c>
      <c r="H586" s="53">
        <v>46218.751388888886</v>
      </c>
      <c r="I586" s="52">
        <v>44</v>
      </c>
      <c r="J586" s="52" t="s">
        <v>1156</v>
      </c>
      <c r="K586" s="52" t="s">
        <v>1156</v>
      </c>
      <c r="L586" s="52" t="s">
        <v>33</v>
      </c>
      <c r="M586" s="52">
        <v>21</v>
      </c>
      <c r="N586" s="52">
        <v>21</v>
      </c>
      <c r="O586" s="52">
        <v>44</v>
      </c>
      <c r="P586" s="52" t="s">
        <v>9622</v>
      </c>
      <c r="Q586" s="52" t="s">
        <v>1517</v>
      </c>
      <c r="R586" s="52" t="s">
        <v>9623</v>
      </c>
      <c r="S586" s="52">
        <f t="shared" si="9"/>
        <v>8.99</v>
      </c>
      <c r="T586" s="52"/>
      <c r="U586" s="52"/>
    </row>
    <row r="587" spans="1:21" s="46" customFormat="1" ht="16.5" thickTop="1" thickBot="1" x14ac:dyDescent="0.3">
      <c r="A587" s="50" t="s">
        <v>9617</v>
      </c>
      <c r="B587" s="43" t="s">
        <v>9618</v>
      </c>
      <c r="C587" s="43" t="s">
        <v>38</v>
      </c>
      <c r="D587" s="43" t="s">
        <v>17</v>
      </c>
      <c r="E587" s="43" t="s">
        <v>18</v>
      </c>
      <c r="F587" s="43" t="s">
        <v>42</v>
      </c>
      <c r="G587" s="48">
        <v>46210.552083333336</v>
      </c>
      <c r="H587" s="48">
        <v>46212.594444444447</v>
      </c>
      <c r="I587" s="43">
        <v>4</v>
      </c>
      <c r="J587" s="43" t="s">
        <v>1156</v>
      </c>
      <c r="K587" s="43" t="s">
        <v>1156</v>
      </c>
      <c r="L587" s="43" t="s">
        <v>33</v>
      </c>
      <c r="M587" s="43">
        <v>3</v>
      </c>
      <c r="N587" s="43">
        <v>3</v>
      </c>
      <c r="O587" s="43">
        <v>4</v>
      </c>
      <c r="P587" s="43" t="s">
        <v>1417</v>
      </c>
      <c r="Q587" s="43" t="s">
        <v>1517</v>
      </c>
      <c r="R587" s="43" t="s">
        <v>9619</v>
      </c>
      <c r="S587" s="52">
        <f t="shared" si="9"/>
        <v>2.04</v>
      </c>
      <c r="T587" s="47"/>
      <c r="U587" s="47"/>
    </row>
    <row r="588" spans="1:21" ht="16.5" thickTop="1" thickBot="1" x14ac:dyDescent="0.3">
      <c r="A588" s="51" t="s">
        <v>9613</v>
      </c>
      <c r="B588" s="52" t="s">
        <v>9614</v>
      </c>
      <c r="C588" s="52" t="s">
        <v>38</v>
      </c>
      <c r="D588" s="52" t="s">
        <v>17</v>
      </c>
      <c r="E588" s="52" t="s">
        <v>18</v>
      </c>
      <c r="F588" s="52" t="s">
        <v>42</v>
      </c>
      <c r="G588" s="53">
        <v>46210.617361111108</v>
      </c>
      <c r="H588" s="53">
        <v>46216.552083333336</v>
      </c>
      <c r="I588" s="52">
        <v>25</v>
      </c>
      <c r="J588" s="52" t="s">
        <v>1156</v>
      </c>
      <c r="K588" s="52" t="s">
        <v>1156</v>
      </c>
      <c r="L588" s="52" t="s">
        <v>33</v>
      </c>
      <c r="M588" s="52">
        <v>24</v>
      </c>
      <c r="N588" s="52">
        <v>24</v>
      </c>
      <c r="O588" s="52">
        <v>25</v>
      </c>
      <c r="P588" s="52" t="s">
        <v>9615</v>
      </c>
      <c r="Q588" s="52" t="s">
        <v>1517</v>
      </c>
      <c r="R588" s="52" t="s">
        <v>9616</v>
      </c>
      <c r="S588" s="52">
        <f t="shared" si="9"/>
        <v>5.93</v>
      </c>
      <c r="T588" s="52"/>
      <c r="U588" s="52"/>
    </row>
    <row r="589" spans="1:21" s="46" customFormat="1" ht="16.5" thickTop="1" thickBot="1" x14ac:dyDescent="0.3">
      <c r="A589" s="50" t="s">
        <v>9610</v>
      </c>
      <c r="B589" s="43" t="s">
        <v>9611</v>
      </c>
      <c r="C589" s="43" t="s">
        <v>38</v>
      </c>
      <c r="D589" s="43" t="s">
        <v>17</v>
      </c>
      <c r="E589" s="43" t="s">
        <v>18</v>
      </c>
      <c r="F589" s="43" t="s">
        <v>42</v>
      </c>
      <c r="G589" s="48">
        <v>46210.619444444441</v>
      </c>
      <c r="H589" s="48">
        <v>46211.408333333333</v>
      </c>
      <c r="I589" s="43">
        <v>8</v>
      </c>
      <c r="J589" s="43" t="s">
        <v>1156</v>
      </c>
      <c r="K589" s="43" t="s">
        <v>1156</v>
      </c>
      <c r="L589" s="43" t="s">
        <v>33</v>
      </c>
      <c r="M589" s="43">
        <v>8</v>
      </c>
      <c r="N589" s="43">
        <v>8</v>
      </c>
      <c r="O589" s="43">
        <v>8</v>
      </c>
      <c r="P589" s="43" t="s">
        <v>1485</v>
      </c>
      <c r="Q589" s="43" t="s">
        <v>1546</v>
      </c>
      <c r="R589" s="43" t="s">
        <v>9612</v>
      </c>
      <c r="S589" s="52">
        <f t="shared" si="9"/>
        <v>0.79</v>
      </c>
      <c r="T589" s="47"/>
      <c r="U589" s="47"/>
    </row>
    <row r="590" spans="1:21" ht="16.5" thickTop="1" thickBot="1" x14ac:dyDescent="0.3">
      <c r="A590" s="51" t="s">
        <v>9606</v>
      </c>
      <c r="B590" s="52" t="s">
        <v>9607</v>
      </c>
      <c r="C590" s="52" t="s">
        <v>39</v>
      </c>
      <c r="D590" s="52" t="s">
        <v>17</v>
      </c>
      <c r="E590" s="52" t="s">
        <v>18</v>
      </c>
      <c r="F590" s="52" t="s">
        <v>42</v>
      </c>
      <c r="G590" s="53">
        <v>46210.62222222222</v>
      </c>
      <c r="H590" s="53">
        <v>46216.407638888886</v>
      </c>
      <c r="I590" s="52">
        <v>14</v>
      </c>
      <c r="J590" s="52" t="s">
        <v>1156</v>
      </c>
      <c r="K590" s="52" t="s">
        <v>1156</v>
      </c>
      <c r="L590" s="52" t="s">
        <v>33</v>
      </c>
      <c r="M590" s="52">
        <v>0</v>
      </c>
      <c r="N590" s="52">
        <v>0</v>
      </c>
      <c r="O590" s="52">
        <v>14</v>
      </c>
      <c r="P590" s="52" t="s">
        <v>9608</v>
      </c>
      <c r="Q590" s="52" t="s">
        <v>1517</v>
      </c>
      <c r="R590" s="52" t="s">
        <v>9609</v>
      </c>
      <c r="S590" s="52">
        <f t="shared" si="9"/>
        <v>5.79</v>
      </c>
      <c r="T590" s="52"/>
      <c r="U590" s="52"/>
    </row>
    <row r="591" spans="1:21" s="46" customFormat="1" ht="16.5" thickTop="1" thickBot="1" x14ac:dyDescent="0.3">
      <c r="A591" s="50" t="s">
        <v>9603</v>
      </c>
      <c r="B591" s="43" t="s">
        <v>9604</v>
      </c>
      <c r="C591" s="43" t="s">
        <v>38</v>
      </c>
      <c r="D591" s="43" t="s">
        <v>17</v>
      </c>
      <c r="E591" s="43" t="s">
        <v>18</v>
      </c>
      <c r="F591" s="43" t="s">
        <v>19</v>
      </c>
      <c r="G591" s="48">
        <v>46210.623611111114</v>
      </c>
      <c r="H591" s="48">
        <v>46214.65347222222</v>
      </c>
      <c r="I591" s="43">
        <v>457</v>
      </c>
      <c r="J591" s="43" t="s">
        <v>1156</v>
      </c>
      <c r="K591" s="43" t="s">
        <v>1156</v>
      </c>
      <c r="L591" s="43" t="s">
        <v>25</v>
      </c>
      <c r="M591" s="43">
        <v>457</v>
      </c>
      <c r="N591" s="43">
        <v>102</v>
      </c>
      <c r="O591" s="43">
        <v>102</v>
      </c>
      <c r="P591" s="43" t="s">
        <v>9053</v>
      </c>
      <c r="Q591" s="43" t="s">
        <v>1517</v>
      </c>
      <c r="R591" s="43" t="s">
        <v>9605</v>
      </c>
      <c r="S591" s="52">
        <f t="shared" si="9"/>
        <v>4.03</v>
      </c>
      <c r="T591" s="47"/>
      <c r="U591" s="47"/>
    </row>
    <row r="592" spans="1:21" ht="16.5" thickTop="1" thickBot="1" x14ac:dyDescent="0.3">
      <c r="A592" s="51" t="s">
        <v>9600</v>
      </c>
      <c r="B592" s="52" t="s">
        <v>9601</v>
      </c>
      <c r="C592" s="52" t="s">
        <v>39</v>
      </c>
      <c r="D592" s="52" t="s">
        <v>17</v>
      </c>
      <c r="E592" s="52" t="s">
        <v>18</v>
      </c>
      <c r="F592" s="52" t="s">
        <v>42</v>
      </c>
      <c r="G592" s="53">
        <v>46210.630555555559</v>
      </c>
      <c r="H592" s="53">
        <v>46230.451388888891</v>
      </c>
      <c r="I592" s="52">
        <v>11</v>
      </c>
      <c r="J592" s="52" t="s">
        <v>2373</v>
      </c>
      <c r="K592" s="52" t="s">
        <v>8317</v>
      </c>
      <c r="L592" s="52" t="s">
        <v>33</v>
      </c>
      <c r="M592" s="52">
        <v>0</v>
      </c>
      <c r="N592" s="52">
        <v>0</v>
      </c>
      <c r="O592" s="52">
        <v>11</v>
      </c>
      <c r="P592" s="52" t="s">
        <v>1346</v>
      </c>
      <c r="Q592" s="52" t="s">
        <v>1517</v>
      </c>
      <c r="R592" s="52" t="s">
        <v>9602</v>
      </c>
      <c r="S592" s="52">
        <f t="shared" si="9"/>
        <v>19.82</v>
      </c>
      <c r="T592" s="52"/>
      <c r="U592" s="52"/>
    </row>
    <row r="593" spans="1:21" s="46" customFormat="1" ht="16.5" thickTop="1" thickBot="1" x14ac:dyDescent="0.3">
      <c r="A593" s="50" t="s">
        <v>9596</v>
      </c>
      <c r="B593" s="43" t="s">
        <v>9597</v>
      </c>
      <c r="C593" s="43" t="s">
        <v>38</v>
      </c>
      <c r="D593" s="43" t="s">
        <v>17</v>
      </c>
      <c r="E593" s="43" t="s">
        <v>18</v>
      </c>
      <c r="F593" s="43" t="s">
        <v>42</v>
      </c>
      <c r="G593" s="48">
        <v>46210.633333333331</v>
      </c>
      <c r="H593" s="48">
        <v>46211.494444444441</v>
      </c>
      <c r="I593" s="43">
        <v>3</v>
      </c>
      <c r="J593" s="43" t="s">
        <v>1156</v>
      </c>
      <c r="K593" s="43" t="s">
        <v>1156</v>
      </c>
      <c r="L593" s="43" t="s">
        <v>33</v>
      </c>
      <c r="M593" s="43">
        <v>3</v>
      </c>
      <c r="N593" s="43">
        <v>3</v>
      </c>
      <c r="O593" s="43">
        <v>3</v>
      </c>
      <c r="P593" s="43" t="s">
        <v>9598</v>
      </c>
      <c r="Q593" s="43" t="s">
        <v>1517</v>
      </c>
      <c r="R593" s="43" t="s">
        <v>9599</v>
      </c>
      <c r="S593" s="52">
        <f t="shared" si="9"/>
        <v>0.86</v>
      </c>
      <c r="T593" s="47"/>
      <c r="U593" s="47"/>
    </row>
    <row r="594" spans="1:21" ht="16.5" thickTop="1" thickBot="1" x14ac:dyDescent="0.3">
      <c r="A594" s="51" t="s">
        <v>9592</v>
      </c>
      <c r="B594" s="52" t="s">
        <v>9593</v>
      </c>
      <c r="C594" s="52" t="s">
        <v>38</v>
      </c>
      <c r="D594" s="52" t="s">
        <v>17</v>
      </c>
      <c r="E594" s="52" t="s">
        <v>18</v>
      </c>
      <c r="F594" s="52" t="s">
        <v>42</v>
      </c>
      <c r="G594" s="53">
        <v>46210.638194444444</v>
      </c>
      <c r="H594" s="53">
        <v>46213.745833333334</v>
      </c>
      <c r="I594" s="52">
        <v>105</v>
      </c>
      <c r="J594" s="52" t="s">
        <v>1156</v>
      </c>
      <c r="K594" s="52" t="s">
        <v>1156</v>
      </c>
      <c r="L594" s="52" t="s">
        <v>25</v>
      </c>
      <c r="M594" s="52">
        <v>100</v>
      </c>
      <c r="N594" s="52">
        <v>20</v>
      </c>
      <c r="O594" s="52">
        <v>21</v>
      </c>
      <c r="P594" s="52" t="s">
        <v>9594</v>
      </c>
      <c r="Q594" s="52" t="s">
        <v>1517</v>
      </c>
      <c r="R594" s="52" t="s">
        <v>9595</v>
      </c>
      <c r="S594" s="52">
        <f t="shared" si="9"/>
        <v>3.11</v>
      </c>
      <c r="T594" s="52"/>
      <c r="U594" s="52"/>
    </row>
    <row r="595" spans="1:21" s="46" customFormat="1" ht="16.5" thickTop="1" thickBot="1" x14ac:dyDescent="0.3">
      <c r="A595" s="50" t="s">
        <v>9589</v>
      </c>
      <c r="B595" s="43" t="s">
        <v>9590</v>
      </c>
      <c r="C595" s="43" t="s">
        <v>38</v>
      </c>
      <c r="D595" s="43" t="s">
        <v>17</v>
      </c>
      <c r="E595" s="43" t="s">
        <v>18</v>
      </c>
      <c r="F595" s="43" t="s">
        <v>42</v>
      </c>
      <c r="G595" s="48">
        <v>46210.65347222222</v>
      </c>
      <c r="H595" s="48">
        <v>46219.645833333336</v>
      </c>
      <c r="I595" s="43">
        <v>2</v>
      </c>
      <c r="J595" s="43" t="s">
        <v>2373</v>
      </c>
      <c r="K595" s="43" t="s">
        <v>8317</v>
      </c>
      <c r="L595" s="43" t="s">
        <v>33</v>
      </c>
      <c r="M595" s="43">
        <v>2</v>
      </c>
      <c r="N595" s="43">
        <v>2</v>
      </c>
      <c r="O595" s="43">
        <v>2</v>
      </c>
      <c r="P595" s="43" t="s">
        <v>8627</v>
      </c>
      <c r="Q595" s="43" t="s">
        <v>1517</v>
      </c>
      <c r="R595" s="43" t="s">
        <v>9591</v>
      </c>
      <c r="S595" s="52">
        <f t="shared" si="9"/>
        <v>8.99</v>
      </c>
      <c r="T595" s="47"/>
      <c r="U595" s="47"/>
    </row>
    <row r="596" spans="1:21" ht="16.5" thickTop="1" thickBot="1" x14ac:dyDescent="0.3">
      <c r="A596" s="51" t="s">
        <v>9586</v>
      </c>
      <c r="B596" s="52" t="s">
        <v>9587</v>
      </c>
      <c r="C596" s="52" t="s">
        <v>38</v>
      </c>
      <c r="D596" s="52" t="s">
        <v>17</v>
      </c>
      <c r="E596" s="52" t="s">
        <v>18</v>
      </c>
      <c r="F596" s="52" t="s">
        <v>42</v>
      </c>
      <c r="G596" s="53">
        <v>46210.666666666664</v>
      </c>
      <c r="H596" s="53">
        <v>46214.665277777778</v>
      </c>
      <c r="I596" s="52">
        <v>192</v>
      </c>
      <c r="J596" s="52" t="s">
        <v>1156</v>
      </c>
      <c r="K596" s="52" t="s">
        <v>1156</v>
      </c>
      <c r="L596" s="52" t="s">
        <v>25</v>
      </c>
      <c r="M596" s="52">
        <v>192</v>
      </c>
      <c r="N596" s="52">
        <v>32</v>
      </c>
      <c r="O596" s="52">
        <v>32</v>
      </c>
      <c r="P596" s="52" t="s">
        <v>9011</v>
      </c>
      <c r="Q596" s="52" t="s">
        <v>1517</v>
      </c>
      <c r="R596" s="52" t="s">
        <v>9588</v>
      </c>
      <c r="S596" s="52">
        <f t="shared" si="9"/>
        <v>4</v>
      </c>
      <c r="T596" s="52"/>
      <c r="U596" s="52"/>
    </row>
    <row r="597" spans="1:21" s="46" customFormat="1" ht="16.5" thickTop="1" thickBot="1" x14ac:dyDescent="0.3">
      <c r="A597" s="50" t="s">
        <v>9582</v>
      </c>
      <c r="B597" s="43" t="s">
        <v>9583</v>
      </c>
      <c r="C597" s="43" t="s">
        <v>38</v>
      </c>
      <c r="D597" s="43" t="s">
        <v>17</v>
      </c>
      <c r="E597" s="43" t="s">
        <v>18</v>
      </c>
      <c r="F597" s="43" t="s">
        <v>19</v>
      </c>
      <c r="G597" s="48">
        <v>46210.744444444441</v>
      </c>
      <c r="H597" s="48">
        <v>46212.604861111111</v>
      </c>
      <c r="I597" s="43">
        <v>46</v>
      </c>
      <c r="J597" s="43" t="s">
        <v>1156</v>
      </c>
      <c r="K597" s="43" t="s">
        <v>1156</v>
      </c>
      <c r="L597" s="43" t="s">
        <v>33</v>
      </c>
      <c r="M597" s="43">
        <v>46</v>
      </c>
      <c r="N597" s="43">
        <v>46</v>
      </c>
      <c r="O597" s="43">
        <v>46</v>
      </c>
      <c r="P597" s="43" t="s">
        <v>9584</v>
      </c>
      <c r="Q597" s="43" t="s">
        <v>1546</v>
      </c>
      <c r="R597" s="43" t="s">
        <v>9585</v>
      </c>
      <c r="S597" s="52">
        <f t="shared" si="9"/>
        <v>1.86</v>
      </c>
      <c r="T597" s="47"/>
      <c r="U597" s="47"/>
    </row>
    <row r="598" spans="1:21" ht="16.5" thickTop="1" thickBot="1" x14ac:dyDescent="0.3">
      <c r="A598" s="51" t="s">
        <v>9578</v>
      </c>
      <c r="B598" s="52" t="s">
        <v>9579</v>
      </c>
      <c r="C598" s="52" t="s">
        <v>38</v>
      </c>
      <c r="D598" s="52" t="s">
        <v>17</v>
      </c>
      <c r="E598" s="52" t="s">
        <v>18</v>
      </c>
      <c r="F598" s="52" t="s">
        <v>42</v>
      </c>
      <c r="G598" s="53">
        <v>46210.830555555556</v>
      </c>
      <c r="H598" s="53">
        <v>46213.753472222219</v>
      </c>
      <c r="I598" s="52">
        <v>6</v>
      </c>
      <c r="J598" s="52" t="s">
        <v>1156</v>
      </c>
      <c r="K598" s="52" t="s">
        <v>1156</v>
      </c>
      <c r="L598" s="52" t="s">
        <v>33</v>
      </c>
      <c r="M598" s="52">
        <v>6</v>
      </c>
      <c r="N598" s="52">
        <v>6</v>
      </c>
      <c r="O598" s="52">
        <v>6</v>
      </c>
      <c r="P598" s="52" t="s">
        <v>9580</v>
      </c>
      <c r="Q598" s="52" t="s">
        <v>1517</v>
      </c>
      <c r="R598" s="52" t="s">
        <v>9581</v>
      </c>
      <c r="S598" s="52">
        <f t="shared" si="9"/>
        <v>2.92</v>
      </c>
      <c r="T598" s="52"/>
      <c r="U598" s="52"/>
    </row>
    <row r="599" spans="1:21" s="46" customFormat="1" ht="16.5" thickTop="1" thickBot="1" x14ac:dyDescent="0.3">
      <c r="A599" s="50" t="s">
        <v>9575</v>
      </c>
      <c r="B599" s="43" t="s">
        <v>9576</v>
      </c>
      <c r="C599" s="43" t="s">
        <v>38</v>
      </c>
      <c r="D599" s="43" t="s">
        <v>17</v>
      </c>
      <c r="E599" s="43" t="s">
        <v>18</v>
      </c>
      <c r="F599" s="43" t="s">
        <v>42</v>
      </c>
      <c r="G599" s="48">
        <v>46210.841666666667</v>
      </c>
      <c r="H599" s="48">
        <v>46213.862500000003</v>
      </c>
      <c r="I599" s="43">
        <v>8</v>
      </c>
      <c r="J599" s="43" t="s">
        <v>2373</v>
      </c>
      <c r="K599" s="43" t="s">
        <v>8317</v>
      </c>
      <c r="L599" s="43" t="s">
        <v>33</v>
      </c>
      <c r="M599" s="43">
        <v>8</v>
      </c>
      <c r="N599" s="43">
        <v>8</v>
      </c>
      <c r="O599" s="43">
        <v>8</v>
      </c>
      <c r="P599" s="43" t="s">
        <v>8450</v>
      </c>
      <c r="Q599" s="43" t="s">
        <v>1517</v>
      </c>
      <c r="R599" s="43" t="s">
        <v>9577</v>
      </c>
      <c r="S599" s="52">
        <f t="shared" si="9"/>
        <v>3.02</v>
      </c>
      <c r="T599" s="47"/>
      <c r="U599" s="47"/>
    </row>
    <row r="600" spans="1:21" ht="16.5" thickTop="1" thickBot="1" x14ac:dyDescent="0.3">
      <c r="A600" s="51" t="s">
        <v>9572</v>
      </c>
      <c r="B600" s="52" t="s">
        <v>9573</v>
      </c>
      <c r="C600" s="52" t="s">
        <v>38</v>
      </c>
      <c r="D600" s="52" t="s">
        <v>17</v>
      </c>
      <c r="E600" s="52" t="s">
        <v>19</v>
      </c>
      <c r="F600" s="52" t="s">
        <v>28</v>
      </c>
      <c r="G600" s="53">
        <v>46211.544444444444</v>
      </c>
      <c r="H600" s="53">
        <v>46212.55</v>
      </c>
      <c r="I600" s="52">
        <v>22</v>
      </c>
      <c r="J600" s="52" t="s">
        <v>2373</v>
      </c>
      <c r="K600" s="52" t="s">
        <v>8317</v>
      </c>
      <c r="L600" s="52" t="s">
        <v>20</v>
      </c>
      <c r="M600" s="52">
        <v>22</v>
      </c>
      <c r="N600" s="52">
        <v>2</v>
      </c>
      <c r="O600" s="52">
        <v>2</v>
      </c>
      <c r="P600" s="52" t="s">
        <v>1341</v>
      </c>
      <c r="Q600" s="52" t="s">
        <v>1517</v>
      </c>
      <c r="R600" s="52" t="s">
        <v>9574</v>
      </c>
      <c r="S600" s="52">
        <f t="shared" si="9"/>
        <v>1.01</v>
      </c>
      <c r="T600" s="52"/>
      <c r="U600" s="52"/>
    </row>
    <row r="601" spans="1:21" s="46" customFormat="1" ht="16.5" thickTop="1" thickBot="1" x14ac:dyDescent="0.3">
      <c r="A601" s="50" t="s">
        <v>9569</v>
      </c>
      <c r="B601" s="43" t="s">
        <v>9570</v>
      </c>
      <c r="C601" s="43" t="s">
        <v>38</v>
      </c>
      <c r="D601" s="43" t="s">
        <v>17</v>
      </c>
      <c r="E601" s="43" t="s">
        <v>18</v>
      </c>
      <c r="F601" s="43" t="s">
        <v>42</v>
      </c>
      <c r="G601" s="48">
        <v>46211.571527777778</v>
      </c>
      <c r="H601" s="48">
        <v>46213.759027777778</v>
      </c>
      <c r="I601" s="43">
        <v>84</v>
      </c>
      <c r="J601" s="43" t="s">
        <v>1156</v>
      </c>
      <c r="K601" s="43" t="s">
        <v>1156</v>
      </c>
      <c r="L601" s="43" t="s">
        <v>20</v>
      </c>
      <c r="M601" s="43">
        <v>84</v>
      </c>
      <c r="N601" s="43">
        <v>14</v>
      </c>
      <c r="O601" s="43">
        <v>14</v>
      </c>
      <c r="P601" s="43" t="s">
        <v>1428</v>
      </c>
      <c r="Q601" s="43" t="s">
        <v>1514</v>
      </c>
      <c r="R601" s="43" t="s">
        <v>9571</v>
      </c>
      <c r="S601" s="52">
        <f t="shared" si="9"/>
        <v>2.19</v>
      </c>
      <c r="T601" s="47"/>
      <c r="U601" s="47"/>
    </row>
    <row r="602" spans="1:21" ht="16.5" thickTop="1" thickBot="1" x14ac:dyDescent="0.3">
      <c r="A602" s="51" t="s">
        <v>9566</v>
      </c>
      <c r="B602" s="52" t="s">
        <v>9567</v>
      </c>
      <c r="C602" s="52" t="s">
        <v>39</v>
      </c>
      <c r="D602" s="52" t="s">
        <v>17</v>
      </c>
      <c r="E602" s="52" t="s">
        <v>18</v>
      </c>
      <c r="F602" s="52" t="s">
        <v>19</v>
      </c>
      <c r="G602" s="53">
        <v>46211.636805555558</v>
      </c>
      <c r="H602" s="53">
        <v>46217.429166666669</v>
      </c>
      <c r="I602" s="52">
        <v>0</v>
      </c>
      <c r="J602" s="52" t="s">
        <v>2373</v>
      </c>
      <c r="K602" s="52" t="s">
        <v>8264</v>
      </c>
      <c r="L602" s="52" t="s">
        <v>20</v>
      </c>
      <c r="M602" s="52">
        <v>0</v>
      </c>
      <c r="N602" s="52">
        <v>0</v>
      </c>
      <c r="O602" s="52"/>
      <c r="P602" s="52" t="s">
        <v>9206</v>
      </c>
      <c r="Q602" s="52" t="s">
        <v>1517</v>
      </c>
      <c r="R602" s="52" t="s">
        <v>9568</v>
      </c>
      <c r="S602" s="52">
        <f t="shared" si="9"/>
        <v>5.79</v>
      </c>
      <c r="T602" s="52"/>
      <c r="U602" s="52"/>
    </row>
    <row r="603" spans="1:21" s="46" customFormat="1" ht="16.5" thickTop="1" thickBot="1" x14ac:dyDescent="0.3">
      <c r="A603" s="50" t="s">
        <v>9562</v>
      </c>
      <c r="B603" s="43" t="s">
        <v>9563</v>
      </c>
      <c r="C603" s="43" t="s">
        <v>38</v>
      </c>
      <c r="D603" s="43" t="s">
        <v>17</v>
      </c>
      <c r="E603" s="43" t="s">
        <v>18</v>
      </c>
      <c r="F603" s="43" t="s">
        <v>42</v>
      </c>
      <c r="G603" s="48">
        <v>46211.655555555553</v>
      </c>
      <c r="H603" s="48">
        <v>46214.690972222219</v>
      </c>
      <c r="I603" s="43">
        <v>38</v>
      </c>
      <c r="J603" s="43" t="s">
        <v>1156</v>
      </c>
      <c r="K603" s="43" t="s">
        <v>1156</v>
      </c>
      <c r="L603" s="43" t="s">
        <v>36</v>
      </c>
      <c r="M603" s="43">
        <v>38</v>
      </c>
      <c r="N603" s="43">
        <v>30</v>
      </c>
      <c r="O603" s="43">
        <v>30</v>
      </c>
      <c r="P603" s="43" t="s">
        <v>9564</v>
      </c>
      <c r="Q603" s="43" t="s">
        <v>1517</v>
      </c>
      <c r="R603" s="43" t="s">
        <v>9565</v>
      </c>
      <c r="S603" s="52">
        <f t="shared" si="9"/>
        <v>3.04</v>
      </c>
      <c r="T603" s="47"/>
      <c r="U603" s="47"/>
    </row>
    <row r="604" spans="1:21" ht="16.5" thickTop="1" thickBot="1" x14ac:dyDescent="0.3">
      <c r="A604" s="51" t="s">
        <v>9559</v>
      </c>
      <c r="B604" s="52" t="s">
        <v>9560</v>
      </c>
      <c r="C604" s="52" t="s">
        <v>38</v>
      </c>
      <c r="D604" s="52" t="s">
        <v>17</v>
      </c>
      <c r="E604" s="52" t="s">
        <v>18</v>
      </c>
      <c r="F604" s="52" t="s">
        <v>42</v>
      </c>
      <c r="G604" s="53">
        <v>46211.658333333333</v>
      </c>
      <c r="H604" s="53">
        <v>46219.522916666669</v>
      </c>
      <c r="I604" s="52">
        <v>19</v>
      </c>
      <c r="J604" s="52" t="s">
        <v>1156</v>
      </c>
      <c r="K604" s="52" t="s">
        <v>1156</v>
      </c>
      <c r="L604" s="52" t="s">
        <v>36</v>
      </c>
      <c r="M604" s="52">
        <v>14</v>
      </c>
      <c r="N604" s="52">
        <v>14</v>
      </c>
      <c r="O604" s="52">
        <v>19</v>
      </c>
      <c r="P604" s="52" t="s">
        <v>8523</v>
      </c>
      <c r="Q604" s="52" t="s">
        <v>1517</v>
      </c>
      <c r="R604" s="52" t="s">
        <v>9561</v>
      </c>
      <c r="S604" s="52">
        <f t="shared" si="9"/>
        <v>7.86</v>
      </c>
      <c r="T604" s="52"/>
      <c r="U604" s="52"/>
    </row>
    <row r="605" spans="1:21" s="46" customFormat="1" ht="16.5" thickTop="1" thickBot="1" x14ac:dyDescent="0.3">
      <c r="A605" s="50" t="s">
        <v>9555</v>
      </c>
      <c r="B605" s="43" t="s">
        <v>9556</v>
      </c>
      <c r="C605" s="43" t="s">
        <v>38</v>
      </c>
      <c r="D605" s="43" t="s">
        <v>17</v>
      </c>
      <c r="E605" s="43" t="s">
        <v>18</v>
      </c>
      <c r="F605" s="43" t="s">
        <v>42</v>
      </c>
      <c r="G605" s="48">
        <v>46211.661805555559</v>
      </c>
      <c r="H605" s="48">
        <v>46213.770138888889</v>
      </c>
      <c r="I605" s="43">
        <v>36</v>
      </c>
      <c r="J605" s="43" t="s">
        <v>1156</v>
      </c>
      <c r="K605" s="43" t="s">
        <v>1156</v>
      </c>
      <c r="L605" s="43" t="s">
        <v>36</v>
      </c>
      <c r="M605" s="43">
        <v>36</v>
      </c>
      <c r="N605" s="43">
        <v>36</v>
      </c>
      <c r="O605" s="43">
        <v>36</v>
      </c>
      <c r="P605" s="43" t="s">
        <v>9557</v>
      </c>
      <c r="Q605" s="43" t="s">
        <v>1517</v>
      </c>
      <c r="R605" s="43" t="s">
        <v>9558</v>
      </c>
      <c r="S605" s="52">
        <f t="shared" si="9"/>
        <v>2.11</v>
      </c>
      <c r="T605" s="47"/>
      <c r="U605" s="47"/>
    </row>
    <row r="606" spans="1:21" ht="16.5" thickTop="1" thickBot="1" x14ac:dyDescent="0.3">
      <c r="A606" s="51" t="s">
        <v>9551</v>
      </c>
      <c r="B606" s="52" t="s">
        <v>9552</v>
      </c>
      <c r="C606" s="52" t="s">
        <v>38</v>
      </c>
      <c r="D606" s="52" t="s">
        <v>17</v>
      </c>
      <c r="E606" s="52" t="s">
        <v>18</v>
      </c>
      <c r="F606" s="52" t="s">
        <v>42</v>
      </c>
      <c r="G606" s="53">
        <v>46212.59652777778</v>
      </c>
      <c r="H606" s="53">
        <v>46216.430555555555</v>
      </c>
      <c r="I606" s="52">
        <v>7</v>
      </c>
      <c r="J606" s="52" t="s">
        <v>1156</v>
      </c>
      <c r="K606" s="52" t="s">
        <v>1156</v>
      </c>
      <c r="L606" s="52" t="s">
        <v>33</v>
      </c>
      <c r="M606" s="52">
        <v>7</v>
      </c>
      <c r="N606" s="52">
        <v>7</v>
      </c>
      <c r="O606" s="52">
        <v>7</v>
      </c>
      <c r="P606" s="52" t="s">
        <v>9553</v>
      </c>
      <c r="Q606" s="52" t="s">
        <v>1517</v>
      </c>
      <c r="R606" s="52" t="s">
        <v>9554</v>
      </c>
      <c r="S606" s="52">
        <f t="shared" si="9"/>
        <v>3.83</v>
      </c>
      <c r="T606" s="52"/>
      <c r="U606" s="52"/>
    </row>
    <row r="607" spans="1:21" s="46" customFormat="1" ht="16.5" thickTop="1" thickBot="1" x14ac:dyDescent="0.3">
      <c r="A607" s="50" t="s">
        <v>9548</v>
      </c>
      <c r="B607" s="43" t="s">
        <v>9549</v>
      </c>
      <c r="C607" s="43" t="s">
        <v>38</v>
      </c>
      <c r="D607" s="43" t="s">
        <v>17</v>
      </c>
      <c r="E607" s="43" t="s">
        <v>21</v>
      </c>
      <c r="F607" s="43" t="s">
        <v>42</v>
      </c>
      <c r="G607" s="48">
        <v>46212.609722222223</v>
      </c>
      <c r="H607" s="48">
        <v>46217.536805555559</v>
      </c>
      <c r="I607" s="43">
        <v>30</v>
      </c>
      <c r="J607" s="43" t="s">
        <v>2373</v>
      </c>
      <c r="K607" s="43" t="s">
        <v>8317</v>
      </c>
      <c r="L607" s="43" t="s">
        <v>20</v>
      </c>
      <c r="M607" s="43">
        <v>6</v>
      </c>
      <c r="N607" s="43">
        <v>6</v>
      </c>
      <c r="O607" s="43">
        <v>6</v>
      </c>
      <c r="P607" s="43" t="s">
        <v>1463</v>
      </c>
      <c r="Q607" s="43" t="s">
        <v>1517</v>
      </c>
      <c r="R607" s="43" t="s">
        <v>9550</v>
      </c>
      <c r="S607" s="52">
        <f t="shared" si="9"/>
        <v>4.93</v>
      </c>
      <c r="T607" s="47"/>
      <c r="U607" s="47"/>
    </row>
    <row r="608" spans="1:21" ht="16.5" thickTop="1" thickBot="1" x14ac:dyDescent="0.3">
      <c r="A608" s="51" t="s">
        <v>9546</v>
      </c>
      <c r="B608" s="52" t="s">
        <v>9547</v>
      </c>
      <c r="C608" s="52" t="s">
        <v>38</v>
      </c>
      <c r="D608" s="52" t="s">
        <v>17</v>
      </c>
      <c r="E608" s="52" t="s">
        <v>18</v>
      </c>
      <c r="F608" s="52" t="s">
        <v>42</v>
      </c>
      <c r="G608" s="53">
        <v>46212.613194444442</v>
      </c>
      <c r="H608" s="53">
        <v>46219.782638888886</v>
      </c>
      <c r="I608" s="52">
        <v>477</v>
      </c>
      <c r="J608" s="52" t="s">
        <v>2373</v>
      </c>
      <c r="K608" s="52" t="s">
        <v>8315</v>
      </c>
      <c r="L608" s="52" t="s">
        <v>33</v>
      </c>
      <c r="M608" s="52">
        <v>477</v>
      </c>
      <c r="N608" s="52">
        <v>477</v>
      </c>
      <c r="O608" s="52">
        <v>477</v>
      </c>
      <c r="P608" s="52" t="s">
        <v>1355</v>
      </c>
      <c r="Q608" s="52" t="s">
        <v>1546</v>
      </c>
      <c r="R608" s="52"/>
      <c r="S608" s="52">
        <f t="shared" si="9"/>
        <v>7.17</v>
      </c>
      <c r="T608" s="52"/>
      <c r="U608" s="52"/>
    </row>
    <row r="609" spans="1:21" s="46" customFormat="1" ht="16.5" thickTop="1" thickBot="1" x14ac:dyDescent="0.3">
      <c r="A609" s="50" t="s">
        <v>9542</v>
      </c>
      <c r="B609" s="43" t="s">
        <v>9543</v>
      </c>
      <c r="C609" s="43" t="s">
        <v>39</v>
      </c>
      <c r="D609" s="43" t="s">
        <v>17</v>
      </c>
      <c r="E609" s="43" t="s">
        <v>18</v>
      </c>
      <c r="F609" s="43" t="s">
        <v>42</v>
      </c>
      <c r="G609" s="48">
        <v>46212.651388888888</v>
      </c>
      <c r="H609" s="48">
        <v>46218.384722222225</v>
      </c>
      <c r="I609" s="43">
        <v>25</v>
      </c>
      <c r="J609" s="43" t="s">
        <v>1156</v>
      </c>
      <c r="K609" s="43" t="s">
        <v>1156</v>
      </c>
      <c r="L609" s="43" t="s">
        <v>33</v>
      </c>
      <c r="M609" s="43">
        <v>0</v>
      </c>
      <c r="N609" s="43">
        <v>0</v>
      </c>
      <c r="O609" s="43">
        <v>25</v>
      </c>
      <c r="P609" s="43" t="s">
        <v>9544</v>
      </c>
      <c r="Q609" s="43" t="s">
        <v>1546</v>
      </c>
      <c r="R609" s="43" t="s">
        <v>9545</v>
      </c>
      <c r="S609" s="52">
        <f t="shared" si="9"/>
        <v>5.73</v>
      </c>
      <c r="T609" s="47"/>
      <c r="U609" s="47"/>
    </row>
    <row r="610" spans="1:21" ht="16.5" thickTop="1" thickBot="1" x14ac:dyDescent="0.3">
      <c r="A610" s="51" t="s">
        <v>9538</v>
      </c>
      <c r="B610" s="52" t="s">
        <v>9539</v>
      </c>
      <c r="C610" s="52" t="s">
        <v>39</v>
      </c>
      <c r="D610" s="52" t="s">
        <v>17</v>
      </c>
      <c r="E610" s="52" t="s">
        <v>18</v>
      </c>
      <c r="F610" s="52" t="s">
        <v>42</v>
      </c>
      <c r="G610" s="53">
        <v>46212.652083333334</v>
      </c>
      <c r="H610" s="53">
        <v>46217.59375</v>
      </c>
      <c r="I610" s="52">
        <v>42</v>
      </c>
      <c r="J610" s="52" t="s">
        <v>1156</v>
      </c>
      <c r="K610" s="52" t="s">
        <v>1156</v>
      </c>
      <c r="L610" s="52" t="s">
        <v>36</v>
      </c>
      <c r="M610" s="52">
        <v>0</v>
      </c>
      <c r="N610" s="52">
        <v>0</v>
      </c>
      <c r="O610" s="52">
        <v>42</v>
      </c>
      <c r="P610" s="52" t="s">
        <v>9540</v>
      </c>
      <c r="Q610" s="52" t="s">
        <v>1517</v>
      </c>
      <c r="R610" s="52" t="s">
        <v>9541</v>
      </c>
      <c r="S610" s="52">
        <f t="shared" si="9"/>
        <v>4.9400000000000004</v>
      </c>
      <c r="T610" s="52"/>
      <c r="U610" s="52"/>
    </row>
    <row r="611" spans="1:21" s="46" customFormat="1" ht="16.5" thickTop="1" thickBot="1" x14ac:dyDescent="0.3">
      <c r="A611" s="50" t="s">
        <v>9535</v>
      </c>
      <c r="B611" s="43" t="s">
        <v>9536</v>
      </c>
      <c r="C611" s="43" t="s">
        <v>39</v>
      </c>
      <c r="D611" s="43" t="s">
        <v>17</v>
      </c>
      <c r="E611" s="43" t="s">
        <v>18</v>
      </c>
      <c r="F611" s="43" t="s">
        <v>42</v>
      </c>
      <c r="G611" s="48">
        <v>46212.665972222225</v>
      </c>
      <c r="H611" s="48">
        <v>46217.436805555553</v>
      </c>
      <c r="I611" s="43">
        <v>8</v>
      </c>
      <c r="J611" s="43" t="s">
        <v>2373</v>
      </c>
      <c r="K611" s="43" t="s">
        <v>8317</v>
      </c>
      <c r="L611" s="43" t="s">
        <v>33</v>
      </c>
      <c r="M611" s="43">
        <v>0</v>
      </c>
      <c r="N611" s="43">
        <v>0</v>
      </c>
      <c r="O611" s="43">
        <v>8</v>
      </c>
      <c r="P611" s="43" t="s">
        <v>1346</v>
      </c>
      <c r="Q611" s="43" t="s">
        <v>1546</v>
      </c>
      <c r="R611" s="43" t="s">
        <v>9537</v>
      </c>
      <c r="S611" s="52">
        <f t="shared" si="9"/>
        <v>4.7699999999999996</v>
      </c>
      <c r="T611" s="47"/>
      <c r="U611" s="47"/>
    </row>
    <row r="612" spans="1:21" ht="16.5" thickTop="1" thickBot="1" x14ac:dyDescent="0.3">
      <c r="A612" s="51" t="s">
        <v>9531</v>
      </c>
      <c r="B612" s="52" t="s">
        <v>9532</v>
      </c>
      <c r="C612" s="52" t="s">
        <v>39</v>
      </c>
      <c r="D612" s="52" t="s">
        <v>17</v>
      </c>
      <c r="E612" s="52" t="s">
        <v>18</v>
      </c>
      <c r="F612" s="52" t="s">
        <v>42</v>
      </c>
      <c r="G612" s="53">
        <v>46212.668055555558</v>
      </c>
      <c r="H612" s="53">
        <v>46217.411111111112</v>
      </c>
      <c r="I612" s="52">
        <v>1</v>
      </c>
      <c r="J612" s="52" t="s">
        <v>1156</v>
      </c>
      <c r="K612" s="52" t="s">
        <v>1156</v>
      </c>
      <c r="L612" s="52" t="s">
        <v>33</v>
      </c>
      <c r="M612" s="52">
        <v>0</v>
      </c>
      <c r="N612" s="52">
        <v>0</v>
      </c>
      <c r="O612" s="52">
        <v>1</v>
      </c>
      <c r="P612" s="52" t="s">
        <v>9533</v>
      </c>
      <c r="Q612" s="52" t="s">
        <v>1517</v>
      </c>
      <c r="R612" s="52" t="s">
        <v>9534</v>
      </c>
      <c r="S612" s="52">
        <f t="shared" si="9"/>
        <v>4.74</v>
      </c>
      <c r="T612" s="52"/>
      <c r="U612" s="52"/>
    </row>
    <row r="613" spans="1:21" s="46" customFormat="1" ht="16.5" thickTop="1" thickBot="1" x14ac:dyDescent="0.3">
      <c r="A613" s="50" t="s">
        <v>9528</v>
      </c>
      <c r="B613" s="43" t="s">
        <v>9529</v>
      </c>
      <c r="C613" s="43" t="s">
        <v>38</v>
      </c>
      <c r="D613" s="43" t="s">
        <v>17</v>
      </c>
      <c r="E613" s="43" t="s">
        <v>18</v>
      </c>
      <c r="F613" s="43" t="s">
        <v>19</v>
      </c>
      <c r="G613" s="48">
        <v>46212.679861111108</v>
      </c>
      <c r="H613" s="48">
        <v>46213.78125</v>
      </c>
      <c r="I613" s="43">
        <v>8</v>
      </c>
      <c r="J613" s="43" t="s">
        <v>1156</v>
      </c>
      <c r="K613" s="43" t="s">
        <v>1156</v>
      </c>
      <c r="L613" s="43" t="s">
        <v>20</v>
      </c>
      <c r="M613" s="43">
        <v>8</v>
      </c>
      <c r="N613" s="43">
        <v>2</v>
      </c>
      <c r="O613" s="43">
        <v>2</v>
      </c>
      <c r="P613" s="43" t="s">
        <v>1287</v>
      </c>
      <c r="Q613" s="43" t="s">
        <v>1517</v>
      </c>
      <c r="R613" s="43" t="s">
        <v>9530</v>
      </c>
      <c r="S613" s="52">
        <f t="shared" si="9"/>
        <v>1.1000000000000001</v>
      </c>
      <c r="T613" s="47"/>
      <c r="U613" s="47"/>
    </row>
    <row r="614" spans="1:21" ht="16.5" thickTop="1" thickBot="1" x14ac:dyDescent="0.3">
      <c r="A614" s="51" t="s">
        <v>9497</v>
      </c>
      <c r="B614" s="52" t="s">
        <v>9498</v>
      </c>
      <c r="C614" s="52" t="s">
        <v>38</v>
      </c>
      <c r="D614" s="52" t="s">
        <v>17</v>
      </c>
      <c r="E614" s="52" t="s">
        <v>18</v>
      </c>
      <c r="F614" s="52" t="s">
        <v>24</v>
      </c>
      <c r="G614" s="53">
        <v>46212.692361111112</v>
      </c>
      <c r="H614" s="53">
        <v>46220.602777777778</v>
      </c>
      <c r="I614" s="52">
        <v>2591</v>
      </c>
      <c r="J614" s="52" t="s">
        <v>2373</v>
      </c>
      <c r="K614" s="52" t="s">
        <v>8317</v>
      </c>
      <c r="L614" s="52" t="s">
        <v>20</v>
      </c>
      <c r="M614" s="52">
        <v>905</v>
      </c>
      <c r="N614" s="52">
        <v>150</v>
      </c>
      <c r="O614" s="52">
        <v>427</v>
      </c>
      <c r="P614" s="52" t="s">
        <v>1414</v>
      </c>
      <c r="Q614" s="52" t="s">
        <v>1517</v>
      </c>
      <c r="R614" s="52"/>
      <c r="S614" s="52">
        <f t="shared" si="9"/>
        <v>7.91</v>
      </c>
      <c r="T614" s="52"/>
      <c r="U614" s="52"/>
    </row>
    <row r="615" spans="1:21" s="46" customFormat="1" ht="16.5" thickTop="1" thickBot="1" x14ac:dyDescent="0.3">
      <c r="A615" s="50" t="s">
        <v>9524</v>
      </c>
      <c r="B615" s="43" t="s">
        <v>9525</v>
      </c>
      <c r="C615" s="43" t="s">
        <v>39</v>
      </c>
      <c r="D615" s="43" t="s">
        <v>17</v>
      </c>
      <c r="E615" s="43" t="s">
        <v>19</v>
      </c>
      <c r="F615" s="43" t="s">
        <v>42</v>
      </c>
      <c r="G615" s="48">
        <v>46213.441666666666</v>
      </c>
      <c r="H615" s="48">
        <v>46219.727083333331</v>
      </c>
      <c r="I615" s="43">
        <v>55</v>
      </c>
      <c r="J615" s="43" t="s">
        <v>1156</v>
      </c>
      <c r="K615" s="43" t="s">
        <v>1156</v>
      </c>
      <c r="L615" s="43" t="s">
        <v>33</v>
      </c>
      <c r="M615" s="43">
        <v>0</v>
      </c>
      <c r="N615" s="43">
        <v>0</v>
      </c>
      <c r="O615" s="43">
        <v>55</v>
      </c>
      <c r="P615" s="43" t="s">
        <v>9526</v>
      </c>
      <c r="Q615" s="43" t="s">
        <v>1514</v>
      </c>
      <c r="R615" s="43" t="s">
        <v>9527</v>
      </c>
      <c r="S615" s="52">
        <f t="shared" si="9"/>
        <v>6.29</v>
      </c>
      <c r="T615" s="47"/>
      <c r="U615" s="47"/>
    </row>
    <row r="616" spans="1:21" ht="16.5" thickTop="1" thickBot="1" x14ac:dyDescent="0.3">
      <c r="A616" s="51" t="s">
        <v>9520</v>
      </c>
      <c r="B616" s="52" t="s">
        <v>9521</v>
      </c>
      <c r="C616" s="52" t="s">
        <v>38</v>
      </c>
      <c r="D616" s="52" t="s">
        <v>22</v>
      </c>
      <c r="E616" s="52" t="s">
        <v>18</v>
      </c>
      <c r="F616" s="52" t="s">
        <v>42</v>
      </c>
      <c r="G616" s="53">
        <v>46213.501388888886</v>
      </c>
      <c r="H616" s="53">
        <v>46216.536111111112</v>
      </c>
      <c r="I616" s="52">
        <v>1</v>
      </c>
      <c r="J616" s="52" t="s">
        <v>1156</v>
      </c>
      <c r="K616" s="52" t="s">
        <v>1156</v>
      </c>
      <c r="L616" s="52" t="s">
        <v>33</v>
      </c>
      <c r="M616" s="52">
        <v>1</v>
      </c>
      <c r="N616" s="52">
        <v>1</v>
      </c>
      <c r="O616" s="52">
        <v>1</v>
      </c>
      <c r="P616" s="52" t="s">
        <v>9522</v>
      </c>
      <c r="Q616" s="52" t="s">
        <v>1546</v>
      </c>
      <c r="R616" s="52" t="s">
        <v>9523</v>
      </c>
      <c r="S616" s="52">
        <f t="shared" si="9"/>
        <v>3.03</v>
      </c>
      <c r="T616" s="52"/>
      <c r="U616" s="52"/>
    </row>
    <row r="617" spans="1:21" s="46" customFormat="1" ht="16.5" thickTop="1" thickBot="1" x14ac:dyDescent="0.3">
      <c r="A617" s="50" t="s">
        <v>9517</v>
      </c>
      <c r="B617" s="43" t="s">
        <v>9518</v>
      </c>
      <c r="C617" s="43" t="s">
        <v>38</v>
      </c>
      <c r="D617" s="43" t="s">
        <v>17</v>
      </c>
      <c r="E617" s="43" t="s">
        <v>19</v>
      </c>
      <c r="F617" s="43" t="s">
        <v>21</v>
      </c>
      <c r="G617" s="48">
        <v>46213.702777777777</v>
      </c>
      <c r="H617" s="48">
        <v>46216.447222222225</v>
      </c>
      <c r="I617" s="43">
        <v>2</v>
      </c>
      <c r="J617" s="43" t="s">
        <v>2373</v>
      </c>
      <c r="K617" s="43" t="s">
        <v>8317</v>
      </c>
      <c r="L617" s="43" t="s">
        <v>33</v>
      </c>
      <c r="M617" s="43">
        <v>2</v>
      </c>
      <c r="N617" s="43">
        <v>2</v>
      </c>
      <c r="O617" s="43">
        <v>2</v>
      </c>
      <c r="P617" s="43" t="s">
        <v>8627</v>
      </c>
      <c r="Q617" s="43" t="s">
        <v>1517</v>
      </c>
      <c r="R617" s="43" t="s">
        <v>9519</v>
      </c>
      <c r="S617" s="52">
        <f t="shared" si="9"/>
        <v>2.74</v>
      </c>
      <c r="T617" s="47"/>
      <c r="U617" s="47"/>
    </row>
    <row r="618" spans="1:21" ht="16.5" thickTop="1" thickBot="1" x14ac:dyDescent="0.3">
      <c r="A618" s="51" t="s">
        <v>9513</v>
      </c>
      <c r="B618" s="52" t="s">
        <v>9514</v>
      </c>
      <c r="C618" s="52" t="s">
        <v>38</v>
      </c>
      <c r="D618" s="52" t="s">
        <v>17</v>
      </c>
      <c r="E618" s="52" t="s">
        <v>19</v>
      </c>
      <c r="F618" s="52" t="s">
        <v>21</v>
      </c>
      <c r="G618" s="53">
        <v>46213.725694444445</v>
      </c>
      <c r="H618" s="53">
        <v>46226.582638888889</v>
      </c>
      <c r="I618" s="52">
        <v>55</v>
      </c>
      <c r="J618" s="52" t="s">
        <v>2373</v>
      </c>
      <c r="K618" s="52" t="s">
        <v>8329</v>
      </c>
      <c r="L618" s="52" t="s">
        <v>25</v>
      </c>
      <c r="M618" s="52">
        <v>55</v>
      </c>
      <c r="N618" s="52">
        <v>55</v>
      </c>
      <c r="O618" s="52">
        <v>55</v>
      </c>
      <c r="P618" s="52" t="s">
        <v>9515</v>
      </c>
      <c r="Q618" s="52" t="s">
        <v>1517</v>
      </c>
      <c r="R618" s="52" t="s">
        <v>9516</v>
      </c>
      <c r="S618" s="52">
        <f t="shared" si="9"/>
        <v>12.86</v>
      </c>
      <c r="T618" s="52"/>
      <c r="U618" s="52"/>
    </row>
    <row r="619" spans="1:21" s="46" customFormat="1" ht="16.5" thickTop="1" thickBot="1" x14ac:dyDescent="0.3">
      <c r="A619" s="50" t="s">
        <v>9510</v>
      </c>
      <c r="B619" s="43" t="s">
        <v>9511</v>
      </c>
      <c r="C619" s="43" t="s">
        <v>38</v>
      </c>
      <c r="D619" s="43" t="s">
        <v>17</v>
      </c>
      <c r="E619" s="43" t="s">
        <v>18</v>
      </c>
      <c r="F619" s="43" t="s">
        <v>42</v>
      </c>
      <c r="G619" s="48">
        <v>46213.765972222223</v>
      </c>
      <c r="H619" s="48">
        <v>46225.604861111111</v>
      </c>
      <c r="I619" s="43">
        <v>102</v>
      </c>
      <c r="J619" s="43" t="s">
        <v>2373</v>
      </c>
      <c r="K619" s="43" t="s">
        <v>8329</v>
      </c>
      <c r="L619" s="43" t="s">
        <v>25</v>
      </c>
      <c r="M619" s="43">
        <v>102</v>
      </c>
      <c r="N619" s="43">
        <v>25</v>
      </c>
      <c r="O619" s="43">
        <v>25</v>
      </c>
      <c r="P619" s="43" t="s">
        <v>1333</v>
      </c>
      <c r="Q619" s="43" t="s">
        <v>1517</v>
      </c>
      <c r="R619" s="43" t="s">
        <v>9512</v>
      </c>
      <c r="S619" s="52">
        <f t="shared" si="9"/>
        <v>11.84</v>
      </c>
      <c r="T619" s="47"/>
      <c r="U619" s="47"/>
    </row>
    <row r="620" spans="1:21" ht="16.5" thickTop="1" thickBot="1" x14ac:dyDescent="0.3">
      <c r="A620" s="51" t="s">
        <v>9507</v>
      </c>
      <c r="B620" s="52" t="s">
        <v>9508</v>
      </c>
      <c r="C620" s="52" t="s">
        <v>39</v>
      </c>
      <c r="D620" s="52" t="s">
        <v>17</v>
      </c>
      <c r="E620" s="52" t="s">
        <v>19</v>
      </c>
      <c r="F620" s="52" t="s">
        <v>19</v>
      </c>
      <c r="G620" s="53">
        <v>46214.407638888886</v>
      </c>
      <c r="H620" s="53">
        <v>46220.474305555559</v>
      </c>
      <c r="I620" s="52">
        <v>2273</v>
      </c>
      <c r="J620" s="52" t="s">
        <v>1156</v>
      </c>
      <c r="K620" s="52" t="s">
        <v>1156</v>
      </c>
      <c r="L620" s="52" t="s">
        <v>20</v>
      </c>
      <c r="M620" s="52">
        <v>0</v>
      </c>
      <c r="N620" s="52">
        <v>0</v>
      </c>
      <c r="O620" s="52">
        <v>288</v>
      </c>
      <c r="P620" s="52" t="s">
        <v>9203</v>
      </c>
      <c r="Q620" s="52" t="s">
        <v>1517</v>
      </c>
      <c r="R620" s="52" t="s">
        <v>9509</v>
      </c>
      <c r="S620" s="52">
        <f t="shared" si="9"/>
        <v>6.07</v>
      </c>
      <c r="T620" s="52"/>
      <c r="U620" s="52"/>
    </row>
    <row r="621" spans="1:21" s="46" customFormat="1" ht="16.5" thickTop="1" thickBot="1" x14ac:dyDescent="0.3">
      <c r="A621" s="50" t="s">
        <v>9504</v>
      </c>
      <c r="B621" s="43" t="s">
        <v>9505</v>
      </c>
      <c r="C621" s="43" t="s">
        <v>38</v>
      </c>
      <c r="D621" s="43" t="s">
        <v>17</v>
      </c>
      <c r="E621" s="43" t="s">
        <v>18</v>
      </c>
      <c r="F621" s="43" t="s">
        <v>19</v>
      </c>
      <c r="G621" s="48">
        <v>46214.709722222222</v>
      </c>
      <c r="H621" s="48">
        <v>46220.63958333333</v>
      </c>
      <c r="I621" s="43">
        <v>181</v>
      </c>
      <c r="J621" s="43" t="s">
        <v>2373</v>
      </c>
      <c r="K621" s="43" t="s">
        <v>8317</v>
      </c>
      <c r="L621" s="43" t="s">
        <v>20</v>
      </c>
      <c r="M621" s="43">
        <v>147</v>
      </c>
      <c r="N621" s="43">
        <v>30</v>
      </c>
      <c r="O621" s="43">
        <v>32</v>
      </c>
      <c r="P621" s="43" t="s">
        <v>8764</v>
      </c>
      <c r="Q621" s="43" t="s">
        <v>1546</v>
      </c>
      <c r="R621" s="43" t="s">
        <v>9506</v>
      </c>
      <c r="S621" s="52">
        <f t="shared" si="9"/>
        <v>5.93</v>
      </c>
      <c r="T621" s="47"/>
      <c r="U621" s="47"/>
    </row>
    <row r="622" spans="1:21" ht="16.5" thickTop="1" thickBot="1" x14ac:dyDescent="0.3">
      <c r="A622" s="51" t="s">
        <v>9773</v>
      </c>
      <c r="B622" s="52" t="s">
        <v>9774</v>
      </c>
      <c r="C622" s="52" t="s">
        <v>38</v>
      </c>
      <c r="D622" s="52" t="s">
        <v>17</v>
      </c>
      <c r="E622" s="52" t="s">
        <v>18</v>
      </c>
      <c r="F622" s="52" t="s">
        <v>42</v>
      </c>
      <c r="G622" s="53">
        <v>46216.442361111112</v>
      </c>
      <c r="H622" s="53">
        <v>46225.786805555559</v>
      </c>
      <c r="I622" s="52">
        <v>133</v>
      </c>
      <c r="J622" s="52" t="s">
        <v>1156</v>
      </c>
      <c r="K622" s="52" t="s">
        <v>1156</v>
      </c>
      <c r="L622" s="52" t="s">
        <v>31</v>
      </c>
      <c r="M622" s="52">
        <v>133</v>
      </c>
      <c r="N622" s="52">
        <v>31</v>
      </c>
      <c r="O622" s="52">
        <v>31</v>
      </c>
      <c r="P622" s="52" t="s">
        <v>9858</v>
      </c>
      <c r="Q622" s="52" t="s">
        <v>1517</v>
      </c>
      <c r="R622" s="52" t="s">
        <v>9859</v>
      </c>
      <c r="S622" s="52">
        <f t="shared" si="9"/>
        <v>9.34</v>
      </c>
      <c r="T622" s="52"/>
      <c r="U622" s="52"/>
    </row>
    <row r="623" spans="1:21" s="46" customFormat="1" ht="16.5" thickTop="1" thickBot="1" x14ac:dyDescent="0.3">
      <c r="A623" s="50" t="s">
        <v>9771</v>
      </c>
      <c r="B623" s="43" t="s">
        <v>9772</v>
      </c>
      <c r="C623" s="43" t="s">
        <v>38</v>
      </c>
      <c r="D623" s="43" t="s">
        <v>17</v>
      </c>
      <c r="E623" s="43" t="s">
        <v>19</v>
      </c>
      <c r="F623" s="43" t="s">
        <v>21</v>
      </c>
      <c r="G623" s="48">
        <v>46216.470833333333</v>
      </c>
      <c r="H623" s="48">
        <v>46221.536111111112</v>
      </c>
      <c r="I623" s="43">
        <v>4</v>
      </c>
      <c r="J623" s="43" t="s">
        <v>1156</v>
      </c>
      <c r="K623" s="43" t="s">
        <v>1156</v>
      </c>
      <c r="L623" s="43" t="s">
        <v>33</v>
      </c>
      <c r="M623" s="43">
        <v>4</v>
      </c>
      <c r="N623" s="43">
        <v>4</v>
      </c>
      <c r="O623" s="43">
        <v>4</v>
      </c>
      <c r="P623" s="43" t="s">
        <v>1490</v>
      </c>
      <c r="Q623" s="43" t="s">
        <v>1514</v>
      </c>
      <c r="R623" s="43" t="s">
        <v>9857</v>
      </c>
      <c r="S623" s="52">
        <f t="shared" si="9"/>
        <v>5.07</v>
      </c>
      <c r="T623" s="47"/>
      <c r="U623" s="47"/>
    </row>
    <row r="624" spans="1:21" ht="16.5" thickTop="1" thickBot="1" x14ac:dyDescent="0.3">
      <c r="A624" s="51" t="s">
        <v>9769</v>
      </c>
      <c r="B624" s="52" t="s">
        <v>9770</v>
      </c>
      <c r="C624" s="52" t="s">
        <v>38</v>
      </c>
      <c r="D624" s="52" t="s">
        <v>17</v>
      </c>
      <c r="E624" s="52" t="s">
        <v>19</v>
      </c>
      <c r="F624" s="52" t="s">
        <v>21</v>
      </c>
      <c r="G624" s="53">
        <v>46216.484722222223</v>
      </c>
      <c r="H624" s="53">
        <v>46218.724999999999</v>
      </c>
      <c r="I624" s="52">
        <v>181</v>
      </c>
      <c r="J624" s="52" t="s">
        <v>2373</v>
      </c>
      <c r="K624" s="52" t="s">
        <v>8264</v>
      </c>
      <c r="L624" s="52" t="s">
        <v>9854</v>
      </c>
      <c r="M624" s="52">
        <v>181</v>
      </c>
      <c r="N624" s="52">
        <v>181</v>
      </c>
      <c r="O624" s="52">
        <v>181</v>
      </c>
      <c r="P624" s="52" t="s">
        <v>9855</v>
      </c>
      <c r="Q624" s="52" t="s">
        <v>1514</v>
      </c>
      <c r="R624" s="52" t="s">
        <v>9856</v>
      </c>
      <c r="S624" s="52">
        <f t="shared" si="9"/>
        <v>2.2400000000000002</v>
      </c>
      <c r="T624" s="52"/>
      <c r="U624" s="52"/>
    </row>
    <row r="625" spans="1:21" s="46" customFormat="1" ht="16.5" thickTop="1" thickBot="1" x14ac:dyDescent="0.3">
      <c r="A625" s="50" t="s">
        <v>9767</v>
      </c>
      <c r="B625" s="43" t="s">
        <v>9768</v>
      </c>
      <c r="C625" s="43" t="s">
        <v>38</v>
      </c>
      <c r="D625" s="43" t="s">
        <v>17</v>
      </c>
      <c r="E625" s="43" t="s">
        <v>19</v>
      </c>
      <c r="F625" s="43" t="s">
        <v>21</v>
      </c>
      <c r="G625" s="48">
        <v>46216.531944444447</v>
      </c>
      <c r="H625" s="48">
        <v>46217.592361111114</v>
      </c>
      <c r="I625" s="43">
        <v>110</v>
      </c>
      <c r="J625" s="43" t="s">
        <v>1156</v>
      </c>
      <c r="K625" s="43" t="s">
        <v>1156</v>
      </c>
      <c r="L625" s="43" t="s">
        <v>20</v>
      </c>
      <c r="M625" s="43">
        <v>110</v>
      </c>
      <c r="N625" s="43">
        <v>5</v>
      </c>
      <c r="O625" s="43">
        <v>5</v>
      </c>
      <c r="P625" s="43" t="s">
        <v>1412</v>
      </c>
      <c r="Q625" s="43" t="s">
        <v>1517</v>
      </c>
      <c r="R625" s="43" t="s">
        <v>9853</v>
      </c>
      <c r="S625" s="52">
        <f t="shared" si="9"/>
        <v>1.06</v>
      </c>
      <c r="T625" s="47"/>
      <c r="U625" s="47"/>
    </row>
    <row r="626" spans="1:21" ht="16.5" thickTop="1" thickBot="1" x14ac:dyDescent="0.3">
      <c r="A626" s="51" t="s">
        <v>9765</v>
      </c>
      <c r="B626" s="52" t="s">
        <v>9766</v>
      </c>
      <c r="C626" s="52" t="s">
        <v>38</v>
      </c>
      <c r="D626" s="52" t="s">
        <v>17</v>
      </c>
      <c r="E626" s="52" t="s">
        <v>18</v>
      </c>
      <c r="F626" s="52" t="s">
        <v>42</v>
      </c>
      <c r="G626" s="53">
        <v>46216.535416666666</v>
      </c>
      <c r="H626" s="53">
        <v>46218.724305555559</v>
      </c>
      <c r="I626" s="52">
        <v>22</v>
      </c>
      <c r="J626" s="52" t="s">
        <v>1156</v>
      </c>
      <c r="K626" s="52" t="s">
        <v>1156</v>
      </c>
      <c r="L626" s="52" t="s">
        <v>36</v>
      </c>
      <c r="M626" s="52">
        <v>22</v>
      </c>
      <c r="N626" s="52">
        <v>22</v>
      </c>
      <c r="O626" s="52">
        <v>22</v>
      </c>
      <c r="P626" s="52" t="s">
        <v>9832</v>
      </c>
      <c r="Q626" s="52" t="s">
        <v>1517</v>
      </c>
      <c r="R626" s="52" t="s">
        <v>9852</v>
      </c>
      <c r="S626" s="52">
        <f t="shared" si="9"/>
        <v>2.19</v>
      </c>
      <c r="T626" s="52"/>
      <c r="U626" s="52"/>
    </row>
    <row r="627" spans="1:21" s="46" customFormat="1" ht="16.5" thickTop="1" thickBot="1" x14ac:dyDescent="0.3">
      <c r="A627" s="50" t="s">
        <v>9763</v>
      </c>
      <c r="B627" s="43" t="s">
        <v>9764</v>
      </c>
      <c r="C627" s="43" t="s">
        <v>39</v>
      </c>
      <c r="D627" s="43" t="s">
        <v>17</v>
      </c>
      <c r="E627" s="43" t="s">
        <v>18</v>
      </c>
      <c r="F627" s="43" t="s">
        <v>42</v>
      </c>
      <c r="G627" s="48">
        <v>46216.568749999999</v>
      </c>
      <c r="H627" s="48">
        <v>46218.527083333334</v>
      </c>
      <c r="I627" s="43">
        <v>437</v>
      </c>
      <c r="J627" s="43" t="s">
        <v>1156</v>
      </c>
      <c r="K627" s="43" t="s">
        <v>1156</v>
      </c>
      <c r="L627" s="43" t="s">
        <v>36</v>
      </c>
      <c r="M627" s="43">
        <v>0</v>
      </c>
      <c r="N627" s="43">
        <v>0</v>
      </c>
      <c r="O627" s="43">
        <v>437</v>
      </c>
      <c r="P627" s="43" t="s">
        <v>9850</v>
      </c>
      <c r="Q627" s="43" t="s">
        <v>1517</v>
      </c>
      <c r="R627" s="43" t="s">
        <v>9851</v>
      </c>
      <c r="S627" s="52">
        <f t="shared" si="9"/>
        <v>1.96</v>
      </c>
      <c r="T627" s="47"/>
      <c r="U627" s="47"/>
    </row>
    <row r="628" spans="1:21" ht="16.5" thickTop="1" thickBot="1" x14ac:dyDescent="0.3">
      <c r="A628" s="51" t="s">
        <v>9761</v>
      </c>
      <c r="B628" s="52" t="s">
        <v>9762</v>
      </c>
      <c r="C628" s="52" t="s">
        <v>38</v>
      </c>
      <c r="D628" s="52" t="s">
        <v>17</v>
      </c>
      <c r="E628" s="52" t="s">
        <v>18</v>
      </c>
      <c r="F628" s="52" t="s">
        <v>42</v>
      </c>
      <c r="G628" s="53">
        <v>46216.627083333333</v>
      </c>
      <c r="H628" s="53">
        <v>46219.572916666664</v>
      </c>
      <c r="I628" s="52">
        <v>10</v>
      </c>
      <c r="J628" s="52" t="s">
        <v>1156</v>
      </c>
      <c r="K628" s="52" t="s">
        <v>1156</v>
      </c>
      <c r="L628" s="52" t="s">
        <v>36</v>
      </c>
      <c r="M628" s="52">
        <v>10</v>
      </c>
      <c r="N628" s="52">
        <v>10</v>
      </c>
      <c r="O628" s="52">
        <v>10</v>
      </c>
      <c r="P628" s="52" t="s">
        <v>1330</v>
      </c>
      <c r="Q628" s="52" t="s">
        <v>1517</v>
      </c>
      <c r="R628" s="52" t="s">
        <v>9849</v>
      </c>
      <c r="S628" s="52">
        <f t="shared" si="9"/>
        <v>2.95</v>
      </c>
      <c r="T628" s="52"/>
      <c r="U628" s="52"/>
    </row>
    <row r="629" spans="1:21" s="46" customFormat="1" ht="16.5" thickTop="1" thickBot="1" x14ac:dyDescent="0.3">
      <c r="A629" s="50" t="s">
        <v>9759</v>
      </c>
      <c r="B629" s="43" t="s">
        <v>9760</v>
      </c>
      <c r="C629" s="43" t="s">
        <v>38</v>
      </c>
      <c r="D629" s="43" t="s">
        <v>17</v>
      </c>
      <c r="E629" s="43" t="s">
        <v>18</v>
      </c>
      <c r="F629" s="43" t="s">
        <v>28</v>
      </c>
      <c r="G629" s="48">
        <v>46216.645833333336</v>
      </c>
      <c r="H629" s="48">
        <v>46219.583333333336</v>
      </c>
      <c r="I629" s="43">
        <v>77</v>
      </c>
      <c r="J629" s="43" t="s">
        <v>1156</v>
      </c>
      <c r="K629" s="43" t="s">
        <v>1156</v>
      </c>
      <c r="L629" s="43" t="s">
        <v>20</v>
      </c>
      <c r="M629" s="43">
        <v>77</v>
      </c>
      <c r="N629" s="43">
        <v>69</v>
      </c>
      <c r="O629" s="43">
        <v>69</v>
      </c>
      <c r="P629" s="43" t="s">
        <v>8774</v>
      </c>
      <c r="Q629" s="43" t="s">
        <v>1514</v>
      </c>
      <c r="R629" s="43" t="s">
        <v>9848</v>
      </c>
      <c r="S629" s="52">
        <f t="shared" si="9"/>
        <v>2.94</v>
      </c>
      <c r="T629" s="47"/>
      <c r="U629" s="47"/>
    </row>
    <row r="630" spans="1:21" ht="16.5" thickTop="1" thickBot="1" x14ac:dyDescent="0.3">
      <c r="A630" s="51" t="s">
        <v>9757</v>
      </c>
      <c r="B630" s="52" t="s">
        <v>9758</v>
      </c>
      <c r="C630" s="52" t="s">
        <v>38</v>
      </c>
      <c r="D630" s="52" t="s">
        <v>17</v>
      </c>
      <c r="E630" s="52" t="s">
        <v>18</v>
      </c>
      <c r="F630" s="52" t="s">
        <v>42</v>
      </c>
      <c r="G630" s="53">
        <v>46216.723611111112</v>
      </c>
      <c r="H630" s="53">
        <v>46220.444444444445</v>
      </c>
      <c r="I630" s="52">
        <v>6</v>
      </c>
      <c r="J630" s="52" t="s">
        <v>1156</v>
      </c>
      <c r="K630" s="52" t="s">
        <v>1156</v>
      </c>
      <c r="L630" s="52" t="s">
        <v>33</v>
      </c>
      <c r="M630" s="52">
        <v>6</v>
      </c>
      <c r="N630" s="52">
        <v>6</v>
      </c>
      <c r="O630" s="52">
        <v>6</v>
      </c>
      <c r="P630" s="52" t="s">
        <v>9846</v>
      </c>
      <c r="Q630" s="52" t="s">
        <v>1546</v>
      </c>
      <c r="R630" s="52" t="s">
        <v>9847</v>
      </c>
      <c r="S630" s="52">
        <f t="shared" si="9"/>
        <v>3.72</v>
      </c>
      <c r="T630" s="52"/>
      <c r="U630" s="52"/>
    </row>
    <row r="631" spans="1:21" s="46" customFormat="1" ht="16.5" thickTop="1" thickBot="1" x14ac:dyDescent="0.3">
      <c r="A631" s="50" t="s">
        <v>9755</v>
      </c>
      <c r="B631" s="43" t="s">
        <v>9756</v>
      </c>
      <c r="C631" s="43" t="s">
        <v>38</v>
      </c>
      <c r="D631" s="43" t="s">
        <v>17</v>
      </c>
      <c r="E631" s="43" t="s">
        <v>18</v>
      </c>
      <c r="F631" s="43" t="s">
        <v>42</v>
      </c>
      <c r="G631" s="48">
        <v>46216.727083333331</v>
      </c>
      <c r="H631" s="48">
        <v>46227.463888888888</v>
      </c>
      <c r="I631" s="43">
        <v>612</v>
      </c>
      <c r="J631" s="43" t="s">
        <v>1156</v>
      </c>
      <c r="K631" s="43" t="s">
        <v>1156</v>
      </c>
      <c r="L631" s="43" t="s">
        <v>25</v>
      </c>
      <c r="M631" s="43">
        <v>567</v>
      </c>
      <c r="N631" s="43">
        <v>110</v>
      </c>
      <c r="O631" s="43">
        <v>61</v>
      </c>
      <c r="P631" s="43" t="s">
        <v>9844</v>
      </c>
      <c r="Q631" s="43" t="s">
        <v>1517</v>
      </c>
      <c r="R631" s="43" t="s">
        <v>9845</v>
      </c>
      <c r="S631" s="52">
        <f t="shared" si="9"/>
        <v>10.74</v>
      </c>
      <c r="T631" s="47"/>
      <c r="U631" s="47"/>
    </row>
    <row r="632" spans="1:21" ht="16.5" thickTop="1" thickBot="1" x14ac:dyDescent="0.3">
      <c r="A632" s="51" t="s">
        <v>9753</v>
      </c>
      <c r="B632" s="52" t="s">
        <v>9754</v>
      </c>
      <c r="C632" s="52" t="s">
        <v>38</v>
      </c>
      <c r="D632" s="52" t="s">
        <v>17</v>
      </c>
      <c r="E632" s="52" t="s">
        <v>19</v>
      </c>
      <c r="F632" s="52" t="s">
        <v>21</v>
      </c>
      <c r="G632" s="53">
        <v>46216.78402777778</v>
      </c>
      <c r="H632" s="53">
        <v>46219.601388888892</v>
      </c>
      <c r="I632" s="52">
        <v>33</v>
      </c>
      <c r="J632" s="52" t="s">
        <v>1156</v>
      </c>
      <c r="K632" s="52" t="s">
        <v>1156</v>
      </c>
      <c r="L632" s="52" t="s">
        <v>20</v>
      </c>
      <c r="M632" s="52">
        <v>33</v>
      </c>
      <c r="N632" s="52">
        <v>5</v>
      </c>
      <c r="O632" s="52">
        <v>5</v>
      </c>
      <c r="P632" s="52" t="s">
        <v>1414</v>
      </c>
      <c r="Q632" s="52" t="s">
        <v>1517</v>
      </c>
      <c r="R632" s="52" t="s">
        <v>9843</v>
      </c>
      <c r="S632" s="52">
        <f t="shared" si="9"/>
        <v>2.82</v>
      </c>
      <c r="T632" s="52"/>
      <c r="U632" s="52"/>
    </row>
    <row r="633" spans="1:21" s="46" customFormat="1" ht="16.5" thickTop="1" thickBot="1" x14ac:dyDescent="0.3">
      <c r="A633" s="50" t="s">
        <v>9751</v>
      </c>
      <c r="B633" s="43" t="s">
        <v>9752</v>
      </c>
      <c r="C633" s="43" t="s">
        <v>38</v>
      </c>
      <c r="D633" s="43" t="s">
        <v>17</v>
      </c>
      <c r="E633" s="43" t="s">
        <v>18</v>
      </c>
      <c r="F633" s="43" t="s">
        <v>42</v>
      </c>
      <c r="G633" s="48">
        <v>46217.430555555555</v>
      </c>
      <c r="H633" s="48">
        <v>46218.714583333334</v>
      </c>
      <c r="I633" s="43">
        <v>1</v>
      </c>
      <c r="J633" s="43" t="s">
        <v>1156</v>
      </c>
      <c r="K633" s="43" t="s">
        <v>1156</v>
      </c>
      <c r="L633" s="43" t="s">
        <v>33</v>
      </c>
      <c r="M633" s="43">
        <v>1</v>
      </c>
      <c r="N633" s="43">
        <v>1</v>
      </c>
      <c r="O633" s="43">
        <v>1</v>
      </c>
      <c r="P633" s="43" t="s">
        <v>9366</v>
      </c>
      <c r="Q633" s="43" t="s">
        <v>1546</v>
      </c>
      <c r="R633" s="43" t="s">
        <v>9842</v>
      </c>
      <c r="S633" s="52">
        <f t="shared" si="9"/>
        <v>1.28</v>
      </c>
      <c r="T633" s="47"/>
      <c r="U633" s="47"/>
    </row>
    <row r="634" spans="1:21" ht="16.5" thickTop="1" thickBot="1" x14ac:dyDescent="0.3">
      <c r="A634" s="51" t="s">
        <v>9747</v>
      </c>
      <c r="B634" s="52" t="s">
        <v>9748</v>
      </c>
      <c r="C634" s="52" t="s">
        <v>39</v>
      </c>
      <c r="D634" s="52" t="s">
        <v>17</v>
      </c>
      <c r="E634" s="52" t="s">
        <v>18</v>
      </c>
      <c r="F634" s="52" t="s">
        <v>24</v>
      </c>
      <c r="G634" s="53">
        <v>46217.497916666667</v>
      </c>
      <c r="H634" s="53">
        <v>46222.349305555559</v>
      </c>
      <c r="I634" s="52">
        <v>108</v>
      </c>
      <c r="J634" s="52" t="s">
        <v>2373</v>
      </c>
      <c r="K634" s="52" t="s">
        <v>9860</v>
      </c>
      <c r="L634" s="52" t="s">
        <v>20</v>
      </c>
      <c r="M634" s="52">
        <v>108</v>
      </c>
      <c r="N634" s="52">
        <v>108</v>
      </c>
      <c r="O634" s="52">
        <v>108</v>
      </c>
      <c r="P634" s="52" t="s">
        <v>9838</v>
      </c>
      <c r="Q634" s="52" t="s">
        <v>1517</v>
      </c>
      <c r="R634" s="52"/>
      <c r="S634" s="52">
        <f t="shared" si="9"/>
        <v>4.8499999999999996</v>
      </c>
      <c r="T634" s="52"/>
      <c r="U634" s="52"/>
    </row>
    <row r="635" spans="1:21" s="46" customFormat="1" ht="16.5" thickTop="1" thickBot="1" x14ac:dyDescent="0.3">
      <c r="A635" s="50" t="s">
        <v>9749</v>
      </c>
      <c r="B635" s="43" t="s">
        <v>9750</v>
      </c>
      <c r="C635" s="43" t="s">
        <v>38</v>
      </c>
      <c r="D635" s="43" t="s">
        <v>17</v>
      </c>
      <c r="E635" s="43" t="s">
        <v>19</v>
      </c>
      <c r="F635" s="43" t="s">
        <v>24</v>
      </c>
      <c r="G635" s="48">
        <v>46217.497916666667</v>
      </c>
      <c r="H635" s="48">
        <v>46219.491666666669</v>
      </c>
      <c r="I635" s="43">
        <v>2293</v>
      </c>
      <c r="J635" s="43" t="s">
        <v>2373</v>
      </c>
      <c r="K635" s="43" t="s">
        <v>8278</v>
      </c>
      <c r="L635" s="43" t="s">
        <v>9839</v>
      </c>
      <c r="M635" s="43">
        <v>2293</v>
      </c>
      <c r="N635" s="43">
        <v>409</v>
      </c>
      <c r="O635" s="43">
        <v>409</v>
      </c>
      <c r="P635" s="43" t="s">
        <v>9840</v>
      </c>
      <c r="Q635" s="43" t="s">
        <v>1517</v>
      </c>
      <c r="R635" s="43" t="s">
        <v>9841</v>
      </c>
      <c r="S635" s="52">
        <f t="shared" si="9"/>
        <v>1.99</v>
      </c>
      <c r="T635" s="47"/>
      <c r="U635" s="47"/>
    </row>
    <row r="636" spans="1:21" ht="16.5" thickTop="1" thickBot="1" x14ac:dyDescent="0.3">
      <c r="A636" s="51" t="s">
        <v>9745</v>
      </c>
      <c r="B636" s="52" t="s">
        <v>9746</v>
      </c>
      <c r="C636" s="52" t="s">
        <v>38</v>
      </c>
      <c r="D636" s="52" t="s">
        <v>17</v>
      </c>
      <c r="E636" s="52" t="s">
        <v>18</v>
      </c>
      <c r="F636" s="52" t="s">
        <v>42</v>
      </c>
      <c r="G636" s="53">
        <v>46217.51666666667</v>
      </c>
      <c r="H636" s="53">
        <v>46225.51458333333</v>
      </c>
      <c r="I636" s="52">
        <v>486</v>
      </c>
      <c r="J636" s="52" t="s">
        <v>1156</v>
      </c>
      <c r="K636" s="52" t="s">
        <v>1156</v>
      </c>
      <c r="L636" s="52" t="s">
        <v>31</v>
      </c>
      <c r="M636" s="52">
        <v>486</v>
      </c>
      <c r="N636" s="52">
        <v>93</v>
      </c>
      <c r="O636" s="52">
        <v>93</v>
      </c>
      <c r="P636" s="52" t="s">
        <v>9467</v>
      </c>
      <c r="Q636" s="52" t="s">
        <v>1517</v>
      </c>
      <c r="R636" s="52" t="s">
        <v>9837</v>
      </c>
      <c r="S636" s="52">
        <f t="shared" si="9"/>
        <v>8</v>
      </c>
      <c r="T636" s="52"/>
      <c r="U636" s="52"/>
    </row>
    <row r="637" spans="1:21" s="46" customFormat="1" ht="16.5" thickTop="1" thickBot="1" x14ac:dyDescent="0.3">
      <c r="A637" s="50" t="s">
        <v>9743</v>
      </c>
      <c r="B637" s="43" t="s">
        <v>9744</v>
      </c>
      <c r="C637" s="43" t="s">
        <v>38</v>
      </c>
      <c r="D637" s="43" t="s">
        <v>17</v>
      </c>
      <c r="E637" s="43" t="s">
        <v>18</v>
      </c>
      <c r="F637" s="43" t="s">
        <v>42</v>
      </c>
      <c r="G637" s="48">
        <v>46217.520833333336</v>
      </c>
      <c r="H637" s="48">
        <v>46220.540972222225</v>
      </c>
      <c r="I637" s="43">
        <v>21</v>
      </c>
      <c r="J637" s="43" t="s">
        <v>2373</v>
      </c>
      <c r="K637" s="43" t="s">
        <v>8329</v>
      </c>
      <c r="L637" s="43" t="s">
        <v>25</v>
      </c>
      <c r="M637" s="43">
        <v>21</v>
      </c>
      <c r="N637" s="43">
        <v>17</v>
      </c>
      <c r="O637" s="43">
        <v>17</v>
      </c>
      <c r="P637" s="43" t="s">
        <v>9835</v>
      </c>
      <c r="Q637" s="43" t="s">
        <v>1517</v>
      </c>
      <c r="R637" s="43" t="s">
        <v>9836</v>
      </c>
      <c r="S637" s="52">
        <f t="shared" si="9"/>
        <v>3.02</v>
      </c>
      <c r="T637" s="47"/>
      <c r="U637" s="47"/>
    </row>
    <row r="638" spans="1:21" ht="16.5" thickTop="1" thickBot="1" x14ac:dyDescent="0.3">
      <c r="A638" s="51" t="s">
        <v>9741</v>
      </c>
      <c r="B638" s="52" t="s">
        <v>9742</v>
      </c>
      <c r="C638" s="52" t="s">
        <v>38</v>
      </c>
      <c r="D638" s="52" t="s">
        <v>17</v>
      </c>
      <c r="E638" s="52" t="s">
        <v>19</v>
      </c>
      <c r="F638" s="52" t="s">
        <v>21</v>
      </c>
      <c r="G638" s="53">
        <v>46217.558333333334</v>
      </c>
      <c r="H638" s="53">
        <v>46219.663194444445</v>
      </c>
      <c r="I638" s="52">
        <v>60</v>
      </c>
      <c r="J638" s="52" t="s">
        <v>1156</v>
      </c>
      <c r="K638" s="52" t="s">
        <v>1156</v>
      </c>
      <c r="L638" s="52" t="s">
        <v>20</v>
      </c>
      <c r="M638" s="52">
        <v>60</v>
      </c>
      <c r="N638" s="52">
        <v>12</v>
      </c>
      <c r="O638" s="52">
        <v>12</v>
      </c>
      <c r="P638" s="52" t="s">
        <v>8788</v>
      </c>
      <c r="Q638" s="52" t="s">
        <v>1517</v>
      </c>
      <c r="R638" s="52" t="s">
        <v>9834</v>
      </c>
      <c r="S638" s="52">
        <f t="shared" si="9"/>
        <v>2.1</v>
      </c>
      <c r="T638" s="52"/>
      <c r="U638" s="52"/>
    </row>
    <row r="639" spans="1:21" s="46" customFormat="1" ht="16.5" thickTop="1" thickBot="1" x14ac:dyDescent="0.3">
      <c r="A639" s="50" t="s">
        <v>9739</v>
      </c>
      <c r="B639" s="43" t="s">
        <v>9740</v>
      </c>
      <c r="C639" s="43" t="s">
        <v>38</v>
      </c>
      <c r="D639" s="43" t="s">
        <v>17</v>
      </c>
      <c r="E639" s="43" t="s">
        <v>18</v>
      </c>
      <c r="F639" s="43" t="s">
        <v>19</v>
      </c>
      <c r="G639" s="48">
        <v>46217.590277777781</v>
      </c>
      <c r="H639" s="48">
        <v>46220.47152777778</v>
      </c>
      <c r="I639" s="43">
        <v>3</v>
      </c>
      <c r="J639" s="43" t="s">
        <v>1156</v>
      </c>
      <c r="K639" s="43" t="s">
        <v>1156</v>
      </c>
      <c r="L639" s="43" t="s">
        <v>36</v>
      </c>
      <c r="M639" s="43">
        <v>3</v>
      </c>
      <c r="N639" s="43">
        <v>3</v>
      </c>
      <c r="O639" s="43">
        <v>3</v>
      </c>
      <c r="P639" s="43" t="s">
        <v>9832</v>
      </c>
      <c r="Q639" s="43" t="s">
        <v>1517</v>
      </c>
      <c r="R639" s="43" t="s">
        <v>9833</v>
      </c>
      <c r="S639" s="52">
        <f t="shared" si="9"/>
        <v>2.88</v>
      </c>
      <c r="T639" s="47"/>
      <c r="U639" s="47"/>
    </row>
    <row r="640" spans="1:21" ht="16.5" thickTop="1" thickBot="1" x14ac:dyDescent="0.3">
      <c r="A640" s="51" t="s">
        <v>9737</v>
      </c>
      <c r="B640" s="52" t="s">
        <v>9738</v>
      </c>
      <c r="C640" s="52" t="s">
        <v>38</v>
      </c>
      <c r="D640" s="52" t="s">
        <v>17</v>
      </c>
      <c r="E640" s="52" t="s">
        <v>19</v>
      </c>
      <c r="F640" s="52" t="s">
        <v>42</v>
      </c>
      <c r="G640" s="53">
        <v>46217.661111111112</v>
      </c>
      <c r="H640" s="53">
        <v>46221.543055555558</v>
      </c>
      <c r="I640" s="52">
        <v>3</v>
      </c>
      <c r="J640" s="52" t="s">
        <v>1156</v>
      </c>
      <c r="K640" s="52" t="s">
        <v>1156</v>
      </c>
      <c r="L640" s="52" t="s">
        <v>33</v>
      </c>
      <c r="M640" s="52">
        <v>3</v>
      </c>
      <c r="N640" s="52">
        <v>3</v>
      </c>
      <c r="O640" s="52">
        <v>3</v>
      </c>
      <c r="P640" s="52" t="s">
        <v>9830</v>
      </c>
      <c r="Q640" s="52" t="s">
        <v>1514</v>
      </c>
      <c r="R640" s="52" t="s">
        <v>9831</v>
      </c>
      <c r="S640" s="52">
        <f t="shared" si="9"/>
        <v>3.88</v>
      </c>
      <c r="T640" s="52"/>
      <c r="U640" s="52"/>
    </row>
    <row r="641" spans="1:21" s="46" customFormat="1" ht="16.5" thickTop="1" thickBot="1" x14ac:dyDescent="0.3">
      <c r="A641" s="50" t="s">
        <v>9735</v>
      </c>
      <c r="B641" s="43" t="s">
        <v>9736</v>
      </c>
      <c r="C641" s="43" t="s">
        <v>38</v>
      </c>
      <c r="D641" s="43" t="s">
        <v>17</v>
      </c>
      <c r="E641" s="43" t="s">
        <v>18</v>
      </c>
      <c r="F641" s="43" t="s">
        <v>42</v>
      </c>
      <c r="G641" s="48">
        <v>46217.6875</v>
      </c>
      <c r="H641" s="48">
        <v>46221.428472222222</v>
      </c>
      <c r="I641" s="43">
        <v>48</v>
      </c>
      <c r="J641" s="43" t="s">
        <v>1156</v>
      </c>
      <c r="K641" s="43" t="s">
        <v>1156</v>
      </c>
      <c r="L641" s="43" t="s">
        <v>33</v>
      </c>
      <c r="M641" s="43">
        <v>48</v>
      </c>
      <c r="N641" s="43">
        <v>48</v>
      </c>
      <c r="O641" s="43">
        <v>48</v>
      </c>
      <c r="P641" s="43" t="s">
        <v>1439</v>
      </c>
      <c r="Q641" s="43" t="s">
        <v>1546</v>
      </c>
      <c r="R641" s="43" t="s">
        <v>9829</v>
      </c>
      <c r="S641" s="52">
        <f t="shared" si="9"/>
        <v>3.74</v>
      </c>
      <c r="T641" s="47"/>
      <c r="U641" s="47"/>
    </row>
    <row r="642" spans="1:21" ht="16.5" thickTop="1" thickBot="1" x14ac:dyDescent="0.3">
      <c r="A642" s="51" t="s">
        <v>9733</v>
      </c>
      <c r="B642" s="52" t="s">
        <v>9734</v>
      </c>
      <c r="C642" s="52" t="s">
        <v>38</v>
      </c>
      <c r="D642" s="52" t="s">
        <v>17</v>
      </c>
      <c r="E642" s="52" t="s">
        <v>19</v>
      </c>
      <c r="F642" s="52" t="s">
        <v>21</v>
      </c>
      <c r="G642" s="53">
        <v>46217.703472222223</v>
      </c>
      <c r="H642" s="53">
        <v>46224.563194444447</v>
      </c>
      <c r="I642" s="52">
        <v>200</v>
      </c>
      <c r="J642" s="52" t="s">
        <v>1156</v>
      </c>
      <c r="K642" s="52" t="s">
        <v>1156</v>
      </c>
      <c r="L642" s="52" t="s">
        <v>20</v>
      </c>
      <c r="M642" s="52">
        <v>200</v>
      </c>
      <c r="N642" s="52">
        <v>25</v>
      </c>
      <c r="O642" s="52">
        <v>25</v>
      </c>
      <c r="P642" s="52" t="s">
        <v>9827</v>
      </c>
      <c r="Q642" s="52" t="s">
        <v>1514</v>
      </c>
      <c r="R642" s="52" t="s">
        <v>9828</v>
      </c>
      <c r="S642" s="52">
        <f t="shared" ref="S642:S705" si="10">IF(OR(G642="",H642=""),"",ROUND(H642-G642,2))</f>
        <v>6.86</v>
      </c>
      <c r="T642" s="52"/>
      <c r="U642" s="52"/>
    </row>
    <row r="643" spans="1:21" s="46" customFormat="1" ht="16.5" thickTop="1" thickBot="1" x14ac:dyDescent="0.3">
      <c r="A643" s="50" t="s">
        <v>9731</v>
      </c>
      <c r="B643" s="43" t="s">
        <v>9732</v>
      </c>
      <c r="C643" s="43" t="s">
        <v>38</v>
      </c>
      <c r="D643" s="43" t="s">
        <v>17</v>
      </c>
      <c r="E643" s="43" t="s">
        <v>19</v>
      </c>
      <c r="F643" s="43" t="s">
        <v>21</v>
      </c>
      <c r="G643" s="48">
        <v>46217.73333333333</v>
      </c>
      <c r="H643" s="48">
        <v>46220.447916666664</v>
      </c>
      <c r="I643" s="43">
        <v>1</v>
      </c>
      <c r="J643" s="43" t="s">
        <v>1156</v>
      </c>
      <c r="K643" s="43" t="s">
        <v>1156</v>
      </c>
      <c r="L643" s="43" t="s">
        <v>33</v>
      </c>
      <c r="M643" s="43">
        <v>1</v>
      </c>
      <c r="N643" s="43">
        <v>1</v>
      </c>
      <c r="O643" s="43">
        <v>1</v>
      </c>
      <c r="P643" s="43" t="s">
        <v>1346</v>
      </c>
      <c r="Q643" s="43" t="s">
        <v>1517</v>
      </c>
      <c r="R643" s="43" t="s">
        <v>9826</v>
      </c>
      <c r="S643" s="52">
        <f t="shared" si="10"/>
        <v>2.71</v>
      </c>
      <c r="T643" s="47"/>
      <c r="U643" s="47"/>
    </row>
    <row r="644" spans="1:21" ht="16.5" thickTop="1" thickBot="1" x14ac:dyDescent="0.3">
      <c r="A644" s="51" t="s">
        <v>9729</v>
      </c>
      <c r="B644" s="52" t="s">
        <v>9730</v>
      </c>
      <c r="C644" s="52" t="s">
        <v>38</v>
      </c>
      <c r="D644" s="52" t="s">
        <v>17</v>
      </c>
      <c r="E644" s="52" t="s">
        <v>18</v>
      </c>
      <c r="F644" s="52" t="s">
        <v>42</v>
      </c>
      <c r="G644" s="53">
        <v>46217.765972222223</v>
      </c>
      <c r="H644" s="53">
        <v>46225.446527777778</v>
      </c>
      <c r="I644" s="52">
        <v>454</v>
      </c>
      <c r="J644" s="52" t="s">
        <v>1156</v>
      </c>
      <c r="K644" s="52" t="s">
        <v>1156</v>
      </c>
      <c r="L644" s="52" t="s">
        <v>33</v>
      </c>
      <c r="M644" s="52">
        <v>454</v>
      </c>
      <c r="N644" s="52">
        <v>454</v>
      </c>
      <c r="O644" s="52">
        <v>454</v>
      </c>
      <c r="P644" s="52" t="s">
        <v>9824</v>
      </c>
      <c r="Q644" s="52" t="s">
        <v>1546</v>
      </c>
      <c r="R644" s="52" t="s">
        <v>9825</v>
      </c>
      <c r="S644" s="52">
        <f t="shared" si="10"/>
        <v>7.68</v>
      </c>
      <c r="T644" s="52"/>
      <c r="U644" s="52"/>
    </row>
    <row r="645" spans="1:21" s="46" customFormat="1" ht="16.5" thickTop="1" thickBot="1" x14ac:dyDescent="0.3">
      <c r="A645" s="50" t="s">
        <v>9727</v>
      </c>
      <c r="B645" s="43" t="s">
        <v>9728</v>
      </c>
      <c r="C645" s="43" t="s">
        <v>38</v>
      </c>
      <c r="D645" s="43" t="s">
        <v>17</v>
      </c>
      <c r="E645" s="43" t="s">
        <v>18</v>
      </c>
      <c r="F645" s="43" t="s">
        <v>42</v>
      </c>
      <c r="G645" s="48">
        <v>46217.776388888888</v>
      </c>
      <c r="H645" s="48">
        <v>46227.509027777778</v>
      </c>
      <c r="I645" s="43">
        <v>279</v>
      </c>
      <c r="J645" s="43" t="s">
        <v>1156</v>
      </c>
      <c r="K645" s="43" t="s">
        <v>1156</v>
      </c>
      <c r="L645" s="43" t="s">
        <v>25</v>
      </c>
      <c r="M645" s="43">
        <v>278</v>
      </c>
      <c r="N645" s="43">
        <v>31</v>
      </c>
      <c r="O645" s="43">
        <v>32</v>
      </c>
      <c r="P645" s="43" t="s">
        <v>9822</v>
      </c>
      <c r="Q645" s="43" t="s">
        <v>1546</v>
      </c>
      <c r="R645" s="43" t="s">
        <v>9823</v>
      </c>
      <c r="S645" s="52">
        <f t="shared" si="10"/>
        <v>9.73</v>
      </c>
      <c r="T645" s="47"/>
      <c r="U645" s="47"/>
    </row>
    <row r="646" spans="1:21" ht="16.5" thickTop="1" thickBot="1" x14ac:dyDescent="0.3">
      <c r="A646" s="51" t="s">
        <v>9725</v>
      </c>
      <c r="B646" s="52" t="s">
        <v>9726</v>
      </c>
      <c r="C646" s="52" t="s">
        <v>38</v>
      </c>
      <c r="D646" s="52" t="s">
        <v>17</v>
      </c>
      <c r="E646" s="52" t="s">
        <v>18</v>
      </c>
      <c r="F646" s="52" t="s">
        <v>42</v>
      </c>
      <c r="G646" s="53">
        <v>46218.511805555558</v>
      </c>
      <c r="H646" s="53">
        <v>46219.688194444447</v>
      </c>
      <c r="I646" s="52">
        <v>6</v>
      </c>
      <c r="J646" s="52" t="s">
        <v>1156</v>
      </c>
      <c r="K646" s="52" t="s">
        <v>8351</v>
      </c>
      <c r="L646" s="52" t="s">
        <v>33</v>
      </c>
      <c r="M646" s="52">
        <v>6</v>
      </c>
      <c r="N646" s="52">
        <v>6</v>
      </c>
      <c r="O646" s="52">
        <v>6</v>
      </c>
      <c r="P646" s="52" t="s">
        <v>8785</v>
      </c>
      <c r="Q646" s="52" t="s">
        <v>1546</v>
      </c>
      <c r="R646" s="52" t="s">
        <v>9821</v>
      </c>
      <c r="S646" s="52">
        <f t="shared" si="10"/>
        <v>1.18</v>
      </c>
      <c r="T646" s="52"/>
      <c r="U646" s="52"/>
    </row>
    <row r="647" spans="1:21" s="46" customFormat="1" ht="16.5" thickTop="1" thickBot="1" x14ac:dyDescent="0.3">
      <c r="A647" s="50" t="s">
        <v>9723</v>
      </c>
      <c r="B647" s="43" t="s">
        <v>9724</v>
      </c>
      <c r="C647" s="43" t="s">
        <v>38</v>
      </c>
      <c r="D647" s="43" t="s">
        <v>17</v>
      </c>
      <c r="E647" s="43" t="s">
        <v>19</v>
      </c>
      <c r="F647" s="43" t="s">
        <v>21</v>
      </c>
      <c r="G647" s="48">
        <v>46218.522222222222</v>
      </c>
      <c r="H647" s="48">
        <v>46224.542361111111</v>
      </c>
      <c r="I647" s="43">
        <v>849</v>
      </c>
      <c r="J647" s="43" t="s">
        <v>1156</v>
      </c>
      <c r="K647" s="43" t="s">
        <v>1156</v>
      </c>
      <c r="L647" s="43" t="s">
        <v>20</v>
      </c>
      <c r="M647" s="43">
        <v>815</v>
      </c>
      <c r="N647" s="43">
        <v>95</v>
      </c>
      <c r="O647" s="43">
        <v>100</v>
      </c>
      <c r="P647" s="43" t="s">
        <v>1287</v>
      </c>
      <c r="Q647" s="43" t="s">
        <v>1514</v>
      </c>
      <c r="R647" s="43" t="s">
        <v>9820</v>
      </c>
      <c r="S647" s="52">
        <f t="shared" si="10"/>
        <v>6.02</v>
      </c>
      <c r="T647" s="47"/>
      <c r="U647" s="47"/>
    </row>
    <row r="648" spans="1:21" ht="16.5" thickTop="1" thickBot="1" x14ac:dyDescent="0.3">
      <c r="A648" s="51" t="s">
        <v>9721</v>
      </c>
      <c r="B648" s="52" t="s">
        <v>9722</v>
      </c>
      <c r="C648" s="52" t="s">
        <v>38</v>
      </c>
      <c r="D648" s="52" t="s">
        <v>17</v>
      </c>
      <c r="E648" s="52" t="s">
        <v>19</v>
      </c>
      <c r="F648" s="52" t="s">
        <v>19</v>
      </c>
      <c r="G648" s="53">
        <v>46218.561111111114</v>
      </c>
      <c r="H648" s="53">
        <v>46219.704861111109</v>
      </c>
      <c r="I648" s="52">
        <v>1686</v>
      </c>
      <c r="J648" s="52" t="s">
        <v>1156</v>
      </c>
      <c r="K648" s="52" t="s">
        <v>1156</v>
      </c>
      <c r="L648" s="52" t="s">
        <v>20</v>
      </c>
      <c r="M648" s="52">
        <v>1686</v>
      </c>
      <c r="N648" s="52">
        <v>281</v>
      </c>
      <c r="O648" s="52">
        <v>281</v>
      </c>
      <c r="P648" s="52" t="s">
        <v>1462</v>
      </c>
      <c r="Q648" s="52" t="s">
        <v>1517</v>
      </c>
      <c r="R648" s="52" t="s">
        <v>9819</v>
      </c>
      <c r="S648" s="52">
        <f t="shared" si="10"/>
        <v>1.1399999999999999</v>
      </c>
      <c r="T648" s="52"/>
      <c r="U648" s="52"/>
    </row>
    <row r="649" spans="1:21" s="46" customFormat="1" ht="16.5" thickTop="1" thickBot="1" x14ac:dyDescent="0.3">
      <c r="A649" s="50" t="s">
        <v>9719</v>
      </c>
      <c r="B649" s="43" t="s">
        <v>9720</v>
      </c>
      <c r="C649" s="43" t="s">
        <v>38</v>
      </c>
      <c r="D649" s="43" t="s">
        <v>17</v>
      </c>
      <c r="E649" s="43" t="s">
        <v>19</v>
      </c>
      <c r="F649" s="43" t="s">
        <v>21</v>
      </c>
      <c r="G649" s="48">
        <v>46218.570833333331</v>
      </c>
      <c r="H649" s="48">
        <v>46219.729861111111</v>
      </c>
      <c r="I649" s="43">
        <v>2</v>
      </c>
      <c r="J649" s="43" t="s">
        <v>1156</v>
      </c>
      <c r="K649" s="43" t="s">
        <v>1156</v>
      </c>
      <c r="L649" s="43" t="s">
        <v>33</v>
      </c>
      <c r="M649" s="43">
        <v>2</v>
      </c>
      <c r="N649" s="43">
        <v>2</v>
      </c>
      <c r="O649" s="43">
        <v>2</v>
      </c>
      <c r="P649" s="43" t="s">
        <v>9364</v>
      </c>
      <c r="Q649" s="43" t="s">
        <v>1514</v>
      </c>
      <c r="R649" s="43" t="s">
        <v>9818</v>
      </c>
      <c r="S649" s="52">
        <f t="shared" si="10"/>
        <v>1.1599999999999999</v>
      </c>
      <c r="T649" s="47"/>
      <c r="U649" s="47"/>
    </row>
    <row r="650" spans="1:21" ht="16.5" thickTop="1" thickBot="1" x14ac:dyDescent="0.3">
      <c r="A650" s="51" t="s">
        <v>9718</v>
      </c>
      <c r="B650" s="52" t="s">
        <v>9331</v>
      </c>
      <c r="C650" s="52" t="s">
        <v>38</v>
      </c>
      <c r="D650" s="52" t="s">
        <v>17</v>
      </c>
      <c r="E650" s="52" t="s">
        <v>18</v>
      </c>
      <c r="F650" s="52" t="s">
        <v>42</v>
      </c>
      <c r="G650" s="53">
        <v>46218.614583333336</v>
      </c>
      <c r="H650" s="53">
        <v>46225.619444444441</v>
      </c>
      <c r="I650" s="52">
        <v>52</v>
      </c>
      <c r="J650" s="52" t="s">
        <v>2373</v>
      </c>
      <c r="K650" s="52" t="s">
        <v>8317</v>
      </c>
      <c r="L650" s="52" t="s">
        <v>33</v>
      </c>
      <c r="M650" s="52">
        <v>52</v>
      </c>
      <c r="N650" s="52">
        <v>52</v>
      </c>
      <c r="O650" s="52">
        <v>52</v>
      </c>
      <c r="P650" s="52" t="s">
        <v>9364</v>
      </c>
      <c r="Q650" s="52" t="s">
        <v>1514</v>
      </c>
      <c r="R650" s="52" t="s">
        <v>9817</v>
      </c>
      <c r="S650" s="52">
        <f t="shared" si="10"/>
        <v>7</v>
      </c>
      <c r="T650" s="52"/>
      <c r="U650" s="52"/>
    </row>
    <row r="651" spans="1:21" s="46" customFormat="1" ht="16.5" thickTop="1" thickBot="1" x14ac:dyDescent="0.3">
      <c r="A651" s="50" t="s">
        <v>9716</v>
      </c>
      <c r="B651" s="43" t="s">
        <v>9717</v>
      </c>
      <c r="C651" s="43" t="s">
        <v>38</v>
      </c>
      <c r="D651" s="43" t="s">
        <v>17</v>
      </c>
      <c r="E651" s="43" t="s">
        <v>18</v>
      </c>
      <c r="F651" s="43" t="s">
        <v>42</v>
      </c>
      <c r="G651" s="48">
        <v>46218.642361111109</v>
      </c>
      <c r="H651" s="48">
        <v>46225.611805555556</v>
      </c>
      <c r="I651" s="43">
        <v>2</v>
      </c>
      <c r="J651" s="43" t="s">
        <v>2373</v>
      </c>
      <c r="K651" s="43" t="s">
        <v>8326</v>
      </c>
      <c r="L651" s="43" t="s">
        <v>33</v>
      </c>
      <c r="M651" s="43">
        <v>2</v>
      </c>
      <c r="N651" s="43">
        <v>2</v>
      </c>
      <c r="O651" s="43">
        <v>2</v>
      </c>
      <c r="P651" s="43" t="s">
        <v>1424</v>
      </c>
      <c r="Q651" s="43" t="s">
        <v>1517</v>
      </c>
      <c r="R651" s="43" t="s">
        <v>9816</v>
      </c>
      <c r="S651" s="52">
        <f t="shared" si="10"/>
        <v>6.97</v>
      </c>
      <c r="T651" s="47"/>
      <c r="U651" s="47"/>
    </row>
    <row r="652" spans="1:21" ht="16.5" thickTop="1" thickBot="1" x14ac:dyDescent="0.3">
      <c r="A652" s="51" t="s">
        <v>9714</v>
      </c>
      <c r="B652" s="52" t="s">
        <v>9715</v>
      </c>
      <c r="C652" s="52" t="s">
        <v>38</v>
      </c>
      <c r="D652" s="52" t="s">
        <v>17</v>
      </c>
      <c r="E652" s="52" t="s">
        <v>18</v>
      </c>
      <c r="F652" s="52" t="s">
        <v>42</v>
      </c>
      <c r="G652" s="53">
        <v>46218.696527777778</v>
      </c>
      <c r="H652" s="53">
        <v>46225.626388888886</v>
      </c>
      <c r="I652" s="52">
        <v>66</v>
      </c>
      <c r="J652" s="52" t="s">
        <v>1156</v>
      </c>
      <c r="K652" s="52" t="s">
        <v>1156</v>
      </c>
      <c r="L652" s="52" t="s">
        <v>25</v>
      </c>
      <c r="M652" s="52">
        <v>167</v>
      </c>
      <c r="N652" s="52">
        <v>33</v>
      </c>
      <c r="O652" s="52">
        <v>15</v>
      </c>
      <c r="P652" s="52" t="s">
        <v>9814</v>
      </c>
      <c r="Q652" s="52" t="s">
        <v>1517</v>
      </c>
      <c r="R652" s="52" t="s">
        <v>9815</v>
      </c>
      <c r="S652" s="52">
        <f t="shared" si="10"/>
        <v>6.93</v>
      </c>
      <c r="T652" s="52"/>
      <c r="U652" s="52"/>
    </row>
    <row r="653" spans="1:21" s="46" customFormat="1" ht="16.5" thickTop="1" thickBot="1" x14ac:dyDescent="0.3">
      <c r="A653" s="50" t="s">
        <v>9712</v>
      </c>
      <c r="B653" s="43" t="s">
        <v>9713</v>
      </c>
      <c r="C653" s="43" t="s">
        <v>38</v>
      </c>
      <c r="D653" s="43" t="s">
        <v>17</v>
      </c>
      <c r="E653" s="43" t="s">
        <v>18</v>
      </c>
      <c r="F653" s="43" t="s">
        <v>42</v>
      </c>
      <c r="G653" s="48">
        <v>46218.7</v>
      </c>
      <c r="H653" s="48">
        <v>46220.45416666667</v>
      </c>
      <c r="I653" s="43">
        <v>1</v>
      </c>
      <c r="J653" s="43" t="s">
        <v>1156</v>
      </c>
      <c r="K653" s="43" t="s">
        <v>1156</v>
      </c>
      <c r="L653" s="43" t="s">
        <v>33</v>
      </c>
      <c r="M653" s="43">
        <v>1</v>
      </c>
      <c r="N653" s="43">
        <v>1</v>
      </c>
      <c r="O653" s="43">
        <v>1</v>
      </c>
      <c r="P653" s="43" t="s">
        <v>9358</v>
      </c>
      <c r="Q653" s="43" t="s">
        <v>1546</v>
      </c>
      <c r="R653" s="43" t="s">
        <v>9813</v>
      </c>
      <c r="S653" s="52">
        <f t="shared" si="10"/>
        <v>1.75</v>
      </c>
      <c r="T653" s="47"/>
      <c r="U653" s="47"/>
    </row>
    <row r="654" spans="1:21" ht="16.5" thickTop="1" thickBot="1" x14ac:dyDescent="0.3">
      <c r="A654" s="51" t="s">
        <v>9710</v>
      </c>
      <c r="B654" s="52" t="s">
        <v>9711</v>
      </c>
      <c r="C654" s="52" t="s">
        <v>38</v>
      </c>
      <c r="D654" s="52" t="s">
        <v>17</v>
      </c>
      <c r="E654" s="52" t="s">
        <v>18</v>
      </c>
      <c r="F654" s="52" t="s">
        <v>42</v>
      </c>
      <c r="G654" s="53">
        <v>46218.715277777781</v>
      </c>
      <c r="H654" s="53">
        <v>46219.73541666667</v>
      </c>
      <c r="I654" s="52">
        <v>1</v>
      </c>
      <c r="J654" s="52" t="s">
        <v>1156</v>
      </c>
      <c r="K654" s="52" t="s">
        <v>8351</v>
      </c>
      <c r="L654" s="52" t="s">
        <v>33</v>
      </c>
      <c r="M654" s="52">
        <v>1</v>
      </c>
      <c r="N654" s="52">
        <v>1</v>
      </c>
      <c r="O654" s="52">
        <v>1</v>
      </c>
      <c r="P654" s="52" t="s">
        <v>9810</v>
      </c>
      <c r="Q654" s="52" t="s">
        <v>1546</v>
      </c>
      <c r="R654" s="52" t="s">
        <v>9812</v>
      </c>
      <c r="S654" s="52">
        <f t="shared" si="10"/>
        <v>1.02</v>
      </c>
      <c r="T654" s="52"/>
      <c r="U654" s="52"/>
    </row>
    <row r="655" spans="1:21" s="46" customFormat="1" ht="16.5" thickTop="1" thickBot="1" x14ac:dyDescent="0.3">
      <c r="A655" s="50" t="s">
        <v>9708</v>
      </c>
      <c r="B655" s="43" t="s">
        <v>9709</v>
      </c>
      <c r="C655" s="43" t="s">
        <v>38</v>
      </c>
      <c r="D655" s="43" t="s">
        <v>17</v>
      </c>
      <c r="E655" s="43" t="s">
        <v>18</v>
      </c>
      <c r="F655" s="43" t="s">
        <v>42</v>
      </c>
      <c r="G655" s="48">
        <v>46218.71597222222</v>
      </c>
      <c r="H655" s="48">
        <v>46219.762499999997</v>
      </c>
      <c r="I655" s="43">
        <v>1</v>
      </c>
      <c r="J655" s="43" t="s">
        <v>1156</v>
      </c>
      <c r="K655" s="43" t="s">
        <v>8351</v>
      </c>
      <c r="L655" s="43" t="s">
        <v>33</v>
      </c>
      <c r="M655" s="43">
        <v>1</v>
      </c>
      <c r="N655" s="43">
        <v>1</v>
      </c>
      <c r="O655" s="43">
        <v>1</v>
      </c>
      <c r="P655" s="43" t="s">
        <v>9810</v>
      </c>
      <c r="Q655" s="43" t="s">
        <v>1546</v>
      </c>
      <c r="R655" s="43" t="s">
        <v>9811</v>
      </c>
      <c r="S655" s="52">
        <f t="shared" si="10"/>
        <v>1.05</v>
      </c>
      <c r="T655" s="47"/>
      <c r="U655" s="47"/>
    </row>
    <row r="656" spans="1:21" ht="16.5" thickTop="1" thickBot="1" x14ac:dyDescent="0.3">
      <c r="A656" s="51" t="s">
        <v>9706</v>
      </c>
      <c r="B656" s="52" t="s">
        <v>9707</v>
      </c>
      <c r="C656" s="52" t="s">
        <v>38</v>
      </c>
      <c r="D656" s="52" t="s">
        <v>17</v>
      </c>
      <c r="E656" s="52" t="s">
        <v>18</v>
      </c>
      <c r="F656" s="52" t="s">
        <v>42</v>
      </c>
      <c r="G656" s="53">
        <v>46218.717361111114</v>
      </c>
      <c r="H656" s="53">
        <v>46220.552083333336</v>
      </c>
      <c r="I656" s="52">
        <v>132</v>
      </c>
      <c r="J656" s="52" t="s">
        <v>1156</v>
      </c>
      <c r="K656" s="52" t="s">
        <v>1156</v>
      </c>
      <c r="L656" s="52" t="s">
        <v>36</v>
      </c>
      <c r="M656" s="52">
        <v>132</v>
      </c>
      <c r="N656" s="52">
        <v>132</v>
      </c>
      <c r="O656" s="52">
        <v>132</v>
      </c>
      <c r="P656" s="52" t="s">
        <v>8523</v>
      </c>
      <c r="Q656" s="52" t="s">
        <v>1517</v>
      </c>
      <c r="R656" s="52" t="s">
        <v>9809</v>
      </c>
      <c r="S656" s="52">
        <f t="shared" si="10"/>
        <v>1.83</v>
      </c>
      <c r="T656" s="52"/>
      <c r="U656" s="52"/>
    </row>
    <row r="657" spans="1:21" s="46" customFormat="1" ht="16.5" thickTop="1" thickBot="1" x14ac:dyDescent="0.3">
      <c r="A657" s="50" t="s">
        <v>9704</v>
      </c>
      <c r="B657" s="43" t="s">
        <v>9705</v>
      </c>
      <c r="C657" s="43" t="s">
        <v>38</v>
      </c>
      <c r="D657" s="43" t="s">
        <v>17</v>
      </c>
      <c r="E657" s="43" t="s">
        <v>19</v>
      </c>
      <c r="F657" s="43" t="s">
        <v>19</v>
      </c>
      <c r="G657" s="48">
        <v>46218.751388888886</v>
      </c>
      <c r="H657" s="48">
        <v>46220.459027777775</v>
      </c>
      <c r="I657" s="43">
        <v>25</v>
      </c>
      <c r="J657" s="43" t="s">
        <v>1156</v>
      </c>
      <c r="K657" s="43" t="s">
        <v>1156</v>
      </c>
      <c r="L657" s="43" t="s">
        <v>33</v>
      </c>
      <c r="M657" s="43">
        <v>25</v>
      </c>
      <c r="N657" s="43">
        <v>25</v>
      </c>
      <c r="O657" s="43">
        <v>25</v>
      </c>
      <c r="P657" s="43" t="s">
        <v>9807</v>
      </c>
      <c r="Q657" s="43" t="s">
        <v>1517</v>
      </c>
      <c r="R657" s="43" t="s">
        <v>9808</v>
      </c>
      <c r="S657" s="52">
        <f t="shared" si="10"/>
        <v>1.71</v>
      </c>
      <c r="T657" s="47"/>
      <c r="U657" s="47"/>
    </row>
    <row r="658" spans="1:21" ht="16.5" thickTop="1" thickBot="1" x14ac:dyDescent="0.3">
      <c r="A658" s="51" t="s">
        <v>9702</v>
      </c>
      <c r="B658" s="52" t="s">
        <v>9703</v>
      </c>
      <c r="C658" s="52" t="s">
        <v>38</v>
      </c>
      <c r="D658" s="52" t="s">
        <v>17</v>
      </c>
      <c r="E658" s="52" t="s">
        <v>18</v>
      </c>
      <c r="F658" s="52" t="s">
        <v>42</v>
      </c>
      <c r="G658" s="53">
        <v>46218.757638888892</v>
      </c>
      <c r="H658" s="53">
        <v>46220.560416666667</v>
      </c>
      <c r="I658" s="52">
        <v>4</v>
      </c>
      <c r="J658" s="52" t="s">
        <v>1156</v>
      </c>
      <c r="K658" s="52" t="s">
        <v>1156</v>
      </c>
      <c r="L658" s="52" t="s">
        <v>33</v>
      </c>
      <c r="M658" s="52">
        <v>4</v>
      </c>
      <c r="N658" s="52">
        <v>4</v>
      </c>
      <c r="O658" s="52">
        <v>4</v>
      </c>
      <c r="P658" s="52" t="s">
        <v>9805</v>
      </c>
      <c r="Q658" s="52" t="s">
        <v>1517</v>
      </c>
      <c r="R658" s="52" t="s">
        <v>9806</v>
      </c>
      <c r="S658" s="52">
        <f t="shared" si="10"/>
        <v>1.8</v>
      </c>
      <c r="T658" s="52"/>
      <c r="U658" s="52"/>
    </row>
    <row r="659" spans="1:21" s="46" customFormat="1" ht="16.5" thickTop="1" thickBot="1" x14ac:dyDescent="0.3">
      <c r="A659" s="50" t="s">
        <v>9700</v>
      </c>
      <c r="B659" s="43" t="s">
        <v>9701</v>
      </c>
      <c r="C659" s="43" t="s">
        <v>38</v>
      </c>
      <c r="D659" s="43" t="s">
        <v>17</v>
      </c>
      <c r="E659" s="43" t="s">
        <v>18</v>
      </c>
      <c r="F659" s="43" t="s">
        <v>42</v>
      </c>
      <c r="G659" s="48">
        <v>46219.427777777775</v>
      </c>
      <c r="H659" s="48">
        <v>46221.551388888889</v>
      </c>
      <c r="I659" s="43">
        <v>32</v>
      </c>
      <c r="J659" s="43" t="s">
        <v>1156</v>
      </c>
      <c r="K659" s="43" t="s">
        <v>1156</v>
      </c>
      <c r="L659" s="43" t="s">
        <v>36</v>
      </c>
      <c r="M659" s="43">
        <v>32</v>
      </c>
      <c r="N659" s="43">
        <v>32</v>
      </c>
      <c r="O659" s="43">
        <v>32</v>
      </c>
      <c r="P659" s="43" t="s">
        <v>9803</v>
      </c>
      <c r="Q659" s="43" t="s">
        <v>1517</v>
      </c>
      <c r="R659" s="43" t="s">
        <v>9804</v>
      </c>
      <c r="S659" s="52">
        <f t="shared" si="10"/>
        <v>2.12</v>
      </c>
      <c r="T659" s="47"/>
      <c r="U659" s="47"/>
    </row>
    <row r="660" spans="1:21" ht="16.5" thickTop="1" thickBot="1" x14ac:dyDescent="0.3">
      <c r="A660" s="51" t="s">
        <v>9698</v>
      </c>
      <c r="B660" s="52" t="s">
        <v>9699</v>
      </c>
      <c r="C660" s="52" t="s">
        <v>38</v>
      </c>
      <c r="D660" s="52" t="s">
        <v>17</v>
      </c>
      <c r="E660" s="52" t="s">
        <v>18</v>
      </c>
      <c r="F660" s="52" t="s">
        <v>42</v>
      </c>
      <c r="G660" s="53">
        <v>46219.451388888891</v>
      </c>
      <c r="H660" s="53">
        <v>46221.567361111112</v>
      </c>
      <c r="I660" s="52">
        <v>128</v>
      </c>
      <c r="J660" s="52" t="s">
        <v>1156</v>
      </c>
      <c r="K660" s="52" t="s">
        <v>1156</v>
      </c>
      <c r="L660" s="52" t="s">
        <v>36</v>
      </c>
      <c r="M660" s="52">
        <v>128</v>
      </c>
      <c r="N660" s="52">
        <v>128</v>
      </c>
      <c r="O660" s="52">
        <v>128</v>
      </c>
      <c r="P660" s="52" t="s">
        <v>9801</v>
      </c>
      <c r="Q660" s="52" t="s">
        <v>1517</v>
      </c>
      <c r="R660" s="52" t="s">
        <v>9802</v>
      </c>
      <c r="S660" s="52">
        <f t="shared" si="10"/>
        <v>2.12</v>
      </c>
      <c r="T660" s="52"/>
      <c r="U660" s="52"/>
    </row>
    <row r="661" spans="1:21" s="46" customFormat="1" ht="16.5" thickTop="1" thickBot="1" x14ac:dyDescent="0.3">
      <c r="A661" s="50" t="s">
        <v>9696</v>
      </c>
      <c r="B661" s="43" t="s">
        <v>9697</v>
      </c>
      <c r="C661" s="43" t="s">
        <v>38</v>
      </c>
      <c r="D661" s="43" t="s">
        <v>17</v>
      </c>
      <c r="E661" s="43" t="s">
        <v>18</v>
      </c>
      <c r="F661" s="43" t="s">
        <v>28</v>
      </c>
      <c r="G661" s="48">
        <v>46219.45208333333</v>
      </c>
      <c r="H661" s="48">
        <v>46221.40625</v>
      </c>
      <c r="I661" s="43">
        <v>2749</v>
      </c>
      <c r="J661" s="43" t="s">
        <v>1156</v>
      </c>
      <c r="K661" s="43" t="s">
        <v>8350</v>
      </c>
      <c r="L661" s="43" t="s">
        <v>20</v>
      </c>
      <c r="M661" s="43">
        <v>2685</v>
      </c>
      <c r="N661" s="43">
        <v>337</v>
      </c>
      <c r="O661" s="43">
        <v>343</v>
      </c>
      <c r="P661" s="43" t="s">
        <v>8998</v>
      </c>
      <c r="Q661" s="43" t="s">
        <v>1546</v>
      </c>
      <c r="R661" s="43" t="s">
        <v>9800</v>
      </c>
      <c r="S661" s="52">
        <f t="shared" si="10"/>
        <v>1.95</v>
      </c>
      <c r="T661" s="47"/>
      <c r="U661" s="47"/>
    </row>
    <row r="662" spans="1:21" ht="16.5" thickTop="1" thickBot="1" x14ac:dyDescent="0.3">
      <c r="A662" s="51" t="s">
        <v>9694</v>
      </c>
      <c r="B662" s="52" t="s">
        <v>9695</v>
      </c>
      <c r="C662" s="52" t="s">
        <v>38</v>
      </c>
      <c r="D662" s="52" t="s">
        <v>17</v>
      </c>
      <c r="E662" s="52" t="s">
        <v>18</v>
      </c>
      <c r="F662" s="52" t="s">
        <v>42</v>
      </c>
      <c r="G662" s="53">
        <v>46219.452777777777</v>
      </c>
      <c r="H662" s="53">
        <v>46221.718055555553</v>
      </c>
      <c r="I662" s="52">
        <v>172</v>
      </c>
      <c r="J662" s="52" t="s">
        <v>1156</v>
      </c>
      <c r="K662" s="52" t="s">
        <v>1156</v>
      </c>
      <c r="L662" s="52" t="s">
        <v>36</v>
      </c>
      <c r="M662" s="52">
        <v>172</v>
      </c>
      <c r="N662" s="52">
        <v>172</v>
      </c>
      <c r="O662" s="52">
        <v>172</v>
      </c>
      <c r="P662" s="52" t="s">
        <v>1436</v>
      </c>
      <c r="Q662" s="52" t="s">
        <v>1517</v>
      </c>
      <c r="R662" s="52" t="s">
        <v>9799</v>
      </c>
      <c r="S662" s="52">
        <f t="shared" si="10"/>
        <v>2.27</v>
      </c>
      <c r="T662" s="52"/>
      <c r="U662" s="52"/>
    </row>
    <row r="663" spans="1:21" s="46" customFormat="1" ht="16.5" thickTop="1" thickBot="1" x14ac:dyDescent="0.3">
      <c r="A663" s="50" t="s">
        <v>9692</v>
      </c>
      <c r="B663" s="43" t="s">
        <v>9693</v>
      </c>
      <c r="C663" s="43" t="s">
        <v>38</v>
      </c>
      <c r="D663" s="43" t="s">
        <v>17</v>
      </c>
      <c r="E663" s="43" t="s">
        <v>19</v>
      </c>
      <c r="F663" s="43" t="s">
        <v>21</v>
      </c>
      <c r="G663" s="48">
        <v>46219.531944444447</v>
      </c>
      <c r="H663" s="48">
        <v>46227.52847222222</v>
      </c>
      <c r="I663" s="43">
        <v>142</v>
      </c>
      <c r="J663" s="43" t="s">
        <v>1156</v>
      </c>
      <c r="K663" s="43" t="s">
        <v>1156</v>
      </c>
      <c r="L663" s="43" t="s">
        <v>20</v>
      </c>
      <c r="M663" s="43">
        <v>142</v>
      </c>
      <c r="N663" s="43">
        <v>25</v>
      </c>
      <c r="O663" s="43">
        <v>25</v>
      </c>
      <c r="P663" s="43" t="s">
        <v>9797</v>
      </c>
      <c r="Q663" s="43" t="s">
        <v>1517</v>
      </c>
      <c r="R663" s="43" t="s">
        <v>9798</v>
      </c>
      <c r="S663" s="52">
        <f t="shared" si="10"/>
        <v>8</v>
      </c>
      <c r="T663" s="47"/>
      <c r="U663" s="47"/>
    </row>
    <row r="664" spans="1:21" ht="16.5" thickTop="1" thickBot="1" x14ac:dyDescent="0.3">
      <c r="A664" s="51" t="s">
        <v>9690</v>
      </c>
      <c r="B664" s="52" t="s">
        <v>9691</v>
      </c>
      <c r="C664" s="52" t="s">
        <v>38</v>
      </c>
      <c r="D664" s="52" t="s">
        <v>17</v>
      </c>
      <c r="E664" s="52" t="s">
        <v>18</v>
      </c>
      <c r="F664" s="52" t="s">
        <v>42</v>
      </c>
      <c r="G664" s="53">
        <v>46219.595138888886</v>
      </c>
      <c r="H664" s="53">
        <v>46226.513194444444</v>
      </c>
      <c r="I664" s="52">
        <v>166</v>
      </c>
      <c r="J664" s="52" t="s">
        <v>1156</v>
      </c>
      <c r="K664" s="52" t="s">
        <v>1156</v>
      </c>
      <c r="L664" s="52" t="s">
        <v>25</v>
      </c>
      <c r="M664" s="52">
        <v>121</v>
      </c>
      <c r="N664" s="52">
        <v>22</v>
      </c>
      <c r="O664" s="52">
        <v>31</v>
      </c>
      <c r="P664" s="52" t="s">
        <v>9795</v>
      </c>
      <c r="Q664" s="52" t="s">
        <v>1517</v>
      </c>
      <c r="R664" s="52" t="s">
        <v>9796</v>
      </c>
      <c r="S664" s="52">
        <f t="shared" si="10"/>
        <v>6.92</v>
      </c>
      <c r="T664" s="52"/>
      <c r="U664" s="52"/>
    </row>
    <row r="665" spans="1:21" s="46" customFormat="1" ht="16.5" thickTop="1" thickBot="1" x14ac:dyDescent="0.3">
      <c r="A665" s="50" t="s">
        <v>9688</v>
      </c>
      <c r="B665" s="43" t="s">
        <v>9689</v>
      </c>
      <c r="C665" s="43" t="s">
        <v>38</v>
      </c>
      <c r="D665" s="43" t="s">
        <v>17</v>
      </c>
      <c r="E665" s="43" t="s">
        <v>18</v>
      </c>
      <c r="F665" s="43" t="s">
        <v>42</v>
      </c>
      <c r="G665" s="48">
        <v>46219.611111111109</v>
      </c>
      <c r="H665" s="48">
        <v>46226.532638888886</v>
      </c>
      <c r="I665" s="43">
        <v>241</v>
      </c>
      <c r="J665" s="43" t="s">
        <v>1156</v>
      </c>
      <c r="K665" s="43" t="s">
        <v>1156</v>
      </c>
      <c r="L665" s="43" t="s">
        <v>25</v>
      </c>
      <c r="M665" s="43">
        <v>241</v>
      </c>
      <c r="N665" s="43">
        <v>125</v>
      </c>
      <c r="O665" s="43">
        <v>125</v>
      </c>
      <c r="P665" s="43" t="s">
        <v>1333</v>
      </c>
      <c r="Q665" s="43" t="s">
        <v>1517</v>
      </c>
      <c r="R665" s="43" t="s">
        <v>9794</v>
      </c>
      <c r="S665" s="52">
        <f t="shared" si="10"/>
        <v>6.92</v>
      </c>
      <c r="T665" s="47"/>
      <c r="U665" s="47"/>
    </row>
    <row r="666" spans="1:21" ht="16.5" thickTop="1" thickBot="1" x14ac:dyDescent="0.3">
      <c r="A666" s="51" t="s">
        <v>9686</v>
      </c>
      <c r="B666" s="52" t="s">
        <v>9687</v>
      </c>
      <c r="C666" s="52" t="s">
        <v>38</v>
      </c>
      <c r="D666" s="52" t="s">
        <v>17</v>
      </c>
      <c r="E666" s="52" t="s">
        <v>18</v>
      </c>
      <c r="F666" s="52" t="s">
        <v>42</v>
      </c>
      <c r="G666" s="53">
        <v>46219.684027777781</v>
      </c>
      <c r="H666" s="53">
        <v>46226.588194444441</v>
      </c>
      <c r="I666" s="52">
        <v>261</v>
      </c>
      <c r="J666" s="52" t="s">
        <v>1156</v>
      </c>
      <c r="K666" s="52" t="s">
        <v>1156</v>
      </c>
      <c r="L666" s="52" t="s">
        <v>25</v>
      </c>
      <c r="M666" s="52">
        <v>261</v>
      </c>
      <c r="N666" s="52">
        <v>154</v>
      </c>
      <c r="O666" s="52">
        <v>154</v>
      </c>
      <c r="P666" s="52" t="s">
        <v>1333</v>
      </c>
      <c r="Q666" s="52" t="s">
        <v>1517</v>
      </c>
      <c r="R666" s="52" t="s">
        <v>9793</v>
      </c>
      <c r="S666" s="52">
        <f t="shared" si="10"/>
        <v>6.9</v>
      </c>
      <c r="T666" s="52"/>
      <c r="U666" s="52"/>
    </row>
    <row r="667" spans="1:21" s="46" customFormat="1" ht="16.5" thickTop="1" thickBot="1" x14ac:dyDescent="0.3">
      <c r="A667" s="50" t="s">
        <v>9684</v>
      </c>
      <c r="B667" s="43" t="s">
        <v>9685</v>
      </c>
      <c r="C667" s="43" t="s">
        <v>38</v>
      </c>
      <c r="D667" s="43" t="s">
        <v>17</v>
      </c>
      <c r="E667" s="43" t="s">
        <v>19</v>
      </c>
      <c r="F667" s="43" t="s">
        <v>21</v>
      </c>
      <c r="G667" s="48">
        <v>46219.702777777777</v>
      </c>
      <c r="H667" s="48">
        <v>46223.527083333334</v>
      </c>
      <c r="I667" s="43">
        <v>90</v>
      </c>
      <c r="J667" s="43" t="s">
        <v>1156</v>
      </c>
      <c r="K667" s="43" t="s">
        <v>1156</v>
      </c>
      <c r="L667" s="43" t="s">
        <v>36</v>
      </c>
      <c r="M667" s="43">
        <v>90</v>
      </c>
      <c r="N667" s="43">
        <v>90</v>
      </c>
      <c r="O667" s="43">
        <v>90</v>
      </c>
      <c r="P667" s="43" t="s">
        <v>9791</v>
      </c>
      <c r="Q667" s="43" t="s">
        <v>1517</v>
      </c>
      <c r="R667" s="43" t="s">
        <v>9792</v>
      </c>
      <c r="S667" s="52">
        <f t="shared" si="10"/>
        <v>3.82</v>
      </c>
      <c r="T667" s="47"/>
      <c r="U667" s="47"/>
    </row>
    <row r="668" spans="1:21" ht="16.5" thickTop="1" thickBot="1" x14ac:dyDescent="0.3">
      <c r="A668" s="51" t="s">
        <v>9683</v>
      </c>
      <c r="B668" s="52" t="s">
        <v>9525</v>
      </c>
      <c r="C668" s="52" t="s">
        <v>38</v>
      </c>
      <c r="D668" s="52" t="s">
        <v>17</v>
      </c>
      <c r="E668" s="52" t="s">
        <v>19</v>
      </c>
      <c r="F668" s="52" t="s">
        <v>42</v>
      </c>
      <c r="G668" s="53">
        <v>46219.727083333331</v>
      </c>
      <c r="H668" s="53">
        <v>46221.576388888891</v>
      </c>
      <c r="I668" s="52">
        <v>55</v>
      </c>
      <c r="J668" s="52" t="s">
        <v>1156</v>
      </c>
      <c r="K668" s="52" t="s">
        <v>1156</v>
      </c>
      <c r="L668" s="52" t="s">
        <v>33</v>
      </c>
      <c r="M668" s="52">
        <v>55</v>
      </c>
      <c r="N668" s="52">
        <v>55</v>
      </c>
      <c r="O668" s="52">
        <v>55</v>
      </c>
      <c r="P668" s="52" t="s">
        <v>9526</v>
      </c>
      <c r="Q668" s="52" t="s">
        <v>1514</v>
      </c>
      <c r="R668" s="52" t="s">
        <v>9790</v>
      </c>
      <c r="S668" s="52">
        <f t="shared" si="10"/>
        <v>1.85</v>
      </c>
      <c r="T668" s="52"/>
      <c r="U668" s="52"/>
    </row>
    <row r="669" spans="1:21" s="46" customFormat="1" ht="16.5" thickTop="1" thickBot="1" x14ac:dyDescent="0.3">
      <c r="A669" s="50" t="s">
        <v>9681</v>
      </c>
      <c r="B669" s="43" t="s">
        <v>9682</v>
      </c>
      <c r="C669" s="43" t="s">
        <v>38</v>
      </c>
      <c r="D669" s="43" t="s">
        <v>17</v>
      </c>
      <c r="E669" s="43" t="s">
        <v>18</v>
      </c>
      <c r="F669" s="43" t="s">
        <v>42</v>
      </c>
      <c r="G669" s="48">
        <v>46219.765972222223</v>
      </c>
      <c r="H669" s="48">
        <v>46226.595138888886</v>
      </c>
      <c r="I669" s="43">
        <v>86</v>
      </c>
      <c r="J669" s="43" t="s">
        <v>1156</v>
      </c>
      <c r="K669" s="43" t="s">
        <v>1156</v>
      </c>
      <c r="L669" s="43" t="s">
        <v>36</v>
      </c>
      <c r="M669" s="43">
        <v>84</v>
      </c>
      <c r="N669" s="43">
        <v>84</v>
      </c>
      <c r="O669" s="43">
        <v>86</v>
      </c>
      <c r="P669" s="43" t="s">
        <v>1443</v>
      </c>
      <c r="Q669" s="43" t="s">
        <v>1517</v>
      </c>
      <c r="R669" s="43" t="s">
        <v>9789</v>
      </c>
      <c r="S669" s="52">
        <f t="shared" si="10"/>
        <v>6.83</v>
      </c>
      <c r="T669" s="47"/>
      <c r="U669" s="47"/>
    </row>
    <row r="670" spans="1:21" ht="16.5" thickTop="1" thickBot="1" x14ac:dyDescent="0.3">
      <c r="A670" s="51" t="s">
        <v>9679</v>
      </c>
      <c r="B670" s="52" t="s">
        <v>9680</v>
      </c>
      <c r="C670" s="52" t="s">
        <v>38</v>
      </c>
      <c r="D670" s="52" t="s">
        <v>17</v>
      </c>
      <c r="E670" s="52" t="s">
        <v>18</v>
      </c>
      <c r="F670" s="52" t="s">
        <v>32</v>
      </c>
      <c r="G670" s="53">
        <v>46220.584027777775</v>
      </c>
      <c r="H670" s="53">
        <v>46230.50277777778</v>
      </c>
      <c r="I670" s="52">
        <v>3</v>
      </c>
      <c r="J670" s="52" t="s">
        <v>2373</v>
      </c>
      <c r="K670" s="52" t="s">
        <v>8317</v>
      </c>
      <c r="L670" s="52" t="s">
        <v>33</v>
      </c>
      <c r="M670" s="52">
        <v>3</v>
      </c>
      <c r="N670" s="52">
        <v>3</v>
      </c>
      <c r="O670" s="52">
        <v>3</v>
      </c>
      <c r="P670" s="52" t="s">
        <v>1425</v>
      </c>
      <c r="Q670" s="52" t="s">
        <v>1517</v>
      </c>
      <c r="R670" s="52"/>
      <c r="S670" s="52">
        <f t="shared" si="10"/>
        <v>9.92</v>
      </c>
      <c r="T670" s="52"/>
      <c r="U670" s="52"/>
    </row>
    <row r="671" spans="1:21" s="46" customFormat="1" ht="16.5" thickTop="1" thickBot="1" x14ac:dyDescent="0.3">
      <c r="A671" s="50" t="s">
        <v>9677</v>
      </c>
      <c r="B671" s="43" t="s">
        <v>9678</v>
      </c>
      <c r="C671" s="43" t="s">
        <v>38</v>
      </c>
      <c r="D671" s="43" t="s">
        <v>17</v>
      </c>
      <c r="E671" s="43" t="s">
        <v>18</v>
      </c>
      <c r="F671" s="43" t="s">
        <v>32</v>
      </c>
      <c r="G671" s="48">
        <v>46220.614583333336</v>
      </c>
      <c r="H671" s="48">
        <v>46221.584722222222</v>
      </c>
      <c r="I671" s="43">
        <v>2</v>
      </c>
      <c r="J671" s="43" t="s">
        <v>1156</v>
      </c>
      <c r="K671" s="43" t="s">
        <v>1156</v>
      </c>
      <c r="L671" s="43" t="s">
        <v>33</v>
      </c>
      <c r="M671" s="43">
        <v>2</v>
      </c>
      <c r="N671" s="43">
        <v>2</v>
      </c>
      <c r="O671" s="43">
        <v>2</v>
      </c>
      <c r="P671" s="43" t="s">
        <v>1346</v>
      </c>
      <c r="Q671" s="43" t="s">
        <v>1517</v>
      </c>
      <c r="R671" s="43" t="s">
        <v>9788</v>
      </c>
      <c r="S671" s="52">
        <f t="shared" si="10"/>
        <v>0.97</v>
      </c>
      <c r="T671" s="47"/>
      <c r="U671" s="47"/>
    </row>
    <row r="672" spans="1:21" ht="16.5" thickTop="1" thickBot="1" x14ac:dyDescent="0.3">
      <c r="A672" s="51" t="s">
        <v>9675</v>
      </c>
      <c r="B672" s="52" t="s">
        <v>9676</v>
      </c>
      <c r="C672" s="52" t="s">
        <v>38</v>
      </c>
      <c r="D672" s="52" t="s">
        <v>17</v>
      </c>
      <c r="E672" s="52" t="s">
        <v>18</v>
      </c>
      <c r="F672" s="52" t="s">
        <v>32</v>
      </c>
      <c r="G672" s="53">
        <v>46220.70208333333</v>
      </c>
      <c r="H672" s="53">
        <v>46227.581944444442</v>
      </c>
      <c r="I672" s="52">
        <v>18</v>
      </c>
      <c r="J672" s="52" t="s">
        <v>2373</v>
      </c>
      <c r="K672" s="52" t="s">
        <v>8317</v>
      </c>
      <c r="L672" s="52" t="s">
        <v>33</v>
      </c>
      <c r="M672" s="52">
        <v>18</v>
      </c>
      <c r="N672" s="52">
        <v>18</v>
      </c>
      <c r="O672" s="52">
        <v>18</v>
      </c>
      <c r="P672" s="52" t="s">
        <v>8645</v>
      </c>
      <c r="Q672" s="52" t="s">
        <v>1517</v>
      </c>
      <c r="R672" s="52"/>
      <c r="S672" s="52">
        <f t="shared" si="10"/>
        <v>6.88</v>
      </c>
      <c r="T672" s="52"/>
      <c r="U672" s="52"/>
    </row>
    <row r="673" spans="1:21" s="46" customFormat="1" ht="16.5" thickTop="1" thickBot="1" x14ac:dyDescent="0.3">
      <c r="A673" s="50" t="s">
        <v>9673</v>
      </c>
      <c r="B673" s="43" t="s">
        <v>9674</v>
      </c>
      <c r="C673" s="43" t="s">
        <v>38</v>
      </c>
      <c r="D673" s="43" t="s">
        <v>17</v>
      </c>
      <c r="E673" s="43" t="s">
        <v>19</v>
      </c>
      <c r="F673" s="43" t="s">
        <v>21</v>
      </c>
      <c r="G673" s="48">
        <v>46220.720138888886</v>
      </c>
      <c r="H673" s="48">
        <v>46230.443749999999</v>
      </c>
      <c r="I673" s="43">
        <v>813</v>
      </c>
      <c r="J673" s="43" t="s">
        <v>1156</v>
      </c>
      <c r="K673" s="43" t="s">
        <v>1156</v>
      </c>
      <c r="L673" s="43" t="s">
        <v>25</v>
      </c>
      <c r="M673" s="43">
        <v>717</v>
      </c>
      <c r="N673" s="43">
        <v>147</v>
      </c>
      <c r="O673" s="43">
        <v>218</v>
      </c>
      <c r="P673" s="43" t="s">
        <v>1318</v>
      </c>
      <c r="Q673" s="43" t="s">
        <v>1517</v>
      </c>
      <c r="R673" s="43" t="s">
        <v>9787</v>
      </c>
      <c r="S673" s="52">
        <f t="shared" si="10"/>
        <v>9.7200000000000006</v>
      </c>
      <c r="T673" s="47"/>
      <c r="U673" s="47"/>
    </row>
    <row r="674" spans="1:21" ht="16.5" thickTop="1" thickBot="1" x14ac:dyDescent="0.3">
      <c r="A674" s="51" t="s">
        <v>9671</v>
      </c>
      <c r="B674" s="52" t="s">
        <v>9672</v>
      </c>
      <c r="C674" s="52" t="s">
        <v>38</v>
      </c>
      <c r="D674" s="52" t="s">
        <v>17</v>
      </c>
      <c r="E674" s="52" t="s">
        <v>18</v>
      </c>
      <c r="F674" s="52" t="s">
        <v>42</v>
      </c>
      <c r="G674" s="53">
        <v>46220.724999999999</v>
      </c>
      <c r="H674" s="53">
        <v>46228.459027777775</v>
      </c>
      <c r="I674" s="52">
        <v>7</v>
      </c>
      <c r="J674" s="52" t="s">
        <v>1156</v>
      </c>
      <c r="K674" s="52" t="s">
        <v>1156</v>
      </c>
      <c r="L674" s="52" t="s">
        <v>33</v>
      </c>
      <c r="M674" s="52">
        <v>7</v>
      </c>
      <c r="N674" s="52">
        <v>7</v>
      </c>
      <c r="O674" s="52">
        <v>7</v>
      </c>
      <c r="P674" s="52" t="s">
        <v>9785</v>
      </c>
      <c r="Q674" s="52" t="s">
        <v>1514</v>
      </c>
      <c r="R674" s="52" t="s">
        <v>9786</v>
      </c>
      <c r="S674" s="52">
        <f t="shared" si="10"/>
        <v>7.73</v>
      </c>
      <c r="T674" s="52"/>
      <c r="U674" s="52"/>
    </row>
    <row r="675" spans="1:21" s="46" customFormat="1" ht="16.5" thickTop="1" thickBot="1" x14ac:dyDescent="0.3">
      <c r="A675" s="50" t="s">
        <v>9669</v>
      </c>
      <c r="B675" s="43" t="s">
        <v>9670</v>
      </c>
      <c r="C675" s="43" t="s">
        <v>38</v>
      </c>
      <c r="D675" s="43" t="s">
        <v>17</v>
      </c>
      <c r="E675" s="43" t="s">
        <v>18</v>
      </c>
      <c r="F675" s="43" t="s">
        <v>42</v>
      </c>
      <c r="G675" s="48">
        <v>46220.726388888892</v>
      </c>
      <c r="H675" s="48">
        <v>46221.65347222222</v>
      </c>
      <c r="I675" s="43">
        <v>3</v>
      </c>
      <c r="J675" s="43" t="s">
        <v>1156</v>
      </c>
      <c r="K675" s="43" t="s">
        <v>1156</v>
      </c>
      <c r="L675" s="43" t="s">
        <v>33</v>
      </c>
      <c r="M675" s="43">
        <v>3</v>
      </c>
      <c r="N675" s="43">
        <v>3</v>
      </c>
      <c r="O675" s="43">
        <v>3</v>
      </c>
      <c r="P675" s="43" t="s">
        <v>1444</v>
      </c>
      <c r="Q675" s="43" t="s">
        <v>1517</v>
      </c>
      <c r="R675" s="43" t="s">
        <v>9784</v>
      </c>
      <c r="S675" s="52">
        <f t="shared" si="10"/>
        <v>0.93</v>
      </c>
      <c r="T675" s="47"/>
      <c r="U675" s="47"/>
    </row>
    <row r="676" spans="1:21" ht="16.5" thickTop="1" thickBot="1" x14ac:dyDescent="0.3">
      <c r="A676" s="51" t="s">
        <v>9667</v>
      </c>
      <c r="B676" s="52" t="s">
        <v>9668</v>
      </c>
      <c r="C676" s="52" t="s">
        <v>38</v>
      </c>
      <c r="D676" s="52" t="s">
        <v>17</v>
      </c>
      <c r="E676" s="52" t="s">
        <v>19</v>
      </c>
      <c r="F676" s="52" t="s">
        <v>21</v>
      </c>
      <c r="G676" s="53">
        <v>46220.729166666664</v>
      </c>
      <c r="H676" s="53">
        <v>46225.632638888892</v>
      </c>
      <c r="I676" s="52">
        <v>6</v>
      </c>
      <c r="J676" s="52" t="s">
        <v>1156</v>
      </c>
      <c r="K676" s="52" t="s">
        <v>1156</v>
      </c>
      <c r="L676" s="52" t="s">
        <v>36</v>
      </c>
      <c r="M676" s="52">
        <v>6</v>
      </c>
      <c r="N676" s="52">
        <v>6</v>
      </c>
      <c r="O676" s="52">
        <v>6</v>
      </c>
      <c r="P676" s="52" t="s">
        <v>9782</v>
      </c>
      <c r="Q676" s="52" t="s">
        <v>1517</v>
      </c>
      <c r="R676" s="52" t="s">
        <v>9783</v>
      </c>
      <c r="S676" s="52">
        <f t="shared" si="10"/>
        <v>4.9000000000000004</v>
      </c>
      <c r="T676" s="52"/>
      <c r="U676" s="52"/>
    </row>
    <row r="677" spans="1:21" s="46" customFormat="1" ht="16.5" thickTop="1" thickBot="1" x14ac:dyDescent="0.3">
      <c r="A677" s="50" t="s">
        <v>9665</v>
      </c>
      <c r="B677" s="43" t="s">
        <v>9666</v>
      </c>
      <c r="C677" s="43" t="s">
        <v>38</v>
      </c>
      <c r="D677" s="43" t="s">
        <v>17</v>
      </c>
      <c r="E677" s="43" t="s">
        <v>18</v>
      </c>
      <c r="F677" s="43" t="s">
        <v>42</v>
      </c>
      <c r="G677" s="48">
        <v>46220.742361111108</v>
      </c>
      <c r="H677" s="48">
        <v>46233.744444444441</v>
      </c>
      <c r="I677" s="43">
        <v>21</v>
      </c>
      <c r="J677" s="43" t="s">
        <v>2373</v>
      </c>
      <c r="K677" s="43" t="s">
        <v>8317</v>
      </c>
      <c r="L677" s="43" t="s">
        <v>33</v>
      </c>
      <c r="M677" s="43">
        <v>18</v>
      </c>
      <c r="N677" s="43">
        <v>18</v>
      </c>
      <c r="O677" s="43">
        <v>18</v>
      </c>
      <c r="P677" s="43" t="s">
        <v>1346</v>
      </c>
      <c r="Q677" s="43" t="s">
        <v>1517</v>
      </c>
      <c r="R677" s="43" t="s">
        <v>9781</v>
      </c>
      <c r="S677" s="52">
        <f t="shared" si="10"/>
        <v>13</v>
      </c>
      <c r="T677" s="47"/>
      <c r="U677" s="47"/>
    </row>
    <row r="678" spans="1:21" ht="16.5" thickTop="1" thickBot="1" x14ac:dyDescent="0.3">
      <c r="A678" s="51" t="s">
        <v>9663</v>
      </c>
      <c r="B678" s="52" t="s">
        <v>9664</v>
      </c>
      <c r="C678" s="52" t="s">
        <v>38</v>
      </c>
      <c r="D678" s="52" t="s">
        <v>17</v>
      </c>
      <c r="E678" s="52" t="s">
        <v>18</v>
      </c>
      <c r="F678" s="52" t="s">
        <v>42</v>
      </c>
      <c r="G678" s="53">
        <v>46220.74722222222</v>
      </c>
      <c r="H678" s="53">
        <v>46226.670138888891</v>
      </c>
      <c r="I678" s="52">
        <v>42</v>
      </c>
      <c r="J678" s="52" t="s">
        <v>1156</v>
      </c>
      <c r="K678" s="52" t="s">
        <v>1156</v>
      </c>
      <c r="L678" s="52" t="s">
        <v>33</v>
      </c>
      <c r="M678" s="52">
        <v>42</v>
      </c>
      <c r="N678" s="52">
        <v>42</v>
      </c>
      <c r="O678" s="52">
        <v>42</v>
      </c>
      <c r="P678" s="52" t="s">
        <v>9779</v>
      </c>
      <c r="Q678" s="52" t="s">
        <v>1517</v>
      </c>
      <c r="R678" s="52" t="s">
        <v>9780</v>
      </c>
      <c r="S678" s="52">
        <f t="shared" si="10"/>
        <v>5.92</v>
      </c>
      <c r="T678" s="52"/>
      <c r="U678" s="52"/>
    </row>
    <row r="679" spans="1:21" s="46" customFormat="1" ht="16.5" thickTop="1" thickBot="1" x14ac:dyDescent="0.3">
      <c r="A679" s="50" t="s">
        <v>9661</v>
      </c>
      <c r="B679" s="43" t="s">
        <v>9662</v>
      </c>
      <c r="C679" s="43" t="s">
        <v>38</v>
      </c>
      <c r="D679" s="43" t="s">
        <v>17</v>
      </c>
      <c r="E679" s="43" t="s">
        <v>19</v>
      </c>
      <c r="F679" s="43" t="s">
        <v>21</v>
      </c>
      <c r="G679" s="48">
        <v>46220.754166666666</v>
      </c>
      <c r="H679" s="48">
        <v>46227.546527777777</v>
      </c>
      <c r="I679" s="43">
        <v>235</v>
      </c>
      <c r="J679" s="43" t="s">
        <v>1156</v>
      </c>
      <c r="K679" s="43" t="s">
        <v>1156</v>
      </c>
      <c r="L679" s="43" t="s">
        <v>25</v>
      </c>
      <c r="M679" s="43">
        <v>235</v>
      </c>
      <c r="N679" s="43">
        <v>30</v>
      </c>
      <c r="O679" s="43">
        <v>30</v>
      </c>
      <c r="P679" s="43" t="s">
        <v>9777</v>
      </c>
      <c r="Q679" s="43" t="s">
        <v>1517</v>
      </c>
      <c r="R679" s="43" t="s">
        <v>9778</v>
      </c>
      <c r="S679" s="52">
        <f t="shared" si="10"/>
        <v>6.79</v>
      </c>
      <c r="T679" s="47"/>
      <c r="U679" s="47"/>
    </row>
    <row r="680" spans="1:21" ht="16.5" thickTop="1" thickBot="1" x14ac:dyDescent="0.3">
      <c r="A680" s="51" t="s">
        <v>9659</v>
      </c>
      <c r="B680" s="52" t="s">
        <v>9660</v>
      </c>
      <c r="C680" s="52" t="s">
        <v>38</v>
      </c>
      <c r="D680" s="52" t="s">
        <v>17</v>
      </c>
      <c r="E680" s="52" t="s">
        <v>18</v>
      </c>
      <c r="F680" s="52" t="s">
        <v>28</v>
      </c>
      <c r="G680" s="53">
        <v>46220.773611111108</v>
      </c>
      <c r="H680" s="53">
        <v>46228.746527777781</v>
      </c>
      <c r="I680" s="52">
        <v>1164</v>
      </c>
      <c r="J680" s="52" t="s">
        <v>1156</v>
      </c>
      <c r="K680" s="52" t="s">
        <v>1156</v>
      </c>
      <c r="L680" s="52" t="s">
        <v>20</v>
      </c>
      <c r="M680" s="52">
        <v>1149</v>
      </c>
      <c r="N680" s="52">
        <v>164</v>
      </c>
      <c r="O680" s="52">
        <v>166</v>
      </c>
      <c r="P680" s="52" t="s">
        <v>1316</v>
      </c>
      <c r="Q680" s="52" t="s">
        <v>1517</v>
      </c>
      <c r="R680" s="52" t="s">
        <v>9776</v>
      </c>
      <c r="S680" s="52">
        <f t="shared" si="10"/>
        <v>7.97</v>
      </c>
      <c r="T680" s="52"/>
      <c r="U680" s="52"/>
    </row>
    <row r="681" spans="1:21" s="46" customFormat="1" ht="16.5" thickTop="1" thickBot="1" x14ac:dyDescent="0.3">
      <c r="A681" s="50" t="s">
        <v>9657</v>
      </c>
      <c r="B681" s="43" t="s">
        <v>9658</v>
      </c>
      <c r="C681" s="43" t="s">
        <v>38</v>
      </c>
      <c r="D681" s="43" t="s">
        <v>17</v>
      </c>
      <c r="E681" s="43" t="s">
        <v>18</v>
      </c>
      <c r="F681" s="43" t="s">
        <v>42</v>
      </c>
      <c r="G681" s="48">
        <v>46220.777083333334</v>
      </c>
      <c r="H681" s="48">
        <v>46221.708333333336</v>
      </c>
      <c r="I681" s="43">
        <v>4</v>
      </c>
      <c r="J681" s="43" t="s">
        <v>1156</v>
      </c>
      <c r="K681" s="43" t="s">
        <v>1156</v>
      </c>
      <c r="L681" s="43" t="s">
        <v>33</v>
      </c>
      <c r="M681" s="43">
        <v>4</v>
      </c>
      <c r="N681" s="43">
        <v>4</v>
      </c>
      <c r="O681" s="43">
        <v>4</v>
      </c>
      <c r="P681" s="43" t="s">
        <v>1418</v>
      </c>
      <c r="Q681" s="43" t="s">
        <v>1514</v>
      </c>
      <c r="R681" s="43" t="s">
        <v>9775</v>
      </c>
      <c r="S681" s="52">
        <f t="shared" si="10"/>
        <v>0.93</v>
      </c>
      <c r="T681" s="47"/>
      <c r="U681" s="47"/>
    </row>
    <row r="682" spans="1:21" ht="16.5" thickTop="1" thickBot="1" x14ac:dyDescent="0.3">
      <c r="A682" s="51" t="s">
        <v>10045</v>
      </c>
      <c r="B682" s="52" t="s">
        <v>10046</v>
      </c>
      <c r="C682" s="52" t="s">
        <v>38</v>
      </c>
      <c r="D682" s="52" t="s">
        <v>17</v>
      </c>
      <c r="E682" s="52" t="s">
        <v>18</v>
      </c>
      <c r="F682" s="52" t="s">
        <v>32</v>
      </c>
      <c r="G682" s="53">
        <v>46223.469444444447</v>
      </c>
      <c r="H682" s="53">
        <v>46233.606249999997</v>
      </c>
      <c r="I682" s="52">
        <v>680</v>
      </c>
      <c r="J682" s="52" t="s">
        <v>1156</v>
      </c>
      <c r="K682" s="52" t="s">
        <v>1156</v>
      </c>
      <c r="L682" s="52" t="s">
        <v>31</v>
      </c>
      <c r="M682" s="52">
        <v>680</v>
      </c>
      <c r="N682" s="52">
        <v>177</v>
      </c>
      <c r="O682" s="52">
        <v>166</v>
      </c>
      <c r="P682" s="52" t="s">
        <v>1318</v>
      </c>
      <c r="Q682" s="52" t="s">
        <v>1517</v>
      </c>
      <c r="R682" s="52" t="s">
        <v>10047</v>
      </c>
      <c r="S682" s="52">
        <f t="shared" si="10"/>
        <v>10.14</v>
      </c>
      <c r="T682" s="52"/>
      <c r="U682" s="52"/>
    </row>
    <row r="683" spans="1:21" s="46" customFormat="1" ht="16.5" thickTop="1" thickBot="1" x14ac:dyDescent="0.3">
      <c r="A683" s="50" t="s">
        <v>10048</v>
      </c>
      <c r="B683" s="43" t="s">
        <v>10049</v>
      </c>
      <c r="C683" s="43" t="s">
        <v>39</v>
      </c>
      <c r="D683" s="43" t="s">
        <v>17</v>
      </c>
      <c r="E683" s="43" t="s">
        <v>18</v>
      </c>
      <c r="F683" s="43" t="s">
        <v>42</v>
      </c>
      <c r="G683" s="48">
        <v>46223.469444444447</v>
      </c>
      <c r="H683" s="48">
        <v>46236.053472222222</v>
      </c>
      <c r="I683" s="43">
        <v>37</v>
      </c>
      <c r="J683" s="43" t="s">
        <v>1156</v>
      </c>
      <c r="K683" s="43" t="s">
        <v>1156</v>
      </c>
      <c r="L683" s="43" t="s">
        <v>36</v>
      </c>
      <c r="M683" s="43">
        <v>37</v>
      </c>
      <c r="N683" s="43">
        <v>37</v>
      </c>
      <c r="O683" s="43">
        <v>37</v>
      </c>
      <c r="P683" s="43" t="s">
        <v>10050</v>
      </c>
      <c r="Q683" s="43" t="s">
        <v>1517</v>
      </c>
      <c r="R683" s="43" t="s">
        <v>10051</v>
      </c>
      <c r="S683" s="52">
        <f t="shared" si="10"/>
        <v>12.58</v>
      </c>
      <c r="T683" s="47"/>
      <c r="U683" s="47"/>
    </row>
    <row r="684" spans="1:21" ht="16.5" thickTop="1" thickBot="1" x14ac:dyDescent="0.3">
      <c r="A684" s="51" t="s">
        <v>10042</v>
      </c>
      <c r="B684" s="52" t="s">
        <v>10043</v>
      </c>
      <c r="C684" s="52" t="s">
        <v>38</v>
      </c>
      <c r="D684" s="52" t="s">
        <v>17</v>
      </c>
      <c r="E684" s="52" t="s">
        <v>18</v>
      </c>
      <c r="F684" s="52" t="s">
        <v>42</v>
      </c>
      <c r="G684" s="53">
        <v>46223.517361111109</v>
      </c>
      <c r="H684" s="53">
        <v>46227.56527777778</v>
      </c>
      <c r="I684" s="52">
        <v>138</v>
      </c>
      <c r="J684" s="52" t="s">
        <v>1156</v>
      </c>
      <c r="K684" s="52" t="s">
        <v>1156</v>
      </c>
      <c r="L684" s="52" t="s">
        <v>36</v>
      </c>
      <c r="M684" s="52">
        <v>132</v>
      </c>
      <c r="N684" s="52">
        <v>132</v>
      </c>
      <c r="O684" s="52">
        <v>138</v>
      </c>
      <c r="P684" s="52" t="s">
        <v>8523</v>
      </c>
      <c r="Q684" s="52" t="s">
        <v>1517</v>
      </c>
      <c r="R684" s="52" t="s">
        <v>10044</v>
      </c>
      <c r="S684" s="52">
        <f t="shared" si="10"/>
        <v>4.05</v>
      </c>
      <c r="T684" s="52"/>
      <c r="U684" s="52"/>
    </row>
    <row r="685" spans="1:21" s="46" customFormat="1" ht="16.5" thickTop="1" thickBot="1" x14ac:dyDescent="0.3">
      <c r="A685" s="50" t="s">
        <v>10040</v>
      </c>
      <c r="B685" s="43" t="s">
        <v>10041</v>
      </c>
      <c r="C685" s="43" t="s">
        <v>38</v>
      </c>
      <c r="D685" s="43" t="s">
        <v>17</v>
      </c>
      <c r="E685" s="43" t="s">
        <v>19</v>
      </c>
      <c r="F685" s="43" t="s">
        <v>42</v>
      </c>
      <c r="G685" s="48">
        <v>46223.53125</v>
      </c>
      <c r="H685" s="48">
        <v>46235.455555555556</v>
      </c>
      <c r="I685" s="43">
        <v>22</v>
      </c>
      <c r="J685" s="43" t="s">
        <v>2373</v>
      </c>
      <c r="K685" s="43" t="s">
        <v>8317</v>
      </c>
      <c r="L685" s="43" t="s">
        <v>36</v>
      </c>
      <c r="M685" s="43">
        <v>22</v>
      </c>
      <c r="N685" s="43">
        <v>22</v>
      </c>
      <c r="O685" s="43">
        <v>22</v>
      </c>
      <c r="P685" s="43" t="s">
        <v>9832</v>
      </c>
      <c r="Q685" s="43" t="s">
        <v>1517</v>
      </c>
      <c r="R685" s="43"/>
      <c r="S685" s="52">
        <f t="shared" si="10"/>
        <v>11.92</v>
      </c>
      <c r="T685" s="47"/>
      <c r="U685" s="47"/>
    </row>
    <row r="686" spans="1:21" ht="16.5" thickTop="1" thickBot="1" x14ac:dyDescent="0.3">
      <c r="A686" s="51" t="s">
        <v>10036</v>
      </c>
      <c r="B686" s="52" t="s">
        <v>10037</v>
      </c>
      <c r="C686" s="52" t="s">
        <v>38</v>
      </c>
      <c r="D686" s="52" t="s">
        <v>17</v>
      </c>
      <c r="E686" s="52" t="s">
        <v>18</v>
      </c>
      <c r="F686" s="52" t="s">
        <v>42</v>
      </c>
      <c r="G686" s="53">
        <v>46223.540277777778</v>
      </c>
      <c r="H686" s="53">
        <v>46226.625694444447</v>
      </c>
      <c r="I686" s="52">
        <v>1290</v>
      </c>
      <c r="J686" s="52" t="s">
        <v>1156</v>
      </c>
      <c r="K686" s="52" t="s">
        <v>1156</v>
      </c>
      <c r="L686" s="52" t="s">
        <v>36</v>
      </c>
      <c r="M686" s="52">
        <v>1290</v>
      </c>
      <c r="N686" s="52">
        <v>1290</v>
      </c>
      <c r="O686" s="52">
        <v>1290</v>
      </c>
      <c r="P686" s="52" t="s">
        <v>10038</v>
      </c>
      <c r="Q686" s="52" t="s">
        <v>1517</v>
      </c>
      <c r="R686" s="52" t="s">
        <v>10039</v>
      </c>
      <c r="S686" s="52">
        <f t="shared" si="10"/>
        <v>3.09</v>
      </c>
      <c r="T686" s="52"/>
      <c r="U686" s="52"/>
    </row>
    <row r="687" spans="1:21" s="46" customFormat="1" ht="16.5" thickTop="1" thickBot="1" x14ac:dyDescent="0.3">
      <c r="A687" s="50" t="s">
        <v>10033</v>
      </c>
      <c r="B687" s="43" t="s">
        <v>10034</v>
      </c>
      <c r="C687" s="43" t="s">
        <v>38</v>
      </c>
      <c r="D687" s="43" t="s">
        <v>17</v>
      </c>
      <c r="E687" s="43" t="s">
        <v>18</v>
      </c>
      <c r="F687" s="43" t="s">
        <v>42</v>
      </c>
      <c r="G687" s="48">
        <v>46223.543749999997</v>
      </c>
      <c r="H687" s="48">
        <v>46227.67291666667</v>
      </c>
      <c r="I687" s="43">
        <v>162</v>
      </c>
      <c r="J687" s="43" t="s">
        <v>1156</v>
      </c>
      <c r="K687" s="43" t="s">
        <v>1156</v>
      </c>
      <c r="L687" s="43" t="s">
        <v>36</v>
      </c>
      <c r="M687" s="43">
        <v>162</v>
      </c>
      <c r="N687" s="43">
        <v>162</v>
      </c>
      <c r="O687" s="43">
        <v>162</v>
      </c>
      <c r="P687" s="43" t="s">
        <v>9801</v>
      </c>
      <c r="Q687" s="43" t="s">
        <v>1517</v>
      </c>
      <c r="R687" s="43" t="s">
        <v>10035</v>
      </c>
      <c r="S687" s="52">
        <f t="shared" si="10"/>
        <v>4.13</v>
      </c>
      <c r="T687" s="47"/>
      <c r="U687" s="47"/>
    </row>
    <row r="688" spans="1:21" ht="16.5" thickTop="1" thickBot="1" x14ac:dyDescent="0.3">
      <c r="A688" s="51" t="s">
        <v>10030</v>
      </c>
      <c r="B688" s="52" t="s">
        <v>10031</v>
      </c>
      <c r="C688" s="52" t="s">
        <v>38</v>
      </c>
      <c r="D688" s="52" t="s">
        <v>17</v>
      </c>
      <c r="E688" s="52" t="s">
        <v>18</v>
      </c>
      <c r="F688" s="52" t="s">
        <v>42</v>
      </c>
      <c r="G688" s="53">
        <v>46223.61041666667</v>
      </c>
      <c r="H688" s="53">
        <v>46230.475694444445</v>
      </c>
      <c r="I688" s="52">
        <v>218</v>
      </c>
      <c r="J688" s="52" t="s">
        <v>1156</v>
      </c>
      <c r="K688" s="52" t="s">
        <v>1156</v>
      </c>
      <c r="L688" s="52" t="s">
        <v>33</v>
      </c>
      <c r="M688" s="52">
        <v>204</v>
      </c>
      <c r="N688" s="52">
        <v>204</v>
      </c>
      <c r="O688" s="52">
        <v>218</v>
      </c>
      <c r="P688" s="52" t="s">
        <v>9526</v>
      </c>
      <c r="Q688" s="52" t="s">
        <v>1514</v>
      </c>
      <c r="R688" s="52" t="s">
        <v>10032</v>
      </c>
      <c r="S688" s="52">
        <f t="shared" si="10"/>
        <v>6.87</v>
      </c>
      <c r="T688" s="52"/>
      <c r="U688" s="52"/>
    </row>
    <row r="689" spans="1:21" s="46" customFormat="1" ht="16.5" thickTop="1" thickBot="1" x14ac:dyDescent="0.3">
      <c r="A689" s="50" t="s">
        <v>10027</v>
      </c>
      <c r="B689" s="43" t="s">
        <v>10028</v>
      </c>
      <c r="C689" s="43" t="s">
        <v>38</v>
      </c>
      <c r="D689" s="43" t="s">
        <v>17</v>
      </c>
      <c r="E689" s="43" t="s">
        <v>18</v>
      </c>
      <c r="F689" s="43" t="s">
        <v>32</v>
      </c>
      <c r="G689" s="48">
        <v>46223.65347222222</v>
      </c>
      <c r="H689" s="48">
        <v>46224.676388888889</v>
      </c>
      <c r="I689" s="43">
        <v>33</v>
      </c>
      <c r="J689" s="43" t="s">
        <v>1156</v>
      </c>
      <c r="K689" s="43" t="s">
        <v>8294</v>
      </c>
      <c r="L689" s="43" t="s">
        <v>20</v>
      </c>
      <c r="M689" s="43">
        <v>33</v>
      </c>
      <c r="N689" s="43">
        <v>3</v>
      </c>
      <c r="O689" s="43">
        <v>3</v>
      </c>
      <c r="P689" s="43" t="s">
        <v>1341</v>
      </c>
      <c r="Q689" s="43" t="s">
        <v>1546</v>
      </c>
      <c r="R689" s="43" t="s">
        <v>10029</v>
      </c>
      <c r="S689" s="52">
        <f t="shared" si="10"/>
        <v>1.02</v>
      </c>
      <c r="T689" s="47"/>
      <c r="U689" s="47"/>
    </row>
    <row r="690" spans="1:21" ht="16.5" thickTop="1" thickBot="1" x14ac:dyDescent="0.3">
      <c r="A690" s="51" t="s">
        <v>10024</v>
      </c>
      <c r="B690" s="52" t="s">
        <v>10025</v>
      </c>
      <c r="C690" s="52" t="s">
        <v>38</v>
      </c>
      <c r="D690" s="52" t="s">
        <v>17</v>
      </c>
      <c r="E690" s="52" t="s">
        <v>18</v>
      </c>
      <c r="F690" s="52" t="s">
        <v>42</v>
      </c>
      <c r="G690" s="53">
        <v>46223.694444444445</v>
      </c>
      <c r="H690" s="53">
        <v>46227.443055555559</v>
      </c>
      <c r="I690" s="52">
        <v>11</v>
      </c>
      <c r="J690" s="52" t="s">
        <v>1156</v>
      </c>
      <c r="K690" s="52" t="s">
        <v>1156</v>
      </c>
      <c r="L690" s="52" t="s">
        <v>33</v>
      </c>
      <c r="M690" s="52">
        <v>11</v>
      </c>
      <c r="N690" s="52">
        <v>11</v>
      </c>
      <c r="O690" s="52">
        <v>11</v>
      </c>
      <c r="P690" s="52" t="s">
        <v>1438</v>
      </c>
      <c r="Q690" s="52" t="s">
        <v>1517</v>
      </c>
      <c r="R690" s="52" t="s">
        <v>10026</v>
      </c>
      <c r="S690" s="52">
        <f t="shared" si="10"/>
        <v>3.75</v>
      </c>
      <c r="T690" s="52"/>
      <c r="U690" s="52"/>
    </row>
    <row r="691" spans="1:21" s="46" customFormat="1" ht="16.5" thickTop="1" thickBot="1" x14ac:dyDescent="0.3">
      <c r="A691" s="50" t="s">
        <v>10021</v>
      </c>
      <c r="B691" s="43" t="s">
        <v>10022</v>
      </c>
      <c r="C691" s="43" t="s">
        <v>38</v>
      </c>
      <c r="D691" s="43" t="s">
        <v>17</v>
      </c>
      <c r="E691" s="43" t="s">
        <v>18</v>
      </c>
      <c r="F691" s="43" t="s">
        <v>42</v>
      </c>
      <c r="G691" s="48">
        <v>46223.695833333331</v>
      </c>
      <c r="H691" s="48">
        <v>46230.560416666667</v>
      </c>
      <c r="I691" s="43">
        <v>10</v>
      </c>
      <c r="J691" s="43" t="s">
        <v>2373</v>
      </c>
      <c r="K691" s="43" t="s">
        <v>8317</v>
      </c>
      <c r="L691" s="43" t="s">
        <v>33</v>
      </c>
      <c r="M691" s="43">
        <v>10</v>
      </c>
      <c r="N691" s="43">
        <v>10</v>
      </c>
      <c r="O691" s="43">
        <v>8</v>
      </c>
      <c r="P691" s="43" t="s">
        <v>8627</v>
      </c>
      <c r="Q691" s="43" t="s">
        <v>1517</v>
      </c>
      <c r="R691" s="43" t="s">
        <v>10023</v>
      </c>
      <c r="S691" s="52">
        <f t="shared" si="10"/>
        <v>6.86</v>
      </c>
      <c r="T691" s="47"/>
      <c r="U691" s="47"/>
    </row>
    <row r="692" spans="1:21" ht="16.5" thickTop="1" thickBot="1" x14ac:dyDescent="0.3">
      <c r="A692" s="51" t="s">
        <v>10017</v>
      </c>
      <c r="B692" s="52" t="s">
        <v>10018</v>
      </c>
      <c r="C692" s="52" t="s">
        <v>38</v>
      </c>
      <c r="D692" s="52" t="s">
        <v>17</v>
      </c>
      <c r="E692" s="52" t="s">
        <v>18</v>
      </c>
      <c r="F692" s="52" t="s">
        <v>42</v>
      </c>
      <c r="G692" s="53">
        <v>46223.710416666669</v>
      </c>
      <c r="H692" s="53">
        <v>46227.572222222225</v>
      </c>
      <c r="I692" s="52">
        <v>4</v>
      </c>
      <c r="J692" s="52" t="s">
        <v>1156</v>
      </c>
      <c r="K692" s="52" t="s">
        <v>1156</v>
      </c>
      <c r="L692" s="52" t="s">
        <v>33</v>
      </c>
      <c r="M692" s="52">
        <v>4</v>
      </c>
      <c r="N692" s="52">
        <v>4</v>
      </c>
      <c r="O692" s="52">
        <v>4</v>
      </c>
      <c r="P692" s="52" t="s">
        <v>10019</v>
      </c>
      <c r="Q692" s="52" t="s">
        <v>1546</v>
      </c>
      <c r="R692" s="52" t="s">
        <v>10020</v>
      </c>
      <c r="S692" s="52">
        <f t="shared" si="10"/>
        <v>3.86</v>
      </c>
      <c r="T692" s="52"/>
      <c r="U692" s="52"/>
    </row>
    <row r="693" spans="1:21" s="46" customFormat="1" ht="16.5" thickTop="1" thickBot="1" x14ac:dyDescent="0.3">
      <c r="A693" s="50" t="s">
        <v>10013</v>
      </c>
      <c r="B693" s="43" t="s">
        <v>10014</v>
      </c>
      <c r="C693" s="43" t="s">
        <v>38</v>
      </c>
      <c r="D693" s="43" t="s">
        <v>17</v>
      </c>
      <c r="E693" s="43" t="s">
        <v>18</v>
      </c>
      <c r="F693" s="43" t="s">
        <v>42</v>
      </c>
      <c r="G693" s="48">
        <v>46223.711805555555</v>
      </c>
      <c r="H693" s="48">
        <v>46225.620138888888</v>
      </c>
      <c r="I693" s="43">
        <v>1</v>
      </c>
      <c r="J693" s="43" t="s">
        <v>1156</v>
      </c>
      <c r="K693" s="43" t="s">
        <v>8351</v>
      </c>
      <c r="L693" s="43" t="s">
        <v>33</v>
      </c>
      <c r="M693" s="43">
        <v>1</v>
      </c>
      <c r="N693" s="43">
        <v>1</v>
      </c>
      <c r="O693" s="43">
        <v>1</v>
      </c>
      <c r="P693" s="43" t="s">
        <v>10015</v>
      </c>
      <c r="Q693" s="43" t="s">
        <v>1546</v>
      </c>
      <c r="R693" s="43" t="s">
        <v>10016</v>
      </c>
      <c r="S693" s="52">
        <f t="shared" si="10"/>
        <v>1.91</v>
      </c>
      <c r="T693" s="47"/>
      <c r="U693" s="47"/>
    </row>
    <row r="694" spans="1:21" ht="16.5" thickTop="1" thickBot="1" x14ac:dyDescent="0.3">
      <c r="A694" s="51" t="s">
        <v>10009</v>
      </c>
      <c r="B694" s="52" t="s">
        <v>10010</v>
      </c>
      <c r="C694" s="52" t="s">
        <v>38</v>
      </c>
      <c r="D694" s="52" t="s">
        <v>17</v>
      </c>
      <c r="E694" s="52" t="s">
        <v>18</v>
      </c>
      <c r="F694" s="52" t="s">
        <v>42</v>
      </c>
      <c r="G694" s="53">
        <v>46223.716666666667</v>
      </c>
      <c r="H694" s="53">
        <v>46228.603472222225</v>
      </c>
      <c r="I694" s="52">
        <v>3</v>
      </c>
      <c r="J694" s="52" t="s">
        <v>1156</v>
      </c>
      <c r="K694" s="52" t="s">
        <v>1156</v>
      </c>
      <c r="L694" s="52" t="s">
        <v>33</v>
      </c>
      <c r="M694" s="52">
        <v>3</v>
      </c>
      <c r="N694" s="52">
        <v>3</v>
      </c>
      <c r="O694" s="52">
        <v>3</v>
      </c>
      <c r="P694" s="52" t="s">
        <v>10011</v>
      </c>
      <c r="Q694" s="52" t="s">
        <v>1546</v>
      </c>
      <c r="R694" s="52" t="s">
        <v>10012</v>
      </c>
      <c r="S694" s="52">
        <f t="shared" si="10"/>
        <v>4.8899999999999997</v>
      </c>
      <c r="T694" s="52"/>
      <c r="U694" s="52"/>
    </row>
    <row r="695" spans="1:21" s="46" customFormat="1" ht="16.5" thickTop="1" thickBot="1" x14ac:dyDescent="0.3">
      <c r="A695" s="50" t="s">
        <v>10006</v>
      </c>
      <c r="B695" s="43" t="s">
        <v>10007</v>
      </c>
      <c r="C695" s="43" t="s">
        <v>38</v>
      </c>
      <c r="D695" s="43" t="s">
        <v>17</v>
      </c>
      <c r="E695" s="43" t="s">
        <v>18</v>
      </c>
      <c r="F695" s="43" t="s">
        <v>42</v>
      </c>
      <c r="G695" s="48">
        <v>46223.717361111114</v>
      </c>
      <c r="H695" s="48">
        <v>46227.587500000001</v>
      </c>
      <c r="I695" s="43">
        <v>1</v>
      </c>
      <c r="J695" s="43" t="s">
        <v>1156</v>
      </c>
      <c r="K695" s="43" t="s">
        <v>1156</v>
      </c>
      <c r="L695" s="43" t="s">
        <v>33</v>
      </c>
      <c r="M695" s="43">
        <v>1</v>
      </c>
      <c r="N695" s="43">
        <v>1</v>
      </c>
      <c r="O695" s="43">
        <v>1</v>
      </c>
      <c r="P695" s="43" t="s">
        <v>9208</v>
      </c>
      <c r="Q695" s="43" t="s">
        <v>1514</v>
      </c>
      <c r="R695" s="43" t="s">
        <v>10008</v>
      </c>
      <c r="S695" s="52">
        <f t="shared" si="10"/>
        <v>3.87</v>
      </c>
      <c r="T695" s="47"/>
      <c r="U695" s="47"/>
    </row>
    <row r="696" spans="1:21" ht="16.5" thickTop="1" thickBot="1" x14ac:dyDescent="0.3">
      <c r="A696" s="51" t="s">
        <v>10002</v>
      </c>
      <c r="B696" s="52" t="s">
        <v>10003</v>
      </c>
      <c r="C696" s="52" t="s">
        <v>38</v>
      </c>
      <c r="D696" s="52" t="s">
        <v>17</v>
      </c>
      <c r="E696" s="52" t="s">
        <v>18</v>
      </c>
      <c r="F696" s="52" t="s">
        <v>42</v>
      </c>
      <c r="G696" s="53">
        <v>46223.71875</v>
      </c>
      <c r="H696" s="53">
        <v>46228.613888888889</v>
      </c>
      <c r="I696" s="52">
        <v>10</v>
      </c>
      <c r="J696" s="52" t="s">
        <v>1156</v>
      </c>
      <c r="K696" s="52" t="s">
        <v>1156</v>
      </c>
      <c r="L696" s="52" t="s">
        <v>33</v>
      </c>
      <c r="M696" s="52">
        <v>9</v>
      </c>
      <c r="N696" s="52">
        <v>9</v>
      </c>
      <c r="O696" s="52">
        <v>10</v>
      </c>
      <c r="P696" s="52" t="s">
        <v>10004</v>
      </c>
      <c r="Q696" s="52" t="s">
        <v>1546</v>
      </c>
      <c r="R696" s="52" t="s">
        <v>10005</v>
      </c>
      <c r="S696" s="52">
        <f t="shared" si="10"/>
        <v>4.9000000000000004</v>
      </c>
      <c r="T696" s="52"/>
      <c r="U696" s="52"/>
    </row>
    <row r="697" spans="1:21" s="46" customFormat="1" ht="16.5" thickTop="1" thickBot="1" x14ac:dyDescent="0.3">
      <c r="A697" s="50" t="s">
        <v>9998</v>
      </c>
      <c r="B697" s="43" t="s">
        <v>9999</v>
      </c>
      <c r="C697" s="43" t="s">
        <v>38</v>
      </c>
      <c r="D697" s="43" t="s">
        <v>17</v>
      </c>
      <c r="E697" s="43" t="s">
        <v>18</v>
      </c>
      <c r="F697" s="43" t="s">
        <v>42</v>
      </c>
      <c r="G697" s="48">
        <v>46223.728472222225</v>
      </c>
      <c r="H697" s="48">
        <v>46227.618750000001</v>
      </c>
      <c r="I697" s="43">
        <v>3</v>
      </c>
      <c r="J697" s="43" t="s">
        <v>1156</v>
      </c>
      <c r="K697" s="43" t="s">
        <v>1156</v>
      </c>
      <c r="L697" s="43" t="s">
        <v>33</v>
      </c>
      <c r="M697" s="43">
        <v>3</v>
      </c>
      <c r="N697" s="43">
        <v>3</v>
      </c>
      <c r="O697" s="43">
        <v>3</v>
      </c>
      <c r="P697" s="43" t="s">
        <v>10000</v>
      </c>
      <c r="Q697" s="43" t="s">
        <v>1514</v>
      </c>
      <c r="R697" s="43" t="s">
        <v>10001</v>
      </c>
      <c r="S697" s="52">
        <f t="shared" si="10"/>
        <v>3.89</v>
      </c>
      <c r="T697" s="47"/>
      <c r="U697" s="47"/>
    </row>
    <row r="698" spans="1:21" ht="16.5" thickTop="1" thickBot="1" x14ac:dyDescent="0.3">
      <c r="A698" s="51" t="s">
        <v>9994</v>
      </c>
      <c r="B698" s="52" t="s">
        <v>9995</v>
      </c>
      <c r="C698" s="52" t="s">
        <v>38</v>
      </c>
      <c r="D698" s="52" t="s">
        <v>17</v>
      </c>
      <c r="E698" s="52" t="s">
        <v>18</v>
      </c>
      <c r="F698" s="52" t="s">
        <v>42</v>
      </c>
      <c r="G698" s="53">
        <v>46223.729861111111</v>
      </c>
      <c r="H698" s="53">
        <v>46228.611111111109</v>
      </c>
      <c r="I698" s="52">
        <v>1</v>
      </c>
      <c r="J698" s="52" t="s">
        <v>1156</v>
      </c>
      <c r="K698" s="52" t="s">
        <v>1156</v>
      </c>
      <c r="L698" s="52" t="s">
        <v>33</v>
      </c>
      <c r="M698" s="52">
        <v>1</v>
      </c>
      <c r="N698" s="52">
        <v>1</v>
      </c>
      <c r="O698" s="52">
        <v>1</v>
      </c>
      <c r="P698" s="52" t="s">
        <v>9996</v>
      </c>
      <c r="Q698" s="52" t="s">
        <v>1517</v>
      </c>
      <c r="R698" s="52" t="s">
        <v>9997</v>
      </c>
      <c r="S698" s="52">
        <f t="shared" si="10"/>
        <v>4.88</v>
      </c>
      <c r="T698" s="52"/>
      <c r="U698" s="52"/>
    </row>
    <row r="699" spans="1:21" s="46" customFormat="1" ht="16.5" thickTop="1" thickBot="1" x14ac:dyDescent="0.3">
      <c r="A699" s="50" t="s">
        <v>9990</v>
      </c>
      <c r="B699" s="43" t="s">
        <v>9991</v>
      </c>
      <c r="C699" s="43" t="s">
        <v>38</v>
      </c>
      <c r="D699" s="43" t="s">
        <v>17</v>
      </c>
      <c r="E699" s="43" t="s">
        <v>18</v>
      </c>
      <c r="F699" s="43" t="s">
        <v>42</v>
      </c>
      <c r="G699" s="48">
        <v>46223.753472222219</v>
      </c>
      <c r="H699" s="48">
        <v>46227.59097222222</v>
      </c>
      <c r="I699" s="43">
        <v>40</v>
      </c>
      <c r="J699" s="43" t="s">
        <v>2373</v>
      </c>
      <c r="K699" s="43" t="s">
        <v>8315</v>
      </c>
      <c r="L699" s="43" t="s">
        <v>33</v>
      </c>
      <c r="M699" s="43">
        <v>40</v>
      </c>
      <c r="N699" s="43">
        <v>40</v>
      </c>
      <c r="O699" s="43">
        <v>40</v>
      </c>
      <c r="P699" s="43" t="s">
        <v>9992</v>
      </c>
      <c r="Q699" s="43" t="s">
        <v>1546</v>
      </c>
      <c r="R699" s="43" t="s">
        <v>9993</v>
      </c>
      <c r="S699" s="52">
        <f t="shared" si="10"/>
        <v>3.84</v>
      </c>
      <c r="T699" s="47"/>
      <c r="U699" s="47"/>
    </row>
    <row r="700" spans="1:21" ht="16.5" thickTop="1" thickBot="1" x14ac:dyDescent="0.3">
      <c r="A700" s="51" t="s">
        <v>9987</v>
      </c>
      <c r="B700" s="52" t="s">
        <v>9988</v>
      </c>
      <c r="C700" s="52" t="s">
        <v>38</v>
      </c>
      <c r="D700" s="52" t="s">
        <v>17</v>
      </c>
      <c r="E700" s="52" t="s">
        <v>18</v>
      </c>
      <c r="F700" s="52" t="s">
        <v>42</v>
      </c>
      <c r="G700" s="53">
        <v>46223.763888888891</v>
      </c>
      <c r="H700" s="53">
        <v>46230.50277777778</v>
      </c>
      <c r="I700" s="52">
        <v>4</v>
      </c>
      <c r="J700" s="52" t="s">
        <v>2373</v>
      </c>
      <c r="K700" s="52" t="s">
        <v>8317</v>
      </c>
      <c r="L700" s="52" t="s">
        <v>33</v>
      </c>
      <c r="M700" s="52">
        <v>4</v>
      </c>
      <c r="N700" s="52">
        <v>4</v>
      </c>
      <c r="O700" s="52">
        <v>4</v>
      </c>
      <c r="P700" s="52" t="s">
        <v>1425</v>
      </c>
      <c r="Q700" s="52" t="s">
        <v>1517</v>
      </c>
      <c r="R700" s="52" t="s">
        <v>9989</v>
      </c>
      <c r="S700" s="52">
        <f t="shared" si="10"/>
        <v>6.74</v>
      </c>
      <c r="T700" s="52"/>
      <c r="U700" s="52"/>
    </row>
    <row r="701" spans="1:21" s="46" customFormat="1" ht="16.5" thickTop="1" thickBot="1" x14ac:dyDescent="0.3">
      <c r="A701" s="50" t="s">
        <v>9983</v>
      </c>
      <c r="B701" s="43" t="s">
        <v>9984</v>
      </c>
      <c r="C701" s="43" t="s">
        <v>39</v>
      </c>
      <c r="D701" s="43" t="s">
        <v>17</v>
      </c>
      <c r="E701" s="43" t="s">
        <v>18</v>
      </c>
      <c r="F701" s="43" t="s">
        <v>42</v>
      </c>
      <c r="G701" s="48">
        <v>46223.769444444442</v>
      </c>
      <c r="H701" s="48">
        <v>46225.461805555555</v>
      </c>
      <c r="I701" s="43">
        <v>1</v>
      </c>
      <c r="J701" s="43" t="s">
        <v>1156</v>
      </c>
      <c r="K701" s="43" t="s">
        <v>8351</v>
      </c>
      <c r="L701" s="43" t="s">
        <v>33</v>
      </c>
      <c r="M701" s="43"/>
      <c r="N701" s="43"/>
      <c r="O701" s="43">
        <v>1</v>
      </c>
      <c r="P701" s="43" t="s">
        <v>9985</v>
      </c>
      <c r="Q701" s="43" t="s">
        <v>1517</v>
      </c>
      <c r="R701" s="43" t="s">
        <v>9986</v>
      </c>
      <c r="S701" s="52">
        <f t="shared" si="10"/>
        <v>1.69</v>
      </c>
      <c r="T701" s="47"/>
      <c r="U701" s="47"/>
    </row>
    <row r="702" spans="1:21" ht="16.5" thickTop="1" thickBot="1" x14ac:dyDescent="0.3">
      <c r="A702" s="51" t="s">
        <v>9980</v>
      </c>
      <c r="B702" s="52" t="s">
        <v>9981</v>
      </c>
      <c r="C702" s="52" t="s">
        <v>38</v>
      </c>
      <c r="D702" s="52" t="s">
        <v>17</v>
      </c>
      <c r="E702" s="52" t="s">
        <v>19</v>
      </c>
      <c r="F702" s="52" t="s">
        <v>32</v>
      </c>
      <c r="G702" s="53">
        <v>46224.650694444441</v>
      </c>
      <c r="H702" s="53">
        <v>46228.646527777775</v>
      </c>
      <c r="I702" s="52">
        <v>4</v>
      </c>
      <c r="J702" s="52" t="s">
        <v>1156</v>
      </c>
      <c r="K702" s="52" t="s">
        <v>1156</v>
      </c>
      <c r="L702" s="52" t="s">
        <v>33</v>
      </c>
      <c r="M702" s="52">
        <v>4</v>
      </c>
      <c r="N702" s="52">
        <v>4</v>
      </c>
      <c r="O702" s="52">
        <v>4</v>
      </c>
      <c r="P702" s="52" t="s">
        <v>9830</v>
      </c>
      <c r="Q702" s="52" t="s">
        <v>1546</v>
      </c>
      <c r="R702" s="52" t="s">
        <v>9982</v>
      </c>
      <c r="S702" s="52">
        <f t="shared" si="10"/>
        <v>4</v>
      </c>
      <c r="T702" s="52"/>
      <c r="U702" s="52"/>
    </row>
    <row r="703" spans="1:21" s="46" customFormat="1" ht="16.5" thickTop="1" thickBot="1" x14ac:dyDescent="0.3">
      <c r="A703" s="50" t="s">
        <v>9977</v>
      </c>
      <c r="B703" s="43" t="s">
        <v>9978</v>
      </c>
      <c r="C703" s="43" t="s">
        <v>38</v>
      </c>
      <c r="D703" s="43" t="s">
        <v>17</v>
      </c>
      <c r="E703" s="43" t="s">
        <v>18</v>
      </c>
      <c r="F703" s="43" t="s">
        <v>19</v>
      </c>
      <c r="G703" s="48">
        <v>46224.665972222225</v>
      </c>
      <c r="H703" s="48">
        <v>46225.640277777777</v>
      </c>
      <c r="I703" s="43">
        <v>26</v>
      </c>
      <c r="J703" s="43" t="s">
        <v>1156</v>
      </c>
      <c r="K703" s="43" t="s">
        <v>1156</v>
      </c>
      <c r="L703" s="43" t="s">
        <v>20</v>
      </c>
      <c r="M703" s="43">
        <v>26</v>
      </c>
      <c r="N703" s="43">
        <v>3</v>
      </c>
      <c r="O703" s="43">
        <v>3</v>
      </c>
      <c r="P703" s="43" t="s">
        <v>1287</v>
      </c>
      <c r="Q703" s="43" t="s">
        <v>1514</v>
      </c>
      <c r="R703" s="43" t="s">
        <v>9979</v>
      </c>
      <c r="S703" s="52">
        <f t="shared" si="10"/>
        <v>0.97</v>
      </c>
      <c r="T703" s="47"/>
      <c r="U703" s="47"/>
    </row>
    <row r="704" spans="1:21" ht="16.5" thickTop="1" thickBot="1" x14ac:dyDescent="0.3">
      <c r="A704" s="51" t="s">
        <v>9972</v>
      </c>
      <c r="B704" s="52" t="s">
        <v>9973</v>
      </c>
      <c r="C704" s="52" t="s">
        <v>38</v>
      </c>
      <c r="D704" s="52" t="s">
        <v>17</v>
      </c>
      <c r="E704" s="52" t="s">
        <v>9974</v>
      </c>
      <c r="F704" s="52" t="s">
        <v>32</v>
      </c>
      <c r="G704" s="53">
        <v>46224.767361111109</v>
      </c>
      <c r="H704" s="53">
        <v>46227.622916666667</v>
      </c>
      <c r="I704" s="52">
        <v>13</v>
      </c>
      <c r="J704" s="52" t="s">
        <v>1156</v>
      </c>
      <c r="K704" s="52" t="s">
        <v>1156</v>
      </c>
      <c r="L704" s="52" t="s">
        <v>8486</v>
      </c>
      <c r="M704" s="52">
        <v>13</v>
      </c>
      <c r="N704" s="52">
        <v>13</v>
      </c>
      <c r="O704" s="52">
        <v>13</v>
      </c>
      <c r="P704" s="52" t="s">
        <v>9975</v>
      </c>
      <c r="Q704" s="52" t="s">
        <v>1514</v>
      </c>
      <c r="R704" s="52" t="s">
        <v>9976</v>
      </c>
      <c r="S704" s="52">
        <f t="shared" si="10"/>
        <v>2.86</v>
      </c>
      <c r="T704" s="52"/>
      <c r="U704" s="52"/>
    </row>
    <row r="705" spans="1:21" s="46" customFormat="1" ht="16.5" thickTop="1" thickBot="1" x14ac:dyDescent="0.3">
      <c r="A705" s="50" t="s">
        <v>9969</v>
      </c>
      <c r="B705" s="43" t="s">
        <v>9970</v>
      </c>
      <c r="C705" s="43" t="s">
        <v>38</v>
      </c>
      <c r="D705" s="43" t="s">
        <v>17</v>
      </c>
      <c r="E705" s="43" t="s">
        <v>18</v>
      </c>
      <c r="F705" s="43" t="s">
        <v>42</v>
      </c>
      <c r="G705" s="48">
        <v>46224.784722222219</v>
      </c>
      <c r="H705" s="48">
        <v>46232.810416666667</v>
      </c>
      <c r="I705" s="43">
        <v>650</v>
      </c>
      <c r="J705" s="43" t="s">
        <v>2373</v>
      </c>
      <c r="K705" s="43" t="s">
        <v>8317</v>
      </c>
      <c r="L705" s="43" t="s">
        <v>25</v>
      </c>
      <c r="M705" s="43">
        <v>650</v>
      </c>
      <c r="N705" s="43">
        <v>118</v>
      </c>
      <c r="O705" s="43">
        <v>118</v>
      </c>
      <c r="P705" s="43" t="s">
        <v>1318</v>
      </c>
      <c r="Q705" s="43" t="s">
        <v>1517</v>
      </c>
      <c r="R705" s="43" t="s">
        <v>9971</v>
      </c>
      <c r="S705" s="52">
        <f t="shared" si="10"/>
        <v>8.0299999999999994</v>
      </c>
      <c r="T705" s="47"/>
      <c r="U705" s="47"/>
    </row>
    <row r="706" spans="1:21" ht="16.5" thickTop="1" thickBot="1" x14ac:dyDescent="0.3">
      <c r="A706" s="51" t="s">
        <v>9966</v>
      </c>
      <c r="B706" s="52" t="s">
        <v>9967</v>
      </c>
      <c r="C706" s="52" t="s">
        <v>38</v>
      </c>
      <c r="D706" s="52" t="s">
        <v>17</v>
      </c>
      <c r="E706" s="52" t="s">
        <v>18</v>
      </c>
      <c r="F706" s="52" t="s">
        <v>42</v>
      </c>
      <c r="G706" s="53">
        <v>46224.98333333333</v>
      </c>
      <c r="H706" s="53">
        <v>46233.379861111112</v>
      </c>
      <c r="I706" s="52">
        <v>1</v>
      </c>
      <c r="J706" s="52" t="s">
        <v>1156</v>
      </c>
      <c r="K706" s="52" t="s">
        <v>1156</v>
      </c>
      <c r="L706" s="52" t="s">
        <v>33</v>
      </c>
      <c r="M706" s="52">
        <v>1</v>
      </c>
      <c r="N706" s="52">
        <v>1</v>
      </c>
      <c r="O706" s="52">
        <v>1</v>
      </c>
      <c r="P706" s="52" t="s">
        <v>1421</v>
      </c>
      <c r="Q706" s="52" t="s">
        <v>1517</v>
      </c>
      <c r="R706" s="52" t="s">
        <v>9968</v>
      </c>
      <c r="S706" s="52">
        <f t="shared" ref="S706:S769" si="11">IF(OR(G706="",H706=""),"",ROUND(H706-G706,2))</f>
        <v>8.4</v>
      </c>
      <c r="T706" s="52"/>
      <c r="U706" s="52"/>
    </row>
    <row r="707" spans="1:21" s="46" customFormat="1" ht="16.5" thickTop="1" thickBot="1" x14ac:dyDescent="0.3">
      <c r="A707" s="50" t="s">
        <v>9963</v>
      </c>
      <c r="B707" s="43" t="s">
        <v>9964</v>
      </c>
      <c r="C707" s="43" t="s">
        <v>38</v>
      </c>
      <c r="D707" s="43" t="s">
        <v>17</v>
      </c>
      <c r="E707" s="43" t="s">
        <v>18</v>
      </c>
      <c r="F707" s="43" t="s">
        <v>42</v>
      </c>
      <c r="G707" s="48">
        <v>46224.988194444442</v>
      </c>
      <c r="H707" s="48">
        <v>46230.484027777777</v>
      </c>
      <c r="I707" s="43">
        <v>69</v>
      </c>
      <c r="J707" s="43" t="s">
        <v>1156</v>
      </c>
      <c r="K707" s="43" t="s">
        <v>1156</v>
      </c>
      <c r="L707" s="43" t="s">
        <v>36</v>
      </c>
      <c r="M707" s="43">
        <v>69</v>
      </c>
      <c r="N707" s="43">
        <v>69</v>
      </c>
      <c r="O707" s="43">
        <v>69</v>
      </c>
      <c r="P707" s="43" t="s">
        <v>1479</v>
      </c>
      <c r="Q707" s="43" t="s">
        <v>1517</v>
      </c>
      <c r="R707" s="43" t="s">
        <v>9965</v>
      </c>
      <c r="S707" s="52">
        <f t="shared" si="11"/>
        <v>5.5</v>
      </c>
      <c r="T707" s="47"/>
      <c r="U707" s="47"/>
    </row>
    <row r="708" spans="1:21" ht="16.5" thickTop="1" thickBot="1" x14ac:dyDescent="0.3">
      <c r="A708" s="51" t="s">
        <v>9959</v>
      </c>
      <c r="B708" s="52" t="s">
        <v>9960</v>
      </c>
      <c r="C708" s="52" t="s">
        <v>38</v>
      </c>
      <c r="D708" s="52" t="s">
        <v>17</v>
      </c>
      <c r="E708" s="52" t="s">
        <v>18</v>
      </c>
      <c r="F708" s="52" t="s">
        <v>42</v>
      </c>
      <c r="G708" s="53">
        <v>46224.992361111108</v>
      </c>
      <c r="H708" s="53">
        <v>46230.520833333336</v>
      </c>
      <c r="I708" s="52">
        <v>350</v>
      </c>
      <c r="J708" s="52" t="s">
        <v>1156</v>
      </c>
      <c r="K708" s="52" t="s">
        <v>1156</v>
      </c>
      <c r="L708" s="52" t="s">
        <v>36</v>
      </c>
      <c r="M708" s="52">
        <v>350</v>
      </c>
      <c r="N708" s="52">
        <v>350</v>
      </c>
      <c r="O708" s="52">
        <v>350</v>
      </c>
      <c r="P708" s="52" t="s">
        <v>9961</v>
      </c>
      <c r="Q708" s="52" t="s">
        <v>1517</v>
      </c>
      <c r="R708" s="52" t="s">
        <v>9962</v>
      </c>
      <c r="S708" s="52">
        <f t="shared" si="11"/>
        <v>5.53</v>
      </c>
      <c r="T708" s="52"/>
      <c r="U708" s="52"/>
    </row>
    <row r="709" spans="1:21" s="46" customFormat="1" ht="16.5" thickTop="1" thickBot="1" x14ac:dyDescent="0.3">
      <c r="A709" s="50" t="s">
        <v>9955</v>
      </c>
      <c r="B709" s="43" t="s">
        <v>9956</v>
      </c>
      <c r="C709" s="43" t="s">
        <v>38</v>
      </c>
      <c r="D709" s="43" t="s">
        <v>17</v>
      </c>
      <c r="E709" s="43" t="s">
        <v>19</v>
      </c>
      <c r="F709" s="43" t="s">
        <v>42</v>
      </c>
      <c r="G709" s="48">
        <v>46225.466666666667</v>
      </c>
      <c r="H709" s="48">
        <v>46228.643055555556</v>
      </c>
      <c r="I709" s="43">
        <v>4</v>
      </c>
      <c r="J709" s="43" t="s">
        <v>1156</v>
      </c>
      <c r="K709" s="43" t="s">
        <v>1156</v>
      </c>
      <c r="L709" s="43" t="s">
        <v>33</v>
      </c>
      <c r="M709" s="43">
        <v>4</v>
      </c>
      <c r="N709" s="43">
        <v>4</v>
      </c>
      <c r="O709" s="43">
        <v>4</v>
      </c>
      <c r="P709" s="43" t="s">
        <v>9957</v>
      </c>
      <c r="Q709" s="43" t="s">
        <v>1514</v>
      </c>
      <c r="R709" s="43" t="s">
        <v>9958</v>
      </c>
      <c r="S709" s="52">
        <f t="shared" si="11"/>
        <v>3.18</v>
      </c>
      <c r="T709" s="47"/>
      <c r="U709" s="47"/>
    </row>
    <row r="710" spans="1:21" ht="16.5" thickTop="1" thickBot="1" x14ac:dyDescent="0.3">
      <c r="A710" s="51" t="s">
        <v>9951</v>
      </c>
      <c r="B710" s="52" t="s">
        <v>9952</v>
      </c>
      <c r="C710" s="52" t="s">
        <v>38</v>
      </c>
      <c r="D710" s="52" t="s">
        <v>17</v>
      </c>
      <c r="E710" s="52" t="s">
        <v>19</v>
      </c>
      <c r="F710" s="52" t="s">
        <v>19</v>
      </c>
      <c r="G710" s="53">
        <v>46225.513194444444</v>
      </c>
      <c r="H710" s="53">
        <v>46225.561111111114</v>
      </c>
      <c r="I710" s="52">
        <v>114</v>
      </c>
      <c r="J710" s="52" t="s">
        <v>1156</v>
      </c>
      <c r="K710" s="52" t="s">
        <v>1156</v>
      </c>
      <c r="L710" s="52" t="s">
        <v>31</v>
      </c>
      <c r="M710" s="52">
        <v>114</v>
      </c>
      <c r="N710" s="52">
        <v>20</v>
      </c>
      <c r="O710" s="52">
        <v>20</v>
      </c>
      <c r="P710" s="52" t="s">
        <v>9953</v>
      </c>
      <c r="Q710" s="52" t="s">
        <v>1517</v>
      </c>
      <c r="R710" s="52" t="s">
        <v>9954</v>
      </c>
      <c r="S710" s="52">
        <f t="shared" si="11"/>
        <v>0.05</v>
      </c>
      <c r="T710" s="52"/>
      <c r="U710" s="52"/>
    </row>
    <row r="711" spans="1:21" s="46" customFormat="1" ht="16.5" thickTop="1" thickBot="1" x14ac:dyDescent="0.3">
      <c r="A711" s="50" t="s">
        <v>9947</v>
      </c>
      <c r="B711" s="43" t="s">
        <v>9948</v>
      </c>
      <c r="C711" s="43" t="s">
        <v>38</v>
      </c>
      <c r="D711" s="43" t="s">
        <v>17</v>
      </c>
      <c r="E711" s="43" t="s">
        <v>18</v>
      </c>
      <c r="F711" s="43" t="s">
        <v>42</v>
      </c>
      <c r="G711" s="48">
        <v>46225.741666666669</v>
      </c>
      <c r="H711" s="48">
        <v>46230.527777777781</v>
      </c>
      <c r="I711" s="43">
        <v>16</v>
      </c>
      <c r="J711" s="43" t="s">
        <v>1156</v>
      </c>
      <c r="K711" s="43" t="s">
        <v>1156</v>
      </c>
      <c r="L711" s="43" t="s">
        <v>33</v>
      </c>
      <c r="M711" s="43">
        <v>16</v>
      </c>
      <c r="N711" s="43">
        <v>16</v>
      </c>
      <c r="O711" s="43">
        <v>16</v>
      </c>
      <c r="P711" s="43" t="s">
        <v>9949</v>
      </c>
      <c r="Q711" s="43" t="s">
        <v>1546</v>
      </c>
      <c r="R711" s="43" t="s">
        <v>9950</v>
      </c>
      <c r="S711" s="52">
        <f t="shared" si="11"/>
        <v>4.79</v>
      </c>
      <c r="T711" s="47"/>
      <c r="U711" s="47"/>
    </row>
    <row r="712" spans="1:21" ht="16.5" thickTop="1" thickBot="1" x14ac:dyDescent="0.3">
      <c r="A712" s="51" t="s">
        <v>9944</v>
      </c>
      <c r="B712" s="52" t="s">
        <v>9945</v>
      </c>
      <c r="C712" s="52" t="s">
        <v>38</v>
      </c>
      <c r="D712" s="52" t="s">
        <v>17</v>
      </c>
      <c r="E712" s="52" t="s">
        <v>18</v>
      </c>
      <c r="F712" s="52" t="s">
        <v>42</v>
      </c>
      <c r="G712" s="53">
        <v>46226.628472222219</v>
      </c>
      <c r="H712" s="53">
        <v>46228.805555555555</v>
      </c>
      <c r="I712" s="52">
        <v>1</v>
      </c>
      <c r="J712" s="52" t="s">
        <v>2373</v>
      </c>
      <c r="K712" s="52" t="s">
        <v>8317</v>
      </c>
      <c r="L712" s="52" t="s">
        <v>36</v>
      </c>
      <c r="M712" s="52">
        <v>1</v>
      </c>
      <c r="N712" s="52">
        <v>1</v>
      </c>
      <c r="O712" s="52">
        <v>1</v>
      </c>
      <c r="P712" s="52" t="s">
        <v>8782</v>
      </c>
      <c r="Q712" s="52" t="s">
        <v>1517</v>
      </c>
      <c r="R712" s="52" t="s">
        <v>9946</v>
      </c>
      <c r="S712" s="52">
        <f t="shared" si="11"/>
        <v>2.1800000000000002</v>
      </c>
      <c r="T712" s="52"/>
      <c r="U712" s="52"/>
    </row>
    <row r="713" spans="1:21" s="46" customFormat="1" ht="16.5" thickTop="1" thickBot="1" x14ac:dyDescent="0.3">
      <c r="A713" s="50" t="s">
        <v>9941</v>
      </c>
      <c r="B713" s="43" t="s">
        <v>9942</v>
      </c>
      <c r="C713" s="43" t="s">
        <v>38</v>
      </c>
      <c r="D713" s="43" t="s">
        <v>17</v>
      </c>
      <c r="E713" s="43" t="s">
        <v>18</v>
      </c>
      <c r="F713" s="43" t="s">
        <v>19</v>
      </c>
      <c r="G713" s="48">
        <v>46226.65</v>
      </c>
      <c r="H713" s="48">
        <v>46230.569444444445</v>
      </c>
      <c r="I713" s="43">
        <v>45</v>
      </c>
      <c r="J713" s="43" t="s">
        <v>1156</v>
      </c>
      <c r="K713" s="43" t="s">
        <v>1156</v>
      </c>
      <c r="L713" s="43" t="s">
        <v>25</v>
      </c>
      <c r="M713" s="43">
        <v>42</v>
      </c>
      <c r="N713" s="43">
        <v>9</v>
      </c>
      <c r="O713" s="43">
        <v>11</v>
      </c>
      <c r="P713" s="43" t="s">
        <v>8786</v>
      </c>
      <c r="Q713" s="43" t="s">
        <v>1517</v>
      </c>
      <c r="R713" s="43" t="s">
        <v>9943</v>
      </c>
      <c r="S713" s="52">
        <f t="shared" si="11"/>
        <v>3.92</v>
      </c>
      <c r="T713" s="47"/>
      <c r="U713" s="47"/>
    </row>
    <row r="714" spans="1:21" ht="16.5" thickTop="1" thickBot="1" x14ac:dyDescent="0.3">
      <c r="A714" s="51" t="s">
        <v>9938</v>
      </c>
      <c r="B714" s="52" t="s">
        <v>9939</v>
      </c>
      <c r="C714" s="52" t="s">
        <v>38</v>
      </c>
      <c r="D714" s="52" t="s">
        <v>17</v>
      </c>
      <c r="E714" s="52" t="s">
        <v>18</v>
      </c>
      <c r="F714" s="52" t="s">
        <v>42</v>
      </c>
      <c r="G714" s="53">
        <v>46226.668749999997</v>
      </c>
      <c r="H714" s="53">
        <v>46230.574999999997</v>
      </c>
      <c r="I714" s="52">
        <v>1</v>
      </c>
      <c r="J714" s="52" t="s">
        <v>1156</v>
      </c>
      <c r="K714" s="52" t="s">
        <v>8351</v>
      </c>
      <c r="L714" s="52" t="s">
        <v>33</v>
      </c>
      <c r="M714" s="52">
        <v>1</v>
      </c>
      <c r="N714" s="52">
        <v>1</v>
      </c>
      <c r="O714" s="52">
        <v>1</v>
      </c>
      <c r="P714" s="52" t="s">
        <v>1457</v>
      </c>
      <c r="Q714" s="52" t="s">
        <v>1514</v>
      </c>
      <c r="R714" s="52" t="s">
        <v>9940</v>
      </c>
      <c r="S714" s="52">
        <f t="shared" si="11"/>
        <v>3.91</v>
      </c>
      <c r="T714" s="52"/>
      <c r="U714" s="52"/>
    </row>
    <row r="715" spans="1:21" s="46" customFormat="1" ht="16.5" thickTop="1" thickBot="1" x14ac:dyDescent="0.3">
      <c r="A715" s="50" t="s">
        <v>9935</v>
      </c>
      <c r="B715" s="43" t="s">
        <v>9936</v>
      </c>
      <c r="C715" s="43" t="s">
        <v>38</v>
      </c>
      <c r="D715" s="43" t="s">
        <v>17</v>
      </c>
      <c r="E715" s="43" t="s">
        <v>18</v>
      </c>
      <c r="F715" s="43" t="s">
        <v>42</v>
      </c>
      <c r="G715" s="48">
        <v>46226.772222222222</v>
      </c>
      <c r="H715" s="48">
        <v>46228.620833333334</v>
      </c>
      <c r="I715" s="43">
        <v>1</v>
      </c>
      <c r="J715" s="43" t="s">
        <v>1156</v>
      </c>
      <c r="K715" s="43" t="s">
        <v>1156</v>
      </c>
      <c r="L715" s="43" t="s">
        <v>33</v>
      </c>
      <c r="M715" s="43">
        <v>1</v>
      </c>
      <c r="N715" s="43">
        <v>1</v>
      </c>
      <c r="O715" s="43">
        <v>1</v>
      </c>
      <c r="P715" s="43" t="s">
        <v>1461</v>
      </c>
      <c r="Q715" s="43" t="s">
        <v>1517</v>
      </c>
      <c r="R715" s="43" t="s">
        <v>9937</v>
      </c>
      <c r="S715" s="52">
        <f t="shared" si="11"/>
        <v>1.85</v>
      </c>
      <c r="T715" s="47"/>
      <c r="U715" s="47"/>
    </row>
    <row r="716" spans="1:21" ht="16.5" thickTop="1" thickBot="1" x14ac:dyDescent="0.3">
      <c r="A716" s="51" t="s">
        <v>9932</v>
      </c>
      <c r="B716" s="52" t="s">
        <v>9933</v>
      </c>
      <c r="C716" s="52" t="s">
        <v>38</v>
      </c>
      <c r="D716" s="52" t="s">
        <v>17</v>
      </c>
      <c r="E716" s="52" t="s">
        <v>18</v>
      </c>
      <c r="F716" s="52" t="s">
        <v>42</v>
      </c>
      <c r="G716" s="53">
        <v>46226.774305555555</v>
      </c>
      <c r="H716" s="53">
        <v>46228.668055555558</v>
      </c>
      <c r="I716" s="52">
        <v>8</v>
      </c>
      <c r="J716" s="52" t="s">
        <v>2373</v>
      </c>
      <c r="K716" s="52" t="s">
        <v>8317</v>
      </c>
      <c r="L716" s="52" t="s">
        <v>25</v>
      </c>
      <c r="M716" s="52">
        <v>8</v>
      </c>
      <c r="N716" s="52">
        <v>8</v>
      </c>
      <c r="O716" s="52">
        <v>8</v>
      </c>
      <c r="P716" s="52" t="s">
        <v>2021</v>
      </c>
      <c r="Q716" s="52" t="s">
        <v>1517</v>
      </c>
      <c r="R716" s="52" t="s">
        <v>9934</v>
      </c>
      <c r="S716" s="52">
        <f t="shared" si="11"/>
        <v>1.89</v>
      </c>
      <c r="T716" s="52"/>
      <c r="U716" s="52"/>
    </row>
    <row r="717" spans="1:21" s="46" customFormat="1" ht="16.5" thickTop="1" thickBot="1" x14ac:dyDescent="0.3">
      <c r="A717" s="50" t="s">
        <v>9929</v>
      </c>
      <c r="B717" s="43" t="s">
        <v>9930</v>
      </c>
      <c r="C717" s="43" t="s">
        <v>38</v>
      </c>
      <c r="D717" s="43" t="s">
        <v>17</v>
      </c>
      <c r="E717" s="43" t="s">
        <v>18</v>
      </c>
      <c r="F717" s="43" t="s">
        <v>42</v>
      </c>
      <c r="G717" s="48">
        <v>46227.486805555556</v>
      </c>
      <c r="H717" s="48">
        <v>46230.415277777778</v>
      </c>
      <c r="I717" s="43">
        <v>12</v>
      </c>
      <c r="J717" s="43" t="s">
        <v>2373</v>
      </c>
      <c r="K717" s="43" t="s">
        <v>8310</v>
      </c>
      <c r="L717" s="43" t="s">
        <v>33</v>
      </c>
      <c r="M717" s="43">
        <v>12</v>
      </c>
      <c r="N717" s="43">
        <v>12</v>
      </c>
      <c r="O717" s="43">
        <v>12</v>
      </c>
      <c r="P717" s="43" t="s">
        <v>1457</v>
      </c>
      <c r="Q717" s="43" t="s">
        <v>1514</v>
      </c>
      <c r="R717" s="43" t="s">
        <v>9931</v>
      </c>
      <c r="S717" s="52">
        <f t="shared" si="11"/>
        <v>2.93</v>
      </c>
      <c r="T717" s="47"/>
      <c r="U717" s="47"/>
    </row>
    <row r="718" spans="1:21" ht="16.5" thickTop="1" thickBot="1" x14ac:dyDescent="0.3">
      <c r="A718" s="51" t="s">
        <v>9926</v>
      </c>
      <c r="B718" s="52" t="s">
        <v>9927</v>
      </c>
      <c r="C718" s="52" t="s">
        <v>39</v>
      </c>
      <c r="D718" s="52" t="s">
        <v>17</v>
      </c>
      <c r="E718" s="52" t="s">
        <v>18</v>
      </c>
      <c r="F718" s="52" t="s">
        <v>42</v>
      </c>
      <c r="G718" s="53">
        <v>46227.490277777775</v>
      </c>
      <c r="H718" s="53">
        <v>46232.695138888892</v>
      </c>
      <c r="I718" s="52">
        <v>1</v>
      </c>
      <c r="J718" s="52" t="s">
        <v>1156</v>
      </c>
      <c r="K718" s="52" t="s">
        <v>8351</v>
      </c>
      <c r="L718" s="52" t="s">
        <v>36</v>
      </c>
      <c r="M718" s="52">
        <v>0</v>
      </c>
      <c r="N718" s="52">
        <v>0</v>
      </c>
      <c r="O718" s="52">
        <v>1</v>
      </c>
      <c r="P718" s="52" t="s">
        <v>9928</v>
      </c>
      <c r="Q718" s="52" t="s">
        <v>1514</v>
      </c>
      <c r="R718" s="52"/>
      <c r="S718" s="52">
        <f t="shared" si="11"/>
        <v>5.2</v>
      </c>
      <c r="T718" s="52"/>
      <c r="U718" s="52"/>
    </row>
    <row r="719" spans="1:21" s="46" customFormat="1" ht="16.5" thickTop="1" thickBot="1" x14ac:dyDescent="0.3">
      <c r="A719" s="50" t="s">
        <v>9923</v>
      </c>
      <c r="B719" s="43" t="s">
        <v>9924</v>
      </c>
      <c r="C719" s="43" t="s">
        <v>38</v>
      </c>
      <c r="D719" s="43" t="s">
        <v>17</v>
      </c>
      <c r="E719" s="43" t="s">
        <v>18</v>
      </c>
      <c r="F719" s="43" t="s">
        <v>42</v>
      </c>
      <c r="G719" s="48">
        <v>46227.517361111109</v>
      </c>
      <c r="H719" s="48">
        <v>46230.587500000001</v>
      </c>
      <c r="I719" s="43">
        <v>1</v>
      </c>
      <c r="J719" s="43" t="s">
        <v>2373</v>
      </c>
      <c r="K719" s="43" t="s">
        <v>8317</v>
      </c>
      <c r="L719" s="43" t="s">
        <v>33</v>
      </c>
      <c r="M719" s="43">
        <v>1</v>
      </c>
      <c r="N719" s="43">
        <v>1</v>
      </c>
      <c r="O719" s="43">
        <v>1</v>
      </c>
      <c r="P719" s="43" t="s">
        <v>8576</v>
      </c>
      <c r="Q719" s="43" t="s">
        <v>1546</v>
      </c>
      <c r="R719" s="43" t="s">
        <v>9925</v>
      </c>
      <c r="S719" s="52">
        <f t="shared" si="11"/>
        <v>3.07</v>
      </c>
      <c r="T719" s="47"/>
      <c r="U719" s="47"/>
    </row>
    <row r="720" spans="1:21" ht="16.5" thickTop="1" thickBot="1" x14ac:dyDescent="0.3">
      <c r="A720" s="51" t="s">
        <v>9920</v>
      </c>
      <c r="B720" s="52" t="s">
        <v>9921</v>
      </c>
      <c r="C720" s="52" t="s">
        <v>38</v>
      </c>
      <c r="D720" s="52" t="s">
        <v>17</v>
      </c>
      <c r="E720" s="52" t="s">
        <v>18</v>
      </c>
      <c r="F720" s="52" t="s">
        <v>42</v>
      </c>
      <c r="G720" s="53">
        <v>46227.65625</v>
      </c>
      <c r="H720" s="53">
        <v>46232.456944444442</v>
      </c>
      <c r="I720" s="52">
        <v>22</v>
      </c>
      <c r="J720" s="52" t="s">
        <v>1156</v>
      </c>
      <c r="K720" s="52" t="s">
        <v>1156</v>
      </c>
      <c r="L720" s="52" t="s">
        <v>36</v>
      </c>
      <c r="M720" s="52">
        <v>18</v>
      </c>
      <c r="N720" s="52">
        <v>18</v>
      </c>
      <c r="O720" s="52">
        <v>22</v>
      </c>
      <c r="P720" s="52" t="s">
        <v>8523</v>
      </c>
      <c r="Q720" s="52" t="s">
        <v>1517</v>
      </c>
      <c r="R720" s="52" t="s">
        <v>9922</v>
      </c>
      <c r="S720" s="52">
        <f t="shared" si="11"/>
        <v>4.8</v>
      </c>
      <c r="T720" s="52"/>
      <c r="U720" s="52"/>
    </row>
    <row r="721" spans="1:21" s="46" customFormat="1" ht="16.5" thickTop="1" thickBot="1" x14ac:dyDescent="0.3">
      <c r="A721" s="50" t="s">
        <v>9916</v>
      </c>
      <c r="B721" s="43" t="s">
        <v>9917</v>
      </c>
      <c r="C721" s="43" t="s">
        <v>38</v>
      </c>
      <c r="D721" s="43" t="s">
        <v>17</v>
      </c>
      <c r="E721" s="43" t="s">
        <v>18</v>
      </c>
      <c r="F721" s="43" t="s">
        <v>42</v>
      </c>
      <c r="G721" s="48">
        <v>46227.661805555559</v>
      </c>
      <c r="H721" s="48">
        <v>46235.46875</v>
      </c>
      <c r="I721" s="43">
        <v>75</v>
      </c>
      <c r="J721" s="43" t="s">
        <v>1156</v>
      </c>
      <c r="K721" s="43" t="s">
        <v>1156</v>
      </c>
      <c r="L721" s="43" t="s">
        <v>36</v>
      </c>
      <c r="M721" s="43">
        <v>75</v>
      </c>
      <c r="N721" s="43">
        <v>75</v>
      </c>
      <c r="O721" s="43">
        <v>75</v>
      </c>
      <c r="P721" s="43" t="s">
        <v>9918</v>
      </c>
      <c r="Q721" s="43" t="s">
        <v>1517</v>
      </c>
      <c r="R721" s="43" t="s">
        <v>9919</v>
      </c>
      <c r="S721" s="52">
        <f t="shared" si="11"/>
        <v>7.81</v>
      </c>
      <c r="T721" s="47"/>
      <c r="U721" s="47"/>
    </row>
    <row r="722" spans="1:21" ht="16.5" thickTop="1" thickBot="1" x14ac:dyDescent="0.3">
      <c r="A722" s="51" t="s">
        <v>9912</v>
      </c>
      <c r="B722" s="52" t="s">
        <v>9913</v>
      </c>
      <c r="C722" s="52" t="s">
        <v>38</v>
      </c>
      <c r="D722" s="52" t="s">
        <v>17</v>
      </c>
      <c r="E722" s="52" t="s">
        <v>18</v>
      </c>
      <c r="F722" s="52" t="s">
        <v>42</v>
      </c>
      <c r="G722" s="53">
        <v>46227.67083333333</v>
      </c>
      <c r="H722" s="53">
        <v>46233.388194444444</v>
      </c>
      <c r="I722" s="52">
        <v>108</v>
      </c>
      <c r="J722" s="52" t="s">
        <v>1156</v>
      </c>
      <c r="K722" s="52" t="s">
        <v>1156</v>
      </c>
      <c r="L722" s="52" t="s">
        <v>36</v>
      </c>
      <c r="M722" s="52">
        <v>104</v>
      </c>
      <c r="N722" s="52">
        <v>104</v>
      </c>
      <c r="O722" s="52">
        <v>108</v>
      </c>
      <c r="P722" s="52" t="s">
        <v>9914</v>
      </c>
      <c r="Q722" s="52" t="s">
        <v>1517</v>
      </c>
      <c r="R722" s="52" t="s">
        <v>9915</v>
      </c>
      <c r="S722" s="52">
        <f t="shared" si="11"/>
        <v>5.72</v>
      </c>
      <c r="T722" s="52"/>
      <c r="U722" s="52"/>
    </row>
    <row r="723" spans="1:21" s="46" customFormat="1" ht="16.5" thickTop="1" thickBot="1" x14ac:dyDescent="0.3">
      <c r="A723" s="50" t="s">
        <v>9908</v>
      </c>
      <c r="B723" s="43" t="s">
        <v>9909</v>
      </c>
      <c r="C723" s="43" t="s">
        <v>38</v>
      </c>
      <c r="D723" s="43" t="s">
        <v>17</v>
      </c>
      <c r="E723" s="43" t="s">
        <v>18</v>
      </c>
      <c r="F723" s="43" t="s">
        <v>42</v>
      </c>
      <c r="G723" s="48">
        <v>46227.681250000001</v>
      </c>
      <c r="H723" s="48">
        <v>46232.47152777778</v>
      </c>
      <c r="I723" s="43">
        <v>5</v>
      </c>
      <c r="J723" s="43" t="s">
        <v>1156</v>
      </c>
      <c r="K723" s="43" t="s">
        <v>1156</v>
      </c>
      <c r="L723" s="43" t="s">
        <v>36</v>
      </c>
      <c r="M723" s="43">
        <v>5</v>
      </c>
      <c r="N723" s="43">
        <v>5</v>
      </c>
      <c r="O723" s="43">
        <v>5</v>
      </c>
      <c r="P723" s="43" t="s">
        <v>9910</v>
      </c>
      <c r="Q723" s="43" t="s">
        <v>1517</v>
      </c>
      <c r="R723" s="43" t="s">
        <v>9911</v>
      </c>
      <c r="S723" s="52">
        <f t="shared" si="11"/>
        <v>4.79</v>
      </c>
      <c r="T723" s="47"/>
      <c r="U723" s="47"/>
    </row>
    <row r="724" spans="1:21" ht="16.5" thickTop="1" thickBot="1" x14ac:dyDescent="0.3">
      <c r="A724" s="51" t="s">
        <v>9904</v>
      </c>
      <c r="B724" s="52" t="s">
        <v>9905</v>
      </c>
      <c r="C724" s="52" t="s">
        <v>38</v>
      </c>
      <c r="D724" s="52" t="s">
        <v>17</v>
      </c>
      <c r="E724" s="52" t="s">
        <v>18</v>
      </c>
      <c r="F724" s="52" t="s">
        <v>28</v>
      </c>
      <c r="G724" s="53">
        <v>46227.685416666667</v>
      </c>
      <c r="H724" s="53">
        <v>46232.623611111114</v>
      </c>
      <c r="I724" s="52">
        <v>37</v>
      </c>
      <c r="J724" s="52" t="s">
        <v>1156</v>
      </c>
      <c r="K724" s="52" t="s">
        <v>1156</v>
      </c>
      <c r="L724" s="52" t="s">
        <v>8739</v>
      </c>
      <c r="M724" s="52">
        <v>37</v>
      </c>
      <c r="N724" s="52">
        <v>37</v>
      </c>
      <c r="O724" s="52">
        <v>36</v>
      </c>
      <c r="P724" s="52" t="s">
        <v>9906</v>
      </c>
      <c r="Q724" s="52" t="s">
        <v>1514</v>
      </c>
      <c r="R724" s="52" t="s">
        <v>9907</v>
      </c>
      <c r="S724" s="52">
        <f t="shared" si="11"/>
        <v>4.9400000000000004</v>
      </c>
      <c r="T724" s="52"/>
      <c r="U724" s="52"/>
    </row>
    <row r="725" spans="1:21" s="46" customFormat="1" ht="16.5" thickTop="1" thickBot="1" x14ac:dyDescent="0.3">
      <c r="A725" s="50" t="s">
        <v>9901</v>
      </c>
      <c r="B725" s="43" t="s">
        <v>9902</v>
      </c>
      <c r="C725" s="43" t="s">
        <v>38</v>
      </c>
      <c r="D725" s="43" t="s">
        <v>17</v>
      </c>
      <c r="E725" s="43" t="s">
        <v>18</v>
      </c>
      <c r="F725" s="43" t="s">
        <v>9199</v>
      </c>
      <c r="G725" s="48">
        <v>46227.79583333333</v>
      </c>
      <c r="H725" s="48">
        <v>46231.556944444441</v>
      </c>
      <c r="I725" s="43">
        <v>196</v>
      </c>
      <c r="J725" s="43" t="s">
        <v>1156</v>
      </c>
      <c r="K725" s="43" t="s">
        <v>1156</v>
      </c>
      <c r="L725" s="43" t="s">
        <v>20</v>
      </c>
      <c r="M725" s="43">
        <v>154</v>
      </c>
      <c r="N725" s="43">
        <v>22</v>
      </c>
      <c r="O725" s="43">
        <v>28</v>
      </c>
      <c r="P725" s="43" t="s">
        <v>1316</v>
      </c>
      <c r="Q725" s="43" t="s">
        <v>1517</v>
      </c>
      <c r="R725" s="43" t="s">
        <v>9903</v>
      </c>
      <c r="S725" s="52">
        <f t="shared" si="11"/>
        <v>3.76</v>
      </c>
      <c r="T725" s="47"/>
      <c r="U725" s="47"/>
    </row>
    <row r="726" spans="1:21" ht="16.5" thickTop="1" thickBot="1" x14ac:dyDescent="0.3">
      <c r="A726" s="51" t="s">
        <v>9897</v>
      </c>
      <c r="B726" s="52" t="s">
        <v>9898</v>
      </c>
      <c r="C726" s="52" t="s">
        <v>38</v>
      </c>
      <c r="D726" s="52" t="s">
        <v>17</v>
      </c>
      <c r="E726" s="52" t="s">
        <v>18</v>
      </c>
      <c r="F726" s="52" t="s">
        <v>32</v>
      </c>
      <c r="G726" s="53">
        <v>46227.806944444441</v>
      </c>
      <c r="H726" s="53">
        <v>46232.645138888889</v>
      </c>
      <c r="I726" s="52">
        <v>16</v>
      </c>
      <c r="J726" s="52" t="s">
        <v>1156</v>
      </c>
      <c r="K726" s="52" t="s">
        <v>1156</v>
      </c>
      <c r="L726" s="52" t="s">
        <v>44</v>
      </c>
      <c r="M726" s="52">
        <v>16</v>
      </c>
      <c r="N726" s="52">
        <v>16</v>
      </c>
      <c r="O726" s="52">
        <v>16</v>
      </c>
      <c r="P726" s="52" t="s">
        <v>9899</v>
      </c>
      <c r="Q726" s="52" t="s">
        <v>1517</v>
      </c>
      <c r="R726" s="52" t="s">
        <v>9900</v>
      </c>
      <c r="S726" s="52">
        <f t="shared" si="11"/>
        <v>4.84</v>
      </c>
      <c r="T726" s="52"/>
      <c r="U726" s="52"/>
    </row>
    <row r="727" spans="1:21" s="46" customFormat="1" ht="16.5" thickTop="1" thickBot="1" x14ac:dyDescent="0.3">
      <c r="A727" s="50" t="s">
        <v>9894</v>
      </c>
      <c r="B727" s="43" t="s">
        <v>9895</v>
      </c>
      <c r="C727" s="43" t="s">
        <v>39</v>
      </c>
      <c r="D727" s="43" t="s">
        <v>17</v>
      </c>
      <c r="E727" s="43" t="s">
        <v>18</v>
      </c>
      <c r="F727" s="43" t="s">
        <v>32</v>
      </c>
      <c r="G727" s="48">
        <v>46228.463888888888</v>
      </c>
      <c r="H727" s="48">
        <v>46231.462500000001</v>
      </c>
      <c r="I727" s="43">
        <v>1</v>
      </c>
      <c r="J727" s="43" t="s">
        <v>1156</v>
      </c>
      <c r="K727" s="43" t="s">
        <v>1156</v>
      </c>
      <c r="L727" s="43" t="s">
        <v>33</v>
      </c>
      <c r="M727" s="43">
        <v>0</v>
      </c>
      <c r="N727" s="43">
        <v>0</v>
      </c>
      <c r="O727" s="43">
        <v>1</v>
      </c>
      <c r="P727" s="43" t="s">
        <v>1421</v>
      </c>
      <c r="Q727" s="43" t="s">
        <v>1517</v>
      </c>
      <c r="R727" s="43" t="s">
        <v>9896</v>
      </c>
      <c r="S727" s="52">
        <f t="shared" si="11"/>
        <v>3</v>
      </c>
      <c r="T727" s="47"/>
      <c r="U727" s="47"/>
    </row>
    <row r="728" spans="1:21" ht="16.5" thickTop="1" thickBot="1" x14ac:dyDescent="0.3">
      <c r="A728" s="51" t="s">
        <v>9891</v>
      </c>
      <c r="B728" s="52" t="s">
        <v>9892</v>
      </c>
      <c r="C728" s="52" t="s">
        <v>38</v>
      </c>
      <c r="D728" s="52" t="s">
        <v>17</v>
      </c>
      <c r="E728" s="52" t="s">
        <v>18</v>
      </c>
      <c r="F728" s="52" t="s">
        <v>32</v>
      </c>
      <c r="G728" s="53">
        <v>46228.504166666666</v>
      </c>
      <c r="H728" s="53">
        <v>46230.581250000003</v>
      </c>
      <c r="I728" s="52">
        <v>3</v>
      </c>
      <c r="J728" s="52" t="s">
        <v>1156</v>
      </c>
      <c r="K728" s="52" t="s">
        <v>8331</v>
      </c>
      <c r="L728" s="52" t="s">
        <v>33</v>
      </c>
      <c r="M728" s="52">
        <v>3</v>
      </c>
      <c r="N728" s="52">
        <v>3</v>
      </c>
      <c r="O728" s="52">
        <v>3</v>
      </c>
      <c r="P728" s="52" t="s">
        <v>8785</v>
      </c>
      <c r="Q728" s="52" t="s">
        <v>1546</v>
      </c>
      <c r="R728" s="52" t="s">
        <v>9893</v>
      </c>
      <c r="S728" s="52">
        <f t="shared" si="11"/>
        <v>2.08</v>
      </c>
      <c r="T728" s="52"/>
      <c r="U728" s="52"/>
    </row>
    <row r="729" spans="1:21" s="46" customFormat="1" ht="16.5" thickTop="1" thickBot="1" x14ac:dyDescent="0.3">
      <c r="A729" s="50" t="s">
        <v>9887</v>
      </c>
      <c r="B729" s="43" t="s">
        <v>9888</v>
      </c>
      <c r="C729" s="43" t="s">
        <v>38</v>
      </c>
      <c r="D729" s="43" t="s">
        <v>17</v>
      </c>
      <c r="E729" s="43" t="s">
        <v>18</v>
      </c>
      <c r="F729" s="43" t="s">
        <v>32</v>
      </c>
      <c r="G729" s="48">
        <v>46228.509722222225</v>
      </c>
      <c r="H729" s="48">
        <v>46233.670138888891</v>
      </c>
      <c r="I729" s="43">
        <v>7</v>
      </c>
      <c r="J729" s="43" t="s">
        <v>1156</v>
      </c>
      <c r="K729" s="43" t="s">
        <v>1156</v>
      </c>
      <c r="L729" s="43" t="s">
        <v>33</v>
      </c>
      <c r="M729" s="43">
        <v>7</v>
      </c>
      <c r="N729" s="43">
        <v>7</v>
      </c>
      <c r="O729" s="43">
        <v>7</v>
      </c>
      <c r="P729" s="43" t="s">
        <v>9889</v>
      </c>
      <c r="Q729" s="43" t="s">
        <v>1517</v>
      </c>
      <c r="R729" s="43" t="s">
        <v>9890</v>
      </c>
      <c r="S729" s="52">
        <f t="shared" si="11"/>
        <v>5.16</v>
      </c>
      <c r="T729" s="47"/>
      <c r="U729" s="47"/>
    </row>
    <row r="730" spans="1:21" ht="16.5" thickTop="1" thickBot="1" x14ac:dyDescent="0.3">
      <c r="A730" s="51" t="s">
        <v>9884</v>
      </c>
      <c r="B730" s="52" t="s">
        <v>9885</v>
      </c>
      <c r="C730" s="52" t="s">
        <v>38</v>
      </c>
      <c r="D730" s="52" t="s">
        <v>17</v>
      </c>
      <c r="E730" s="52" t="s">
        <v>18</v>
      </c>
      <c r="F730" s="52" t="s">
        <v>32</v>
      </c>
      <c r="G730" s="53">
        <v>46228.527777777781</v>
      </c>
      <c r="H730" s="53">
        <v>46234.447916666664</v>
      </c>
      <c r="I730" s="52">
        <v>100</v>
      </c>
      <c r="J730" s="52" t="s">
        <v>1156</v>
      </c>
      <c r="K730" s="52" t="s">
        <v>1156</v>
      </c>
      <c r="L730" s="52" t="s">
        <v>36</v>
      </c>
      <c r="M730" s="52">
        <v>185</v>
      </c>
      <c r="N730" s="52">
        <v>185</v>
      </c>
      <c r="O730" s="52">
        <v>30</v>
      </c>
      <c r="P730" s="52" t="s">
        <v>9886</v>
      </c>
      <c r="Q730" s="52" t="s">
        <v>1514</v>
      </c>
      <c r="R730" s="52"/>
      <c r="S730" s="52">
        <f t="shared" si="11"/>
        <v>5.92</v>
      </c>
      <c r="T730" s="52"/>
      <c r="U730" s="52"/>
    </row>
    <row r="731" spans="1:21" s="46" customFormat="1" ht="16.5" thickTop="1" thickBot="1" x14ac:dyDescent="0.3">
      <c r="A731" s="50" t="s">
        <v>9881</v>
      </c>
      <c r="B731" s="43" t="s">
        <v>9882</v>
      </c>
      <c r="C731" s="43" t="s">
        <v>38</v>
      </c>
      <c r="D731" s="43" t="s">
        <v>17</v>
      </c>
      <c r="E731" s="43" t="s">
        <v>18</v>
      </c>
      <c r="F731" s="43" t="s">
        <v>28</v>
      </c>
      <c r="G731" s="48">
        <v>46228.600694444445</v>
      </c>
      <c r="H731" s="48">
        <v>46230.588888888888</v>
      </c>
      <c r="I731" s="43">
        <v>72</v>
      </c>
      <c r="J731" s="43" t="s">
        <v>1156</v>
      </c>
      <c r="K731" s="43" t="s">
        <v>8294</v>
      </c>
      <c r="L731" s="43" t="s">
        <v>20</v>
      </c>
      <c r="M731" s="43">
        <v>72</v>
      </c>
      <c r="N731" s="43">
        <v>13</v>
      </c>
      <c r="O731" s="43">
        <v>13</v>
      </c>
      <c r="P731" s="43" t="s">
        <v>1452</v>
      </c>
      <c r="Q731" s="43" t="s">
        <v>1546</v>
      </c>
      <c r="R731" s="43" t="s">
        <v>9883</v>
      </c>
      <c r="S731" s="52">
        <f t="shared" si="11"/>
        <v>1.99</v>
      </c>
      <c r="T731" s="47"/>
      <c r="U731" s="47"/>
    </row>
    <row r="732" spans="1:21" ht="16.5" thickTop="1" thickBot="1" x14ac:dyDescent="0.3">
      <c r="A732" s="51" t="s">
        <v>9879</v>
      </c>
      <c r="B732" s="52" t="s">
        <v>9880</v>
      </c>
      <c r="C732" s="52" t="s">
        <v>39</v>
      </c>
      <c r="D732" s="52" t="s">
        <v>17</v>
      </c>
      <c r="E732" s="52" t="s">
        <v>18</v>
      </c>
      <c r="F732" s="52" t="s">
        <v>42</v>
      </c>
      <c r="G732" s="53">
        <v>46228.652083333334</v>
      </c>
      <c r="H732" s="53">
        <v>46233.418749999997</v>
      </c>
      <c r="I732" s="52">
        <v>2</v>
      </c>
      <c r="J732" s="52" t="s">
        <v>1156</v>
      </c>
      <c r="K732" s="52" t="s">
        <v>1156</v>
      </c>
      <c r="L732" s="52" t="s">
        <v>33</v>
      </c>
      <c r="M732" s="52">
        <v>0</v>
      </c>
      <c r="N732" s="52">
        <v>0</v>
      </c>
      <c r="O732" s="52">
        <v>2</v>
      </c>
      <c r="P732" s="52" t="s">
        <v>1308</v>
      </c>
      <c r="Q732" s="52" t="s">
        <v>1514</v>
      </c>
      <c r="R732" s="52"/>
      <c r="S732" s="52">
        <f t="shared" si="11"/>
        <v>4.7699999999999996</v>
      </c>
      <c r="T732" s="52"/>
      <c r="U732" s="52"/>
    </row>
    <row r="733" spans="1:21" s="46" customFormat="1" ht="16.5" thickTop="1" thickBot="1" x14ac:dyDescent="0.3">
      <c r="A733" s="50" t="s">
        <v>9876</v>
      </c>
      <c r="B733" s="43" t="s">
        <v>9877</v>
      </c>
      <c r="C733" s="43" t="s">
        <v>38</v>
      </c>
      <c r="D733" s="43" t="s">
        <v>17</v>
      </c>
      <c r="E733" s="43" t="s">
        <v>18</v>
      </c>
      <c r="F733" s="43" t="s">
        <v>32</v>
      </c>
      <c r="G733" s="48">
        <v>46228.665277777778</v>
      </c>
      <c r="H733" s="48">
        <v>46234.8</v>
      </c>
      <c r="I733" s="43">
        <v>45</v>
      </c>
      <c r="J733" s="43" t="s">
        <v>2373</v>
      </c>
      <c r="K733" s="43" t="s">
        <v>8317</v>
      </c>
      <c r="L733" s="43" t="s">
        <v>44</v>
      </c>
      <c r="M733" s="43">
        <v>44</v>
      </c>
      <c r="N733" s="43">
        <v>44</v>
      </c>
      <c r="O733" s="43">
        <v>45</v>
      </c>
      <c r="P733" s="43" t="s">
        <v>9878</v>
      </c>
      <c r="Q733" s="43" t="s">
        <v>1517</v>
      </c>
      <c r="R733" s="43"/>
      <c r="S733" s="52">
        <f t="shared" si="11"/>
        <v>6.13</v>
      </c>
      <c r="T733" s="47"/>
      <c r="U733" s="47"/>
    </row>
    <row r="734" spans="1:21" ht="16.5" thickTop="1" thickBot="1" x14ac:dyDescent="0.3">
      <c r="A734" s="51" t="s">
        <v>9874</v>
      </c>
      <c r="B734" s="52" t="s">
        <v>9875</v>
      </c>
      <c r="C734" s="52" t="s">
        <v>38</v>
      </c>
      <c r="D734" s="52" t="s">
        <v>17</v>
      </c>
      <c r="E734" s="52" t="s">
        <v>18</v>
      </c>
      <c r="F734" s="52" t="s">
        <v>32</v>
      </c>
      <c r="G734" s="53">
        <v>46228.672222222223</v>
      </c>
      <c r="H734" s="53">
        <v>46233.397916666669</v>
      </c>
      <c r="I734" s="52">
        <v>199</v>
      </c>
      <c r="J734" s="52" t="s">
        <v>1156</v>
      </c>
      <c r="K734" s="52" t="s">
        <v>1156</v>
      </c>
      <c r="L734" s="52" t="s">
        <v>8739</v>
      </c>
      <c r="M734" s="52">
        <v>84</v>
      </c>
      <c r="N734" s="52">
        <v>84</v>
      </c>
      <c r="O734" s="52">
        <v>199</v>
      </c>
      <c r="P734" s="52" t="s">
        <v>9801</v>
      </c>
      <c r="Q734" s="52" t="s">
        <v>1517</v>
      </c>
      <c r="R734" s="52"/>
      <c r="S734" s="52">
        <f t="shared" si="11"/>
        <v>4.7300000000000004</v>
      </c>
      <c r="T734" s="52"/>
      <c r="U734" s="52"/>
    </row>
    <row r="735" spans="1:21" s="46" customFormat="1" ht="16.5" thickTop="1" thickBot="1" x14ac:dyDescent="0.3">
      <c r="A735" s="50" t="s">
        <v>9871</v>
      </c>
      <c r="B735" s="43" t="s">
        <v>9872</v>
      </c>
      <c r="C735" s="43" t="s">
        <v>38</v>
      </c>
      <c r="D735" s="43" t="s">
        <v>17</v>
      </c>
      <c r="E735" s="43" t="s">
        <v>18</v>
      </c>
      <c r="F735" s="43" t="s">
        <v>42</v>
      </c>
      <c r="G735" s="48">
        <v>46228.70416666667</v>
      </c>
      <c r="H735" s="48">
        <v>46234.776388888888</v>
      </c>
      <c r="I735" s="43">
        <v>1</v>
      </c>
      <c r="J735" s="43" t="s">
        <v>2373</v>
      </c>
      <c r="K735" s="43" t="s">
        <v>8317</v>
      </c>
      <c r="L735" s="43" t="s">
        <v>8475</v>
      </c>
      <c r="M735" s="43">
        <v>1</v>
      </c>
      <c r="N735" s="43">
        <v>1</v>
      </c>
      <c r="O735" s="43">
        <v>1</v>
      </c>
      <c r="P735" s="43" t="s">
        <v>9873</v>
      </c>
      <c r="Q735" s="43" t="s">
        <v>1517</v>
      </c>
      <c r="R735" s="43"/>
      <c r="S735" s="52">
        <f t="shared" si="11"/>
        <v>6.07</v>
      </c>
      <c r="T735" s="47"/>
      <c r="U735" s="47"/>
    </row>
    <row r="736" spans="1:21" ht="16.5" thickTop="1" thickBot="1" x14ac:dyDescent="0.3">
      <c r="A736" s="51" t="s">
        <v>9868</v>
      </c>
      <c r="B736" s="52" t="s">
        <v>9869</v>
      </c>
      <c r="C736" s="52" t="s">
        <v>38</v>
      </c>
      <c r="D736" s="52" t="s">
        <v>17</v>
      </c>
      <c r="E736" s="52" t="s">
        <v>18</v>
      </c>
      <c r="F736" s="52" t="s">
        <v>32</v>
      </c>
      <c r="G736" s="53">
        <v>46228.711805555555</v>
      </c>
      <c r="H736" s="53">
        <v>46233.40347222222</v>
      </c>
      <c r="I736" s="52">
        <v>7</v>
      </c>
      <c r="J736" s="52" t="s">
        <v>1156</v>
      </c>
      <c r="K736" s="52" t="s">
        <v>1156</v>
      </c>
      <c r="L736" s="52" t="s">
        <v>33</v>
      </c>
      <c r="M736" s="52">
        <v>5</v>
      </c>
      <c r="N736" s="52">
        <v>5</v>
      </c>
      <c r="O736" s="52">
        <v>7</v>
      </c>
      <c r="P736" s="52" t="s">
        <v>9870</v>
      </c>
      <c r="Q736" s="52" t="s">
        <v>1517</v>
      </c>
      <c r="R736" s="52"/>
      <c r="S736" s="52">
        <f t="shared" si="11"/>
        <v>4.6900000000000004</v>
      </c>
      <c r="T736" s="52"/>
      <c r="U736" s="52"/>
    </row>
    <row r="737" spans="1:21" s="46" customFormat="1" ht="16.5" thickTop="1" thickBot="1" x14ac:dyDescent="0.3">
      <c r="A737" s="50" t="s">
        <v>9865</v>
      </c>
      <c r="B737" s="43" t="s">
        <v>9866</v>
      </c>
      <c r="C737" s="43" t="s">
        <v>38</v>
      </c>
      <c r="D737" s="43" t="s">
        <v>17</v>
      </c>
      <c r="E737" s="43" t="s">
        <v>18</v>
      </c>
      <c r="F737" s="43" t="s">
        <v>32</v>
      </c>
      <c r="G737" s="48">
        <v>46228.73333333333</v>
      </c>
      <c r="H737" s="48">
        <v>46232.680555555555</v>
      </c>
      <c r="I737" s="43">
        <v>4</v>
      </c>
      <c r="J737" s="43" t="s">
        <v>1156</v>
      </c>
      <c r="K737" s="43" t="s">
        <v>1156</v>
      </c>
      <c r="L737" s="43" t="s">
        <v>33</v>
      </c>
      <c r="M737" s="43">
        <v>4</v>
      </c>
      <c r="N737" s="43">
        <v>4</v>
      </c>
      <c r="O737" s="43">
        <v>4</v>
      </c>
      <c r="P737" s="43" t="s">
        <v>9867</v>
      </c>
      <c r="Q737" s="43" t="s">
        <v>1546</v>
      </c>
      <c r="R737" s="43"/>
      <c r="S737" s="52">
        <f t="shared" si="11"/>
        <v>3.95</v>
      </c>
      <c r="T737" s="47"/>
      <c r="U737" s="47"/>
    </row>
    <row r="738" spans="1:21" ht="16.5" thickTop="1" thickBot="1" x14ac:dyDescent="0.3">
      <c r="A738" s="51" t="s">
        <v>10239</v>
      </c>
      <c r="B738" s="52" t="s">
        <v>10240</v>
      </c>
      <c r="C738" s="52" t="s">
        <v>38</v>
      </c>
      <c r="D738" s="52" t="s">
        <v>17</v>
      </c>
      <c r="E738" s="52" t="s">
        <v>18</v>
      </c>
      <c r="F738" s="52" t="s">
        <v>42</v>
      </c>
      <c r="G738" s="53">
        <v>46229.027777777781</v>
      </c>
      <c r="H738" s="53">
        <v>46235.466666666667</v>
      </c>
      <c r="I738" s="52">
        <v>1</v>
      </c>
      <c r="J738" s="52" t="s">
        <v>2373</v>
      </c>
      <c r="K738" s="52" t="s">
        <v>8326</v>
      </c>
      <c r="L738" s="52" t="s">
        <v>33</v>
      </c>
      <c r="M738" s="52">
        <v>1</v>
      </c>
      <c r="N738" s="52">
        <v>1</v>
      </c>
      <c r="O738" s="52">
        <v>1</v>
      </c>
      <c r="P738" s="52" t="s">
        <v>10363</v>
      </c>
      <c r="Q738" s="52" t="s">
        <v>1517</v>
      </c>
      <c r="R738" s="52" t="s">
        <v>10364</v>
      </c>
      <c r="S738" s="52">
        <f t="shared" si="11"/>
        <v>6.44</v>
      </c>
      <c r="T738" s="52"/>
      <c r="U738" s="52"/>
    </row>
    <row r="739" spans="1:21" s="46" customFormat="1" ht="16.5" thickTop="1" thickBot="1" x14ac:dyDescent="0.3">
      <c r="A739" s="50" t="s">
        <v>10237</v>
      </c>
      <c r="B739" s="43" t="s">
        <v>10238</v>
      </c>
      <c r="C739" s="43" t="s">
        <v>38</v>
      </c>
      <c r="D739" s="43" t="s">
        <v>17</v>
      </c>
      <c r="E739" s="43" t="s">
        <v>18</v>
      </c>
      <c r="F739" s="43" t="s">
        <v>42</v>
      </c>
      <c r="G739" s="48">
        <v>46229.031944444447</v>
      </c>
      <c r="H739" s="48">
        <v>46235.519444444442</v>
      </c>
      <c r="I739" s="43">
        <v>192</v>
      </c>
      <c r="J739" s="43" t="s">
        <v>2373</v>
      </c>
      <c r="K739" s="43" t="s">
        <v>8310</v>
      </c>
      <c r="L739" s="43" t="s">
        <v>37</v>
      </c>
      <c r="M739" s="43">
        <v>192</v>
      </c>
      <c r="N739" s="43">
        <v>192</v>
      </c>
      <c r="O739" s="43">
        <v>192</v>
      </c>
      <c r="P739" s="43" t="s">
        <v>10361</v>
      </c>
      <c r="Q739" s="43" t="s">
        <v>1517</v>
      </c>
      <c r="R739" s="43" t="s">
        <v>10362</v>
      </c>
      <c r="S739" s="52">
        <f t="shared" si="11"/>
        <v>6.49</v>
      </c>
      <c r="T739" s="47"/>
      <c r="U739" s="47"/>
    </row>
    <row r="740" spans="1:21" ht="16.5" thickTop="1" thickBot="1" x14ac:dyDescent="0.3">
      <c r="A740" s="51" t="s">
        <v>10235</v>
      </c>
      <c r="B740" s="52" t="s">
        <v>10236</v>
      </c>
      <c r="C740" s="52" t="s">
        <v>38</v>
      </c>
      <c r="D740" s="52" t="s">
        <v>17</v>
      </c>
      <c r="E740" s="52" t="s">
        <v>18</v>
      </c>
      <c r="F740" s="52" t="s">
        <v>42</v>
      </c>
      <c r="G740" s="53">
        <v>46229.512499999997</v>
      </c>
      <c r="H740" s="53">
        <v>46232.69027777778</v>
      </c>
      <c r="I740" s="52">
        <v>16</v>
      </c>
      <c r="J740" s="52" t="s">
        <v>1156</v>
      </c>
      <c r="K740" s="52" t="s">
        <v>1156</v>
      </c>
      <c r="L740" s="52" t="s">
        <v>33</v>
      </c>
      <c r="M740" s="52">
        <v>16</v>
      </c>
      <c r="N740" s="52">
        <v>16</v>
      </c>
      <c r="O740" s="52">
        <v>16</v>
      </c>
      <c r="P740" s="52" t="s">
        <v>10359</v>
      </c>
      <c r="Q740" s="52" t="s">
        <v>1546</v>
      </c>
      <c r="R740" s="52" t="s">
        <v>10360</v>
      </c>
      <c r="S740" s="52">
        <f t="shared" si="11"/>
        <v>3.18</v>
      </c>
      <c r="T740" s="52"/>
      <c r="U740" s="52"/>
    </row>
    <row r="741" spans="1:21" s="46" customFormat="1" ht="16.5" thickTop="1" thickBot="1" x14ac:dyDescent="0.3">
      <c r="A741" s="50" t="s">
        <v>10233</v>
      </c>
      <c r="B741" s="43" t="s">
        <v>10234</v>
      </c>
      <c r="C741" s="43" t="s">
        <v>39</v>
      </c>
      <c r="D741" s="43" t="s">
        <v>17</v>
      </c>
      <c r="E741" s="43" t="s">
        <v>18</v>
      </c>
      <c r="F741" s="43" t="s">
        <v>42</v>
      </c>
      <c r="G741" s="48">
        <v>46229.515277777777</v>
      </c>
      <c r="H741" s="48">
        <v>46234.433333333334</v>
      </c>
      <c r="I741" s="43">
        <v>62</v>
      </c>
      <c r="J741" s="43" t="s">
        <v>1156</v>
      </c>
      <c r="K741" s="43" t="s">
        <v>1156</v>
      </c>
      <c r="L741" s="43" t="s">
        <v>44</v>
      </c>
      <c r="M741" s="43"/>
      <c r="N741" s="43"/>
      <c r="O741" s="43">
        <v>62</v>
      </c>
      <c r="P741" s="43" t="s">
        <v>10357</v>
      </c>
      <c r="Q741" s="43" t="s">
        <v>1517</v>
      </c>
      <c r="R741" s="43" t="s">
        <v>10358</v>
      </c>
      <c r="S741" s="52">
        <f t="shared" si="11"/>
        <v>4.92</v>
      </c>
      <c r="T741" s="47"/>
      <c r="U741" s="47"/>
    </row>
    <row r="742" spans="1:21" ht="16.5" thickTop="1" thickBot="1" x14ac:dyDescent="0.3">
      <c r="A742" s="51" t="s">
        <v>10231</v>
      </c>
      <c r="B742" s="52" t="s">
        <v>10232</v>
      </c>
      <c r="C742" s="52" t="s">
        <v>38</v>
      </c>
      <c r="D742" s="52" t="s">
        <v>17</v>
      </c>
      <c r="E742" s="52" t="s">
        <v>18</v>
      </c>
      <c r="F742" s="52" t="s">
        <v>42</v>
      </c>
      <c r="G742" s="53">
        <v>46229.51666666667</v>
      </c>
      <c r="H742" s="53">
        <v>46232.697916666664</v>
      </c>
      <c r="I742" s="52">
        <v>6</v>
      </c>
      <c r="J742" s="52" t="s">
        <v>1156</v>
      </c>
      <c r="K742" s="52" t="s">
        <v>8351</v>
      </c>
      <c r="L742" s="52" t="s">
        <v>33</v>
      </c>
      <c r="M742" s="52">
        <v>6</v>
      </c>
      <c r="N742" s="52">
        <v>6</v>
      </c>
      <c r="O742" s="52">
        <v>6</v>
      </c>
      <c r="P742" s="52" t="s">
        <v>10355</v>
      </c>
      <c r="Q742" s="52" t="s">
        <v>1546</v>
      </c>
      <c r="R742" s="52" t="s">
        <v>10356</v>
      </c>
      <c r="S742" s="52">
        <f t="shared" si="11"/>
        <v>3.18</v>
      </c>
      <c r="T742" s="52"/>
      <c r="U742" s="52"/>
    </row>
    <row r="743" spans="1:21" s="46" customFormat="1" ht="16.5" thickTop="1" thickBot="1" x14ac:dyDescent="0.3">
      <c r="A743" s="50" t="s">
        <v>10229</v>
      </c>
      <c r="B743" s="43" t="s">
        <v>10230</v>
      </c>
      <c r="C743" s="43" t="s">
        <v>38</v>
      </c>
      <c r="D743" s="43" t="s">
        <v>17</v>
      </c>
      <c r="E743" s="43" t="s">
        <v>18</v>
      </c>
      <c r="F743" s="43" t="s">
        <v>32</v>
      </c>
      <c r="G743" s="48">
        <v>46229.770138888889</v>
      </c>
      <c r="H743" s="48">
        <v>46232.70416666667</v>
      </c>
      <c r="I743" s="43">
        <v>1</v>
      </c>
      <c r="J743" s="43" t="s">
        <v>1156</v>
      </c>
      <c r="K743" s="43" t="s">
        <v>8331</v>
      </c>
      <c r="L743" s="43" t="s">
        <v>33</v>
      </c>
      <c r="M743" s="43">
        <v>1</v>
      </c>
      <c r="N743" s="43">
        <v>1</v>
      </c>
      <c r="O743" s="43">
        <v>1</v>
      </c>
      <c r="P743" s="43" t="s">
        <v>1457</v>
      </c>
      <c r="Q743" s="43" t="s">
        <v>1514</v>
      </c>
      <c r="R743" s="43" t="s">
        <v>10354</v>
      </c>
      <c r="S743" s="52">
        <f t="shared" si="11"/>
        <v>2.93</v>
      </c>
      <c r="T743" s="47"/>
      <c r="U743" s="47"/>
    </row>
    <row r="744" spans="1:21" ht="16.5" thickTop="1" thickBot="1" x14ac:dyDescent="0.3">
      <c r="A744" s="51" t="s">
        <v>10227</v>
      </c>
      <c r="B744" s="52" t="s">
        <v>10228</v>
      </c>
      <c r="C744" s="52" t="s">
        <v>38</v>
      </c>
      <c r="D744" s="52" t="s">
        <v>17</v>
      </c>
      <c r="E744" s="52" t="s">
        <v>18</v>
      </c>
      <c r="F744" s="52" t="s">
        <v>32</v>
      </c>
      <c r="G744" s="53">
        <v>46229.779861111114</v>
      </c>
      <c r="H744" s="53">
        <v>46232.711111111108</v>
      </c>
      <c r="I744" s="52">
        <v>45</v>
      </c>
      <c r="J744" s="52" t="s">
        <v>1156</v>
      </c>
      <c r="K744" s="52" t="s">
        <v>1156</v>
      </c>
      <c r="L744" s="52" t="s">
        <v>33</v>
      </c>
      <c r="M744" s="52">
        <v>45</v>
      </c>
      <c r="N744" s="52">
        <v>45</v>
      </c>
      <c r="O744" s="52">
        <v>45</v>
      </c>
      <c r="P744" s="52" t="s">
        <v>10352</v>
      </c>
      <c r="Q744" s="52" t="s">
        <v>1546</v>
      </c>
      <c r="R744" s="52" t="s">
        <v>10353</v>
      </c>
      <c r="S744" s="52">
        <f t="shared" si="11"/>
        <v>2.93</v>
      </c>
      <c r="T744" s="52"/>
      <c r="U744" s="52"/>
    </row>
    <row r="745" spans="1:21" s="46" customFormat="1" ht="16.5" thickTop="1" thickBot="1" x14ac:dyDescent="0.3">
      <c r="A745" s="50" t="s">
        <v>10225</v>
      </c>
      <c r="B745" s="43" t="s">
        <v>10226</v>
      </c>
      <c r="C745" s="43" t="s">
        <v>38</v>
      </c>
      <c r="D745" s="43" t="s">
        <v>17</v>
      </c>
      <c r="E745" s="43" t="s">
        <v>18</v>
      </c>
      <c r="F745" s="43" t="s">
        <v>19</v>
      </c>
      <c r="G745" s="48">
        <v>46230.453472222223</v>
      </c>
      <c r="H745" s="48">
        <v>46238.612500000003</v>
      </c>
      <c r="I745" s="43">
        <v>11</v>
      </c>
      <c r="J745" s="43" t="s">
        <v>2373</v>
      </c>
      <c r="K745" s="43" t="s">
        <v>8317</v>
      </c>
      <c r="L745" s="43" t="s">
        <v>33</v>
      </c>
      <c r="M745" s="43">
        <v>12</v>
      </c>
      <c r="N745" s="43">
        <v>12</v>
      </c>
      <c r="O745" s="43">
        <v>11</v>
      </c>
      <c r="P745" s="43" t="s">
        <v>1346</v>
      </c>
      <c r="Q745" s="43" t="s">
        <v>1517</v>
      </c>
      <c r="R745" s="43" t="s">
        <v>10351</v>
      </c>
      <c r="S745" s="52">
        <f t="shared" si="11"/>
        <v>8.16</v>
      </c>
      <c r="T745" s="47"/>
      <c r="U745" s="47"/>
    </row>
    <row r="746" spans="1:21" ht="16.5" thickTop="1" thickBot="1" x14ac:dyDescent="0.3">
      <c r="A746" s="51" t="s">
        <v>10223</v>
      </c>
      <c r="B746" s="52" t="s">
        <v>10224</v>
      </c>
      <c r="C746" s="52" t="s">
        <v>39</v>
      </c>
      <c r="D746" s="52" t="s">
        <v>17</v>
      </c>
      <c r="E746" s="52" t="s">
        <v>18</v>
      </c>
      <c r="F746" s="52" t="s">
        <v>42</v>
      </c>
      <c r="G746" s="53">
        <v>46230.461805555555</v>
      </c>
      <c r="H746" s="53">
        <v>46234.479861111111</v>
      </c>
      <c r="I746" s="52">
        <v>42</v>
      </c>
      <c r="J746" s="52" t="s">
        <v>1156</v>
      </c>
      <c r="K746" s="52" t="s">
        <v>1156</v>
      </c>
      <c r="L746" s="52" t="s">
        <v>36</v>
      </c>
      <c r="M746" s="52"/>
      <c r="N746" s="52"/>
      <c r="O746" s="52">
        <v>42</v>
      </c>
      <c r="P746" s="52" t="s">
        <v>9540</v>
      </c>
      <c r="Q746" s="52" t="s">
        <v>1517</v>
      </c>
      <c r="R746" s="52" t="s">
        <v>10350</v>
      </c>
      <c r="S746" s="52">
        <f t="shared" si="11"/>
        <v>4.0199999999999996</v>
      </c>
      <c r="T746" s="52"/>
      <c r="U746" s="52"/>
    </row>
    <row r="747" spans="1:21" s="46" customFormat="1" ht="16.5" thickTop="1" thickBot="1" x14ac:dyDescent="0.3">
      <c r="A747" s="50" t="s">
        <v>10221</v>
      </c>
      <c r="B747" s="43" t="s">
        <v>10222</v>
      </c>
      <c r="C747" s="43" t="s">
        <v>38</v>
      </c>
      <c r="D747" s="43" t="s">
        <v>17</v>
      </c>
      <c r="E747" s="43" t="s">
        <v>18</v>
      </c>
      <c r="F747" s="43" t="s">
        <v>32</v>
      </c>
      <c r="G747" s="48">
        <v>46230.51458333333</v>
      </c>
      <c r="H747" s="48">
        <v>46233.414583333331</v>
      </c>
      <c r="I747" s="43">
        <v>1</v>
      </c>
      <c r="J747" s="43" t="s">
        <v>1156</v>
      </c>
      <c r="K747" s="43" t="s">
        <v>8331</v>
      </c>
      <c r="L747" s="43" t="s">
        <v>33</v>
      </c>
      <c r="M747" s="43">
        <v>1</v>
      </c>
      <c r="N747" s="43">
        <v>1</v>
      </c>
      <c r="O747" s="43">
        <v>1</v>
      </c>
      <c r="P747" s="43" t="s">
        <v>10348</v>
      </c>
      <c r="Q747" s="43" t="s">
        <v>1514</v>
      </c>
      <c r="R747" s="43" t="s">
        <v>10349</v>
      </c>
      <c r="S747" s="52">
        <f t="shared" si="11"/>
        <v>2.9</v>
      </c>
      <c r="T747" s="47"/>
      <c r="U747" s="47"/>
    </row>
    <row r="748" spans="1:21" ht="16.5" thickTop="1" thickBot="1" x14ac:dyDescent="0.3">
      <c r="A748" s="51" t="s">
        <v>10219</v>
      </c>
      <c r="B748" s="52" t="s">
        <v>10220</v>
      </c>
      <c r="C748" s="52" t="s">
        <v>39</v>
      </c>
      <c r="D748" s="52" t="s">
        <v>17</v>
      </c>
      <c r="E748" s="52" t="s">
        <v>18</v>
      </c>
      <c r="F748" s="52" t="s">
        <v>32</v>
      </c>
      <c r="G748" s="53">
        <v>46230.517361111109</v>
      </c>
      <c r="H748" s="53">
        <v>46231.713194444441</v>
      </c>
      <c r="I748" s="52">
        <v>9</v>
      </c>
      <c r="J748" s="52" t="s">
        <v>1156</v>
      </c>
      <c r="K748" s="52" t="s">
        <v>1156</v>
      </c>
      <c r="L748" s="52" t="s">
        <v>33</v>
      </c>
      <c r="M748" s="52"/>
      <c r="N748" s="52"/>
      <c r="O748" s="52">
        <v>9</v>
      </c>
      <c r="P748" s="52" t="s">
        <v>10346</v>
      </c>
      <c r="Q748" s="52" t="s">
        <v>1546</v>
      </c>
      <c r="R748" s="52" t="s">
        <v>10347</v>
      </c>
      <c r="S748" s="52">
        <f t="shared" si="11"/>
        <v>1.2</v>
      </c>
      <c r="T748" s="52"/>
      <c r="U748" s="52"/>
    </row>
    <row r="749" spans="1:21" s="46" customFormat="1" ht="16.5" thickTop="1" thickBot="1" x14ac:dyDescent="0.3">
      <c r="A749" s="50" t="s">
        <v>10217</v>
      </c>
      <c r="B749" s="43" t="s">
        <v>10218</v>
      </c>
      <c r="C749" s="43" t="s">
        <v>38</v>
      </c>
      <c r="D749" s="43" t="s">
        <v>17</v>
      </c>
      <c r="E749" s="43" t="s">
        <v>18</v>
      </c>
      <c r="F749" s="43" t="s">
        <v>32</v>
      </c>
      <c r="G749" s="48">
        <v>46230.538194444445</v>
      </c>
      <c r="H749" s="48">
        <v>46233.473611111112</v>
      </c>
      <c r="I749" s="43">
        <v>48</v>
      </c>
      <c r="J749" s="43" t="s">
        <v>2373</v>
      </c>
      <c r="K749" s="43" t="s">
        <v>8264</v>
      </c>
      <c r="L749" s="43" t="s">
        <v>8739</v>
      </c>
      <c r="M749" s="43">
        <v>48</v>
      </c>
      <c r="N749" s="43">
        <v>48</v>
      </c>
      <c r="O749" s="43">
        <v>48</v>
      </c>
      <c r="P749" s="43" t="s">
        <v>10344</v>
      </c>
      <c r="Q749" s="43" t="s">
        <v>1514</v>
      </c>
      <c r="R749" s="43" t="s">
        <v>10345</v>
      </c>
      <c r="S749" s="52">
        <f t="shared" si="11"/>
        <v>2.94</v>
      </c>
      <c r="T749" s="47"/>
      <c r="U749" s="47"/>
    </row>
    <row r="750" spans="1:21" ht="16.5" thickTop="1" thickBot="1" x14ac:dyDescent="0.3">
      <c r="A750" s="51" t="s">
        <v>10215</v>
      </c>
      <c r="B750" s="52" t="s">
        <v>10216</v>
      </c>
      <c r="C750" s="52" t="s">
        <v>38</v>
      </c>
      <c r="D750" s="52" t="s">
        <v>17</v>
      </c>
      <c r="E750" s="52" t="s">
        <v>18</v>
      </c>
      <c r="F750" s="52" t="s">
        <v>42</v>
      </c>
      <c r="G750" s="53">
        <v>46230.538888888892</v>
      </c>
      <c r="H750" s="53">
        <v>46235.54583333333</v>
      </c>
      <c r="I750" s="52">
        <v>27</v>
      </c>
      <c r="J750" s="52" t="s">
        <v>2373</v>
      </c>
      <c r="K750" s="52" t="s">
        <v>8310</v>
      </c>
      <c r="L750" s="52" t="s">
        <v>33</v>
      </c>
      <c r="M750" s="52">
        <v>27</v>
      </c>
      <c r="N750" s="52">
        <v>27</v>
      </c>
      <c r="O750" s="52">
        <v>27</v>
      </c>
      <c r="P750" s="52" t="s">
        <v>10342</v>
      </c>
      <c r="Q750" s="52" t="s">
        <v>1546</v>
      </c>
      <c r="R750" s="52" t="s">
        <v>10343</v>
      </c>
      <c r="S750" s="52">
        <f t="shared" si="11"/>
        <v>5.01</v>
      </c>
      <c r="T750" s="52"/>
      <c r="U750" s="52"/>
    </row>
    <row r="751" spans="1:21" s="46" customFormat="1" ht="16.5" thickTop="1" thickBot="1" x14ac:dyDescent="0.3">
      <c r="A751" s="50" t="s">
        <v>10213</v>
      </c>
      <c r="B751" s="43" t="s">
        <v>10214</v>
      </c>
      <c r="C751" s="43" t="s">
        <v>38</v>
      </c>
      <c r="D751" s="43" t="s">
        <v>17</v>
      </c>
      <c r="E751" s="43" t="s">
        <v>18</v>
      </c>
      <c r="F751" s="43" t="s">
        <v>32</v>
      </c>
      <c r="G751" s="48">
        <v>46230.540972222225</v>
      </c>
      <c r="H751" s="48">
        <v>46234.708333333336</v>
      </c>
      <c r="I751" s="43">
        <v>35</v>
      </c>
      <c r="J751" s="43" t="s">
        <v>1156</v>
      </c>
      <c r="K751" s="43" t="s">
        <v>1156</v>
      </c>
      <c r="L751" s="43" t="s">
        <v>20</v>
      </c>
      <c r="M751" s="43">
        <v>35</v>
      </c>
      <c r="N751" s="43">
        <v>6</v>
      </c>
      <c r="O751" s="43">
        <v>6</v>
      </c>
      <c r="P751" s="43" t="s">
        <v>10338</v>
      </c>
      <c r="Q751" s="43" t="s">
        <v>1517</v>
      </c>
      <c r="R751" s="43" t="s">
        <v>10341</v>
      </c>
      <c r="S751" s="52">
        <f t="shared" si="11"/>
        <v>4.17</v>
      </c>
      <c r="T751" s="47"/>
      <c r="U751" s="47"/>
    </row>
    <row r="752" spans="1:21" ht="16.5" thickTop="1" thickBot="1" x14ac:dyDescent="0.3">
      <c r="A752" s="51" t="s">
        <v>10211</v>
      </c>
      <c r="B752" s="52" t="s">
        <v>10212</v>
      </c>
      <c r="C752" s="52" t="s">
        <v>38</v>
      </c>
      <c r="D752" s="52" t="s">
        <v>17</v>
      </c>
      <c r="E752" s="52" t="s">
        <v>18</v>
      </c>
      <c r="F752" s="52" t="s">
        <v>32</v>
      </c>
      <c r="G752" s="53">
        <v>46230.54583333333</v>
      </c>
      <c r="H752" s="53">
        <v>46234.591666666667</v>
      </c>
      <c r="I752" s="52">
        <v>408</v>
      </c>
      <c r="J752" s="52" t="s">
        <v>1156</v>
      </c>
      <c r="K752" s="52" t="s">
        <v>1156</v>
      </c>
      <c r="L752" s="52" t="s">
        <v>25</v>
      </c>
      <c r="M752" s="52">
        <v>408</v>
      </c>
      <c r="N752" s="52">
        <v>68</v>
      </c>
      <c r="O752" s="52">
        <v>68</v>
      </c>
      <c r="P752" s="52" t="s">
        <v>10264</v>
      </c>
      <c r="Q752" s="52" t="s">
        <v>1517</v>
      </c>
      <c r="R752" s="52" t="s">
        <v>10340</v>
      </c>
      <c r="S752" s="52">
        <f t="shared" si="11"/>
        <v>4.05</v>
      </c>
      <c r="T752" s="52"/>
      <c r="U752" s="52"/>
    </row>
    <row r="753" spans="1:21" s="46" customFormat="1" ht="16.5" thickTop="1" thickBot="1" x14ac:dyDescent="0.3">
      <c r="A753" s="50" t="s">
        <v>10209</v>
      </c>
      <c r="B753" s="43" t="s">
        <v>10210</v>
      </c>
      <c r="C753" s="43" t="s">
        <v>38</v>
      </c>
      <c r="D753" s="43" t="s">
        <v>17</v>
      </c>
      <c r="E753" s="43" t="s">
        <v>18</v>
      </c>
      <c r="F753" s="43" t="s">
        <v>32</v>
      </c>
      <c r="G753" s="48">
        <v>46230.547222222223</v>
      </c>
      <c r="H753" s="48">
        <v>46233.743055555555</v>
      </c>
      <c r="I753" s="43">
        <v>173</v>
      </c>
      <c r="J753" s="43" t="s">
        <v>1156</v>
      </c>
      <c r="K753" s="43" t="s">
        <v>1156</v>
      </c>
      <c r="L753" s="43" t="s">
        <v>25</v>
      </c>
      <c r="M753" s="43">
        <v>173</v>
      </c>
      <c r="N753" s="43">
        <v>33</v>
      </c>
      <c r="O753" s="43">
        <v>33</v>
      </c>
      <c r="P753" s="43" t="s">
        <v>10338</v>
      </c>
      <c r="Q753" s="43" t="s">
        <v>1517</v>
      </c>
      <c r="R753" s="43" t="s">
        <v>10339</v>
      </c>
      <c r="S753" s="52">
        <f t="shared" si="11"/>
        <v>3.2</v>
      </c>
      <c r="T753" s="47"/>
      <c r="U753" s="47"/>
    </row>
    <row r="754" spans="1:21" ht="16.5" thickTop="1" thickBot="1" x14ac:dyDescent="0.3">
      <c r="A754" s="51" t="s">
        <v>10207</v>
      </c>
      <c r="B754" s="52" t="s">
        <v>10208</v>
      </c>
      <c r="C754" s="52" t="s">
        <v>38</v>
      </c>
      <c r="D754" s="52" t="s">
        <v>17</v>
      </c>
      <c r="E754" s="52" t="s">
        <v>18</v>
      </c>
      <c r="F754" s="52" t="s">
        <v>41</v>
      </c>
      <c r="G754" s="53">
        <v>46230.598611111112</v>
      </c>
      <c r="H754" s="53">
        <v>46233.460416666669</v>
      </c>
      <c r="I754" s="52">
        <v>168</v>
      </c>
      <c r="J754" s="52" t="s">
        <v>1156</v>
      </c>
      <c r="K754" s="52" t="s">
        <v>8350</v>
      </c>
      <c r="L754" s="52" t="s">
        <v>20</v>
      </c>
      <c r="M754" s="52">
        <v>168</v>
      </c>
      <c r="N754" s="52">
        <v>28</v>
      </c>
      <c r="O754" s="52">
        <v>28</v>
      </c>
      <c r="P754" s="52" t="s">
        <v>10241</v>
      </c>
      <c r="Q754" s="52" t="s">
        <v>1514</v>
      </c>
      <c r="R754" s="52" t="s">
        <v>10337</v>
      </c>
      <c r="S754" s="52">
        <f t="shared" si="11"/>
        <v>2.86</v>
      </c>
      <c r="T754" s="52"/>
      <c r="U754" s="52"/>
    </row>
    <row r="755" spans="1:21" s="46" customFormat="1" ht="16.5" thickTop="1" thickBot="1" x14ac:dyDescent="0.3">
      <c r="A755" s="50" t="s">
        <v>10205</v>
      </c>
      <c r="B755" s="43" t="s">
        <v>10206</v>
      </c>
      <c r="C755" s="43" t="s">
        <v>38</v>
      </c>
      <c r="D755" s="43" t="s">
        <v>17</v>
      </c>
      <c r="E755" s="43" t="s">
        <v>18</v>
      </c>
      <c r="F755" s="43" t="s">
        <v>42</v>
      </c>
      <c r="G755" s="48">
        <v>46230.604861111111</v>
      </c>
      <c r="H755" s="48">
        <v>46233.463194444441</v>
      </c>
      <c r="I755" s="43">
        <v>2</v>
      </c>
      <c r="J755" s="43" t="s">
        <v>1156</v>
      </c>
      <c r="K755" s="43" t="s">
        <v>8331</v>
      </c>
      <c r="L755" s="43" t="s">
        <v>33</v>
      </c>
      <c r="M755" s="43">
        <v>2</v>
      </c>
      <c r="N755" s="43">
        <v>2</v>
      </c>
      <c r="O755" s="43">
        <v>2</v>
      </c>
      <c r="P755" s="43" t="s">
        <v>10335</v>
      </c>
      <c r="Q755" s="43" t="s">
        <v>1514</v>
      </c>
      <c r="R755" s="43" t="s">
        <v>10336</v>
      </c>
      <c r="S755" s="52">
        <f t="shared" si="11"/>
        <v>2.86</v>
      </c>
      <c r="T755" s="47"/>
      <c r="U755" s="47"/>
    </row>
    <row r="756" spans="1:21" ht="16.5" thickTop="1" thickBot="1" x14ac:dyDescent="0.3">
      <c r="A756" s="51" t="s">
        <v>10203</v>
      </c>
      <c r="B756" s="52" t="s">
        <v>10204</v>
      </c>
      <c r="C756" s="52" t="s">
        <v>38</v>
      </c>
      <c r="D756" s="52" t="s">
        <v>17</v>
      </c>
      <c r="E756" s="52" t="s">
        <v>18</v>
      </c>
      <c r="F756" s="52" t="s">
        <v>42</v>
      </c>
      <c r="G756" s="53">
        <v>46230.606944444444</v>
      </c>
      <c r="H756" s="53">
        <v>46233.468055555553</v>
      </c>
      <c r="I756" s="52">
        <v>3</v>
      </c>
      <c r="J756" s="52" t="s">
        <v>1156</v>
      </c>
      <c r="K756" s="52" t="s">
        <v>8331</v>
      </c>
      <c r="L756" s="52" t="s">
        <v>33</v>
      </c>
      <c r="M756" s="52">
        <v>3</v>
      </c>
      <c r="N756" s="52">
        <v>3</v>
      </c>
      <c r="O756" s="52">
        <v>3</v>
      </c>
      <c r="P756" s="52" t="s">
        <v>10333</v>
      </c>
      <c r="Q756" s="52" t="s">
        <v>1514</v>
      </c>
      <c r="R756" s="52" t="s">
        <v>10334</v>
      </c>
      <c r="S756" s="52">
        <f t="shared" si="11"/>
        <v>2.86</v>
      </c>
      <c r="T756" s="52"/>
      <c r="U756" s="52"/>
    </row>
    <row r="757" spans="1:21" s="46" customFormat="1" ht="16.5" thickTop="1" thickBot="1" x14ac:dyDescent="0.3">
      <c r="A757" s="50" t="s">
        <v>10201</v>
      </c>
      <c r="B757" s="43" t="s">
        <v>10202</v>
      </c>
      <c r="C757" s="43" t="s">
        <v>38</v>
      </c>
      <c r="D757" s="43" t="s">
        <v>17</v>
      </c>
      <c r="E757" s="43" t="s">
        <v>18</v>
      </c>
      <c r="F757" s="43" t="s">
        <v>42</v>
      </c>
      <c r="G757" s="48">
        <v>46230.658333333333</v>
      </c>
      <c r="H757" s="48">
        <v>46235.559027777781</v>
      </c>
      <c r="I757" s="43">
        <v>13</v>
      </c>
      <c r="J757" s="43" t="s">
        <v>2373</v>
      </c>
      <c r="K757" s="43" t="s">
        <v>8310</v>
      </c>
      <c r="L757" s="43" t="s">
        <v>33</v>
      </c>
      <c r="M757" s="43">
        <v>9</v>
      </c>
      <c r="N757" s="43">
        <v>9</v>
      </c>
      <c r="O757" s="43">
        <v>13</v>
      </c>
      <c r="P757" s="43" t="s">
        <v>10331</v>
      </c>
      <c r="Q757" s="43" t="s">
        <v>1546</v>
      </c>
      <c r="R757" s="43" t="s">
        <v>10332</v>
      </c>
      <c r="S757" s="52">
        <f t="shared" si="11"/>
        <v>4.9000000000000004</v>
      </c>
      <c r="T757" s="47"/>
      <c r="U757" s="47"/>
    </row>
    <row r="758" spans="1:21" ht="16.5" thickTop="1" thickBot="1" x14ac:dyDescent="0.3">
      <c r="A758" s="51" t="s">
        <v>10199</v>
      </c>
      <c r="B758" s="52" t="s">
        <v>10200</v>
      </c>
      <c r="C758" s="52" t="s">
        <v>38</v>
      </c>
      <c r="D758" s="52" t="s">
        <v>17</v>
      </c>
      <c r="E758" s="52" t="s">
        <v>18</v>
      </c>
      <c r="F758" s="52" t="s">
        <v>42</v>
      </c>
      <c r="G758" s="53">
        <v>46230.664583333331</v>
      </c>
      <c r="H758" s="53">
        <v>46233.472916666666</v>
      </c>
      <c r="I758" s="52">
        <v>1</v>
      </c>
      <c r="J758" s="52" t="s">
        <v>1156</v>
      </c>
      <c r="K758" s="52" t="s">
        <v>1156</v>
      </c>
      <c r="L758" s="52" t="s">
        <v>33</v>
      </c>
      <c r="M758" s="52">
        <v>1</v>
      </c>
      <c r="N758" s="52">
        <v>1</v>
      </c>
      <c r="O758" s="52">
        <v>1</v>
      </c>
      <c r="P758" s="52" t="s">
        <v>10329</v>
      </c>
      <c r="Q758" s="52" t="s">
        <v>1517</v>
      </c>
      <c r="R758" s="52" t="s">
        <v>10330</v>
      </c>
      <c r="S758" s="52">
        <f t="shared" si="11"/>
        <v>2.81</v>
      </c>
      <c r="T758" s="52"/>
      <c r="U758" s="52"/>
    </row>
    <row r="759" spans="1:21" s="46" customFormat="1" ht="16.5" thickTop="1" thickBot="1" x14ac:dyDescent="0.3">
      <c r="A759" s="50" t="s">
        <v>10197</v>
      </c>
      <c r="B759" s="43" t="s">
        <v>10198</v>
      </c>
      <c r="C759" s="43" t="s">
        <v>38</v>
      </c>
      <c r="D759" s="43" t="s">
        <v>17</v>
      </c>
      <c r="E759" s="43" t="s">
        <v>18</v>
      </c>
      <c r="F759" s="43" t="s">
        <v>42</v>
      </c>
      <c r="G759" s="48">
        <v>46230.668749999997</v>
      </c>
      <c r="H759" s="48">
        <v>46233.477083333331</v>
      </c>
      <c r="I759" s="43">
        <v>2</v>
      </c>
      <c r="J759" s="43" t="s">
        <v>1156</v>
      </c>
      <c r="K759" s="43" t="s">
        <v>1156</v>
      </c>
      <c r="L759" s="43" t="s">
        <v>33</v>
      </c>
      <c r="M759" s="43">
        <v>2</v>
      </c>
      <c r="N759" s="43">
        <v>2</v>
      </c>
      <c r="O759" s="43">
        <v>2</v>
      </c>
      <c r="P759" s="43" t="s">
        <v>1453</v>
      </c>
      <c r="Q759" s="43" t="s">
        <v>1517</v>
      </c>
      <c r="R759" s="43" t="s">
        <v>10328</v>
      </c>
      <c r="S759" s="52">
        <f t="shared" si="11"/>
        <v>2.81</v>
      </c>
      <c r="T759" s="47"/>
      <c r="U759" s="47"/>
    </row>
    <row r="760" spans="1:21" ht="16.5" thickTop="1" thickBot="1" x14ac:dyDescent="0.3">
      <c r="A760" s="51" t="s">
        <v>10195</v>
      </c>
      <c r="B760" s="52" t="s">
        <v>10196</v>
      </c>
      <c r="C760" s="52" t="s">
        <v>38</v>
      </c>
      <c r="D760" s="52" t="s">
        <v>17</v>
      </c>
      <c r="E760" s="52" t="s">
        <v>18</v>
      </c>
      <c r="F760" s="52" t="s">
        <v>32</v>
      </c>
      <c r="G760" s="53">
        <v>46230.711111111108</v>
      </c>
      <c r="H760" s="53">
        <v>46234.714583333334</v>
      </c>
      <c r="I760" s="52">
        <v>192</v>
      </c>
      <c r="J760" s="52" t="s">
        <v>1156</v>
      </c>
      <c r="K760" s="52" t="s">
        <v>1156</v>
      </c>
      <c r="L760" s="52" t="s">
        <v>20</v>
      </c>
      <c r="M760" s="52">
        <v>192</v>
      </c>
      <c r="N760" s="52">
        <v>32</v>
      </c>
      <c r="O760" s="52">
        <v>32</v>
      </c>
      <c r="P760" s="52" t="s">
        <v>10326</v>
      </c>
      <c r="Q760" s="52" t="s">
        <v>1517</v>
      </c>
      <c r="R760" s="52" t="s">
        <v>10327</v>
      </c>
      <c r="S760" s="52">
        <f t="shared" si="11"/>
        <v>4</v>
      </c>
      <c r="T760" s="52"/>
      <c r="U760" s="52"/>
    </row>
    <row r="761" spans="1:21" s="46" customFormat="1" ht="16.5" thickTop="1" thickBot="1" x14ac:dyDescent="0.3">
      <c r="A761" s="50" t="s">
        <v>10193</v>
      </c>
      <c r="B761" s="43" t="s">
        <v>10194</v>
      </c>
      <c r="C761" s="43" t="s">
        <v>39</v>
      </c>
      <c r="D761" s="43" t="s">
        <v>17</v>
      </c>
      <c r="E761" s="43" t="s">
        <v>18</v>
      </c>
      <c r="F761" s="43" t="s">
        <v>28</v>
      </c>
      <c r="G761" s="48">
        <v>46230.727777777778</v>
      </c>
      <c r="H761" s="48">
        <v>46234.431944444441</v>
      </c>
      <c r="I761" s="43">
        <v>617</v>
      </c>
      <c r="J761" s="43" t="s">
        <v>1156</v>
      </c>
      <c r="K761" s="43" t="s">
        <v>1156</v>
      </c>
      <c r="L761" s="43" t="s">
        <v>20</v>
      </c>
      <c r="M761" s="43"/>
      <c r="N761" s="43"/>
      <c r="O761" s="43">
        <v>113</v>
      </c>
      <c r="P761" s="43" t="s">
        <v>8777</v>
      </c>
      <c r="Q761" s="43" t="s">
        <v>1517</v>
      </c>
      <c r="R761" s="43" t="s">
        <v>10325</v>
      </c>
      <c r="S761" s="52">
        <f t="shared" si="11"/>
        <v>3.7</v>
      </c>
      <c r="T761" s="47"/>
      <c r="U761" s="47"/>
    </row>
    <row r="762" spans="1:21" ht="16.5" thickTop="1" thickBot="1" x14ac:dyDescent="0.3">
      <c r="A762" s="51" t="s">
        <v>10191</v>
      </c>
      <c r="B762" s="52" t="s">
        <v>10192</v>
      </c>
      <c r="C762" s="52" t="s">
        <v>38</v>
      </c>
      <c r="D762" s="52" t="s">
        <v>17</v>
      </c>
      <c r="E762" s="52" t="s">
        <v>18</v>
      </c>
      <c r="F762" s="52" t="s">
        <v>28</v>
      </c>
      <c r="G762" s="53">
        <v>46230.734027777777</v>
      </c>
      <c r="H762" s="53">
        <v>46238.724999999999</v>
      </c>
      <c r="I762" s="52">
        <v>107</v>
      </c>
      <c r="J762" s="52" t="s">
        <v>1156</v>
      </c>
      <c r="K762" s="52" t="s">
        <v>1156</v>
      </c>
      <c r="L762" s="52" t="s">
        <v>20</v>
      </c>
      <c r="M762" s="52">
        <v>107</v>
      </c>
      <c r="N762" s="52">
        <v>18</v>
      </c>
      <c r="O762" s="52">
        <v>18</v>
      </c>
      <c r="P762" s="52" t="s">
        <v>9797</v>
      </c>
      <c r="Q762" s="52" t="s">
        <v>1517</v>
      </c>
      <c r="R762" s="52" t="s">
        <v>10324</v>
      </c>
      <c r="S762" s="52">
        <f t="shared" si="11"/>
        <v>7.99</v>
      </c>
      <c r="T762" s="52"/>
      <c r="U762" s="52"/>
    </row>
    <row r="763" spans="1:21" s="46" customFormat="1" ht="16.5" thickTop="1" thickBot="1" x14ac:dyDescent="0.3">
      <c r="A763" s="50" t="s">
        <v>10189</v>
      </c>
      <c r="B763" s="43" t="s">
        <v>10190</v>
      </c>
      <c r="C763" s="43" t="s">
        <v>39</v>
      </c>
      <c r="D763" s="43" t="s">
        <v>17</v>
      </c>
      <c r="E763" s="43" t="s">
        <v>18</v>
      </c>
      <c r="F763" s="43" t="s">
        <v>42</v>
      </c>
      <c r="G763" s="48">
        <v>46230.741666666669</v>
      </c>
      <c r="H763" s="48">
        <v>46231.536111111112</v>
      </c>
      <c r="I763" s="43">
        <v>75</v>
      </c>
      <c r="J763" s="43" t="s">
        <v>1156</v>
      </c>
      <c r="K763" s="43" t="s">
        <v>1156</v>
      </c>
      <c r="L763" s="43" t="s">
        <v>36</v>
      </c>
      <c r="M763" s="43"/>
      <c r="N763" s="43"/>
      <c r="O763" s="43">
        <v>75</v>
      </c>
      <c r="P763" s="43" t="s">
        <v>9918</v>
      </c>
      <c r="Q763" s="43" t="s">
        <v>1517</v>
      </c>
      <c r="R763" s="43" t="s">
        <v>10323</v>
      </c>
      <c r="S763" s="52">
        <f t="shared" si="11"/>
        <v>0.79</v>
      </c>
      <c r="T763" s="47"/>
      <c r="U763" s="47"/>
    </row>
    <row r="764" spans="1:21" ht="16.5" thickTop="1" thickBot="1" x14ac:dyDescent="0.3">
      <c r="A764" s="51" t="s">
        <v>10187</v>
      </c>
      <c r="B764" s="52" t="s">
        <v>10188</v>
      </c>
      <c r="C764" s="52" t="s">
        <v>38</v>
      </c>
      <c r="D764" s="52" t="s">
        <v>17</v>
      </c>
      <c r="E764" s="52" t="s">
        <v>18</v>
      </c>
      <c r="F764" s="52" t="s">
        <v>42</v>
      </c>
      <c r="G764" s="53">
        <v>46230.746527777781</v>
      </c>
      <c r="H764" s="53">
        <v>46234.519444444442</v>
      </c>
      <c r="I764" s="52">
        <v>1</v>
      </c>
      <c r="J764" s="52" t="s">
        <v>1156</v>
      </c>
      <c r="K764" s="52" t="s">
        <v>1156</v>
      </c>
      <c r="L764" s="52" t="s">
        <v>8486</v>
      </c>
      <c r="M764" s="52">
        <v>1</v>
      </c>
      <c r="N764" s="52">
        <v>1</v>
      </c>
      <c r="O764" s="52">
        <v>1</v>
      </c>
      <c r="P764" s="52" t="s">
        <v>1476</v>
      </c>
      <c r="Q764" s="52" t="s">
        <v>1517</v>
      </c>
      <c r="R764" s="52" t="s">
        <v>10322</v>
      </c>
      <c r="S764" s="52">
        <f t="shared" si="11"/>
        <v>3.77</v>
      </c>
      <c r="T764" s="52"/>
      <c r="U764" s="52"/>
    </row>
    <row r="765" spans="1:21" s="46" customFormat="1" ht="16.5" thickTop="1" thickBot="1" x14ac:dyDescent="0.3">
      <c r="A765" s="50" t="s">
        <v>10185</v>
      </c>
      <c r="B765" s="43" t="s">
        <v>10186</v>
      </c>
      <c r="C765" s="43" t="s">
        <v>38</v>
      </c>
      <c r="D765" s="43" t="s">
        <v>17</v>
      </c>
      <c r="E765" s="43" t="s">
        <v>18</v>
      </c>
      <c r="F765" s="43" t="s">
        <v>28</v>
      </c>
      <c r="G765" s="48">
        <v>46230.756944444445</v>
      </c>
      <c r="H765" s="48">
        <v>46235.475694444445</v>
      </c>
      <c r="I765" s="43">
        <v>26</v>
      </c>
      <c r="J765" s="43" t="s">
        <v>2373</v>
      </c>
      <c r="K765" s="43" t="s">
        <v>8264</v>
      </c>
      <c r="L765" s="43" t="s">
        <v>20</v>
      </c>
      <c r="M765" s="43">
        <v>23</v>
      </c>
      <c r="N765" s="43">
        <v>5</v>
      </c>
      <c r="O765" s="43">
        <v>6</v>
      </c>
      <c r="P765" s="43" t="s">
        <v>10320</v>
      </c>
      <c r="Q765" s="43" t="s">
        <v>1514</v>
      </c>
      <c r="R765" s="43" t="s">
        <v>10321</v>
      </c>
      <c r="S765" s="52">
        <f t="shared" si="11"/>
        <v>4.72</v>
      </c>
      <c r="T765" s="47"/>
      <c r="U765" s="47"/>
    </row>
    <row r="766" spans="1:21" ht="16.5" thickTop="1" thickBot="1" x14ac:dyDescent="0.3">
      <c r="A766" s="51" t="s">
        <v>10183</v>
      </c>
      <c r="B766" s="52" t="s">
        <v>10184</v>
      </c>
      <c r="C766" s="52" t="s">
        <v>39</v>
      </c>
      <c r="D766" s="52" t="s">
        <v>17</v>
      </c>
      <c r="E766" s="52" t="s">
        <v>18</v>
      </c>
      <c r="F766" s="52" t="s">
        <v>32</v>
      </c>
      <c r="G766" s="53">
        <v>46230.76666666667</v>
      </c>
      <c r="H766" s="53">
        <v>46234.430555555555</v>
      </c>
      <c r="I766" s="52">
        <v>150</v>
      </c>
      <c r="J766" s="52" t="s">
        <v>1156</v>
      </c>
      <c r="K766" s="52" t="s">
        <v>1156</v>
      </c>
      <c r="L766" s="52" t="s">
        <v>20</v>
      </c>
      <c r="M766" s="52"/>
      <c r="N766" s="52"/>
      <c r="O766" s="52">
        <v>25</v>
      </c>
      <c r="P766" s="52" t="s">
        <v>10318</v>
      </c>
      <c r="Q766" s="52" t="s">
        <v>1517</v>
      </c>
      <c r="R766" s="52" t="s">
        <v>10319</v>
      </c>
      <c r="S766" s="52">
        <f t="shared" si="11"/>
        <v>3.66</v>
      </c>
      <c r="T766" s="52"/>
      <c r="U766" s="52"/>
    </row>
    <row r="767" spans="1:21" s="46" customFormat="1" ht="16.5" thickTop="1" thickBot="1" x14ac:dyDescent="0.3">
      <c r="A767" s="50" t="s">
        <v>10181</v>
      </c>
      <c r="B767" s="43" t="s">
        <v>10182</v>
      </c>
      <c r="C767" s="43" t="s">
        <v>38</v>
      </c>
      <c r="D767" s="43" t="s">
        <v>17</v>
      </c>
      <c r="E767" s="43" t="s">
        <v>19</v>
      </c>
      <c r="F767" s="43" t="s">
        <v>42</v>
      </c>
      <c r="G767" s="48">
        <v>46231.461111111108</v>
      </c>
      <c r="H767" s="48">
        <v>46238.717361111114</v>
      </c>
      <c r="I767" s="43">
        <v>173</v>
      </c>
      <c r="J767" s="43" t="s">
        <v>1156</v>
      </c>
      <c r="K767" s="43" t="s">
        <v>1156</v>
      </c>
      <c r="L767" s="43" t="s">
        <v>20</v>
      </c>
      <c r="M767" s="43">
        <v>173</v>
      </c>
      <c r="N767" s="43">
        <v>25</v>
      </c>
      <c r="O767" s="43">
        <v>25</v>
      </c>
      <c r="P767" s="43" t="s">
        <v>1411</v>
      </c>
      <c r="Q767" s="43" t="s">
        <v>1517</v>
      </c>
      <c r="R767" s="43" t="s">
        <v>10317</v>
      </c>
      <c r="S767" s="52">
        <f t="shared" si="11"/>
        <v>7.26</v>
      </c>
      <c r="T767" s="47"/>
      <c r="U767" s="47"/>
    </row>
    <row r="768" spans="1:21" ht="16.5" thickTop="1" thickBot="1" x14ac:dyDescent="0.3">
      <c r="A768" s="51" t="s">
        <v>10179</v>
      </c>
      <c r="B768" s="52" t="s">
        <v>10180</v>
      </c>
      <c r="C768" s="52" t="s">
        <v>38</v>
      </c>
      <c r="D768" s="52" t="s">
        <v>17</v>
      </c>
      <c r="E768" s="52" t="s">
        <v>18</v>
      </c>
      <c r="F768" s="52" t="s">
        <v>42</v>
      </c>
      <c r="G768" s="53">
        <v>46231.517361111109</v>
      </c>
      <c r="H768" s="53">
        <v>46233.645833333336</v>
      </c>
      <c r="I768" s="52">
        <v>2</v>
      </c>
      <c r="J768" s="52" t="s">
        <v>1156</v>
      </c>
      <c r="K768" s="52" t="s">
        <v>1156</v>
      </c>
      <c r="L768" s="52" t="s">
        <v>36</v>
      </c>
      <c r="M768" s="52">
        <v>2</v>
      </c>
      <c r="N768" s="52">
        <v>2</v>
      </c>
      <c r="O768" s="52">
        <v>2</v>
      </c>
      <c r="P768" s="52" t="s">
        <v>9832</v>
      </c>
      <c r="Q768" s="52" t="s">
        <v>1517</v>
      </c>
      <c r="R768" s="52" t="s">
        <v>10316</v>
      </c>
      <c r="S768" s="52">
        <f t="shared" si="11"/>
        <v>2.13</v>
      </c>
      <c r="T768" s="52"/>
      <c r="U768" s="52"/>
    </row>
    <row r="769" spans="1:21" s="46" customFormat="1" ht="16.5" thickTop="1" thickBot="1" x14ac:dyDescent="0.3">
      <c r="A769" s="50" t="s">
        <v>10177</v>
      </c>
      <c r="B769" s="43" t="s">
        <v>10178</v>
      </c>
      <c r="C769" s="43" t="s">
        <v>38</v>
      </c>
      <c r="D769" s="43" t="s">
        <v>17</v>
      </c>
      <c r="E769" s="43" t="s">
        <v>18</v>
      </c>
      <c r="F769" s="43" t="s">
        <v>42</v>
      </c>
      <c r="G769" s="48">
        <v>46231.54791666667</v>
      </c>
      <c r="H769" s="48">
        <v>46235.543055555558</v>
      </c>
      <c r="I769" s="43">
        <v>474</v>
      </c>
      <c r="J769" s="43" t="s">
        <v>1156</v>
      </c>
      <c r="K769" s="43" t="s">
        <v>1156</v>
      </c>
      <c r="L769" s="43" t="s">
        <v>25</v>
      </c>
      <c r="M769" s="43">
        <v>468</v>
      </c>
      <c r="N769" s="43">
        <v>78</v>
      </c>
      <c r="O769" s="43">
        <v>79</v>
      </c>
      <c r="P769" s="43" t="s">
        <v>10314</v>
      </c>
      <c r="Q769" s="43" t="s">
        <v>1546</v>
      </c>
      <c r="R769" s="43" t="s">
        <v>10315</v>
      </c>
      <c r="S769" s="52">
        <f t="shared" si="11"/>
        <v>4</v>
      </c>
      <c r="T769" s="47"/>
      <c r="U769" s="47"/>
    </row>
    <row r="770" spans="1:21" ht="16.5" thickTop="1" thickBot="1" x14ac:dyDescent="0.3">
      <c r="A770" s="51" t="s">
        <v>10175</v>
      </c>
      <c r="B770" s="52" t="s">
        <v>10176</v>
      </c>
      <c r="C770" s="52" t="s">
        <v>38</v>
      </c>
      <c r="D770" s="52" t="s">
        <v>17</v>
      </c>
      <c r="E770" s="52" t="s">
        <v>18</v>
      </c>
      <c r="F770" s="52" t="s">
        <v>28</v>
      </c>
      <c r="G770" s="53">
        <v>46231.570138888892</v>
      </c>
      <c r="H770" s="53">
        <v>46233.507638888892</v>
      </c>
      <c r="I770" s="52">
        <v>176</v>
      </c>
      <c r="J770" s="52" t="s">
        <v>1156</v>
      </c>
      <c r="K770" s="52" t="s">
        <v>1156</v>
      </c>
      <c r="L770" s="52" t="s">
        <v>20</v>
      </c>
      <c r="M770" s="52">
        <v>60</v>
      </c>
      <c r="N770" s="52">
        <v>5</v>
      </c>
      <c r="O770" s="52">
        <v>22</v>
      </c>
      <c r="P770" s="52" t="s">
        <v>1501</v>
      </c>
      <c r="Q770" s="52" t="s">
        <v>1514</v>
      </c>
      <c r="R770" s="52" t="s">
        <v>10313</v>
      </c>
      <c r="S770" s="52">
        <f t="shared" ref="S770:S833" si="12">IF(OR(G770="",H770=""),"",ROUND(H770-G770,2))</f>
        <v>1.94</v>
      </c>
      <c r="T770" s="52"/>
      <c r="U770" s="52"/>
    </row>
    <row r="771" spans="1:21" s="46" customFormat="1" ht="16.5" thickTop="1" thickBot="1" x14ac:dyDescent="0.3">
      <c r="A771" s="50" t="s">
        <v>10173</v>
      </c>
      <c r="B771" s="43" t="s">
        <v>10174</v>
      </c>
      <c r="C771" s="43" t="s">
        <v>38</v>
      </c>
      <c r="D771" s="43" t="s">
        <v>17</v>
      </c>
      <c r="E771" s="43" t="s">
        <v>18</v>
      </c>
      <c r="F771" s="43" t="s">
        <v>32</v>
      </c>
      <c r="G771" s="48">
        <v>46231.623611111114</v>
      </c>
      <c r="H771" s="48">
        <v>46239.540277777778</v>
      </c>
      <c r="I771" s="43">
        <v>189</v>
      </c>
      <c r="J771" s="43" t="s">
        <v>1156</v>
      </c>
      <c r="K771" s="43" t="s">
        <v>1156</v>
      </c>
      <c r="L771" s="43" t="s">
        <v>25</v>
      </c>
      <c r="M771" s="43">
        <v>189</v>
      </c>
      <c r="N771" s="43">
        <v>40</v>
      </c>
      <c r="O771" s="43">
        <v>40</v>
      </c>
      <c r="P771" s="43" t="s">
        <v>10311</v>
      </c>
      <c r="Q771" s="43" t="s">
        <v>1517</v>
      </c>
      <c r="R771" s="43" t="s">
        <v>10312</v>
      </c>
      <c r="S771" s="52">
        <f t="shared" si="12"/>
        <v>7.92</v>
      </c>
      <c r="T771" s="47"/>
      <c r="U771" s="47"/>
    </row>
    <row r="772" spans="1:21" ht="16.5" thickTop="1" thickBot="1" x14ac:dyDescent="0.3">
      <c r="A772" s="51" t="s">
        <v>10171</v>
      </c>
      <c r="B772" s="52" t="s">
        <v>10172</v>
      </c>
      <c r="C772" s="52" t="s">
        <v>38</v>
      </c>
      <c r="D772" s="52" t="s">
        <v>17</v>
      </c>
      <c r="E772" s="52" t="s">
        <v>18</v>
      </c>
      <c r="F772" s="52" t="s">
        <v>28</v>
      </c>
      <c r="G772" s="53">
        <v>46231.636111111111</v>
      </c>
      <c r="H772" s="53">
        <v>46238.763194444444</v>
      </c>
      <c r="I772" s="52">
        <v>1843</v>
      </c>
      <c r="J772" s="52" t="s">
        <v>1156</v>
      </c>
      <c r="K772" s="52" t="s">
        <v>8350</v>
      </c>
      <c r="L772" s="52" t="s">
        <v>25</v>
      </c>
      <c r="M772" s="52">
        <v>1843</v>
      </c>
      <c r="N772" s="52">
        <v>272</v>
      </c>
      <c r="O772" s="52">
        <v>296</v>
      </c>
      <c r="P772" s="52" t="s">
        <v>8998</v>
      </c>
      <c r="Q772" s="52" t="s">
        <v>1546</v>
      </c>
      <c r="R772" s="52" t="s">
        <v>10310</v>
      </c>
      <c r="S772" s="52">
        <f t="shared" si="12"/>
        <v>7.13</v>
      </c>
      <c r="T772" s="52"/>
      <c r="U772" s="52"/>
    </row>
    <row r="773" spans="1:21" s="46" customFormat="1" ht="16.5" thickTop="1" thickBot="1" x14ac:dyDescent="0.3">
      <c r="A773" s="50" t="s">
        <v>10169</v>
      </c>
      <c r="B773" s="43" t="s">
        <v>10170</v>
      </c>
      <c r="C773" s="43" t="s">
        <v>38</v>
      </c>
      <c r="D773" s="43" t="s">
        <v>17</v>
      </c>
      <c r="E773" s="43" t="s">
        <v>18</v>
      </c>
      <c r="F773" s="43" t="s">
        <v>32</v>
      </c>
      <c r="G773" s="48">
        <v>46231.640972222223</v>
      </c>
      <c r="H773" s="48">
        <v>46234.615972222222</v>
      </c>
      <c r="I773" s="43">
        <v>115</v>
      </c>
      <c r="J773" s="43" t="s">
        <v>1156</v>
      </c>
      <c r="K773" s="43" t="s">
        <v>1156</v>
      </c>
      <c r="L773" s="43" t="s">
        <v>8739</v>
      </c>
      <c r="M773" s="43">
        <v>115</v>
      </c>
      <c r="N773" s="43">
        <v>115</v>
      </c>
      <c r="O773" s="43">
        <v>115</v>
      </c>
      <c r="P773" s="43" t="s">
        <v>10308</v>
      </c>
      <c r="Q773" s="43" t="s">
        <v>1514</v>
      </c>
      <c r="R773" s="43" t="s">
        <v>10309</v>
      </c>
      <c r="S773" s="52">
        <f t="shared" si="12"/>
        <v>2.97</v>
      </c>
      <c r="T773" s="47"/>
      <c r="U773" s="47"/>
    </row>
    <row r="774" spans="1:21" ht="16.5" thickTop="1" thickBot="1" x14ac:dyDescent="0.3">
      <c r="A774" s="51" t="s">
        <v>10167</v>
      </c>
      <c r="B774" s="52" t="s">
        <v>10168</v>
      </c>
      <c r="C774" s="52" t="s">
        <v>38</v>
      </c>
      <c r="D774" s="52" t="s">
        <v>17</v>
      </c>
      <c r="E774" s="52" t="s">
        <v>18</v>
      </c>
      <c r="F774" s="52" t="s">
        <v>42</v>
      </c>
      <c r="G774" s="53">
        <v>46231.648611111108</v>
      </c>
      <c r="H774" s="53">
        <v>46234.62222222222</v>
      </c>
      <c r="I774" s="52">
        <v>69</v>
      </c>
      <c r="J774" s="52" t="s">
        <v>1156</v>
      </c>
      <c r="K774" s="52" t="s">
        <v>1156</v>
      </c>
      <c r="L774" s="52" t="s">
        <v>20</v>
      </c>
      <c r="M774" s="52">
        <v>69</v>
      </c>
      <c r="N774" s="52">
        <v>11</v>
      </c>
      <c r="O774" s="52">
        <v>11</v>
      </c>
      <c r="P774" s="52" t="s">
        <v>1428</v>
      </c>
      <c r="Q774" s="52" t="s">
        <v>1514</v>
      </c>
      <c r="R774" s="52" t="s">
        <v>10307</v>
      </c>
      <c r="S774" s="52">
        <f t="shared" si="12"/>
        <v>2.97</v>
      </c>
      <c r="T774" s="52"/>
      <c r="U774" s="52"/>
    </row>
    <row r="775" spans="1:21" s="46" customFormat="1" ht="16.5" thickTop="1" thickBot="1" x14ac:dyDescent="0.3">
      <c r="A775" s="50" t="s">
        <v>10165</v>
      </c>
      <c r="B775" s="43" t="s">
        <v>10166</v>
      </c>
      <c r="C775" s="43" t="s">
        <v>38</v>
      </c>
      <c r="D775" s="43" t="s">
        <v>17</v>
      </c>
      <c r="E775" s="43" t="s">
        <v>18</v>
      </c>
      <c r="F775" s="43" t="s">
        <v>42</v>
      </c>
      <c r="G775" s="48">
        <v>46231.65</v>
      </c>
      <c r="H775" s="48">
        <v>46234.630555555559</v>
      </c>
      <c r="I775" s="43">
        <v>5</v>
      </c>
      <c r="J775" s="43" t="s">
        <v>1156</v>
      </c>
      <c r="K775" s="43" t="s">
        <v>1156</v>
      </c>
      <c r="L775" s="43" t="s">
        <v>33</v>
      </c>
      <c r="M775" s="43">
        <v>5</v>
      </c>
      <c r="N775" s="43">
        <v>5</v>
      </c>
      <c r="O775" s="43">
        <v>5</v>
      </c>
      <c r="P775" s="43" t="s">
        <v>9846</v>
      </c>
      <c r="Q775" s="43" t="s">
        <v>1546</v>
      </c>
      <c r="R775" s="43" t="s">
        <v>10306</v>
      </c>
      <c r="S775" s="52">
        <f t="shared" si="12"/>
        <v>2.98</v>
      </c>
      <c r="T775" s="47"/>
      <c r="U775" s="47"/>
    </row>
    <row r="776" spans="1:21" ht="16.5" thickTop="1" thickBot="1" x14ac:dyDescent="0.3">
      <c r="A776" s="51" t="s">
        <v>10163</v>
      </c>
      <c r="B776" s="52" t="s">
        <v>10164</v>
      </c>
      <c r="C776" s="52" t="s">
        <v>38</v>
      </c>
      <c r="D776" s="52" t="s">
        <v>17</v>
      </c>
      <c r="E776" s="52" t="s">
        <v>18</v>
      </c>
      <c r="F776" s="52" t="s">
        <v>28</v>
      </c>
      <c r="G776" s="53">
        <v>46231.662499999999</v>
      </c>
      <c r="H776" s="53">
        <v>46233.524305555555</v>
      </c>
      <c r="I776" s="52">
        <v>174</v>
      </c>
      <c r="J776" s="52" t="s">
        <v>1156</v>
      </c>
      <c r="K776" s="52" t="s">
        <v>1156</v>
      </c>
      <c r="L776" s="52" t="s">
        <v>25</v>
      </c>
      <c r="M776" s="52">
        <v>174</v>
      </c>
      <c r="N776" s="52">
        <v>10</v>
      </c>
      <c r="O776" s="52">
        <v>10</v>
      </c>
      <c r="P776" s="52" t="s">
        <v>1412</v>
      </c>
      <c r="Q776" s="52" t="s">
        <v>1517</v>
      </c>
      <c r="R776" s="52" t="s">
        <v>10305</v>
      </c>
      <c r="S776" s="52">
        <f t="shared" si="12"/>
        <v>1.86</v>
      </c>
      <c r="T776" s="52"/>
      <c r="U776" s="52"/>
    </row>
    <row r="777" spans="1:21" s="46" customFormat="1" ht="16.5" thickTop="1" thickBot="1" x14ac:dyDescent="0.3">
      <c r="A777" s="50" t="s">
        <v>10161</v>
      </c>
      <c r="B777" s="43" t="s">
        <v>10162</v>
      </c>
      <c r="C777" s="43" t="s">
        <v>38</v>
      </c>
      <c r="D777" s="43" t="s">
        <v>17</v>
      </c>
      <c r="E777" s="43" t="s">
        <v>18</v>
      </c>
      <c r="F777" s="43" t="s">
        <v>32</v>
      </c>
      <c r="G777" s="48">
        <v>46231.675694444442</v>
      </c>
      <c r="H777" s="48">
        <v>46239.563888888886</v>
      </c>
      <c r="I777" s="43">
        <v>482</v>
      </c>
      <c r="J777" s="43" t="s">
        <v>1156</v>
      </c>
      <c r="K777" s="43" t="s">
        <v>1156</v>
      </c>
      <c r="L777" s="43" t="s">
        <v>25</v>
      </c>
      <c r="M777" s="43">
        <v>480</v>
      </c>
      <c r="N777" s="43">
        <v>145</v>
      </c>
      <c r="O777" s="43">
        <v>145</v>
      </c>
      <c r="P777" s="43" t="s">
        <v>1359</v>
      </c>
      <c r="Q777" s="43" t="s">
        <v>1517</v>
      </c>
      <c r="R777" s="43" t="s">
        <v>10304</v>
      </c>
      <c r="S777" s="52">
        <f t="shared" si="12"/>
        <v>7.89</v>
      </c>
      <c r="T777" s="47"/>
      <c r="U777" s="47"/>
    </row>
    <row r="778" spans="1:21" ht="16.5" thickTop="1" thickBot="1" x14ac:dyDescent="0.3">
      <c r="A778" s="51" t="s">
        <v>10159</v>
      </c>
      <c r="B778" s="52" t="s">
        <v>10160</v>
      </c>
      <c r="C778" s="52" t="s">
        <v>38</v>
      </c>
      <c r="D778" s="52" t="s">
        <v>17</v>
      </c>
      <c r="E778" s="52" t="s">
        <v>18</v>
      </c>
      <c r="F778" s="52" t="s">
        <v>42</v>
      </c>
      <c r="G778" s="53">
        <v>46231.724999999999</v>
      </c>
      <c r="H778" s="53">
        <v>46235.618750000001</v>
      </c>
      <c r="I778" s="52">
        <v>27</v>
      </c>
      <c r="J778" s="52" t="s">
        <v>1156</v>
      </c>
      <c r="K778" s="52" t="s">
        <v>1156</v>
      </c>
      <c r="L778" s="52" t="s">
        <v>36</v>
      </c>
      <c r="M778" s="52">
        <v>27</v>
      </c>
      <c r="N778" s="52">
        <v>27</v>
      </c>
      <c r="O778" s="52">
        <v>27</v>
      </c>
      <c r="P778" s="52" t="s">
        <v>8523</v>
      </c>
      <c r="Q778" s="52" t="s">
        <v>1517</v>
      </c>
      <c r="R778" s="52" t="s">
        <v>10303</v>
      </c>
      <c r="S778" s="52">
        <f t="shared" si="12"/>
        <v>3.89</v>
      </c>
      <c r="T778" s="52"/>
      <c r="U778" s="52"/>
    </row>
    <row r="779" spans="1:21" s="46" customFormat="1" ht="16.5" thickTop="1" thickBot="1" x14ac:dyDescent="0.3">
      <c r="A779" s="50" t="s">
        <v>10157</v>
      </c>
      <c r="B779" s="43" t="s">
        <v>10158</v>
      </c>
      <c r="C779" s="43" t="s">
        <v>38</v>
      </c>
      <c r="D779" s="43" t="s">
        <v>17</v>
      </c>
      <c r="E779" s="43" t="s">
        <v>18</v>
      </c>
      <c r="F779" s="43" t="s">
        <v>32</v>
      </c>
      <c r="G779" s="48">
        <v>46231.727777777778</v>
      </c>
      <c r="H779" s="48">
        <v>46235.623611111114</v>
      </c>
      <c r="I779" s="43">
        <v>35</v>
      </c>
      <c r="J779" s="43" t="s">
        <v>1156</v>
      </c>
      <c r="K779" s="43" t="s">
        <v>1156</v>
      </c>
      <c r="L779" s="43" t="s">
        <v>8739</v>
      </c>
      <c r="M779" s="43">
        <v>35</v>
      </c>
      <c r="N779" s="43">
        <v>35</v>
      </c>
      <c r="O779" s="43">
        <v>35</v>
      </c>
      <c r="P779" s="43" t="s">
        <v>10301</v>
      </c>
      <c r="Q779" s="43" t="s">
        <v>1514</v>
      </c>
      <c r="R779" s="43" t="s">
        <v>10302</v>
      </c>
      <c r="S779" s="52">
        <f t="shared" si="12"/>
        <v>3.9</v>
      </c>
      <c r="T779" s="47"/>
      <c r="U779" s="47"/>
    </row>
    <row r="780" spans="1:21" ht="16.5" thickTop="1" thickBot="1" x14ac:dyDescent="0.3">
      <c r="A780" s="51" t="s">
        <v>10155</v>
      </c>
      <c r="B780" s="52" t="s">
        <v>10156</v>
      </c>
      <c r="C780" s="52" t="s">
        <v>38</v>
      </c>
      <c r="D780" s="52" t="s">
        <v>17</v>
      </c>
      <c r="E780" s="52" t="s">
        <v>18</v>
      </c>
      <c r="F780" s="52" t="s">
        <v>42</v>
      </c>
      <c r="G780" s="53">
        <v>46231.731944444444</v>
      </c>
      <c r="H780" s="53">
        <v>46234.787499999999</v>
      </c>
      <c r="I780" s="52">
        <v>1</v>
      </c>
      <c r="J780" s="52" t="s">
        <v>2373</v>
      </c>
      <c r="K780" s="52" t="s">
        <v>8317</v>
      </c>
      <c r="L780" s="52" t="s">
        <v>36</v>
      </c>
      <c r="M780" s="52">
        <v>1</v>
      </c>
      <c r="N780" s="52">
        <v>1</v>
      </c>
      <c r="O780" s="52">
        <v>1</v>
      </c>
      <c r="P780" s="52" t="s">
        <v>8782</v>
      </c>
      <c r="Q780" s="52" t="s">
        <v>1517</v>
      </c>
      <c r="R780" s="52" t="s">
        <v>10300</v>
      </c>
      <c r="S780" s="52">
        <f t="shared" si="12"/>
        <v>3.06</v>
      </c>
      <c r="T780" s="52"/>
      <c r="U780" s="52"/>
    </row>
    <row r="781" spans="1:21" s="46" customFormat="1" ht="16.5" thickTop="1" thickBot="1" x14ac:dyDescent="0.3">
      <c r="A781" s="50" t="s">
        <v>10153</v>
      </c>
      <c r="B781" s="43" t="s">
        <v>10154</v>
      </c>
      <c r="C781" s="43" t="s">
        <v>38</v>
      </c>
      <c r="D781" s="43" t="s">
        <v>17</v>
      </c>
      <c r="E781" s="43" t="s">
        <v>18</v>
      </c>
      <c r="F781" s="43" t="s">
        <v>42</v>
      </c>
      <c r="G781" s="48">
        <v>46231.740277777775</v>
      </c>
      <c r="H781" s="48">
        <v>46239.567361111112</v>
      </c>
      <c r="I781" s="43">
        <v>170</v>
      </c>
      <c r="J781" s="43" t="s">
        <v>1156</v>
      </c>
      <c r="K781" s="43" t="s">
        <v>1156</v>
      </c>
      <c r="L781" s="43" t="s">
        <v>25</v>
      </c>
      <c r="M781" s="43">
        <v>203</v>
      </c>
      <c r="N781" s="43">
        <v>33</v>
      </c>
      <c r="O781" s="43">
        <v>33</v>
      </c>
      <c r="P781" s="43" t="s">
        <v>10298</v>
      </c>
      <c r="Q781" s="43" t="s">
        <v>1517</v>
      </c>
      <c r="R781" s="43" t="s">
        <v>10299</v>
      </c>
      <c r="S781" s="52">
        <f t="shared" si="12"/>
        <v>7.83</v>
      </c>
      <c r="T781" s="47"/>
      <c r="U781" s="47"/>
    </row>
    <row r="782" spans="1:21" ht="16.5" thickTop="1" thickBot="1" x14ac:dyDescent="0.3">
      <c r="A782" s="51" t="s">
        <v>10151</v>
      </c>
      <c r="B782" s="52" t="s">
        <v>10152</v>
      </c>
      <c r="C782" s="52" t="s">
        <v>38</v>
      </c>
      <c r="D782" s="52" t="s">
        <v>17</v>
      </c>
      <c r="E782" s="52" t="s">
        <v>18</v>
      </c>
      <c r="F782" s="52" t="s">
        <v>28</v>
      </c>
      <c r="G782" s="53">
        <v>46231.752083333333</v>
      </c>
      <c r="H782" s="53">
        <v>46238.472222222219</v>
      </c>
      <c r="I782" s="52">
        <v>350</v>
      </c>
      <c r="J782" s="52" t="s">
        <v>1156</v>
      </c>
      <c r="K782" s="52" t="s">
        <v>1156</v>
      </c>
      <c r="L782" s="52" t="s">
        <v>20</v>
      </c>
      <c r="M782" s="52">
        <v>350</v>
      </c>
      <c r="N782" s="52">
        <v>25</v>
      </c>
      <c r="O782" s="52">
        <v>25</v>
      </c>
      <c r="P782" s="52" t="s">
        <v>10296</v>
      </c>
      <c r="Q782" s="52" t="s">
        <v>1514</v>
      </c>
      <c r="R782" s="52" t="s">
        <v>10297</v>
      </c>
      <c r="S782" s="52">
        <f t="shared" si="12"/>
        <v>6.72</v>
      </c>
      <c r="T782" s="52"/>
      <c r="U782" s="52"/>
    </row>
    <row r="783" spans="1:21" s="46" customFormat="1" ht="16.5" thickTop="1" thickBot="1" x14ac:dyDescent="0.3">
      <c r="A783" s="50" t="s">
        <v>10149</v>
      </c>
      <c r="B783" s="43" t="s">
        <v>10150</v>
      </c>
      <c r="C783" s="43" t="s">
        <v>38</v>
      </c>
      <c r="D783" s="43" t="s">
        <v>17</v>
      </c>
      <c r="E783" s="43" t="s">
        <v>18</v>
      </c>
      <c r="F783" s="43" t="s">
        <v>32</v>
      </c>
      <c r="G783" s="48">
        <v>46231.75277777778</v>
      </c>
      <c r="H783" s="48">
        <v>46235.636805555558</v>
      </c>
      <c r="I783" s="43">
        <v>70</v>
      </c>
      <c r="J783" s="43" t="s">
        <v>1156</v>
      </c>
      <c r="K783" s="43" t="s">
        <v>8294</v>
      </c>
      <c r="L783" s="43" t="s">
        <v>20</v>
      </c>
      <c r="M783" s="43">
        <v>70</v>
      </c>
      <c r="N783" s="43">
        <v>17</v>
      </c>
      <c r="O783" s="43">
        <v>17</v>
      </c>
      <c r="P783" s="43" t="s">
        <v>10294</v>
      </c>
      <c r="Q783" s="43" t="s">
        <v>1546</v>
      </c>
      <c r="R783" s="43" t="s">
        <v>10295</v>
      </c>
      <c r="S783" s="52">
        <f t="shared" si="12"/>
        <v>3.88</v>
      </c>
      <c r="T783" s="47"/>
      <c r="U783" s="47"/>
    </row>
    <row r="784" spans="1:21" ht="16.5" thickTop="1" thickBot="1" x14ac:dyDescent="0.3">
      <c r="A784" s="51" t="s">
        <v>10147</v>
      </c>
      <c r="B784" s="52" t="s">
        <v>10148</v>
      </c>
      <c r="C784" s="52" t="s">
        <v>38</v>
      </c>
      <c r="D784" s="52" t="s">
        <v>17</v>
      </c>
      <c r="E784" s="52" t="s">
        <v>18</v>
      </c>
      <c r="F784" s="52" t="s">
        <v>28</v>
      </c>
      <c r="G784" s="53">
        <v>46231.759722222225</v>
      </c>
      <c r="H784" s="53">
        <v>46234.643055555556</v>
      </c>
      <c r="I784" s="52">
        <v>112</v>
      </c>
      <c r="J784" s="52" t="s">
        <v>1156</v>
      </c>
      <c r="K784" s="52" t="s">
        <v>8350</v>
      </c>
      <c r="L784" s="52" t="s">
        <v>20</v>
      </c>
      <c r="M784" s="52">
        <v>112</v>
      </c>
      <c r="N784" s="52">
        <v>18</v>
      </c>
      <c r="O784" s="52">
        <v>18</v>
      </c>
      <c r="P784" s="52" t="s">
        <v>1452</v>
      </c>
      <c r="Q784" s="52" t="s">
        <v>1546</v>
      </c>
      <c r="R784" s="52" t="s">
        <v>10293</v>
      </c>
      <c r="S784" s="52">
        <f t="shared" si="12"/>
        <v>2.88</v>
      </c>
      <c r="T784" s="52"/>
      <c r="U784" s="52"/>
    </row>
    <row r="785" spans="1:21" s="46" customFormat="1" ht="16.5" thickTop="1" thickBot="1" x14ac:dyDescent="0.3">
      <c r="A785" s="50" t="s">
        <v>10145</v>
      </c>
      <c r="B785" s="43" t="s">
        <v>10146</v>
      </c>
      <c r="C785" s="43" t="s">
        <v>38</v>
      </c>
      <c r="D785" s="43" t="s">
        <v>17</v>
      </c>
      <c r="E785" s="43" t="s">
        <v>18</v>
      </c>
      <c r="F785" s="43" t="s">
        <v>28</v>
      </c>
      <c r="G785" s="48">
        <v>46231.765972222223</v>
      </c>
      <c r="H785" s="48">
        <v>46239.573611111111</v>
      </c>
      <c r="I785" s="43">
        <v>3343</v>
      </c>
      <c r="J785" s="43" t="s">
        <v>1156</v>
      </c>
      <c r="K785" s="43" t="s">
        <v>8294</v>
      </c>
      <c r="L785" s="43" t="s">
        <v>20</v>
      </c>
      <c r="M785" s="43">
        <v>3343</v>
      </c>
      <c r="N785" s="43">
        <v>497</v>
      </c>
      <c r="O785" s="43">
        <v>503</v>
      </c>
      <c r="P785" s="43" t="s">
        <v>1464</v>
      </c>
      <c r="Q785" s="43" t="s">
        <v>1514</v>
      </c>
      <c r="R785" s="43" t="s">
        <v>10292</v>
      </c>
      <c r="S785" s="52">
        <f t="shared" si="12"/>
        <v>7.81</v>
      </c>
      <c r="T785" s="47"/>
      <c r="U785" s="47"/>
    </row>
    <row r="786" spans="1:21" ht="16.5" thickTop="1" thickBot="1" x14ac:dyDescent="0.3">
      <c r="A786" s="51" t="s">
        <v>10143</v>
      </c>
      <c r="B786" s="52" t="s">
        <v>10144</v>
      </c>
      <c r="C786" s="52" t="s">
        <v>39</v>
      </c>
      <c r="D786" s="52" t="s">
        <v>17</v>
      </c>
      <c r="E786" s="52" t="s">
        <v>18</v>
      </c>
      <c r="F786" s="52" t="s">
        <v>32</v>
      </c>
      <c r="G786" s="53">
        <v>46232.448611111111</v>
      </c>
      <c r="H786" s="53">
        <v>46241.479861111111</v>
      </c>
      <c r="I786" s="52">
        <v>1113</v>
      </c>
      <c r="J786" s="52" t="s">
        <v>2373</v>
      </c>
      <c r="K786" s="52" t="s">
        <v>8317</v>
      </c>
      <c r="L786" s="52" t="s">
        <v>25</v>
      </c>
      <c r="M786" s="52">
        <v>1113</v>
      </c>
      <c r="N786" s="52">
        <v>218</v>
      </c>
      <c r="O786" s="52">
        <v>218</v>
      </c>
      <c r="P786" s="52" t="s">
        <v>10290</v>
      </c>
      <c r="Q786" s="52" t="s">
        <v>1517</v>
      </c>
      <c r="R786" s="52" t="s">
        <v>10291</v>
      </c>
      <c r="S786" s="52">
        <f t="shared" si="12"/>
        <v>9.0299999999999994</v>
      </c>
      <c r="T786" s="52"/>
      <c r="U786" s="52"/>
    </row>
    <row r="787" spans="1:21" s="46" customFormat="1" ht="16.5" thickTop="1" thickBot="1" x14ac:dyDescent="0.3">
      <c r="A787" s="50" t="s">
        <v>10141</v>
      </c>
      <c r="B787" s="43" t="s">
        <v>10142</v>
      </c>
      <c r="C787" s="43" t="s">
        <v>38</v>
      </c>
      <c r="D787" s="43" t="s">
        <v>17</v>
      </c>
      <c r="E787" s="43" t="s">
        <v>18</v>
      </c>
      <c r="F787" s="43" t="s">
        <v>42</v>
      </c>
      <c r="G787" s="48">
        <v>46232.499305555553</v>
      </c>
      <c r="H787" s="48">
        <v>46242.78125</v>
      </c>
      <c r="I787" s="43">
        <v>260</v>
      </c>
      <c r="J787" s="43" t="s">
        <v>2373</v>
      </c>
      <c r="K787" s="43" t="s">
        <v>8317</v>
      </c>
      <c r="L787" s="43" t="s">
        <v>33</v>
      </c>
      <c r="M787" s="43">
        <v>94</v>
      </c>
      <c r="N787" s="43">
        <v>94</v>
      </c>
      <c r="O787" s="43">
        <v>302</v>
      </c>
      <c r="P787" s="43" t="s">
        <v>1355</v>
      </c>
      <c r="Q787" s="43" t="s">
        <v>1546</v>
      </c>
      <c r="R787" s="43" t="s">
        <v>10289</v>
      </c>
      <c r="S787" s="52">
        <f t="shared" si="12"/>
        <v>10.28</v>
      </c>
      <c r="T787" s="47"/>
      <c r="U787" s="47"/>
    </row>
    <row r="788" spans="1:21" ht="16.5" thickTop="1" thickBot="1" x14ac:dyDescent="0.3">
      <c r="A788" s="51" t="s">
        <v>10139</v>
      </c>
      <c r="B788" s="52" t="s">
        <v>10140</v>
      </c>
      <c r="C788" s="52" t="s">
        <v>38</v>
      </c>
      <c r="D788" s="52" t="s">
        <v>17</v>
      </c>
      <c r="E788" s="52" t="s">
        <v>18</v>
      </c>
      <c r="F788" s="52" t="s">
        <v>42</v>
      </c>
      <c r="G788" s="53">
        <v>46232.501388888886</v>
      </c>
      <c r="H788" s="53">
        <v>46234.65</v>
      </c>
      <c r="I788" s="52">
        <v>2</v>
      </c>
      <c r="J788" s="52" t="s">
        <v>1156</v>
      </c>
      <c r="K788" s="52" t="s">
        <v>1156</v>
      </c>
      <c r="L788" s="52" t="s">
        <v>33</v>
      </c>
      <c r="M788" s="52">
        <v>2</v>
      </c>
      <c r="N788" s="52">
        <v>2</v>
      </c>
      <c r="O788" s="52">
        <v>2</v>
      </c>
      <c r="P788" s="52" t="s">
        <v>10287</v>
      </c>
      <c r="Q788" s="52" t="s">
        <v>1517</v>
      </c>
      <c r="R788" s="52" t="s">
        <v>10288</v>
      </c>
      <c r="S788" s="52">
        <f t="shared" si="12"/>
        <v>2.15</v>
      </c>
      <c r="T788" s="52"/>
      <c r="U788" s="52"/>
    </row>
    <row r="789" spans="1:21" s="46" customFormat="1" ht="16.5" thickTop="1" thickBot="1" x14ac:dyDescent="0.3">
      <c r="A789" s="50" t="s">
        <v>10137</v>
      </c>
      <c r="B789" s="43" t="s">
        <v>10138</v>
      </c>
      <c r="C789" s="43" t="s">
        <v>38</v>
      </c>
      <c r="D789" s="43" t="s">
        <v>17</v>
      </c>
      <c r="E789" s="43" t="s">
        <v>18</v>
      </c>
      <c r="F789" s="43" t="s">
        <v>42</v>
      </c>
      <c r="G789" s="48">
        <v>46232.558333333334</v>
      </c>
      <c r="H789" s="48">
        <v>46235.533333333333</v>
      </c>
      <c r="I789" s="43">
        <v>3</v>
      </c>
      <c r="J789" s="43" t="s">
        <v>2373</v>
      </c>
      <c r="K789" s="43" t="s">
        <v>8310</v>
      </c>
      <c r="L789" s="43" t="s">
        <v>33</v>
      </c>
      <c r="M789" s="43">
        <v>1</v>
      </c>
      <c r="N789" s="43">
        <v>1</v>
      </c>
      <c r="O789" s="43">
        <v>3</v>
      </c>
      <c r="P789" s="43" t="s">
        <v>10285</v>
      </c>
      <c r="Q789" s="43" t="s">
        <v>1517</v>
      </c>
      <c r="R789" s="43" t="s">
        <v>10286</v>
      </c>
      <c r="S789" s="52">
        <f t="shared" si="12"/>
        <v>2.97</v>
      </c>
      <c r="T789" s="47"/>
      <c r="U789" s="47"/>
    </row>
    <row r="790" spans="1:21" ht="16.5" thickTop="1" thickBot="1" x14ac:dyDescent="0.3">
      <c r="A790" s="51" t="s">
        <v>10135</v>
      </c>
      <c r="B790" s="52" t="s">
        <v>10136</v>
      </c>
      <c r="C790" s="52" t="s">
        <v>38</v>
      </c>
      <c r="D790" s="52" t="s">
        <v>17</v>
      </c>
      <c r="E790" s="52" t="s">
        <v>18</v>
      </c>
      <c r="F790" s="52" t="s">
        <v>32</v>
      </c>
      <c r="G790" s="53">
        <v>46232.563194444447</v>
      </c>
      <c r="H790" s="53">
        <v>46234.654166666667</v>
      </c>
      <c r="I790" s="52">
        <v>16</v>
      </c>
      <c r="J790" s="52" t="s">
        <v>1156</v>
      </c>
      <c r="K790" s="52" t="s">
        <v>1156</v>
      </c>
      <c r="L790" s="52" t="s">
        <v>36</v>
      </c>
      <c r="M790" s="52">
        <v>16</v>
      </c>
      <c r="N790" s="52">
        <v>16</v>
      </c>
      <c r="O790" s="52">
        <v>16</v>
      </c>
      <c r="P790" s="52" t="s">
        <v>1330</v>
      </c>
      <c r="Q790" s="52" t="s">
        <v>1517</v>
      </c>
      <c r="R790" s="52" t="s">
        <v>10284</v>
      </c>
      <c r="S790" s="52">
        <f t="shared" si="12"/>
        <v>2.09</v>
      </c>
      <c r="T790" s="52"/>
      <c r="U790" s="52"/>
    </row>
    <row r="791" spans="1:21" s="46" customFormat="1" ht="16.5" thickTop="1" thickBot="1" x14ac:dyDescent="0.3">
      <c r="A791" s="50" t="s">
        <v>10133</v>
      </c>
      <c r="B791" s="43" t="s">
        <v>10134</v>
      </c>
      <c r="C791" s="43" t="s">
        <v>38</v>
      </c>
      <c r="D791" s="43" t="s">
        <v>17</v>
      </c>
      <c r="E791" s="43" t="s">
        <v>21</v>
      </c>
      <c r="F791" s="43" t="s">
        <v>42</v>
      </c>
      <c r="G791" s="48">
        <v>46232.686805555553</v>
      </c>
      <c r="H791" s="48">
        <v>46240.519444444442</v>
      </c>
      <c r="I791" s="43">
        <v>270</v>
      </c>
      <c r="J791" s="43" t="s">
        <v>1156</v>
      </c>
      <c r="K791" s="43" t="s">
        <v>10281</v>
      </c>
      <c r="L791" s="43" t="s">
        <v>25</v>
      </c>
      <c r="M791" s="43">
        <v>215</v>
      </c>
      <c r="N791" s="43">
        <v>43</v>
      </c>
      <c r="O791" s="43">
        <v>54</v>
      </c>
      <c r="P791" s="43" t="s">
        <v>10282</v>
      </c>
      <c r="Q791" s="43" t="s">
        <v>1546</v>
      </c>
      <c r="R791" s="43" t="s">
        <v>10283</v>
      </c>
      <c r="S791" s="52">
        <f t="shared" si="12"/>
        <v>7.83</v>
      </c>
      <c r="T791" s="47"/>
      <c r="U791" s="47"/>
    </row>
    <row r="792" spans="1:21" ht="16.5" thickTop="1" thickBot="1" x14ac:dyDescent="0.3">
      <c r="A792" s="51" t="s">
        <v>10131</v>
      </c>
      <c r="B792" s="52" t="s">
        <v>10132</v>
      </c>
      <c r="C792" s="52" t="s">
        <v>38</v>
      </c>
      <c r="D792" s="52" t="s">
        <v>17</v>
      </c>
      <c r="E792" s="52" t="s">
        <v>18</v>
      </c>
      <c r="F792" s="52" t="s">
        <v>42</v>
      </c>
      <c r="G792" s="53">
        <v>46232.7</v>
      </c>
      <c r="H792" s="53">
        <v>46240.52847222222</v>
      </c>
      <c r="I792" s="52">
        <v>150</v>
      </c>
      <c r="J792" s="52" t="s">
        <v>1156</v>
      </c>
      <c r="K792" s="52" t="s">
        <v>1156</v>
      </c>
      <c r="L792" s="52" t="s">
        <v>25</v>
      </c>
      <c r="M792" s="52">
        <v>150</v>
      </c>
      <c r="N792" s="52">
        <v>25</v>
      </c>
      <c r="O792" s="52">
        <v>25</v>
      </c>
      <c r="P792" s="52" t="s">
        <v>9814</v>
      </c>
      <c r="Q792" s="52" t="s">
        <v>1517</v>
      </c>
      <c r="R792" s="52" t="s">
        <v>10280</v>
      </c>
      <c r="S792" s="52">
        <f t="shared" si="12"/>
        <v>7.83</v>
      </c>
      <c r="T792" s="52"/>
      <c r="U792" s="52"/>
    </row>
    <row r="793" spans="1:21" s="46" customFormat="1" ht="16.5" thickTop="1" thickBot="1" x14ac:dyDescent="0.3">
      <c r="A793" s="50" t="s">
        <v>10129</v>
      </c>
      <c r="B793" s="43" t="s">
        <v>10130</v>
      </c>
      <c r="C793" s="43" t="s">
        <v>38</v>
      </c>
      <c r="D793" s="43" t="s">
        <v>17</v>
      </c>
      <c r="E793" s="43" t="s">
        <v>18</v>
      </c>
      <c r="F793" s="43" t="s">
        <v>32</v>
      </c>
      <c r="G793" s="48">
        <v>46232.703472222223</v>
      </c>
      <c r="H793" s="48">
        <v>46242.646527777775</v>
      </c>
      <c r="I793" s="43">
        <v>286</v>
      </c>
      <c r="J793" s="43" t="s">
        <v>1156</v>
      </c>
      <c r="K793" s="43" t="s">
        <v>1156</v>
      </c>
      <c r="L793" s="43" t="s">
        <v>25</v>
      </c>
      <c r="M793" s="43">
        <v>281</v>
      </c>
      <c r="N793" s="43">
        <v>66</v>
      </c>
      <c r="O793" s="43">
        <v>68</v>
      </c>
      <c r="P793" s="43" t="s">
        <v>10278</v>
      </c>
      <c r="Q793" s="43" t="s">
        <v>1517</v>
      </c>
      <c r="R793" s="43" t="s">
        <v>10279</v>
      </c>
      <c r="S793" s="52">
        <f t="shared" si="12"/>
        <v>9.94</v>
      </c>
      <c r="T793" s="47"/>
      <c r="U793" s="47"/>
    </row>
    <row r="794" spans="1:21" ht="16.5" thickTop="1" thickBot="1" x14ac:dyDescent="0.3">
      <c r="A794" s="51" t="s">
        <v>10127</v>
      </c>
      <c r="B794" s="52" t="s">
        <v>10128</v>
      </c>
      <c r="C794" s="52" t="s">
        <v>39</v>
      </c>
      <c r="D794" s="52" t="s">
        <v>17</v>
      </c>
      <c r="E794" s="52" t="s">
        <v>18</v>
      </c>
      <c r="F794" s="52" t="s">
        <v>42</v>
      </c>
      <c r="G794" s="53">
        <v>46232.726388888892</v>
      </c>
      <c r="H794" s="53">
        <v>46242.436111111114</v>
      </c>
      <c r="I794" s="52">
        <v>18</v>
      </c>
      <c r="J794" s="52" t="s">
        <v>2373</v>
      </c>
      <c r="K794" s="52" t="s">
        <v>8317</v>
      </c>
      <c r="L794" s="52" t="s">
        <v>33</v>
      </c>
      <c r="M794" s="52">
        <v>18</v>
      </c>
      <c r="N794" s="52">
        <v>18</v>
      </c>
      <c r="O794" s="52">
        <v>18</v>
      </c>
      <c r="P794" s="52" t="s">
        <v>9358</v>
      </c>
      <c r="Q794" s="52" t="s">
        <v>1546</v>
      </c>
      <c r="R794" s="52" t="s">
        <v>10277</v>
      </c>
      <c r="S794" s="52">
        <f t="shared" si="12"/>
        <v>9.7100000000000009</v>
      </c>
      <c r="T794" s="52"/>
      <c r="U794" s="52"/>
    </row>
    <row r="795" spans="1:21" s="46" customFormat="1" ht="16.5" thickTop="1" thickBot="1" x14ac:dyDescent="0.3">
      <c r="A795" s="50" t="s">
        <v>10125</v>
      </c>
      <c r="B795" s="43" t="s">
        <v>10126</v>
      </c>
      <c r="C795" s="43" t="s">
        <v>38</v>
      </c>
      <c r="D795" s="43" t="s">
        <v>17</v>
      </c>
      <c r="E795" s="43" t="s">
        <v>18</v>
      </c>
      <c r="F795" s="43" t="s">
        <v>32</v>
      </c>
      <c r="G795" s="48">
        <v>46232.747916666667</v>
      </c>
      <c r="H795" s="48">
        <v>46235.645138888889</v>
      </c>
      <c r="I795" s="43">
        <v>2</v>
      </c>
      <c r="J795" s="43" t="s">
        <v>1156</v>
      </c>
      <c r="K795" s="43" t="s">
        <v>1156</v>
      </c>
      <c r="L795" s="43" t="s">
        <v>33</v>
      </c>
      <c r="M795" s="43">
        <v>2</v>
      </c>
      <c r="N795" s="43">
        <v>2</v>
      </c>
      <c r="O795" s="43">
        <v>2</v>
      </c>
      <c r="P795" s="43" t="s">
        <v>10275</v>
      </c>
      <c r="Q795" s="43" t="s">
        <v>1546</v>
      </c>
      <c r="R795" s="43" t="s">
        <v>10276</v>
      </c>
      <c r="S795" s="52">
        <f t="shared" si="12"/>
        <v>2.9</v>
      </c>
      <c r="T795" s="47"/>
      <c r="U795" s="47"/>
    </row>
    <row r="796" spans="1:21" ht="16.5" thickTop="1" thickBot="1" x14ac:dyDescent="0.3">
      <c r="A796" s="51" t="s">
        <v>10123</v>
      </c>
      <c r="B796" s="52" t="s">
        <v>10124</v>
      </c>
      <c r="C796" s="52" t="s">
        <v>38</v>
      </c>
      <c r="D796" s="52" t="s">
        <v>17</v>
      </c>
      <c r="E796" s="52" t="s">
        <v>18</v>
      </c>
      <c r="F796" s="52" t="s">
        <v>32</v>
      </c>
      <c r="G796" s="53">
        <v>46232.790972222225</v>
      </c>
      <c r="H796" s="53">
        <v>46234.659722222219</v>
      </c>
      <c r="I796" s="52">
        <v>35</v>
      </c>
      <c r="J796" s="52" t="s">
        <v>1156</v>
      </c>
      <c r="K796" s="52" t="s">
        <v>1156</v>
      </c>
      <c r="L796" s="52" t="s">
        <v>8739</v>
      </c>
      <c r="M796" s="52">
        <v>35</v>
      </c>
      <c r="N796" s="52">
        <v>35</v>
      </c>
      <c r="O796" s="52">
        <v>35</v>
      </c>
      <c r="P796" s="52" t="s">
        <v>9906</v>
      </c>
      <c r="Q796" s="52" t="s">
        <v>1514</v>
      </c>
      <c r="R796" s="52" t="s">
        <v>10274</v>
      </c>
      <c r="S796" s="52">
        <f t="shared" si="12"/>
        <v>1.87</v>
      </c>
      <c r="T796" s="52"/>
      <c r="U796" s="52"/>
    </row>
    <row r="797" spans="1:21" s="46" customFormat="1" ht="16.5" thickTop="1" thickBot="1" x14ac:dyDescent="0.3">
      <c r="A797" s="50" t="s">
        <v>10121</v>
      </c>
      <c r="B797" s="43" t="s">
        <v>10122</v>
      </c>
      <c r="C797" s="43" t="s">
        <v>38</v>
      </c>
      <c r="D797" s="43" t="s">
        <v>17</v>
      </c>
      <c r="E797" s="43" t="s">
        <v>18</v>
      </c>
      <c r="F797" s="43" t="s">
        <v>42</v>
      </c>
      <c r="G797" s="48">
        <v>46232.800694444442</v>
      </c>
      <c r="H797" s="48">
        <v>46238.604166666664</v>
      </c>
      <c r="I797" s="43">
        <v>66</v>
      </c>
      <c r="J797" s="43" t="s">
        <v>2373</v>
      </c>
      <c r="K797" s="43" t="s">
        <v>8329</v>
      </c>
      <c r="L797" s="43" t="s">
        <v>25</v>
      </c>
      <c r="M797" s="43">
        <v>66</v>
      </c>
      <c r="N797" s="43">
        <v>11</v>
      </c>
      <c r="O797" s="43">
        <v>11</v>
      </c>
      <c r="P797" s="43" t="s">
        <v>1333</v>
      </c>
      <c r="Q797" s="43" t="s">
        <v>1517</v>
      </c>
      <c r="R797" s="43" t="s">
        <v>10273</v>
      </c>
      <c r="S797" s="52">
        <f t="shared" si="12"/>
        <v>5.8</v>
      </c>
      <c r="T797" s="47"/>
      <c r="U797" s="47"/>
    </row>
    <row r="798" spans="1:21" ht="16.5" thickTop="1" thickBot="1" x14ac:dyDescent="0.3">
      <c r="A798" s="51" t="s">
        <v>10119</v>
      </c>
      <c r="B798" s="52" t="s">
        <v>10120</v>
      </c>
      <c r="C798" s="52" t="s">
        <v>38</v>
      </c>
      <c r="D798" s="52" t="s">
        <v>17</v>
      </c>
      <c r="E798" s="52" t="s">
        <v>18</v>
      </c>
      <c r="F798" s="52" t="s">
        <v>42</v>
      </c>
      <c r="G798" s="53">
        <v>46232.802777777775</v>
      </c>
      <c r="H798" s="53">
        <v>46234.668749999997</v>
      </c>
      <c r="I798" s="52">
        <v>24</v>
      </c>
      <c r="J798" s="52" t="s">
        <v>1156</v>
      </c>
      <c r="K798" s="52" t="s">
        <v>1156</v>
      </c>
      <c r="L798" s="52" t="s">
        <v>20</v>
      </c>
      <c r="M798" s="52">
        <v>24</v>
      </c>
      <c r="N798" s="52">
        <v>4</v>
      </c>
      <c r="O798" s="52">
        <v>4</v>
      </c>
      <c r="P798" s="52" t="s">
        <v>10271</v>
      </c>
      <c r="Q798" s="52" t="s">
        <v>1517</v>
      </c>
      <c r="R798" s="52" t="s">
        <v>10272</v>
      </c>
      <c r="S798" s="52">
        <f t="shared" si="12"/>
        <v>1.87</v>
      </c>
      <c r="T798" s="52"/>
      <c r="U798" s="52"/>
    </row>
    <row r="799" spans="1:21" s="46" customFormat="1" ht="16.5" thickTop="1" thickBot="1" x14ac:dyDescent="0.3">
      <c r="A799" s="50" t="s">
        <v>10117</v>
      </c>
      <c r="B799" s="43" t="s">
        <v>10118</v>
      </c>
      <c r="C799" s="43" t="s">
        <v>38</v>
      </c>
      <c r="D799" s="43" t="s">
        <v>17</v>
      </c>
      <c r="E799" s="43" t="s">
        <v>18</v>
      </c>
      <c r="F799" s="43" t="s">
        <v>42</v>
      </c>
      <c r="G799" s="48">
        <v>46232.804166666669</v>
      </c>
      <c r="H799" s="48">
        <v>46240.504166666666</v>
      </c>
      <c r="I799" s="43">
        <v>64</v>
      </c>
      <c r="J799" s="43" t="s">
        <v>2373</v>
      </c>
      <c r="K799" s="43" t="s">
        <v>8310</v>
      </c>
      <c r="L799" s="43" t="s">
        <v>33</v>
      </c>
      <c r="M799" s="43">
        <v>20</v>
      </c>
      <c r="N799" s="43">
        <v>20</v>
      </c>
      <c r="O799" s="43">
        <v>64</v>
      </c>
      <c r="P799" s="43" t="s">
        <v>10270</v>
      </c>
      <c r="Q799" s="43" t="s">
        <v>1517</v>
      </c>
      <c r="R799" s="43"/>
      <c r="S799" s="52">
        <f t="shared" si="12"/>
        <v>7.7</v>
      </c>
      <c r="T799" s="47"/>
      <c r="U799" s="47"/>
    </row>
    <row r="800" spans="1:21" ht="16.5" thickTop="1" thickBot="1" x14ac:dyDescent="0.3">
      <c r="A800" s="51" t="s">
        <v>10115</v>
      </c>
      <c r="B800" s="52" t="s">
        <v>10116</v>
      </c>
      <c r="C800" s="52" t="s">
        <v>39</v>
      </c>
      <c r="D800" s="52" t="s">
        <v>17</v>
      </c>
      <c r="E800" s="52" t="s">
        <v>18</v>
      </c>
      <c r="F800" s="52" t="s">
        <v>32</v>
      </c>
      <c r="G800" s="53">
        <v>46232.809027777781</v>
      </c>
      <c r="H800" s="53">
        <v>46239.688194444447</v>
      </c>
      <c r="I800" s="52">
        <v>2</v>
      </c>
      <c r="J800" s="52" t="s">
        <v>2373</v>
      </c>
      <c r="K800" s="52" t="s">
        <v>8317</v>
      </c>
      <c r="L800" s="52" t="s">
        <v>33</v>
      </c>
      <c r="M800" s="52"/>
      <c r="N800" s="52"/>
      <c r="O800" s="52">
        <v>2</v>
      </c>
      <c r="P800" s="52" t="s">
        <v>8627</v>
      </c>
      <c r="Q800" s="52" t="s">
        <v>1517</v>
      </c>
      <c r="R800" s="52" t="s">
        <v>10269</v>
      </c>
      <c r="S800" s="52">
        <f t="shared" si="12"/>
        <v>6.88</v>
      </c>
      <c r="T800" s="52"/>
      <c r="U800" s="52"/>
    </row>
    <row r="801" spans="1:21" s="46" customFormat="1" ht="16.5" thickTop="1" thickBot="1" x14ac:dyDescent="0.3">
      <c r="A801" s="50" t="s">
        <v>10113</v>
      </c>
      <c r="B801" s="43" t="s">
        <v>10114</v>
      </c>
      <c r="C801" s="43" t="s">
        <v>38</v>
      </c>
      <c r="D801" s="43" t="s">
        <v>17</v>
      </c>
      <c r="E801" s="43" t="s">
        <v>18</v>
      </c>
      <c r="F801" s="43" t="s">
        <v>42</v>
      </c>
      <c r="G801" s="48">
        <v>46233.531944444447</v>
      </c>
      <c r="H801" s="48">
        <v>46238.59097222222</v>
      </c>
      <c r="I801" s="43">
        <v>1</v>
      </c>
      <c r="J801" s="43" t="s">
        <v>1156</v>
      </c>
      <c r="K801" s="43" t="s">
        <v>1156</v>
      </c>
      <c r="L801" s="43" t="s">
        <v>44</v>
      </c>
      <c r="M801" s="43">
        <v>1</v>
      </c>
      <c r="N801" s="43">
        <v>1</v>
      </c>
      <c r="O801" s="43">
        <v>1</v>
      </c>
      <c r="P801" s="43" t="s">
        <v>10242</v>
      </c>
      <c r="Q801" s="43" t="s">
        <v>1517</v>
      </c>
      <c r="R801" s="43" t="s">
        <v>10268</v>
      </c>
      <c r="S801" s="52">
        <f t="shared" si="12"/>
        <v>5.0599999999999996</v>
      </c>
      <c r="T801" s="47"/>
      <c r="U801" s="47"/>
    </row>
    <row r="802" spans="1:21" ht="16.5" thickTop="1" thickBot="1" x14ac:dyDescent="0.3">
      <c r="A802" s="51" t="s">
        <v>10111</v>
      </c>
      <c r="B802" s="52" t="s">
        <v>10112</v>
      </c>
      <c r="C802" s="52" t="s">
        <v>38</v>
      </c>
      <c r="D802" s="52" t="s">
        <v>17</v>
      </c>
      <c r="E802" s="52" t="s">
        <v>19</v>
      </c>
      <c r="F802" s="52" t="s">
        <v>19</v>
      </c>
      <c r="G802" s="53">
        <v>46233.679861111108</v>
      </c>
      <c r="H802" s="53">
        <v>46234.673611111109</v>
      </c>
      <c r="I802" s="52">
        <v>1</v>
      </c>
      <c r="J802" s="52" t="s">
        <v>1156</v>
      </c>
      <c r="K802" s="52" t="s">
        <v>1156</v>
      </c>
      <c r="L802" s="52" t="s">
        <v>33</v>
      </c>
      <c r="M802" s="52">
        <v>1</v>
      </c>
      <c r="N802" s="52">
        <v>1</v>
      </c>
      <c r="O802" s="52">
        <v>1</v>
      </c>
      <c r="P802" s="52" t="s">
        <v>9533</v>
      </c>
      <c r="Q802" s="52" t="s">
        <v>1517</v>
      </c>
      <c r="R802" s="52" t="s">
        <v>10267</v>
      </c>
      <c r="S802" s="52">
        <f t="shared" si="12"/>
        <v>0.99</v>
      </c>
      <c r="T802" s="52"/>
      <c r="U802" s="52"/>
    </row>
    <row r="803" spans="1:21" s="46" customFormat="1" ht="16.5" thickTop="1" thickBot="1" x14ac:dyDescent="0.3">
      <c r="A803" s="50" t="s">
        <v>10109</v>
      </c>
      <c r="B803" s="43" t="s">
        <v>10110</v>
      </c>
      <c r="C803" s="43" t="s">
        <v>39</v>
      </c>
      <c r="D803" s="43" t="s">
        <v>17</v>
      </c>
      <c r="E803" s="43" t="s">
        <v>18</v>
      </c>
      <c r="F803" s="43" t="s">
        <v>42</v>
      </c>
      <c r="G803" s="48">
        <v>46233.684027777781</v>
      </c>
      <c r="H803" s="48">
        <v>46240.453472222223</v>
      </c>
      <c r="I803" s="43">
        <v>3</v>
      </c>
      <c r="J803" s="43" t="s">
        <v>2373</v>
      </c>
      <c r="K803" s="43" t="s">
        <v>8326</v>
      </c>
      <c r="L803" s="43" t="s">
        <v>36</v>
      </c>
      <c r="M803" s="43">
        <v>3</v>
      </c>
      <c r="N803" s="43">
        <v>3</v>
      </c>
      <c r="O803" s="43">
        <v>3</v>
      </c>
      <c r="P803" s="43" t="s">
        <v>10266</v>
      </c>
      <c r="Q803" s="43" t="s">
        <v>1517</v>
      </c>
      <c r="R803" s="43"/>
      <c r="S803" s="52">
        <f t="shared" si="12"/>
        <v>6.77</v>
      </c>
      <c r="T803" s="47"/>
      <c r="U803" s="47"/>
    </row>
    <row r="804" spans="1:21" ht="16.5" thickTop="1" thickBot="1" x14ac:dyDescent="0.3">
      <c r="A804" s="51" t="s">
        <v>10107</v>
      </c>
      <c r="B804" s="52" t="s">
        <v>10108</v>
      </c>
      <c r="C804" s="52" t="s">
        <v>38</v>
      </c>
      <c r="D804" s="52" t="s">
        <v>17</v>
      </c>
      <c r="E804" s="52" t="s">
        <v>18</v>
      </c>
      <c r="F804" s="52" t="s">
        <v>32</v>
      </c>
      <c r="G804" s="53">
        <v>46233.765972222223</v>
      </c>
      <c r="H804" s="53">
        <v>46242.473611111112</v>
      </c>
      <c r="I804" s="52">
        <v>539</v>
      </c>
      <c r="J804" s="52" t="s">
        <v>1156</v>
      </c>
      <c r="K804" s="52" t="s">
        <v>1156</v>
      </c>
      <c r="L804" s="52" t="s">
        <v>25</v>
      </c>
      <c r="M804" s="52">
        <v>538</v>
      </c>
      <c r="N804" s="52">
        <v>49</v>
      </c>
      <c r="O804" s="52">
        <v>49</v>
      </c>
      <c r="P804" s="52" t="s">
        <v>10264</v>
      </c>
      <c r="Q804" s="52" t="s">
        <v>1517</v>
      </c>
      <c r="R804" s="52" t="s">
        <v>10265</v>
      </c>
      <c r="S804" s="52">
        <f t="shared" si="12"/>
        <v>8.7100000000000009</v>
      </c>
      <c r="T804" s="52"/>
      <c r="U804" s="52"/>
    </row>
    <row r="805" spans="1:21" s="46" customFormat="1" ht="16.5" thickTop="1" thickBot="1" x14ac:dyDescent="0.3">
      <c r="A805" s="50" t="s">
        <v>10105</v>
      </c>
      <c r="B805" s="43" t="s">
        <v>10106</v>
      </c>
      <c r="C805" s="43" t="s">
        <v>38</v>
      </c>
      <c r="D805" s="43" t="s">
        <v>17</v>
      </c>
      <c r="E805" s="43" t="s">
        <v>18</v>
      </c>
      <c r="F805" s="43" t="s">
        <v>32</v>
      </c>
      <c r="G805" s="48">
        <v>46234.509027777778</v>
      </c>
      <c r="H805" s="48">
        <v>46242.759027777778</v>
      </c>
      <c r="I805" s="43">
        <v>1</v>
      </c>
      <c r="J805" s="43" t="s">
        <v>2373</v>
      </c>
      <c r="K805" s="43" t="s">
        <v>8310</v>
      </c>
      <c r="L805" s="43" t="s">
        <v>33</v>
      </c>
      <c r="M805" s="43">
        <v>1</v>
      </c>
      <c r="N805" s="43">
        <v>1</v>
      </c>
      <c r="O805" s="43">
        <v>1</v>
      </c>
      <c r="P805" s="43" t="s">
        <v>10263</v>
      </c>
      <c r="Q805" s="43" t="s">
        <v>1517</v>
      </c>
      <c r="R805" s="43"/>
      <c r="S805" s="52">
        <f t="shared" si="12"/>
        <v>8.25</v>
      </c>
      <c r="T805" s="47"/>
      <c r="U805" s="47"/>
    </row>
    <row r="806" spans="1:21" ht="16.5" thickTop="1" thickBot="1" x14ac:dyDescent="0.3">
      <c r="A806" s="51" t="s">
        <v>10103</v>
      </c>
      <c r="B806" s="52" t="s">
        <v>10104</v>
      </c>
      <c r="C806" s="52" t="s">
        <v>38</v>
      </c>
      <c r="D806" s="52" t="s">
        <v>17</v>
      </c>
      <c r="E806" s="52" t="s">
        <v>18</v>
      </c>
      <c r="F806" s="52" t="s">
        <v>42</v>
      </c>
      <c r="G806" s="53">
        <v>46234.527777777781</v>
      </c>
      <c r="H806" s="53">
        <v>46242.536805555559</v>
      </c>
      <c r="I806" s="52">
        <v>146</v>
      </c>
      <c r="J806" s="52" t="s">
        <v>1156</v>
      </c>
      <c r="K806" s="52" t="s">
        <v>1156</v>
      </c>
      <c r="L806" s="52" t="s">
        <v>25</v>
      </c>
      <c r="M806" s="52">
        <v>144</v>
      </c>
      <c r="N806" s="52">
        <v>35</v>
      </c>
      <c r="O806" s="52">
        <v>30</v>
      </c>
      <c r="P806" s="52" t="s">
        <v>1454</v>
      </c>
      <c r="Q806" s="52" t="s">
        <v>1517</v>
      </c>
      <c r="R806" s="52"/>
      <c r="S806" s="52">
        <f t="shared" si="12"/>
        <v>8.01</v>
      </c>
      <c r="T806" s="52"/>
      <c r="U806" s="52"/>
    </row>
    <row r="807" spans="1:21" s="46" customFormat="1" ht="16.5" thickTop="1" thickBot="1" x14ac:dyDescent="0.3">
      <c r="A807" s="50" t="s">
        <v>10101</v>
      </c>
      <c r="B807" s="43" t="s">
        <v>10102</v>
      </c>
      <c r="C807" s="43" t="s">
        <v>38</v>
      </c>
      <c r="D807" s="43" t="s">
        <v>17</v>
      </c>
      <c r="E807" s="43" t="s">
        <v>19</v>
      </c>
      <c r="F807" s="43" t="s">
        <v>19</v>
      </c>
      <c r="G807" s="48">
        <v>46234.627083333333</v>
      </c>
      <c r="H807" s="48">
        <v>46235.660416666666</v>
      </c>
      <c r="I807" s="43">
        <v>1</v>
      </c>
      <c r="J807" s="43" t="s">
        <v>1156</v>
      </c>
      <c r="K807" s="43" t="s">
        <v>1156</v>
      </c>
      <c r="L807" s="43" t="s">
        <v>33</v>
      </c>
      <c r="M807" s="43">
        <v>1</v>
      </c>
      <c r="N807" s="43">
        <v>1</v>
      </c>
      <c r="O807" s="43">
        <v>1</v>
      </c>
      <c r="P807" s="43" t="s">
        <v>10004</v>
      </c>
      <c r="Q807" s="43" t="s">
        <v>1546</v>
      </c>
      <c r="R807" s="43" t="s">
        <v>10262</v>
      </c>
      <c r="S807" s="52">
        <f t="shared" si="12"/>
        <v>1.03</v>
      </c>
      <c r="T807" s="47"/>
      <c r="U807" s="47"/>
    </row>
    <row r="808" spans="1:21" ht="16.5" thickTop="1" thickBot="1" x14ac:dyDescent="0.3">
      <c r="A808" s="51" t="s">
        <v>10099</v>
      </c>
      <c r="B808" s="52" t="s">
        <v>10100</v>
      </c>
      <c r="C808" s="52" t="s">
        <v>38</v>
      </c>
      <c r="D808" s="52" t="s">
        <v>17</v>
      </c>
      <c r="E808" s="52" t="s">
        <v>18</v>
      </c>
      <c r="F808" s="52" t="s">
        <v>42</v>
      </c>
      <c r="G808" s="53">
        <v>46234.631944444445</v>
      </c>
      <c r="H808" s="53">
        <v>46238.488888888889</v>
      </c>
      <c r="I808" s="52">
        <v>2</v>
      </c>
      <c r="J808" s="52" t="s">
        <v>1156</v>
      </c>
      <c r="K808" s="52" t="s">
        <v>1156</v>
      </c>
      <c r="L808" s="52" t="s">
        <v>33</v>
      </c>
      <c r="M808" s="52">
        <v>2</v>
      </c>
      <c r="N808" s="52">
        <v>2</v>
      </c>
      <c r="O808" s="52">
        <v>2</v>
      </c>
      <c r="P808" s="52" t="s">
        <v>10260</v>
      </c>
      <c r="Q808" s="52" t="s">
        <v>1514</v>
      </c>
      <c r="R808" s="52" t="s">
        <v>10261</v>
      </c>
      <c r="S808" s="52">
        <f t="shared" si="12"/>
        <v>3.86</v>
      </c>
      <c r="T808" s="52"/>
      <c r="U808" s="52"/>
    </row>
    <row r="809" spans="1:21" s="46" customFormat="1" ht="16.5" thickTop="1" thickBot="1" x14ac:dyDescent="0.3">
      <c r="A809" s="50" t="s">
        <v>10097</v>
      </c>
      <c r="B809" s="43" t="s">
        <v>10098</v>
      </c>
      <c r="C809" s="43" t="s">
        <v>38</v>
      </c>
      <c r="D809" s="43" t="s">
        <v>17</v>
      </c>
      <c r="E809" s="43" t="s">
        <v>18</v>
      </c>
      <c r="F809" s="43" t="s">
        <v>42</v>
      </c>
      <c r="G809" s="48">
        <v>46234.634027777778</v>
      </c>
      <c r="H809" s="48">
        <v>46239.544444444444</v>
      </c>
      <c r="I809" s="43">
        <v>2</v>
      </c>
      <c r="J809" s="43" t="s">
        <v>2373</v>
      </c>
      <c r="K809" s="43" t="s">
        <v>8326</v>
      </c>
      <c r="L809" s="43" t="s">
        <v>44</v>
      </c>
      <c r="M809" s="43">
        <v>2</v>
      </c>
      <c r="N809" s="43">
        <v>2</v>
      </c>
      <c r="O809" s="43">
        <v>2</v>
      </c>
      <c r="P809" s="43" t="s">
        <v>10259</v>
      </c>
      <c r="Q809" s="43" t="s">
        <v>1517</v>
      </c>
      <c r="R809" s="43"/>
      <c r="S809" s="52">
        <f t="shared" si="12"/>
        <v>4.91</v>
      </c>
      <c r="T809" s="47"/>
      <c r="U809" s="47"/>
    </row>
    <row r="810" spans="1:21" ht="16.5" thickTop="1" thickBot="1" x14ac:dyDescent="0.3">
      <c r="A810" s="51" t="s">
        <v>10095</v>
      </c>
      <c r="B810" s="52" t="s">
        <v>10096</v>
      </c>
      <c r="C810" s="52" t="s">
        <v>38</v>
      </c>
      <c r="D810" s="52" t="s">
        <v>17</v>
      </c>
      <c r="E810" s="52" t="s">
        <v>18</v>
      </c>
      <c r="F810" s="52" t="s">
        <v>42</v>
      </c>
      <c r="G810" s="53">
        <v>46234.651388888888</v>
      </c>
      <c r="H810" s="53">
        <v>46239.477777777778</v>
      </c>
      <c r="I810" s="52">
        <v>1</v>
      </c>
      <c r="J810" s="52" t="s">
        <v>2373</v>
      </c>
      <c r="K810" s="52" t="s">
        <v>8317</v>
      </c>
      <c r="L810" s="52" t="s">
        <v>44</v>
      </c>
      <c r="M810" s="52">
        <v>1</v>
      </c>
      <c r="N810" s="52">
        <v>1</v>
      </c>
      <c r="O810" s="52">
        <v>1</v>
      </c>
      <c r="P810" s="52" t="s">
        <v>10259</v>
      </c>
      <c r="Q810" s="52" t="s">
        <v>1517</v>
      </c>
      <c r="R810" s="52"/>
      <c r="S810" s="52">
        <f t="shared" si="12"/>
        <v>4.83</v>
      </c>
      <c r="T810" s="52"/>
      <c r="U810" s="52"/>
    </row>
    <row r="811" spans="1:21" s="46" customFormat="1" ht="16.5" thickTop="1" thickBot="1" x14ac:dyDescent="0.3">
      <c r="A811" s="50" t="s">
        <v>10093</v>
      </c>
      <c r="B811" s="43" t="s">
        <v>10094</v>
      </c>
      <c r="C811" s="43" t="s">
        <v>38</v>
      </c>
      <c r="D811" s="43" t="s">
        <v>17</v>
      </c>
      <c r="E811" s="43" t="s">
        <v>18</v>
      </c>
      <c r="F811" s="43" t="s">
        <v>42</v>
      </c>
      <c r="G811" s="48">
        <v>46234.679166666669</v>
      </c>
      <c r="H811" s="48">
        <v>46237.441666666666</v>
      </c>
      <c r="I811" s="43">
        <v>183</v>
      </c>
      <c r="J811" s="43" t="s">
        <v>1156</v>
      </c>
      <c r="K811" s="43" t="s">
        <v>1156</v>
      </c>
      <c r="L811" s="43" t="s">
        <v>20</v>
      </c>
      <c r="M811" s="43">
        <v>183</v>
      </c>
      <c r="N811" s="43">
        <v>31</v>
      </c>
      <c r="O811" s="43">
        <v>31</v>
      </c>
      <c r="P811" s="43" t="s">
        <v>10257</v>
      </c>
      <c r="Q811" s="43" t="s">
        <v>1517</v>
      </c>
      <c r="R811" s="43" t="s">
        <v>10258</v>
      </c>
      <c r="S811" s="52">
        <f t="shared" si="12"/>
        <v>2.76</v>
      </c>
      <c r="T811" s="47"/>
      <c r="U811" s="47"/>
    </row>
    <row r="812" spans="1:21" ht="16.5" thickTop="1" thickBot="1" x14ac:dyDescent="0.3">
      <c r="A812" s="51" t="s">
        <v>10091</v>
      </c>
      <c r="B812" s="52" t="s">
        <v>10092</v>
      </c>
      <c r="C812" s="52" t="s">
        <v>38</v>
      </c>
      <c r="D812" s="52" t="s">
        <v>17</v>
      </c>
      <c r="E812" s="52" t="s">
        <v>18</v>
      </c>
      <c r="F812" s="52" t="s">
        <v>32</v>
      </c>
      <c r="G812" s="53">
        <v>46234.697916666664</v>
      </c>
      <c r="H812" s="53">
        <v>46239.627083333333</v>
      </c>
      <c r="I812" s="52">
        <v>298</v>
      </c>
      <c r="J812" s="52" t="s">
        <v>1156</v>
      </c>
      <c r="K812" s="52" t="s">
        <v>1156</v>
      </c>
      <c r="L812" s="52" t="s">
        <v>25</v>
      </c>
      <c r="M812" s="52">
        <v>1671</v>
      </c>
      <c r="N812" s="52">
        <v>279</v>
      </c>
      <c r="O812" s="52">
        <v>50</v>
      </c>
      <c r="P812" s="52" t="s">
        <v>10255</v>
      </c>
      <c r="Q812" s="52" t="s">
        <v>1546</v>
      </c>
      <c r="R812" s="52" t="s">
        <v>10256</v>
      </c>
      <c r="S812" s="52">
        <f t="shared" si="12"/>
        <v>4.93</v>
      </c>
      <c r="T812" s="52"/>
      <c r="U812" s="52"/>
    </row>
    <row r="813" spans="1:21" s="46" customFormat="1" ht="16.5" thickTop="1" thickBot="1" x14ac:dyDescent="0.3">
      <c r="A813" s="50" t="s">
        <v>10089</v>
      </c>
      <c r="B813" s="43" t="s">
        <v>10090</v>
      </c>
      <c r="C813" s="43" t="s">
        <v>39</v>
      </c>
      <c r="D813" s="43" t="s">
        <v>17</v>
      </c>
      <c r="E813" s="43" t="s">
        <v>18</v>
      </c>
      <c r="F813" s="43" t="s">
        <v>32</v>
      </c>
      <c r="G813" s="48">
        <v>46234.708333333336</v>
      </c>
      <c r="H813" s="48">
        <v>46242.782638888886</v>
      </c>
      <c r="I813" s="43">
        <v>776</v>
      </c>
      <c r="J813" s="43" t="s">
        <v>1156</v>
      </c>
      <c r="K813" s="43" t="s">
        <v>1156</v>
      </c>
      <c r="L813" s="43" t="s">
        <v>25</v>
      </c>
      <c r="M813" s="43">
        <v>776</v>
      </c>
      <c r="N813" s="43">
        <v>146</v>
      </c>
      <c r="O813" s="43">
        <v>146</v>
      </c>
      <c r="P813" s="43" t="s">
        <v>1318</v>
      </c>
      <c r="Q813" s="43" t="s">
        <v>1517</v>
      </c>
      <c r="R813" s="43"/>
      <c r="S813" s="52">
        <f t="shared" si="12"/>
        <v>8.07</v>
      </c>
      <c r="T813" s="47"/>
      <c r="U813" s="47"/>
    </row>
    <row r="814" spans="1:21" ht="16.5" thickTop="1" thickBot="1" x14ac:dyDescent="0.3">
      <c r="A814" s="51" t="s">
        <v>10087</v>
      </c>
      <c r="B814" s="52" t="s">
        <v>10088</v>
      </c>
      <c r="C814" s="52" t="s">
        <v>38</v>
      </c>
      <c r="D814" s="52" t="s">
        <v>17</v>
      </c>
      <c r="E814" s="52" t="s">
        <v>18</v>
      </c>
      <c r="F814" s="52" t="s">
        <v>42</v>
      </c>
      <c r="G814" s="53">
        <v>46234.711111111108</v>
      </c>
      <c r="H814" s="53">
        <v>46242.597222222219</v>
      </c>
      <c r="I814" s="52">
        <v>372</v>
      </c>
      <c r="J814" s="52" t="s">
        <v>1156</v>
      </c>
      <c r="K814" s="52" t="s">
        <v>1156</v>
      </c>
      <c r="L814" s="52" t="s">
        <v>25</v>
      </c>
      <c r="M814" s="52">
        <v>372</v>
      </c>
      <c r="N814" s="52">
        <v>67</v>
      </c>
      <c r="O814" s="52">
        <v>67</v>
      </c>
      <c r="P814" s="52" t="s">
        <v>10254</v>
      </c>
      <c r="Q814" s="52" t="s">
        <v>1517</v>
      </c>
      <c r="R814" s="52"/>
      <c r="S814" s="52">
        <f t="shared" si="12"/>
        <v>7.89</v>
      </c>
      <c r="T814" s="52"/>
      <c r="U814" s="52"/>
    </row>
    <row r="815" spans="1:21" s="46" customFormat="1" ht="16.5" thickTop="1" thickBot="1" x14ac:dyDescent="0.3">
      <c r="A815" s="50" t="s">
        <v>10085</v>
      </c>
      <c r="B815" s="43" t="s">
        <v>10086</v>
      </c>
      <c r="C815" s="43" t="s">
        <v>38</v>
      </c>
      <c r="D815" s="43" t="s">
        <v>17</v>
      </c>
      <c r="E815" s="43" t="s">
        <v>18</v>
      </c>
      <c r="F815" s="43" t="s">
        <v>32</v>
      </c>
      <c r="G815" s="48">
        <v>46234.719444444447</v>
      </c>
      <c r="H815" s="48">
        <v>46238.498611111114</v>
      </c>
      <c r="I815" s="43">
        <v>8</v>
      </c>
      <c r="J815" s="43" t="s">
        <v>1156</v>
      </c>
      <c r="K815" s="43" t="s">
        <v>8331</v>
      </c>
      <c r="L815" s="43" t="s">
        <v>33</v>
      </c>
      <c r="M815" s="43">
        <v>7</v>
      </c>
      <c r="N815" s="43">
        <v>7</v>
      </c>
      <c r="O815" s="43">
        <v>8</v>
      </c>
      <c r="P815" s="43" t="s">
        <v>9358</v>
      </c>
      <c r="Q815" s="43" t="s">
        <v>1546</v>
      </c>
      <c r="R815" s="43" t="s">
        <v>10253</v>
      </c>
      <c r="S815" s="52">
        <f t="shared" si="12"/>
        <v>3.78</v>
      </c>
      <c r="T815" s="47"/>
      <c r="U815" s="47"/>
    </row>
    <row r="816" spans="1:21" ht="16.5" thickTop="1" thickBot="1" x14ac:dyDescent="0.3">
      <c r="A816" s="51" t="s">
        <v>10083</v>
      </c>
      <c r="B816" s="52" t="s">
        <v>10084</v>
      </c>
      <c r="C816" s="52" t="s">
        <v>38</v>
      </c>
      <c r="D816" s="52" t="s">
        <v>17</v>
      </c>
      <c r="E816" s="52" t="s">
        <v>18</v>
      </c>
      <c r="F816" s="52" t="s">
        <v>32</v>
      </c>
      <c r="G816" s="53">
        <v>46234.722916666666</v>
      </c>
      <c r="H816" s="53">
        <v>46242.482638888891</v>
      </c>
      <c r="I816" s="52">
        <v>7</v>
      </c>
      <c r="J816" s="52" t="s">
        <v>2373</v>
      </c>
      <c r="K816" s="52" t="s">
        <v>8317</v>
      </c>
      <c r="L816" s="52" t="s">
        <v>33</v>
      </c>
      <c r="M816" s="52">
        <v>2</v>
      </c>
      <c r="N816" s="52">
        <v>2</v>
      </c>
      <c r="O816" s="52">
        <v>7</v>
      </c>
      <c r="P816" s="52" t="s">
        <v>9003</v>
      </c>
      <c r="Q816" s="52" t="s">
        <v>1517</v>
      </c>
      <c r="R816" s="52"/>
      <c r="S816" s="52">
        <f t="shared" si="12"/>
        <v>7.76</v>
      </c>
      <c r="T816" s="52"/>
      <c r="U816" s="52"/>
    </row>
    <row r="817" spans="1:21" s="46" customFormat="1" ht="16.5" thickTop="1" thickBot="1" x14ac:dyDescent="0.3">
      <c r="A817" s="50" t="s">
        <v>10081</v>
      </c>
      <c r="B817" s="43" t="s">
        <v>10082</v>
      </c>
      <c r="C817" s="43" t="s">
        <v>38</v>
      </c>
      <c r="D817" s="43" t="s">
        <v>17</v>
      </c>
      <c r="E817" s="43" t="s">
        <v>18</v>
      </c>
      <c r="F817" s="43" t="s">
        <v>28</v>
      </c>
      <c r="G817" s="48">
        <v>46234.741666666669</v>
      </c>
      <c r="H817" s="48">
        <v>46240.457638888889</v>
      </c>
      <c r="I817" s="43">
        <v>314</v>
      </c>
      <c r="J817" s="43" t="s">
        <v>2373</v>
      </c>
      <c r="K817" s="43" t="s">
        <v>8329</v>
      </c>
      <c r="L817" s="43" t="s">
        <v>25</v>
      </c>
      <c r="M817" s="43">
        <v>314</v>
      </c>
      <c r="N817" s="43">
        <v>133</v>
      </c>
      <c r="O817" s="43">
        <v>133</v>
      </c>
      <c r="P817" s="43" t="s">
        <v>1464</v>
      </c>
      <c r="Q817" s="43" t="s">
        <v>1517</v>
      </c>
      <c r="R817" s="43"/>
      <c r="S817" s="52">
        <f t="shared" si="12"/>
        <v>5.72</v>
      </c>
      <c r="T817" s="47"/>
      <c r="U817" s="47"/>
    </row>
    <row r="818" spans="1:21" ht="16.5" thickTop="1" thickBot="1" x14ac:dyDescent="0.3">
      <c r="A818" s="51" t="s">
        <v>10079</v>
      </c>
      <c r="B818" s="52" t="s">
        <v>10080</v>
      </c>
      <c r="C818" s="52" t="s">
        <v>38</v>
      </c>
      <c r="D818" s="52" t="s">
        <v>17</v>
      </c>
      <c r="E818" s="52" t="s">
        <v>19</v>
      </c>
      <c r="F818" s="52" t="s">
        <v>19</v>
      </c>
      <c r="G818" s="53">
        <v>46234.742361111108</v>
      </c>
      <c r="H818" s="53">
        <v>46238.715277777781</v>
      </c>
      <c r="I818" s="52">
        <v>879</v>
      </c>
      <c r="J818" s="52" t="s">
        <v>1156</v>
      </c>
      <c r="K818" s="52" t="s">
        <v>1156</v>
      </c>
      <c r="L818" s="52" t="s">
        <v>20</v>
      </c>
      <c r="M818" s="52">
        <v>878</v>
      </c>
      <c r="N818" s="52">
        <v>135</v>
      </c>
      <c r="O818" s="52">
        <v>135</v>
      </c>
      <c r="P818" s="52" t="s">
        <v>1464</v>
      </c>
      <c r="Q818" s="52" t="s">
        <v>1517</v>
      </c>
      <c r="R818" s="52" t="s">
        <v>10252</v>
      </c>
      <c r="S818" s="52">
        <f t="shared" si="12"/>
        <v>3.97</v>
      </c>
      <c r="T818" s="52"/>
      <c r="U818" s="52"/>
    </row>
    <row r="819" spans="1:21" s="46" customFormat="1" ht="16.5" thickTop="1" thickBot="1" x14ac:dyDescent="0.3">
      <c r="A819" s="50" t="s">
        <v>10077</v>
      </c>
      <c r="B819" s="43" t="s">
        <v>10078</v>
      </c>
      <c r="C819" s="43" t="s">
        <v>38</v>
      </c>
      <c r="D819" s="43" t="s">
        <v>17</v>
      </c>
      <c r="E819" s="43" t="s">
        <v>18</v>
      </c>
      <c r="F819" s="43" t="s">
        <v>42</v>
      </c>
      <c r="G819" s="48">
        <v>46234.75277777778</v>
      </c>
      <c r="H819" s="48">
        <v>46242.510416666664</v>
      </c>
      <c r="I819" s="43">
        <v>145</v>
      </c>
      <c r="J819" s="43" t="s">
        <v>1156</v>
      </c>
      <c r="K819" s="43" t="s">
        <v>1156</v>
      </c>
      <c r="L819" s="43" t="s">
        <v>25</v>
      </c>
      <c r="M819" s="43">
        <v>145</v>
      </c>
      <c r="N819" s="43">
        <v>29</v>
      </c>
      <c r="O819" s="43">
        <v>29</v>
      </c>
      <c r="P819" s="43" t="s">
        <v>10251</v>
      </c>
      <c r="Q819" s="43" t="s">
        <v>1517</v>
      </c>
      <c r="R819" s="43"/>
      <c r="S819" s="52">
        <f t="shared" si="12"/>
        <v>7.76</v>
      </c>
      <c r="T819" s="47"/>
      <c r="U819" s="47"/>
    </row>
    <row r="820" spans="1:21" ht="16.5" thickTop="1" thickBot="1" x14ac:dyDescent="0.3">
      <c r="A820" s="51" t="s">
        <v>10075</v>
      </c>
      <c r="B820" s="52" t="s">
        <v>10076</v>
      </c>
      <c r="C820" s="52" t="s">
        <v>38</v>
      </c>
      <c r="D820" s="52" t="s">
        <v>17</v>
      </c>
      <c r="E820" s="52" t="s">
        <v>18</v>
      </c>
      <c r="F820" s="52" t="s">
        <v>42</v>
      </c>
      <c r="G820" s="53">
        <v>46234.759027777778</v>
      </c>
      <c r="H820" s="53">
        <v>46235.738888888889</v>
      </c>
      <c r="I820" s="52">
        <v>1</v>
      </c>
      <c r="J820" s="52" t="s">
        <v>1156</v>
      </c>
      <c r="K820" s="52" t="s">
        <v>1156</v>
      </c>
      <c r="L820" s="52" t="s">
        <v>33</v>
      </c>
      <c r="M820" s="52">
        <v>1</v>
      </c>
      <c r="N820" s="52">
        <v>1</v>
      </c>
      <c r="O820" s="52">
        <v>1</v>
      </c>
      <c r="P820" s="52" t="s">
        <v>9526</v>
      </c>
      <c r="Q820" s="52" t="s">
        <v>1517</v>
      </c>
      <c r="R820" s="52" t="s">
        <v>10250</v>
      </c>
      <c r="S820" s="52">
        <f t="shared" si="12"/>
        <v>0.98</v>
      </c>
      <c r="T820" s="52"/>
      <c r="U820" s="52"/>
    </row>
    <row r="821" spans="1:21" s="46" customFormat="1" ht="16.5" thickTop="1" thickBot="1" x14ac:dyDescent="0.3">
      <c r="A821" s="50" t="s">
        <v>10073</v>
      </c>
      <c r="B821" s="43" t="s">
        <v>10074</v>
      </c>
      <c r="C821" s="43" t="s">
        <v>38</v>
      </c>
      <c r="D821" s="43" t="s">
        <v>17</v>
      </c>
      <c r="E821" s="43" t="s">
        <v>18</v>
      </c>
      <c r="F821" s="43" t="s">
        <v>32</v>
      </c>
      <c r="G821" s="48">
        <v>46234.770138888889</v>
      </c>
      <c r="H821" s="48">
        <v>46242.511111111111</v>
      </c>
      <c r="I821" s="43">
        <v>52</v>
      </c>
      <c r="J821" s="43" t="s">
        <v>1156</v>
      </c>
      <c r="K821" s="43" t="s">
        <v>1156</v>
      </c>
      <c r="L821" s="43" t="s">
        <v>25</v>
      </c>
      <c r="M821" s="43">
        <v>28</v>
      </c>
      <c r="N821" s="43">
        <v>7</v>
      </c>
      <c r="O821" s="43">
        <v>13</v>
      </c>
      <c r="P821" s="43" t="s">
        <v>10249</v>
      </c>
      <c r="Q821" s="43" t="s">
        <v>1517</v>
      </c>
      <c r="R821" s="43"/>
      <c r="S821" s="52">
        <f t="shared" si="12"/>
        <v>7.74</v>
      </c>
      <c r="T821" s="47"/>
      <c r="U821" s="47"/>
    </row>
    <row r="822" spans="1:21" ht="16.5" thickTop="1" thickBot="1" x14ac:dyDescent="0.3">
      <c r="A822" s="51" t="s">
        <v>10071</v>
      </c>
      <c r="B822" s="52" t="s">
        <v>10072</v>
      </c>
      <c r="C822" s="52" t="s">
        <v>38</v>
      </c>
      <c r="D822" s="52" t="s">
        <v>17</v>
      </c>
      <c r="E822" s="52" t="s">
        <v>18</v>
      </c>
      <c r="F822" s="52" t="s">
        <v>32</v>
      </c>
      <c r="G822" s="53">
        <v>46234.772222222222</v>
      </c>
      <c r="H822" s="53">
        <v>46238.504861111112</v>
      </c>
      <c r="I822" s="52">
        <v>67</v>
      </c>
      <c r="J822" s="52" t="s">
        <v>1156</v>
      </c>
      <c r="K822" s="52" t="s">
        <v>1156</v>
      </c>
      <c r="L822" s="52" t="s">
        <v>20</v>
      </c>
      <c r="M822" s="52">
        <v>67</v>
      </c>
      <c r="N822" s="52">
        <v>12</v>
      </c>
      <c r="O822" s="52">
        <v>9</v>
      </c>
      <c r="P822" s="52" t="s">
        <v>8510</v>
      </c>
      <c r="Q822" s="52" t="s">
        <v>1514</v>
      </c>
      <c r="R822" s="52" t="s">
        <v>10248</v>
      </c>
      <c r="S822" s="52">
        <f t="shared" si="12"/>
        <v>3.73</v>
      </c>
      <c r="T822" s="52"/>
      <c r="U822" s="52"/>
    </row>
    <row r="823" spans="1:21" s="46" customFormat="1" ht="16.5" thickTop="1" thickBot="1" x14ac:dyDescent="0.3">
      <c r="A823" s="50" t="s">
        <v>10069</v>
      </c>
      <c r="B823" s="43" t="s">
        <v>10070</v>
      </c>
      <c r="C823" s="43" t="s">
        <v>38</v>
      </c>
      <c r="D823" s="43" t="s">
        <v>17</v>
      </c>
      <c r="E823" s="43" t="s">
        <v>18</v>
      </c>
      <c r="F823" s="43" t="s">
        <v>19</v>
      </c>
      <c r="G823" s="48">
        <v>46235.523611111108</v>
      </c>
      <c r="H823" s="48">
        <v>46237.477083333331</v>
      </c>
      <c r="I823" s="43">
        <v>37</v>
      </c>
      <c r="J823" s="43" t="s">
        <v>1156</v>
      </c>
      <c r="K823" s="43" t="s">
        <v>1156</v>
      </c>
      <c r="L823" s="43" t="s">
        <v>36</v>
      </c>
      <c r="M823" s="43">
        <v>2</v>
      </c>
      <c r="N823" s="43">
        <v>2</v>
      </c>
      <c r="O823" s="43">
        <v>37</v>
      </c>
      <c r="P823" s="43" t="s">
        <v>10050</v>
      </c>
      <c r="Q823" s="43" t="s">
        <v>1517</v>
      </c>
      <c r="R823" s="43" t="s">
        <v>10247</v>
      </c>
      <c r="S823" s="52">
        <f t="shared" si="12"/>
        <v>1.95</v>
      </c>
      <c r="T823" s="47"/>
      <c r="U823" s="47"/>
    </row>
    <row r="824" spans="1:21" ht="16.5" thickTop="1" thickBot="1" x14ac:dyDescent="0.3">
      <c r="A824" s="51" t="s">
        <v>10066</v>
      </c>
      <c r="B824" s="52" t="s">
        <v>10067</v>
      </c>
      <c r="C824" s="52" t="s">
        <v>38</v>
      </c>
      <c r="D824" s="52" t="s">
        <v>17</v>
      </c>
      <c r="E824" s="52" t="s">
        <v>18</v>
      </c>
      <c r="F824" s="52" t="s">
        <v>10068</v>
      </c>
      <c r="G824" s="53">
        <v>46235.536111111112</v>
      </c>
      <c r="H824" s="53">
        <v>46241.456944444442</v>
      </c>
      <c r="I824" s="52">
        <v>598</v>
      </c>
      <c r="J824" s="52" t="s">
        <v>2373</v>
      </c>
      <c r="K824" s="52" t="s">
        <v>8278</v>
      </c>
      <c r="L824" s="52" t="s">
        <v>31</v>
      </c>
      <c r="M824" s="52">
        <v>598</v>
      </c>
      <c r="N824" s="52">
        <v>512</v>
      </c>
      <c r="O824" s="52">
        <v>512</v>
      </c>
      <c r="P824" s="52" t="s">
        <v>10246</v>
      </c>
      <c r="Q824" s="52" t="s">
        <v>1546</v>
      </c>
      <c r="R824" s="52"/>
      <c r="S824" s="52">
        <f t="shared" si="12"/>
        <v>5.92</v>
      </c>
      <c r="T824" s="52"/>
      <c r="U824" s="52"/>
    </row>
    <row r="825" spans="1:21" s="46" customFormat="1" ht="16.5" thickTop="1" thickBot="1" x14ac:dyDescent="0.3">
      <c r="A825" s="50" t="s">
        <v>10064</v>
      </c>
      <c r="B825" s="43" t="s">
        <v>10065</v>
      </c>
      <c r="C825" s="43" t="s">
        <v>38</v>
      </c>
      <c r="D825" s="43" t="s">
        <v>17</v>
      </c>
      <c r="E825" s="43" t="s">
        <v>18</v>
      </c>
      <c r="F825" s="43" t="s">
        <v>42</v>
      </c>
      <c r="G825" s="48">
        <v>46235.543749999997</v>
      </c>
      <c r="H825" s="48">
        <v>46241.527777777781</v>
      </c>
      <c r="I825" s="43">
        <v>12</v>
      </c>
      <c r="J825" s="43" t="s">
        <v>2373</v>
      </c>
      <c r="K825" s="43" t="s">
        <v>8317</v>
      </c>
      <c r="L825" s="43" t="s">
        <v>20</v>
      </c>
      <c r="M825" s="43">
        <v>12</v>
      </c>
      <c r="N825" s="43">
        <v>12</v>
      </c>
      <c r="O825" s="43">
        <v>12</v>
      </c>
      <c r="P825" s="43" t="s">
        <v>8774</v>
      </c>
      <c r="Q825" s="43" t="s">
        <v>1514</v>
      </c>
      <c r="R825" s="43"/>
      <c r="S825" s="52">
        <f t="shared" si="12"/>
        <v>5.98</v>
      </c>
      <c r="T825" s="47"/>
      <c r="U825" s="47"/>
    </row>
    <row r="826" spans="1:21" ht="16.5" thickTop="1" thickBot="1" x14ac:dyDescent="0.3">
      <c r="A826" s="51" t="s">
        <v>10062</v>
      </c>
      <c r="B826" s="52" t="s">
        <v>10063</v>
      </c>
      <c r="C826" s="52" t="s">
        <v>38</v>
      </c>
      <c r="D826" s="52" t="s">
        <v>17</v>
      </c>
      <c r="E826" s="52" t="s">
        <v>18</v>
      </c>
      <c r="F826" s="52" t="s">
        <v>42</v>
      </c>
      <c r="G826" s="53">
        <v>46235.547222222223</v>
      </c>
      <c r="H826" s="53">
        <v>46238.8125</v>
      </c>
      <c r="I826" s="52">
        <v>2</v>
      </c>
      <c r="J826" s="52" t="s">
        <v>2373</v>
      </c>
      <c r="K826" s="52" t="s">
        <v>8326</v>
      </c>
      <c r="L826" s="52" t="s">
        <v>44</v>
      </c>
      <c r="M826" s="52">
        <v>2</v>
      </c>
      <c r="N826" s="52">
        <v>2</v>
      </c>
      <c r="O826" s="52">
        <v>2</v>
      </c>
      <c r="P826" s="52" t="s">
        <v>10245</v>
      </c>
      <c r="Q826" s="52" t="s">
        <v>1517</v>
      </c>
      <c r="R826" s="52"/>
      <c r="S826" s="52">
        <f t="shared" si="12"/>
        <v>3.27</v>
      </c>
      <c r="T826" s="52"/>
      <c r="U826" s="52"/>
    </row>
    <row r="827" spans="1:21" s="46" customFormat="1" ht="16.5" thickTop="1" thickBot="1" x14ac:dyDescent="0.3">
      <c r="A827" s="50" t="s">
        <v>10060</v>
      </c>
      <c r="B827" s="43" t="s">
        <v>10061</v>
      </c>
      <c r="C827" s="43" t="s">
        <v>38</v>
      </c>
      <c r="D827" s="43" t="s">
        <v>17</v>
      </c>
      <c r="E827" s="43" t="s">
        <v>18</v>
      </c>
      <c r="F827" s="43" t="s">
        <v>42</v>
      </c>
      <c r="G827" s="48">
        <v>46235.560416666667</v>
      </c>
      <c r="H827" s="48">
        <v>46242.76666666667</v>
      </c>
      <c r="I827" s="43">
        <v>25</v>
      </c>
      <c r="J827" s="43" t="s">
        <v>2373</v>
      </c>
      <c r="K827" s="43" t="s">
        <v>10244</v>
      </c>
      <c r="L827" s="43" t="s">
        <v>25</v>
      </c>
      <c r="M827" s="43">
        <v>25</v>
      </c>
      <c r="N827" s="43">
        <v>5</v>
      </c>
      <c r="O827" s="43">
        <v>25</v>
      </c>
      <c r="P827" s="43" t="s">
        <v>1333</v>
      </c>
      <c r="Q827" s="43" t="s">
        <v>1517</v>
      </c>
      <c r="R827" s="43"/>
      <c r="S827" s="52">
        <f t="shared" si="12"/>
        <v>7.21</v>
      </c>
      <c r="T827" s="47"/>
      <c r="U827" s="47"/>
    </row>
    <row r="828" spans="1:21" ht="16.5" thickTop="1" thickBot="1" x14ac:dyDescent="0.3">
      <c r="A828" s="51" t="s">
        <v>10058</v>
      </c>
      <c r="B828" s="52" t="s">
        <v>10059</v>
      </c>
      <c r="C828" s="52" t="s">
        <v>38</v>
      </c>
      <c r="D828" s="52" t="s">
        <v>17</v>
      </c>
      <c r="E828" s="52" t="s">
        <v>18</v>
      </c>
      <c r="F828" s="52" t="s">
        <v>42</v>
      </c>
      <c r="G828" s="53">
        <v>46235.61041666667</v>
      </c>
      <c r="H828" s="53">
        <v>46238.511111111111</v>
      </c>
      <c r="I828" s="52">
        <v>1</v>
      </c>
      <c r="J828" s="52" t="s">
        <v>1156</v>
      </c>
      <c r="K828" s="52" t="s">
        <v>1156</v>
      </c>
      <c r="L828" s="52" t="s">
        <v>33</v>
      </c>
      <c r="M828" s="52">
        <v>1</v>
      </c>
      <c r="N828" s="52">
        <v>1</v>
      </c>
      <c r="O828" s="52">
        <v>1</v>
      </c>
      <c r="P828" s="52" t="s">
        <v>1435</v>
      </c>
      <c r="Q828" s="52" t="s">
        <v>1517</v>
      </c>
      <c r="R828" s="52" t="s">
        <v>10243</v>
      </c>
      <c r="S828" s="52">
        <f t="shared" si="12"/>
        <v>2.9</v>
      </c>
      <c r="T828" s="52"/>
      <c r="U828" s="52"/>
    </row>
    <row r="829" spans="1:21" s="46" customFormat="1" ht="16.5" thickTop="1" thickBot="1" x14ac:dyDescent="0.3">
      <c r="A829" s="50" t="s">
        <v>10056</v>
      </c>
      <c r="B829" s="43" t="s">
        <v>10057</v>
      </c>
      <c r="C829" s="43" t="s">
        <v>38</v>
      </c>
      <c r="D829" s="43" t="s">
        <v>17</v>
      </c>
      <c r="E829" s="43" t="s">
        <v>18</v>
      </c>
      <c r="F829" s="43" t="s">
        <v>42</v>
      </c>
      <c r="G829" s="48">
        <v>46235.613194444442</v>
      </c>
      <c r="H829" s="48">
        <v>46238.515972222223</v>
      </c>
      <c r="I829" s="43">
        <v>3</v>
      </c>
      <c r="J829" s="43" t="s">
        <v>1156</v>
      </c>
      <c r="K829" s="43" t="s">
        <v>1156</v>
      </c>
      <c r="L829" s="43" t="s">
        <v>44</v>
      </c>
      <c r="M829" s="43">
        <v>3</v>
      </c>
      <c r="N829" s="43">
        <v>3</v>
      </c>
      <c r="O829" s="43">
        <v>3</v>
      </c>
      <c r="P829" s="43" t="s">
        <v>10242</v>
      </c>
      <c r="Q829" s="43" t="s">
        <v>1517</v>
      </c>
      <c r="R829" s="43"/>
      <c r="S829" s="52">
        <f t="shared" si="12"/>
        <v>2.9</v>
      </c>
      <c r="T829" s="47"/>
      <c r="U829" s="47"/>
    </row>
    <row r="830" spans="1:21" ht="16.5" thickTop="1" thickBot="1" x14ac:dyDescent="0.3">
      <c r="A830" s="51" t="s">
        <v>10054</v>
      </c>
      <c r="B830" s="52" t="s">
        <v>10055</v>
      </c>
      <c r="C830" s="52" t="s">
        <v>38</v>
      </c>
      <c r="D830" s="52" t="s">
        <v>17</v>
      </c>
      <c r="E830" s="52" t="s">
        <v>18</v>
      </c>
      <c r="F830" s="52" t="s">
        <v>28</v>
      </c>
      <c r="G830" s="53">
        <v>46235.86041666667</v>
      </c>
      <c r="H830" s="53">
        <v>46241.513888888891</v>
      </c>
      <c r="I830" s="52">
        <v>217</v>
      </c>
      <c r="J830" s="52" t="s">
        <v>1156</v>
      </c>
      <c r="K830" s="52" t="s">
        <v>1156</v>
      </c>
      <c r="L830" s="52" t="s">
        <v>20</v>
      </c>
      <c r="M830" s="52">
        <v>144</v>
      </c>
      <c r="N830" s="52">
        <v>24</v>
      </c>
      <c r="O830" s="52">
        <v>21</v>
      </c>
      <c r="P830" s="52" t="s">
        <v>1427</v>
      </c>
      <c r="Q830" s="52" t="s">
        <v>1517</v>
      </c>
      <c r="R830" s="52"/>
      <c r="S830" s="52">
        <f t="shared" si="12"/>
        <v>5.65</v>
      </c>
      <c r="T830" s="52"/>
      <c r="U830" s="52"/>
    </row>
    <row r="831" spans="1:21" s="46" customFormat="1" ht="16.5" thickTop="1" thickBot="1" x14ac:dyDescent="0.3">
      <c r="A831" s="50" t="s">
        <v>10052</v>
      </c>
      <c r="B831" s="43" t="s">
        <v>10053</v>
      </c>
      <c r="C831" s="43" t="s">
        <v>38</v>
      </c>
      <c r="D831" s="43" t="s">
        <v>17</v>
      </c>
      <c r="E831" s="43" t="s">
        <v>18</v>
      </c>
      <c r="F831" s="43" t="s">
        <v>28</v>
      </c>
      <c r="G831" s="48">
        <v>46235.87222222222</v>
      </c>
      <c r="H831" s="48">
        <v>46239.645138888889</v>
      </c>
      <c r="I831" s="43">
        <v>192</v>
      </c>
      <c r="J831" s="43" t="s">
        <v>1156</v>
      </c>
      <c r="K831" s="43" t="s">
        <v>1156</v>
      </c>
      <c r="L831" s="43" t="s">
        <v>20</v>
      </c>
      <c r="M831" s="43">
        <v>10</v>
      </c>
      <c r="N831" s="43">
        <v>3</v>
      </c>
      <c r="O831" s="43">
        <v>13</v>
      </c>
      <c r="P831" s="43" t="s">
        <v>10241</v>
      </c>
      <c r="Q831" s="43" t="s">
        <v>1514</v>
      </c>
      <c r="R831" s="43"/>
      <c r="S831" s="52">
        <f t="shared" si="12"/>
        <v>3.77</v>
      </c>
      <c r="T831" s="47"/>
      <c r="U831" s="47"/>
    </row>
    <row r="832" spans="1:21" ht="16.5" thickTop="1" thickBot="1" x14ac:dyDescent="0.3">
      <c r="A832" s="51" t="s">
        <v>10574</v>
      </c>
      <c r="B832" s="52" t="s">
        <v>10575</v>
      </c>
      <c r="C832" s="52" t="s">
        <v>38</v>
      </c>
      <c r="D832" s="52" t="s">
        <v>17</v>
      </c>
      <c r="E832" s="52" t="s">
        <v>18</v>
      </c>
      <c r="F832" s="52" t="s">
        <v>32</v>
      </c>
      <c r="G832" s="53">
        <v>46237.478472222225</v>
      </c>
      <c r="H832" s="53">
        <v>46240.580555555556</v>
      </c>
      <c r="I832" s="52">
        <v>468</v>
      </c>
      <c r="J832" s="52" t="s">
        <v>1156</v>
      </c>
      <c r="K832" s="52" t="s">
        <v>1156</v>
      </c>
      <c r="L832" s="52" t="s">
        <v>20</v>
      </c>
      <c r="M832" s="52">
        <v>468</v>
      </c>
      <c r="N832" s="52">
        <v>78</v>
      </c>
      <c r="O832" s="52">
        <v>78</v>
      </c>
      <c r="P832" s="52" t="s">
        <v>10257</v>
      </c>
      <c r="Q832" s="52" t="s">
        <v>1517</v>
      </c>
      <c r="R832" s="52" t="s">
        <v>10702</v>
      </c>
      <c r="S832" s="52">
        <f t="shared" si="12"/>
        <v>3.1</v>
      </c>
      <c r="T832" s="52"/>
      <c r="U832" s="52"/>
    </row>
    <row r="833" spans="1:21" s="46" customFormat="1" ht="16.5" thickTop="1" thickBot="1" x14ac:dyDescent="0.3">
      <c r="A833" s="50" t="s">
        <v>10572</v>
      </c>
      <c r="B833" s="43" t="s">
        <v>10573</v>
      </c>
      <c r="C833" s="43" t="s">
        <v>38</v>
      </c>
      <c r="D833" s="43" t="s">
        <v>17</v>
      </c>
      <c r="E833" s="43" t="s">
        <v>18</v>
      </c>
      <c r="F833" s="43" t="s">
        <v>28</v>
      </c>
      <c r="G833" s="48">
        <v>46237.509722222225</v>
      </c>
      <c r="H833" s="48">
        <v>46241.682638888888</v>
      </c>
      <c r="I833" s="43">
        <v>739</v>
      </c>
      <c r="J833" s="43" t="s">
        <v>1156</v>
      </c>
      <c r="K833" s="43" t="s">
        <v>1156</v>
      </c>
      <c r="L833" s="43" t="s">
        <v>8486</v>
      </c>
      <c r="M833" s="43">
        <v>249</v>
      </c>
      <c r="N833" s="43">
        <v>249</v>
      </c>
      <c r="O833" s="43">
        <v>739</v>
      </c>
      <c r="P833" s="43" t="s">
        <v>10700</v>
      </c>
      <c r="Q833" s="43" t="s">
        <v>1517</v>
      </c>
      <c r="R833" s="43" t="s">
        <v>10701</v>
      </c>
      <c r="S833" s="52">
        <f t="shared" si="12"/>
        <v>4.17</v>
      </c>
      <c r="T833" s="47"/>
      <c r="U833" s="47"/>
    </row>
    <row r="834" spans="1:21" ht="16.5" thickTop="1" thickBot="1" x14ac:dyDescent="0.3">
      <c r="A834" s="51" t="s">
        <v>10570</v>
      </c>
      <c r="B834" s="52" t="s">
        <v>10571</v>
      </c>
      <c r="C834" s="52" t="s">
        <v>38</v>
      </c>
      <c r="D834" s="52" t="s">
        <v>17</v>
      </c>
      <c r="E834" s="52" t="s">
        <v>18</v>
      </c>
      <c r="F834" s="52" t="s">
        <v>42</v>
      </c>
      <c r="G834" s="53">
        <v>46237.511111111111</v>
      </c>
      <c r="H834" s="53">
        <v>46240.629166666666</v>
      </c>
      <c r="I834" s="52">
        <v>198</v>
      </c>
      <c r="J834" s="52" t="s">
        <v>1156</v>
      </c>
      <c r="K834" s="52" t="s">
        <v>1156</v>
      </c>
      <c r="L834" s="52" t="s">
        <v>20</v>
      </c>
      <c r="M834" s="52">
        <v>178</v>
      </c>
      <c r="N834" s="52">
        <v>48</v>
      </c>
      <c r="O834" s="52">
        <v>52</v>
      </c>
      <c r="P834" s="52" t="s">
        <v>8774</v>
      </c>
      <c r="Q834" s="52" t="s">
        <v>1514</v>
      </c>
      <c r="R834" s="52" t="s">
        <v>10699</v>
      </c>
      <c r="S834" s="52">
        <f t="shared" ref="S834:S897" si="13">IF(OR(G834="",H834=""),"",ROUND(H834-G834,2))</f>
        <v>3.12</v>
      </c>
      <c r="T834" s="52"/>
      <c r="U834" s="52"/>
    </row>
    <row r="835" spans="1:21" s="46" customFormat="1" ht="16.5" thickTop="1" thickBot="1" x14ac:dyDescent="0.3">
      <c r="A835" s="50" t="s">
        <v>10568</v>
      </c>
      <c r="B835" s="43" t="s">
        <v>10569</v>
      </c>
      <c r="C835" s="43" t="s">
        <v>38</v>
      </c>
      <c r="D835" s="43" t="s">
        <v>17</v>
      </c>
      <c r="E835" s="43" t="s">
        <v>18</v>
      </c>
      <c r="F835" s="43" t="s">
        <v>42</v>
      </c>
      <c r="G835" s="48">
        <v>46237.543055555558</v>
      </c>
      <c r="H835" s="48">
        <v>46239.686805555553</v>
      </c>
      <c r="I835" s="43">
        <v>31</v>
      </c>
      <c r="J835" s="43" t="s">
        <v>1156</v>
      </c>
      <c r="K835" s="43" t="s">
        <v>1156</v>
      </c>
      <c r="L835" s="43" t="s">
        <v>36</v>
      </c>
      <c r="M835" s="43">
        <v>31</v>
      </c>
      <c r="N835" s="43">
        <v>30</v>
      </c>
      <c r="O835" s="43">
        <v>30</v>
      </c>
      <c r="P835" s="43" t="s">
        <v>9467</v>
      </c>
      <c r="Q835" s="43" t="s">
        <v>1517</v>
      </c>
      <c r="R835" s="43" t="s">
        <v>10698</v>
      </c>
      <c r="S835" s="52">
        <f t="shared" si="13"/>
        <v>2.14</v>
      </c>
      <c r="T835" s="47"/>
      <c r="U835" s="47"/>
    </row>
    <row r="836" spans="1:21" ht="16.5" thickTop="1" thickBot="1" x14ac:dyDescent="0.3">
      <c r="A836" s="51" t="s">
        <v>10567</v>
      </c>
      <c r="B836" s="52" t="s">
        <v>10494</v>
      </c>
      <c r="C836" s="52" t="s">
        <v>38</v>
      </c>
      <c r="D836" s="52" t="s">
        <v>17</v>
      </c>
      <c r="E836" s="52" t="s">
        <v>18</v>
      </c>
      <c r="F836" s="52" t="s">
        <v>28</v>
      </c>
      <c r="G836" s="53">
        <v>46237.54583333333</v>
      </c>
      <c r="H836" s="53">
        <v>46239.486805555556</v>
      </c>
      <c r="I836" s="52">
        <v>1451</v>
      </c>
      <c r="J836" s="52" t="s">
        <v>2373</v>
      </c>
      <c r="K836" s="52" t="s">
        <v>8264</v>
      </c>
      <c r="L836" s="52" t="s">
        <v>36</v>
      </c>
      <c r="M836" s="52">
        <v>1439</v>
      </c>
      <c r="N836" s="52">
        <v>1439</v>
      </c>
      <c r="O836" s="52">
        <v>1451</v>
      </c>
      <c r="P836" s="52" t="s">
        <v>10648</v>
      </c>
      <c r="Q836" s="52" t="s">
        <v>1517</v>
      </c>
      <c r="R836" s="52" t="s">
        <v>10697</v>
      </c>
      <c r="S836" s="52">
        <f t="shared" si="13"/>
        <v>1.94</v>
      </c>
      <c r="T836" s="52"/>
      <c r="U836" s="52"/>
    </row>
    <row r="837" spans="1:21" s="46" customFormat="1" ht="16.5" thickTop="1" thickBot="1" x14ac:dyDescent="0.3">
      <c r="A837" s="50" t="s">
        <v>10565</v>
      </c>
      <c r="B837" s="43" t="s">
        <v>10566</v>
      </c>
      <c r="C837" s="43" t="s">
        <v>38</v>
      </c>
      <c r="D837" s="43" t="s">
        <v>17</v>
      </c>
      <c r="E837" s="43" t="s">
        <v>18</v>
      </c>
      <c r="F837" s="43" t="s">
        <v>32</v>
      </c>
      <c r="G837" s="48">
        <v>46237.55</v>
      </c>
      <c r="H837" s="48">
        <v>46242.772916666669</v>
      </c>
      <c r="I837" s="43">
        <v>1</v>
      </c>
      <c r="J837" s="43" t="s">
        <v>2373</v>
      </c>
      <c r="K837" s="43" t="s">
        <v>8326</v>
      </c>
      <c r="L837" s="43" t="s">
        <v>33</v>
      </c>
      <c r="M837" s="43">
        <v>1</v>
      </c>
      <c r="N837" s="43">
        <v>1</v>
      </c>
      <c r="O837" s="43">
        <v>1</v>
      </c>
      <c r="P837" s="43" t="s">
        <v>1421</v>
      </c>
      <c r="Q837" s="43" t="s">
        <v>1517</v>
      </c>
      <c r="R837" s="43" t="s">
        <v>10696</v>
      </c>
      <c r="S837" s="52">
        <f t="shared" si="13"/>
        <v>5.22</v>
      </c>
      <c r="T837" s="47"/>
      <c r="U837" s="47"/>
    </row>
    <row r="838" spans="1:21" ht="16.5" thickTop="1" thickBot="1" x14ac:dyDescent="0.3">
      <c r="A838" s="51" t="s">
        <v>10563</v>
      </c>
      <c r="B838" s="52" t="s">
        <v>10564</v>
      </c>
      <c r="C838" s="52" t="s">
        <v>38</v>
      </c>
      <c r="D838" s="52" t="s">
        <v>17</v>
      </c>
      <c r="E838" s="52" t="s">
        <v>18</v>
      </c>
      <c r="F838" s="52" t="s">
        <v>42</v>
      </c>
      <c r="G838" s="53">
        <v>46237.551388888889</v>
      </c>
      <c r="H838" s="53">
        <v>46240.663888888892</v>
      </c>
      <c r="I838" s="52">
        <v>1220</v>
      </c>
      <c r="J838" s="52" t="s">
        <v>1156</v>
      </c>
      <c r="K838" s="52" t="s">
        <v>1156</v>
      </c>
      <c r="L838" s="52" t="s">
        <v>20</v>
      </c>
      <c r="M838" s="52">
        <v>72</v>
      </c>
      <c r="N838" s="52">
        <v>10</v>
      </c>
      <c r="O838" s="52">
        <v>169</v>
      </c>
      <c r="P838" s="52" t="s">
        <v>10694</v>
      </c>
      <c r="Q838" s="52" t="s">
        <v>1517</v>
      </c>
      <c r="R838" s="52" t="s">
        <v>10695</v>
      </c>
      <c r="S838" s="52">
        <f t="shared" si="13"/>
        <v>3.11</v>
      </c>
      <c r="T838" s="52"/>
      <c r="U838" s="52"/>
    </row>
    <row r="839" spans="1:21" s="46" customFormat="1" ht="16.5" thickTop="1" thickBot="1" x14ac:dyDescent="0.3">
      <c r="A839" s="50" t="s">
        <v>10561</v>
      </c>
      <c r="B839" s="43" t="s">
        <v>10562</v>
      </c>
      <c r="C839" s="43" t="s">
        <v>38</v>
      </c>
      <c r="D839" s="43" t="s">
        <v>17</v>
      </c>
      <c r="E839" s="43" t="s">
        <v>18</v>
      </c>
      <c r="F839" s="43" t="s">
        <v>32</v>
      </c>
      <c r="G839" s="48">
        <v>46237.554166666669</v>
      </c>
      <c r="H839" s="48">
        <v>46240.588194444441</v>
      </c>
      <c r="I839" s="43">
        <v>1</v>
      </c>
      <c r="J839" s="43" t="s">
        <v>2373</v>
      </c>
      <c r="K839" s="43" t="s">
        <v>8326</v>
      </c>
      <c r="L839" s="43" t="s">
        <v>25</v>
      </c>
      <c r="M839" s="43">
        <v>1</v>
      </c>
      <c r="N839" s="43">
        <v>1</v>
      </c>
      <c r="O839" s="43">
        <v>1</v>
      </c>
      <c r="P839" s="43" t="s">
        <v>1421</v>
      </c>
      <c r="Q839" s="43" t="s">
        <v>1517</v>
      </c>
      <c r="R839" s="43" t="s">
        <v>10693</v>
      </c>
      <c r="S839" s="52">
        <f t="shared" si="13"/>
        <v>3.03</v>
      </c>
      <c r="T839" s="47"/>
      <c r="U839" s="47"/>
    </row>
    <row r="840" spans="1:21" ht="16.5" thickTop="1" thickBot="1" x14ac:dyDescent="0.3">
      <c r="A840" s="51" t="s">
        <v>10559</v>
      </c>
      <c r="B840" s="52" t="s">
        <v>10560</v>
      </c>
      <c r="C840" s="52" t="s">
        <v>38</v>
      </c>
      <c r="D840" s="52" t="s">
        <v>17</v>
      </c>
      <c r="E840" s="52" t="s">
        <v>18</v>
      </c>
      <c r="F840" s="52" t="s">
        <v>32</v>
      </c>
      <c r="G840" s="53">
        <v>46237.559027777781</v>
      </c>
      <c r="H840" s="53">
        <v>46240.563194444447</v>
      </c>
      <c r="I840" s="52">
        <v>1</v>
      </c>
      <c r="J840" s="52" t="s">
        <v>2373</v>
      </c>
      <c r="K840" s="52" t="s">
        <v>8326</v>
      </c>
      <c r="L840" s="52" t="s">
        <v>33</v>
      </c>
      <c r="M840" s="52">
        <v>1</v>
      </c>
      <c r="N840" s="52">
        <v>1</v>
      </c>
      <c r="O840" s="52">
        <v>1</v>
      </c>
      <c r="P840" s="52" t="s">
        <v>1421</v>
      </c>
      <c r="Q840" s="52" t="s">
        <v>1517</v>
      </c>
      <c r="R840" s="52" t="s">
        <v>10692</v>
      </c>
      <c r="S840" s="52">
        <f t="shared" si="13"/>
        <v>3</v>
      </c>
      <c r="T840" s="52"/>
      <c r="U840" s="52"/>
    </row>
    <row r="841" spans="1:21" s="46" customFormat="1" ht="16.5" thickTop="1" thickBot="1" x14ac:dyDescent="0.3">
      <c r="A841" s="50" t="s">
        <v>10557</v>
      </c>
      <c r="B841" s="43" t="s">
        <v>10558</v>
      </c>
      <c r="C841" s="43" t="s">
        <v>38</v>
      </c>
      <c r="D841" s="43" t="s">
        <v>17</v>
      </c>
      <c r="E841" s="43" t="s">
        <v>18</v>
      </c>
      <c r="F841" s="43" t="s">
        <v>19</v>
      </c>
      <c r="G841" s="48">
        <v>46237.584027777775</v>
      </c>
      <c r="H841" s="48">
        <v>46239.652777777781</v>
      </c>
      <c r="I841" s="43">
        <v>13</v>
      </c>
      <c r="J841" s="43" t="s">
        <v>1156</v>
      </c>
      <c r="K841" s="43" t="s">
        <v>1156</v>
      </c>
      <c r="L841" s="43" t="s">
        <v>36</v>
      </c>
      <c r="M841" s="43">
        <v>13</v>
      </c>
      <c r="N841" s="43">
        <v>13</v>
      </c>
      <c r="O841" s="43">
        <v>13</v>
      </c>
      <c r="P841" s="43" t="s">
        <v>9540</v>
      </c>
      <c r="Q841" s="43" t="s">
        <v>1517</v>
      </c>
      <c r="R841" s="43" t="s">
        <v>10691</v>
      </c>
      <c r="S841" s="52">
        <f t="shared" si="13"/>
        <v>2.0699999999999998</v>
      </c>
      <c r="T841" s="47"/>
      <c r="U841" s="47"/>
    </row>
    <row r="842" spans="1:21" ht="16.5" thickTop="1" thickBot="1" x14ac:dyDescent="0.3">
      <c r="A842" s="51" t="s">
        <v>10555</v>
      </c>
      <c r="B842" s="52" t="s">
        <v>10556</v>
      </c>
      <c r="C842" s="52" t="s">
        <v>38</v>
      </c>
      <c r="D842" s="52" t="s">
        <v>17</v>
      </c>
      <c r="E842" s="52" t="s">
        <v>18</v>
      </c>
      <c r="F842" s="52" t="s">
        <v>32</v>
      </c>
      <c r="G842" s="53">
        <v>46237.629861111112</v>
      </c>
      <c r="H842" s="53">
        <v>46240.535416666666</v>
      </c>
      <c r="I842" s="52">
        <v>2</v>
      </c>
      <c r="J842" s="52" t="s">
        <v>1156</v>
      </c>
      <c r="K842" s="52" t="s">
        <v>8331</v>
      </c>
      <c r="L842" s="52" t="s">
        <v>33</v>
      </c>
      <c r="M842" s="52">
        <v>2</v>
      </c>
      <c r="N842" s="52">
        <v>2</v>
      </c>
      <c r="O842" s="52">
        <v>2</v>
      </c>
      <c r="P842" s="52" t="s">
        <v>10688</v>
      </c>
      <c r="Q842" s="52" t="s">
        <v>1546</v>
      </c>
      <c r="R842" s="52" t="s">
        <v>10690</v>
      </c>
      <c r="S842" s="52">
        <f t="shared" si="13"/>
        <v>2.91</v>
      </c>
      <c r="T842" s="52"/>
      <c r="U842" s="52"/>
    </row>
    <row r="843" spans="1:21" s="46" customFormat="1" ht="16.5" thickTop="1" thickBot="1" x14ac:dyDescent="0.3">
      <c r="A843" s="50" t="s">
        <v>10553</v>
      </c>
      <c r="B843" s="43" t="s">
        <v>10554</v>
      </c>
      <c r="C843" s="43" t="s">
        <v>38</v>
      </c>
      <c r="D843" s="43" t="s">
        <v>17</v>
      </c>
      <c r="E843" s="43" t="s">
        <v>18</v>
      </c>
      <c r="F843" s="43" t="s">
        <v>32</v>
      </c>
      <c r="G843" s="48">
        <v>46237.63958333333</v>
      </c>
      <c r="H843" s="48">
        <v>46240.540277777778</v>
      </c>
      <c r="I843" s="43">
        <v>3</v>
      </c>
      <c r="J843" s="43" t="s">
        <v>1156</v>
      </c>
      <c r="K843" s="43" t="s">
        <v>1156</v>
      </c>
      <c r="L843" s="43" t="s">
        <v>33</v>
      </c>
      <c r="M843" s="43">
        <v>3</v>
      </c>
      <c r="N843" s="43">
        <v>3</v>
      </c>
      <c r="O843" s="43">
        <v>3</v>
      </c>
      <c r="P843" s="43" t="s">
        <v>10688</v>
      </c>
      <c r="Q843" s="43" t="s">
        <v>1517</v>
      </c>
      <c r="R843" s="43" t="s">
        <v>10689</v>
      </c>
      <c r="S843" s="52">
        <f t="shared" si="13"/>
        <v>2.9</v>
      </c>
      <c r="T843" s="47"/>
      <c r="U843" s="47"/>
    </row>
    <row r="844" spans="1:21" ht="16.5" thickTop="1" thickBot="1" x14ac:dyDescent="0.3">
      <c r="A844" s="51" t="s">
        <v>10551</v>
      </c>
      <c r="B844" s="52" t="s">
        <v>10552</v>
      </c>
      <c r="C844" s="52" t="s">
        <v>1129</v>
      </c>
      <c r="D844" s="52" t="s">
        <v>17</v>
      </c>
      <c r="E844" s="52" t="s">
        <v>18</v>
      </c>
      <c r="F844" s="52" t="s">
        <v>32</v>
      </c>
      <c r="G844" s="53">
        <v>46237.665972222225</v>
      </c>
      <c r="H844" s="53">
        <v>46241.378472222219</v>
      </c>
      <c r="I844" s="52">
        <v>1202</v>
      </c>
      <c r="J844" s="52" t="s">
        <v>2373</v>
      </c>
      <c r="K844" s="52" t="s">
        <v>8317</v>
      </c>
      <c r="L844" s="52" t="s">
        <v>25</v>
      </c>
      <c r="M844" s="52">
        <v>1202</v>
      </c>
      <c r="N844" s="52">
        <v>185</v>
      </c>
      <c r="O844" s="52">
        <v>185</v>
      </c>
      <c r="P844" s="52" t="s">
        <v>10687</v>
      </c>
      <c r="Q844" s="52" t="s">
        <v>1517</v>
      </c>
      <c r="R844" s="52"/>
      <c r="S844" s="52">
        <f t="shared" si="13"/>
        <v>3.71</v>
      </c>
      <c r="T844" s="52"/>
      <c r="U844" s="52"/>
    </row>
    <row r="845" spans="1:21" s="46" customFormat="1" ht="16.5" thickTop="1" thickBot="1" x14ac:dyDescent="0.3">
      <c r="A845" s="50" t="s">
        <v>10549</v>
      </c>
      <c r="B845" s="43" t="s">
        <v>10550</v>
      </c>
      <c r="C845" s="43" t="s">
        <v>38</v>
      </c>
      <c r="D845" s="43" t="s">
        <v>17</v>
      </c>
      <c r="E845" s="43" t="s">
        <v>18</v>
      </c>
      <c r="F845" s="43" t="s">
        <v>42</v>
      </c>
      <c r="G845" s="48">
        <v>46237.668055555558</v>
      </c>
      <c r="H845" s="48">
        <v>46240.553472222222</v>
      </c>
      <c r="I845" s="43">
        <v>2</v>
      </c>
      <c r="J845" s="43" t="s">
        <v>1156</v>
      </c>
      <c r="K845" s="43" t="s">
        <v>1156</v>
      </c>
      <c r="L845" s="43" t="s">
        <v>33</v>
      </c>
      <c r="M845" s="43">
        <v>2</v>
      </c>
      <c r="N845" s="43">
        <v>2</v>
      </c>
      <c r="O845" s="43">
        <v>2</v>
      </c>
      <c r="P845" s="43" t="s">
        <v>9030</v>
      </c>
      <c r="Q845" s="43" t="s">
        <v>1517</v>
      </c>
      <c r="R845" s="43" t="s">
        <v>10686</v>
      </c>
      <c r="S845" s="52">
        <f t="shared" si="13"/>
        <v>2.89</v>
      </c>
      <c r="T845" s="47"/>
      <c r="U845" s="47"/>
    </row>
    <row r="846" spans="1:21" ht="16.5" thickTop="1" thickBot="1" x14ac:dyDescent="0.3">
      <c r="A846" s="51" t="s">
        <v>10547</v>
      </c>
      <c r="B846" s="52" t="s">
        <v>10548</v>
      </c>
      <c r="C846" s="52" t="s">
        <v>38</v>
      </c>
      <c r="D846" s="52" t="s">
        <v>17</v>
      </c>
      <c r="E846" s="52" t="s">
        <v>18</v>
      </c>
      <c r="F846" s="52" t="s">
        <v>42</v>
      </c>
      <c r="G846" s="53">
        <v>46237.677777777775</v>
      </c>
      <c r="H846" s="53">
        <v>46241.077777777777</v>
      </c>
      <c r="I846" s="52">
        <v>1337</v>
      </c>
      <c r="J846" s="52" t="s">
        <v>1156</v>
      </c>
      <c r="K846" s="52" t="s">
        <v>1156</v>
      </c>
      <c r="L846" s="52" t="s">
        <v>25</v>
      </c>
      <c r="M846" s="52">
        <v>1291</v>
      </c>
      <c r="N846" s="52">
        <v>157</v>
      </c>
      <c r="O846" s="52">
        <v>162</v>
      </c>
      <c r="P846" s="52" t="s">
        <v>10684</v>
      </c>
      <c r="Q846" s="52" t="s">
        <v>1517</v>
      </c>
      <c r="R846" s="52" t="s">
        <v>10685</v>
      </c>
      <c r="S846" s="52">
        <f t="shared" si="13"/>
        <v>3.4</v>
      </c>
      <c r="T846" s="52"/>
      <c r="U846" s="52"/>
    </row>
    <row r="847" spans="1:21" s="46" customFormat="1" ht="16.5" thickTop="1" thickBot="1" x14ac:dyDescent="0.3">
      <c r="A847" s="50" t="s">
        <v>10545</v>
      </c>
      <c r="B847" s="43" t="s">
        <v>10546</v>
      </c>
      <c r="C847" s="43" t="s">
        <v>38</v>
      </c>
      <c r="D847" s="43" t="s">
        <v>17</v>
      </c>
      <c r="E847" s="43" t="s">
        <v>18</v>
      </c>
      <c r="F847" s="43" t="s">
        <v>42</v>
      </c>
      <c r="G847" s="48">
        <v>46237.684027777781</v>
      </c>
      <c r="H847" s="48">
        <v>46240.511111111111</v>
      </c>
      <c r="I847" s="43">
        <v>19</v>
      </c>
      <c r="J847" s="43" t="s">
        <v>2373</v>
      </c>
      <c r="K847" s="43" t="s">
        <v>8317</v>
      </c>
      <c r="L847" s="43" t="s">
        <v>37</v>
      </c>
      <c r="M847" s="43">
        <v>19</v>
      </c>
      <c r="N847" s="43">
        <v>19</v>
      </c>
      <c r="O847" s="43">
        <v>19</v>
      </c>
      <c r="P847" s="43" t="s">
        <v>10682</v>
      </c>
      <c r="Q847" s="43" t="s">
        <v>1517</v>
      </c>
      <c r="R847" s="43" t="s">
        <v>10683</v>
      </c>
      <c r="S847" s="52">
        <f t="shared" si="13"/>
        <v>2.83</v>
      </c>
      <c r="T847" s="47"/>
      <c r="U847" s="47"/>
    </row>
    <row r="848" spans="1:21" ht="16.5" thickTop="1" thickBot="1" x14ac:dyDescent="0.3">
      <c r="A848" s="51" t="s">
        <v>10543</v>
      </c>
      <c r="B848" s="52" t="s">
        <v>10544</v>
      </c>
      <c r="C848" s="52" t="s">
        <v>38</v>
      </c>
      <c r="D848" s="52" t="s">
        <v>17</v>
      </c>
      <c r="E848" s="52" t="s">
        <v>18</v>
      </c>
      <c r="F848" s="52" t="s">
        <v>32</v>
      </c>
      <c r="G848" s="53">
        <v>46237.699305555558</v>
      </c>
      <c r="H848" s="53">
        <v>46240.55972222222</v>
      </c>
      <c r="I848" s="52">
        <v>41</v>
      </c>
      <c r="J848" s="52" t="s">
        <v>1156</v>
      </c>
      <c r="K848" s="52" t="s">
        <v>1156</v>
      </c>
      <c r="L848" s="52" t="s">
        <v>8486</v>
      </c>
      <c r="M848" s="52">
        <v>41</v>
      </c>
      <c r="N848" s="52">
        <v>41</v>
      </c>
      <c r="O848" s="52">
        <v>41</v>
      </c>
      <c r="P848" s="52" t="s">
        <v>8760</v>
      </c>
      <c r="Q848" s="52" t="s">
        <v>1514</v>
      </c>
      <c r="R848" s="52" t="s">
        <v>10681</v>
      </c>
      <c r="S848" s="52">
        <f t="shared" si="13"/>
        <v>2.86</v>
      </c>
      <c r="T848" s="52"/>
      <c r="U848" s="52"/>
    </row>
    <row r="849" spans="1:21" s="46" customFormat="1" ht="16.5" thickTop="1" thickBot="1" x14ac:dyDescent="0.3">
      <c r="A849" s="50" t="s">
        <v>10541</v>
      </c>
      <c r="B849" s="43" t="s">
        <v>10542</v>
      </c>
      <c r="C849" s="43" t="s">
        <v>38</v>
      </c>
      <c r="D849" s="43" t="s">
        <v>17</v>
      </c>
      <c r="E849" s="43" t="s">
        <v>18</v>
      </c>
      <c r="F849" s="43" t="s">
        <v>32</v>
      </c>
      <c r="G849" s="48">
        <v>46237.703472222223</v>
      </c>
      <c r="H849" s="48">
        <v>46240.692361111112</v>
      </c>
      <c r="I849" s="43">
        <v>25</v>
      </c>
      <c r="J849" s="43" t="s">
        <v>1156</v>
      </c>
      <c r="K849" s="43" t="s">
        <v>1156</v>
      </c>
      <c r="L849" s="43" t="s">
        <v>8486</v>
      </c>
      <c r="M849" s="43">
        <v>25</v>
      </c>
      <c r="N849" s="43">
        <v>25</v>
      </c>
      <c r="O849" s="43">
        <v>25</v>
      </c>
      <c r="P849" s="43" t="s">
        <v>10679</v>
      </c>
      <c r="Q849" s="43" t="s">
        <v>1514</v>
      </c>
      <c r="R849" s="43" t="s">
        <v>10680</v>
      </c>
      <c r="S849" s="52">
        <f t="shared" si="13"/>
        <v>2.99</v>
      </c>
      <c r="T849" s="47"/>
      <c r="U849" s="47"/>
    </row>
    <row r="850" spans="1:21" ht="16.5" thickTop="1" thickBot="1" x14ac:dyDescent="0.3">
      <c r="A850" s="51" t="s">
        <v>10539</v>
      </c>
      <c r="B850" s="52" t="s">
        <v>10540</v>
      </c>
      <c r="C850" s="52" t="s">
        <v>38</v>
      </c>
      <c r="D850" s="52" t="s">
        <v>17</v>
      </c>
      <c r="E850" s="52" t="s">
        <v>18</v>
      </c>
      <c r="F850" s="52" t="s">
        <v>28</v>
      </c>
      <c r="G850" s="53">
        <v>46237.71875</v>
      </c>
      <c r="H850" s="53">
        <v>46239.660416666666</v>
      </c>
      <c r="I850" s="52">
        <v>11</v>
      </c>
      <c r="J850" s="52" t="s">
        <v>1156</v>
      </c>
      <c r="K850" s="52" t="s">
        <v>10281</v>
      </c>
      <c r="L850" s="52" t="s">
        <v>33</v>
      </c>
      <c r="M850" s="52">
        <v>11</v>
      </c>
      <c r="N850" s="52">
        <v>11</v>
      </c>
      <c r="O850" s="52">
        <v>11</v>
      </c>
      <c r="P850" s="52" t="s">
        <v>1415</v>
      </c>
      <c r="Q850" s="52" t="s">
        <v>1546</v>
      </c>
      <c r="R850" s="52" t="s">
        <v>10678</v>
      </c>
      <c r="S850" s="52">
        <f t="shared" si="13"/>
        <v>1.94</v>
      </c>
      <c r="T850" s="52"/>
      <c r="U850" s="52"/>
    </row>
    <row r="851" spans="1:21" s="46" customFormat="1" ht="16.5" thickTop="1" thickBot="1" x14ac:dyDescent="0.3">
      <c r="A851" s="50" t="s">
        <v>10537</v>
      </c>
      <c r="B851" s="43" t="s">
        <v>10538</v>
      </c>
      <c r="C851" s="43" t="s">
        <v>38</v>
      </c>
      <c r="D851" s="43" t="s">
        <v>17</v>
      </c>
      <c r="E851" s="43" t="s">
        <v>18</v>
      </c>
      <c r="F851" s="43" t="s">
        <v>42</v>
      </c>
      <c r="G851" s="48">
        <v>46237.761805555558</v>
      </c>
      <c r="H851" s="48">
        <v>46241.525694444441</v>
      </c>
      <c r="I851" s="43">
        <v>80</v>
      </c>
      <c r="J851" s="43" t="s">
        <v>1156</v>
      </c>
      <c r="K851" s="43" t="s">
        <v>1156</v>
      </c>
      <c r="L851" s="43" t="s">
        <v>10676</v>
      </c>
      <c r="M851" s="43">
        <v>80</v>
      </c>
      <c r="N851" s="43">
        <v>80</v>
      </c>
      <c r="O851" s="43">
        <v>80</v>
      </c>
      <c r="P851" s="43" t="s">
        <v>1300</v>
      </c>
      <c r="Q851" s="43" t="s">
        <v>1517</v>
      </c>
      <c r="R851" s="43" t="s">
        <v>10677</v>
      </c>
      <c r="S851" s="52">
        <f t="shared" si="13"/>
        <v>3.76</v>
      </c>
      <c r="T851" s="47"/>
      <c r="U851" s="47"/>
    </row>
    <row r="852" spans="1:21" ht="16.5" thickTop="1" thickBot="1" x14ac:dyDescent="0.3">
      <c r="A852" s="51" t="s">
        <v>10535</v>
      </c>
      <c r="B852" s="52" t="s">
        <v>10536</v>
      </c>
      <c r="C852" s="52" t="s">
        <v>38</v>
      </c>
      <c r="D852" s="52" t="s">
        <v>17</v>
      </c>
      <c r="E852" s="52" t="s">
        <v>18</v>
      </c>
      <c r="F852" s="52" t="s">
        <v>32</v>
      </c>
      <c r="G852" s="53">
        <v>46237.772222222222</v>
      </c>
      <c r="H852" s="53">
        <v>46240.566666666666</v>
      </c>
      <c r="I852" s="52">
        <v>128</v>
      </c>
      <c r="J852" s="52" t="s">
        <v>1156</v>
      </c>
      <c r="K852" s="52" t="s">
        <v>1156</v>
      </c>
      <c r="L852" s="52" t="s">
        <v>25</v>
      </c>
      <c r="M852" s="52">
        <v>116</v>
      </c>
      <c r="N852" s="52">
        <v>19</v>
      </c>
      <c r="O852" s="52">
        <v>21</v>
      </c>
      <c r="P852" s="52" t="s">
        <v>10674</v>
      </c>
      <c r="Q852" s="52" t="s">
        <v>1517</v>
      </c>
      <c r="R852" s="52" t="s">
        <v>10675</v>
      </c>
      <c r="S852" s="52">
        <f t="shared" si="13"/>
        <v>2.79</v>
      </c>
      <c r="T852" s="52"/>
      <c r="U852" s="52"/>
    </row>
    <row r="853" spans="1:21" s="46" customFormat="1" ht="16.5" thickTop="1" thickBot="1" x14ac:dyDescent="0.3">
      <c r="A853" s="50" t="s">
        <v>10533</v>
      </c>
      <c r="B853" s="43" t="s">
        <v>10534</v>
      </c>
      <c r="C853" s="43" t="s">
        <v>9636</v>
      </c>
      <c r="D853" s="43" t="s">
        <v>17</v>
      </c>
      <c r="E853" s="43" t="s">
        <v>18</v>
      </c>
      <c r="F853" s="43" t="s">
        <v>42</v>
      </c>
      <c r="G853" s="48">
        <v>46237.777777777781</v>
      </c>
      <c r="H853" s="48">
        <v>46241.806944444441</v>
      </c>
      <c r="I853" s="43">
        <v>3235</v>
      </c>
      <c r="J853" s="43" t="s">
        <v>1156</v>
      </c>
      <c r="K853" s="43" t="s">
        <v>8350</v>
      </c>
      <c r="L853" s="43" t="s">
        <v>31</v>
      </c>
      <c r="M853" s="43"/>
      <c r="N853" s="43"/>
      <c r="O853" s="43">
        <v>349</v>
      </c>
      <c r="P853" s="43" t="s">
        <v>1341</v>
      </c>
      <c r="Q853" s="43" t="s">
        <v>1546</v>
      </c>
      <c r="R853" s="43"/>
      <c r="S853" s="52">
        <f t="shared" si="13"/>
        <v>4.03</v>
      </c>
      <c r="T853" s="47"/>
      <c r="U853" s="47"/>
    </row>
    <row r="854" spans="1:21" ht="16.5" thickTop="1" thickBot="1" x14ac:dyDescent="0.3">
      <c r="A854" s="51" t="s">
        <v>10531</v>
      </c>
      <c r="B854" s="52" t="s">
        <v>10532</v>
      </c>
      <c r="C854" s="52" t="s">
        <v>38</v>
      </c>
      <c r="D854" s="52" t="s">
        <v>17</v>
      </c>
      <c r="E854" s="52" t="s">
        <v>18</v>
      </c>
      <c r="F854" s="52" t="s">
        <v>32</v>
      </c>
      <c r="G854" s="53">
        <v>46237.78125</v>
      </c>
      <c r="H854" s="53">
        <v>46241.678472222222</v>
      </c>
      <c r="I854" s="52">
        <v>3</v>
      </c>
      <c r="J854" s="52" t="s">
        <v>2373</v>
      </c>
      <c r="K854" s="52" t="s">
        <v>8317</v>
      </c>
      <c r="L854" s="52" t="s">
        <v>33</v>
      </c>
      <c r="M854" s="52">
        <v>3</v>
      </c>
      <c r="N854" s="52">
        <v>3</v>
      </c>
      <c r="O854" s="52">
        <v>3</v>
      </c>
      <c r="P854" s="52" t="s">
        <v>8576</v>
      </c>
      <c r="Q854" s="52" t="s">
        <v>1546</v>
      </c>
      <c r="R854" s="52" t="s">
        <v>10673</v>
      </c>
      <c r="S854" s="52">
        <f t="shared" si="13"/>
        <v>3.9</v>
      </c>
      <c r="T854" s="52"/>
      <c r="U854" s="52"/>
    </row>
    <row r="855" spans="1:21" s="46" customFormat="1" ht="16.5" thickTop="1" thickBot="1" x14ac:dyDescent="0.3">
      <c r="A855" s="50" t="s">
        <v>10529</v>
      </c>
      <c r="B855" s="43" t="s">
        <v>10530</v>
      </c>
      <c r="C855" s="43" t="s">
        <v>38</v>
      </c>
      <c r="D855" s="43" t="s">
        <v>17</v>
      </c>
      <c r="E855" s="43" t="s">
        <v>18</v>
      </c>
      <c r="F855" s="43" t="s">
        <v>32</v>
      </c>
      <c r="G855" s="48">
        <v>46237.784722222219</v>
      </c>
      <c r="H855" s="48">
        <v>46240.532638888886</v>
      </c>
      <c r="I855" s="43">
        <v>7</v>
      </c>
      <c r="J855" s="43" t="s">
        <v>2373</v>
      </c>
      <c r="K855" s="43" t="s">
        <v>8310</v>
      </c>
      <c r="L855" s="43" t="s">
        <v>33</v>
      </c>
      <c r="M855" s="43">
        <v>6</v>
      </c>
      <c r="N855" s="43">
        <v>6</v>
      </c>
      <c r="O855" s="43">
        <v>7</v>
      </c>
      <c r="P855" s="43" t="s">
        <v>9846</v>
      </c>
      <c r="Q855" s="43" t="s">
        <v>1517</v>
      </c>
      <c r="R855" s="43" t="s">
        <v>10672</v>
      </c>
      <c r="S855" s="52">
        <f t="shared" si="13"/>
        <v>2.75</v>
      </c>
      <c r="T855" s="47"/>
      <c r="U855" s="47"/>
    </row>
    <row r="856" spans="1:21" ht="16.5" thickTop="1" thickBot="1" x14ac:dyDescent="0.3">
      <c r="A856" s="51" t="s">
        <v>10527</v>
      </c>
      <c r="B856" s="52" t="s">
        <v>10528</v>
      </c>
      <c r="C856" s="52" t="s">
        <v>38</v>
      </c>
      <c r="D856" s="52" t="s">
        <v>17</v>
      </c>
      <c r="E856" s="52" t="s">
        <v>18</v>
      </c>
      <c r="F856" s="52" t="s">
        <v>32</v>
      </c>
      <c r="G856" s="53">
        <v>46237.787499999999</v>
      </c>
      <c r="H856" s="53">
        <v>46239.668055555558</v>
      </c>
      <c r="I856" s="52">
        <v>1</v>
      </c>
      <c r="J856" s="52" t="s">
        <v>1156</v>
      </c>
      <c r="K856" s="52" t="s">
        <v>1156</v>
      </c>
      <c r="L856" s="52" t="s">
        <v>33</v>
      </c>
      <c r="M856" s="52">
        <v>1</v>
      </c>
      <c r="N856" s="52">
        <v>1</v>
      </c>
      <c r="O856" s="52">
        <v>1</v>
      </c>
      <c r="P856" s="52" t="s">
        <v>2026</v>
      </c>
      <c r="Q856" s="52" t="s">
        <v>1517</v>
      </c>
      <c r="R856" s="52" t="s">
        <v>10671</v>
      </c>
      <c r="S856" s="52">
        <f t="shared" si="13"/>
        <v>1.88</v>
      </c>
      <c r="T856" s="52"/>
      <c r="U856" s="52"/>
    </row>
    <row r="857" spans="1:21" s="46" customFormat="1" ht="16.5" thickTop="1" thickBot="1" x14ac:dyDescent="0.3">
      <c r="A857" s="50" t="s">
        <v>10525</v>
      </c>
      <c r="B857" s="43" t="s">
        <v>10526</v>
      </c>
      <c r="C857" s="43" t="s">
        <v>38</v>
      </c>
      <c r="D857" s="43" t="s">
        <v>17</v>
      </c>
      <c r="E857" s="43" t="s">
        <v>18</v>
      </c>
      <c r="F857" s="43" t="s">
        <v>32</v>
      </c>
      <c r="G857" s="48">
        <v>46237.790972222225</v>
      </c>
      <c r="H857" s="48">
        <v>46242.824999999997</v>
      </c>
      <c r="I857" s="43">
        <v>523</v>
      </c>
      <c r="J857" s="43" t="s">
        <v>1156</v>
      </c>
      <c r="K857" s="43" t="s">
        <v>1156</v>
      </c>
      <c r="L857" s="43" t="s">
        <v>25</v>
      </c>
      <c r="M857" s="43">
        <v>521</v>
      </c>
      <c r="N857" s="43">
        <v>119</v>
      </c>
      <c r="O857" s="43">
        <v>120</v>
      </c>
      <c r="P857" s="43" t="s">
        <v>1318</v>
      </c>
      <c r="Q857" s="43" t="s">
        <v>1517</v>
      </c>
      <c r="R857" s="43" t="s">
        <v>10670</v>
      </c>
      <c r="S857" s="52">
        <f t="shared" si="13"/>
        <v>5.03</v>
      </c>
      <c r="T857" s="47"/>
      <c r="U857" s="47"/>
    </row>
    <row r="858" spans="1:21" ht="16.5" thickTop="1" thickBot="1" x14ac:dyDescent="0.3">
      <c r="A858" s="51" t="s">
        <v>10523</v>
      </c>
      <c r="B858" s="52" t="s">
        <v>10524</v>
      </c>
      <c r="C858" s="52" t="s">
        <v>38</v>
      </c>
      <c r="D858" s="52" t="s">
        <v>17</v>
      </c>
      <c r="E858" s="52" t="s">
        <v>18</v>
      </c>
      <c r="F858" s="52" t="s">
        <v>32</v>
      </c>
      <c r="G858" s="53">
        <v>46237.793749999997</v>
      </c>
      <c r="H858" s="53">
        <v>46240.676388888889</v>
      </c>
      <c r="I858" s="52">
        <v>20</v>
      </c>
      <c r="J858" s="52" t="s">
        <v>1156</v>
      </c>
      <c r="K858" s="52" t="s">
        <v>1156</v>
      </c>
      <c r="L858" s="52" t="s">
        <v>33</v>
      </c>
      <c r="M858" s="52">
        <v>20</v>
      </c>
      <c r="N858" s="52">
        <v>20</v>
      </c>
      <c r="O858" s="52">
        <v>20</v>
      </c>
      <c r="P858" s="52" t="s">
        <v>1460</v>
      </c>
      <c r="Q858" s="52" t="s">
        <v>1546</v>
      </c>
      <c r="R858" s="52" t="s">
        <v>10669</v>
      </c>
      <c r="S858" s="52">
        <f t="shared" si="13"/>
        <v>2.88</v>
      </c>
      <c r="T858" s="52"/>
      <c r="U858" s="52"/>
    </row>
    <row r="859" spans="1:21" s="46" customFormat="1" ht="16.5" thickTop="1" thickBot="1" x14ac:dyDescent="0.3">
      <c r="A859" s="50" t="s">
        <v>10521</v>
      </c>
      <c r="B859" s="43" t="s">
        <v>10522</v>
      </c>
      <c r="C859" s="43" t="s">
        <v>35</v>
      </c>
      <c r="D859" s="43" t="s">
        <v>17</v>
      </c>
      <c r="E859" s="43" t="s">
        <v>18</v>
      </c>
      <c r="F859" s="43" t="s">
        <v>42</v>
      </c>
      <c r="G859" s="48">
        <v>46238.584027777775</v>
      </c>
      <c r="H859" s="48">
        <v>46242.574999999997</v>
      </c>
      <c r="I859" s="43">
        <v>14</v>
      </c>
      <c r="J859" s="43" t="s">
        <v>1156</v>
      </c>
      <c r="K859" s="43" t="s">
        <v>10666</v>
      </c>
      <c r="L859" s="43" t="s">
        <v>8475</v>
      </c>
      <c r="M859" s="43"/>
      <c r="N859" s="43"/>
      <c r="O859" s="43">
        <v>14</v>
      </c>
      <c r="P859" s="43" t="s">
        <v>10667</v>
      </c>
      <c r="Q859" s="43" t="s">
        <v>1517</v>
      </c>
      <c r="R859" s="43" t="s">
        <v>10668</v>
      </c>
      <c r="S859" s="52">
        <f t="shared" si="13"/>
        <v>3.99</v>
      </c>
      <c r="T859" s="47"/>
      <c r="U859" s="47"/>
    </row>
    <row r="860" spans="1:21" ht="16.5" thickTop="1" thickBot="1" x14ac:dyDescent="0.3">
      <c r="A860" s="51" t="s">
        <v>10519</v>
      </c>
      <c r="B860" s="52" t="s">
        <v>10520</v>
      </c>
      <c r="C860" s="52" t="s">
        <v>38</v>
      </c>
      <c r="D860" s="52" t="s">
        <v>17</v>
      </c>
      <c r="E860" s="52" t="s">
        <v>18</v>
      </c>
      <c r="F860" s="52" t="s">
        <v>32</v>
      </c>
      <c r="G860" s="53">
        <v>46238.59375</v>
      </c>
      <c r="H860" s="53">
        <v>46242.71597222222</v>
      </c>
      <c r="I860" s="52">
        <v>38</v>
      </c>
      <c r="J860" s="52" t="s">
        <v>2373</v>
      </c>
      <c r="K860" s="52" t="s">
        <v>8317</v>
      </c>
      <c r="L860" s="52" t="s">
        <v>36</v>
      </c>
      <c r="M860" s="52">
        <v>38</v>
      </c>
      <c r="N860" s="52">
        <v>38</v>
      </c>
      <c r="O860" s="52">
        <v>38</v>
      </c>
      <c r="P860" s="52" t="s">
        <v>1330</v>
      </c>
      <c r="Q860" s="52" t="s">
        <v>1517</v>
      </c>
      <c r="R860" s="52" t="s">
        <v>10665</v>
      </c>
      <c r="S860" s="52">
        <f t="shared" si="13"/>
        <v>4.12</v>
      </c>
      <c r="T860" s="52"/>
      <c r="U860" s="52"/>
    </row>
    <row r="861" spans="1:21" s="46" customFormat="1" ht="16.5" thickTop="1" thickBot="1" x14ac:dyDescent="0.3">
      <c r="A861" s="50" t="s">
        <v>10517</v>
      </c>
      <c r="B861" s="43" t="s">
        <v>10518</v>
      </c>
      <c r="C861" s="43" t="s">
        <v>38</v>
      </c>
      <c r="D861" s="43" t="s">
        <v>17</v>
      </c>
      <c r="E861" s="43" t="s">
        <v>18</v>
      </c>
      <c r="F861" s="43" t="s">
        <v>42</v>
      </c>
      <c r="G861" s="48">
        <v>46238.617361111108</v>
      </c>
      <c r="H861" s="48">
        <v>46242.821527777778</v>
      </c>
      <c r="I861" s="43">
        <v>261</v>
      </c>
      <c r="J861" s="43" t="s">
        <v>1156</v>
      </c>
      <c r="K861" s="43" t="s">
        <v>1156</v>
      </c>
      <c r="L861" s="43" t="s">
        <v>25</v>
      </c>
      <c r="M861" s="43">
        <v>186</v>
      </c>
      <c r="N861" s="43">
        <v>32</v>
      </c>
      <c r="O861" s="43">
        <v>47</v>
      </c>
      <c r="P861" s="43" t="s">
        <v>10338</v>
      </c>
      <c r="Q861" s="43" t="s">
        <v>1517</v>
      </c>
      <c r="R861" s="43" t="s">
        <v>10664</v>
      </c>
      <c r="S861" s="52">
        <f t="shared" si="13"/>
        <v>4.2</v>
      </c>
      <c r="T861" s="47"/>
      <c r="U861" s="47"/>
    </row>
    <row r="862" spans="1:21" ht="16.5" thickTop="1" thickBot="1" x14ac:dyDescent="0.3">
      <c r="A862" s="51" t="s">
        <v>10515</v>
      </c>
      <c r="B862" s="52" t="s">
        <v>10516</v>
      </c>
      <c r="C862" s="52" t="s">
        <v>38</v>
      </c>
      <c r="D862" s="52" t="s">
        <v>17</v>
      </c>
      <c r="E862" s="52" t="s">
        <v>18</v>
      </c>
      <c r="F862" s="52" t="s">
        <v>42</v>
      </c>
      <c r="G862" s="53">
        <v>46238.629861111112</v>
      </c>
      <c r="H862" s="53">
        <v>46243.017361111109</v>
      </c>
      <c r="I862" s="52">
        <v>161</v>
      </c>
      <c r="J862" s="52" t="s">
        <v>1156</v>
      </c>
      <c r="K862" s="52" t="s">
        <v>1156</v>
      </c>
      <c r="L862" s="52" t="s">
        <v>25</v>
      </c>
      <c r="M862" s="52">
        <v>161</v>
      </c>
      <c r="N862" s="52">
        <v>20</v>
      </c>
      <c r="O862" s="52">
        <v>20</v>
      </c>
      <c r="P862" s="52" t="s">
        <v>10662</v>
      </c>
      <c r="Q862" s="52" t="s">
        <v>1517</v>
      </c>
      <c r="R862" s="52" t="s">
        <v>10663</v>
      </c>
      <c r="S862" s="52">
        <f t="shared" si="13"/>
        <v>4.3899999999999997</v>
      </c>
      <c r="T862" s="52"/>
      <c r="U862" s="52"/>
    </row>
    <row r="863" spans="1:21" s="46" customFormat="1" ht="16.5" thickTop="1" thickBot="1" x14ac:dyDescent="0.3">
      <c r="A863" s="50" t="s">
        <v>10513</v>
      </c>
      <c r="B863" s="43" t="s">
        <v>10514</v>
      </c>
      <c r="C863" s="43" t="s">
        <v>38</v>
      </c>
      <c r="D863" s="43" t="s">
        <v>17</v>
      </c>
      <c r="E863" s="43" t="s">
        <v>18</v>
      </c>
      <c r="F863" s="43" t="s">
        <v>42</v>
      </c>
      <c r="G863" s="48">
        <v>46238.632638888892</v>
      </c>
      <c r="H863" s="48">
        <v>46242.611805555556</v>
      </c>
      <c r="I863" s="43">
        <v>40</v>
      </c>
      <c r="J863" s="43" t="s">
        <v>1156</v>
      </c>
      <c r="K863" s="43" t="s">
        <v>1156</v>
      </c>
      <c r="L863" s="43" t="s">
        <v>36</v>
      </c>
      <c r="M863" s="43">
        <v>40</v>
      </c>
      <c r="N863" s="43">
        <v>40</v>
      </c>
      <c r="O863" s="43">
        <v>40</v>
      </c>
      <c r="P863" s="43" t="s">
        <v>1429</v>
      </c>
      <c r="Q863" s="43" t="s">
        <v>1517</v>
      </c>
      <c r="R863" s="43" t="s">
        <v>10661</v>
      </c>
      <c r="S863" s="52">
        <f t="shared" si="13"/>
        <v>3.98</v>
      </c>
      <c r="T863" s="47"/>
      <c r="U863" s="47"/>
    </row>
    <row r="864" spans="1:21" ht="16.5" thickTop="1" thickBot="1" x14ac:dyDescent="0.3">
      <c r="A864" s="51" t="s">
        <v>10511</v>
      </c>
      <c r="B864" s="52" t="s">
        <v>10512</v>
      </c>
      <c r="C864" s="52" t="s">
        <v>38</v>
      </c>
      <c r="D864" s="52" t="s">
        <v>17</v>
      </c>
      <c r="E864" s="52" t="s">
        <v>18</v>
      </c>
      <c r="F864" s="52" t="s">
        <v>42</v>
      </c>
      <c r="G864" s="53">
        <v>46238.638194444444</v>
      </c>
      <c r="H864" s="53">
        <v>46240.699305555558</v>
      </c>
      <c r="I864" s="52">
        <v>152</v>
      </c>
      <c r="J864" s="52" t="s">
        <v>1156</v>
      </c>
      <c r="K864" s="52" t="s">
        <v>1156</v>
      </c>
      <c r="L864" s="52" t="s">
        <v>20</v>
      </c>
      <c r="M864" s="52">
        <v>128</v>
      </c>
      <c r="N864" s="52">
        <v>20</v>
      </c>
      <c r="O864" s="52">
        <v>24</v>
      </c>
      <c r="P864" s="52" t="s">
        <v>1414</v>
      </c>
      <c r="Q864" s="52" t="s">
        <v>1517</v>
      </c>
      <c r="R864" s="52" t="s">
        <v>10660</v>
      </c>
      <c r="S864" s="52">
        <f t="shared" si="13"/>
        <v>2.06</v>
      </c>
      <c r="T864" s="52"/>
      <c r="U864" s="52"/>
    </row>
    <row r="865" spans="1:21" s="46" customFormat="1" ht="16.5" thickTop="1" thickBot="1" x14ac:dyDescent="0.3">
      <c r="A865" s="50" t="s">
        <v>10509</v>
      </c>
      <c r="B865" s="43" t="s">
        <v>10510</v>
      </c>
      <c r="C865" s="43" t="s">
        <v>38</v>
      </c>
      <c r="D865" s="43" t="s">
        <v>17</v>
      </c>
      <c r="E865" s="43" t="s">
        <v>18</v>
      </c>
      <c r="F865" s="43" t="s">
        <v>42</v>
      </c>
      <c r="G865" s="48">
        <v>46238.654861111114</v>
      </c>
      <c r="H865" s="48">
        <v>46240.682638888888</v>
      </c>
      <c r="I865" s="43">
        <v>21</v>
      </c>
      <c r="J865" s="43" t="s">
        <v>1156</v>
      </c>
      <c r="K865" s="43" t="s">
        <v>1156</v>
      </c>
      <c r="L865" s="43" t="s">
        <v>36</v>
      </c>
      <c r="M865" s="43">
        <v>21</v>
      </c>
      <c r="N865" s="43">
        <v>21</v>
      </c>
      <c r="O865" s="43">
        <v>21</v>
      </c>
      <c r="P865" s="43" t="s">
        <v>1330</v>
      </c>
      <c r="Q865" s="43" t="s">
        <v>1517</v>
      </c>
      <c r="R865" s="43" t="s">
        <v>10659</v>
      </c>
      <c r="S865" s="52">
        <f t="shared" si="13"/>
        <v>2.0299999999999998</v>
      </c>
      <c r="T865" s="47"/>
      <c r="U865" s="47"/>
    </row>
    <row r="866" spans="1:21" ht="16.5" thickTop="1" thickBot="1" x14ac:dyDescent="0.3">
      <c r="A866" s="51" t="s">
        <v>10507</v>
      </c>
      <c r="B866" s="52" t="s">
        <v>10508</v>
      </c>
      <c r="C866" s="52" t="s">
        <v>38</v>
      </c>
      <c r="D866" s="52" t="s">
        <v>17</v>
      </c>
      <c r="E866" s="52" t="s">
        <v>18</v>
      </c>
      <c r="F866" s="52" t="s">
        <v>42</v>
      </c>
      <c r="G866" s="53">
        <v>46238.686805555553</v>
      </c>
      <c r="H866" s="53">
        <v>46240.845833333333</v>
      </c>
      <c r="I866" s="52">
        <v>39</v>
      </c>
      <c r="J866" s="52" t="s">
        <v>1156</v>
      </c>
      <c r="K866" s="52" t="s">
        <v>1156</v>
      </c>
      <c r="L866" s="52" t="s">
        <v>33</v>
      </c>
      <c r="M866" s="52">
        <v>40</v>
      </c>
      <c r="N866" s="52">
        <v>40</v>
      </c>
      <c r="O866" s="52">
        <v>40</v>
      </c>
      <c r="P866" s="52" t="s">
        <v>10657</v>
      </c>
      <c r="Q866" s="52" t="s">
        <v>1546</v>
      </c>
      <c r="R866" s="52" t="s">
        <v>10658</v>
      </c>
      <c r="S866" s="52">
        <f t="shared" si="13"/>
        <v>2.16</v>
      </c>
      <c r="T866" s="52"/>
      <c r="U866" s="52"/>
    </row>
    <row r="867" spans="1:21" s="46" customFormat="1" ht="16.5" thickTop="1" thickBot="1" x14ac:dyDescent="0.3">
      <c r="A867" s="50" t="s">
        <v>10505</v>
      </c>
      <c r="B867" s="43" t="s">
        <v>10506</v>
      </c>
      <c r="C867" s="43" t="s">
        <v>38</v>
      </c>
      <c r="D867" s="43" t="s">
        <v>17</v>
      </c>
      <c r="E867" s="43" t="s">
        <v>18</v>
      </c>
      <c r="F867" s="43" t="s">
        <v>42</v>
      </c>
      <c r="G867" s="48">
        <v>46238.763194444444</v>
      </c>
      <c r="H867" s="48">
        <v>46242.75277777778</v>
      </c>
      <c r="I867" s="43">
        <v>58</v>
      </c>
      <c r="J867" s="43" t="s">
        <v>2373</v>
      </c>
      <c r="K867" s="43" t="s">
        <v>8317</v>
      </c>
      <c r="L867" s="43" t="s">
        <v>25</v>
      </c>
      <c r="M867" s="43">
        <v>58</v>
      </c>
      <c r="N867" s="43">
        <v>58</v>
      </c>
      <c r="O867" s="43">
        <v>58</v>
      </c>
      <c r="P867" s="43" t="s">
        <v>1333</v>
      </c>
      <c r="Q867" s="43" t="s">
        <v>1517</v>
      </c>
      <c r="R867" s="43" t="s">
        <v>10656</v>
      </c>
      <c r="S867" s="52">
        <f t="shared" si="13"/>
        <v>3.99</v>
      </c>
      <c r="T867" s="47"/>
      <c r="U867" s="47"/>
    </row>
    <row r="868" spans="1:21" ht="16.5" thickTop="1" thickBot="1" x14ac:dyDescent="0.3">
      <c r="A868" s="51" t="s">
        <v>10503</v>
      </c>
      <c r="B868" s="52" t="s">
        <v>10504</v>
      </c>
      <c r="C868" s="52" t="s">
        <v>38</v>
      </c>
      <c r="D868" s="52" t="s">
        <v>17</v>
      </c>
      <c r="E868" s="52" t="s">
        <v>18</v>
      </c>
      <c r="F868" s="52" t="s">
        <v>42</v>
      </c>
      <c r="G868" s="53">
        <v>46238.76458333333</v>
      </c>
      <c r="H868" s="53">
        <v>46241.539583333331</v>
      </c>
      <c r="I868" s="52">
        <v>3</v>
      </c>
      <c r="J868" s="52" t="s">
        <v>1156</v>
      </c>
      <c r="K868" s="52" t="s">
        <v>1156</v>
      </c>
      <c r="L868" s="52" t="s">
        <v>33</v>
      </c>
      <c r="M868" s="52">
        <v>3</v>
      </c>
      <c r="N868" s="52">
        <v>3</v>
      </c>
      <c r="O868" s="52">
        <v>3</v>
      </c>
      <c r="P868" s="52" t="s">
        <v>9634</v>
      </c>
      <c r="Q868" s="52" t="s">
        <v>1517</v>
      </c>
      <c r="R868" s="52" t="s">
        <v>10655</v>
      </c>
      <c r="S868" s="52">
        <f t="shared" si="13"/>
        <v>2.78</v>
      </c>
      <c r="T868" s="52"/>
      <c r="U868" s="52"/>
    </row>
    <row r="869" spans="1:21" s="46" customFormat="1" ht="16.5" thickTop="1" thickBot="1" x14ac:dyDescent="0.3">
      <c r="A869" s="50" t="s">
        <v>10501</v>
      </c>
      <c r="B869" s="43" t="s">
        <v>10502</v>
      </c>
      <c r="C869" s="43" t="s">
        <v>38</v>
      </c>
      <c r="D869" s="43" t="s">
        <v>17</v>
      </c>
      <c r="E869" s="43" t="s">
        <v>18</v>
      </c>
      <c r="F869" s="43" t="s">
        <v>42</v>
      </c>
      <c r="G869" s="48">
        <v>46238.768750000003</v>
      </c>
      <c r="H869" s="48">
        <v>46240.6875</v>
      </c>
      <c r="I869" s="43">
        <v>51</v>
      </c>
      <c r="J869" s="43" t="s">
        <v>1156</v>
      </c>
      <c r="K869" s="43" t="s">
        <v>1156</v>
      </c>
      <c r="L869" s="43" t="s">
        <v>36</v>
      </c>
      <c r="M869" s="43">
        <v>51</v>
      </c>
      <c r="N869" s="43">
        <v>49</v>
      </c>
      <c r="O869" s="43">
        <v>49</v>
      </c>
      <c r="P869" s="43" t="s">
        <v>1443</v>
      </c>
      <c r="Q869" s="43" t="s">
        <v>1517</v>
      </c>
      <c r="R869" s="43" t="s">
        <v>10654</v>
      </c>
      <c r="S869" s="52">
        <f t="shared" si="13"/>
        <v>1.92</v>
      </c>
      <c r="T869" s="47"/>
      <c r="U869" s="47"/>
    </row>
    <row r="870" spans="1:21" ht="16.5" thickTop="1" thickBot="1" x14ac:dyDescent="0.3">
      <c r="A870" s="51" t="s">
        <v>10499</v>
      </c>
      <c r="B870" s="52" t="s">
        <v>10500</v>
      </c>
      <c r="C870" s="52" t="s">
        <v>38</v>
      </c>
      <c r="D870" s="52" t="s">
        <v>17</v>
      </c>
      <c r="E870" s="52" t="s">
        <v>18</v>
      </c>
      <c r="F870" s="52" t="s">
        <v>42</v>
      </c>
      <c r="G870" s="53">
        <v>46238.773611111108</v>
      </c>
      <c r="H870" s="53">
        <v>46242.652083333334</v>
      </c>
      <c r="I870" s="52">
        <v>62</v>
      </c>
      <c r="J870" s="52" t="s">
        <v>1156</v>
      </c>
      <c r="K870" s="52" t="s">
        <v>1156</v>
      </c>
      <c r="L870" s="52" t="s">
        <v>33</v>
      </c>
      <c r="M870" s="52">
        <v>58</v>
      </c>
      <c r="N870" s="52">
        <v>58</v>
      </c>
      <c r="O870" s="52">
        <v>62</v>
      </c>
      <c r="P870" s="52" t="s">
        <v>10652</v>
      </c>
      <c r="Q870" s="52" t="s">
        <v>1546</v>
      </c>
      <c r="R870" s="52" t="s">
        <v>10653</v>
      </c>
      <c r="S870" s="52">
        <f t="shared" si="13"/>
        <v>3.88</v>
      </c>
      <c r="T870" s="52"/>
      <c r="U870" s="52"/>
    </row>
    <row r="871" spans="1:21" s="46" customFormat="1" ht="16.5" thickTop="1" thickBot="1" x14ac:dyDescent="0.3">
      <c r="A871" s="50" t="s">
        <v>10497</v>
      </c>
      <c r="B871" s="43" t="s">
        <v>10498</v>
      </c>
      <c r="C871" s="43" t="s">
        <v>38</v>
      </c>
      <c r="D871" s="43" t="s">
        <v>17</v>
      </c>
      <c r="E871" s="43" t="s">
        <v>18</v>
      </c>
      <c r="F871" s="43" t="s">
        <v>42</v>
      </c>
      <c r="G871" s="48">
        <v>46238.813888888886</v>
      </c>
      <c r="H871" s="48">
        <v>46243.063888888886</v>
      </c>
      <c r="I871" s="43">
        <v>123</v>
      </c>
      <c r="J871" s="43" t="s">
        <v>1156</v>
      </c>
      <c r="K871" s="43" t="s">
        <v>8294</v>
      </c>
      <c r="L871" s="43" t="s">
        <v>25</v>
      </c>
      <c r="M871" s="43">
        <v>109</v>
      </c>
      <c r="N871" s="43">
        <v>20</v>
      </c>
      <c r="O871" s="43">
        <v>21</v>
      </c>
      <c r="P871" s="43" t="s">
        <v>1410</v>
      </c>
      <c r="Q871" s="43" t="s">
        <v>1546</v>
      </c>
      <c r="R871" s="43" t="s">
        <v>10651</v>
      </c>
      <c r="S871" s="52">
        <f t="shared" si="13"/>
        <v>4.25</v>
      </c>
      <c r="T871" s="47"/>
      <c r="U871" s="47"/>
    </row>
    <row r="872" spans="1:21" ht="16.5" thickTop="1" thickBot="1" x14ac:dyDescent="0.3">
      <c r="A872" s="51" t="s">
        <v>10495</v>
      </c>
      <c r="B872" s="52" t="s">
        <v>10496</v>
      </c>
      <c r="C872" s="52" t="s">
        <v>38</v>
      </c>
      <c r="D872" s="52" t="s">
        <v>17</v>
      </c>
      <c r="E872" s="52" t="s">
        <v>18</v>
      </c>
      <c r="F872" s="52" t="s">
        <v>32</v>
      </c>
      <c r="G872" s="53">
        <v>46238.820138888892</v>
      </c>
      <c r="H872" s="53">
        <v>46240.710416666669</v>
      </c>
      <c r="I872" s="52">
        <v>565</v>
      </c>
      <c r="J872" s="52" t="s">
        <v>1156</v>
      </c>
      <c r="K872" s="52" t="s">
        <v>1156</v>
      </c>
      <c r="L872" s="52" t="s">
        <v>25</v>
      </c>
      <c r="M872" s="52">
        <v>565</v>
      </c>
      <c r="N872" s="52">
        <v>114</v>
      </c>
      <c r="O872" s="52">
        <v>114</v>
      </c>
      <c r="P872" s="52" t="s">
        <v>1318</v>
      </c>
      <c r="Q872" s="52" t="s">
        <v>1517</v>
      </c>
      <c r="R872" s="52" t="s">
        <v>10650</v>
      </c>
      <c r="S872" s="52">
        <f t="shared" si="13"/>
        <v>1.89</v>
      </c>
      <c r="T872" s="52"/>
      <c r="U872" s="52"/>
    </row>
    <row r="873" spans="1:21" s="46" customFormat="1" ht="16.5" thickTop="1" thickBot="1" x14ac:dyDescent="0.3">
      <c r="A873" s="50" t="s">
        <v>10493</v>
      </c>
      <c r="B873" s="43" t="s">
        <v>10494</v>
      </c>
      <c r="C873" s="43" t="s">
        <v>10893</v>
      </c>
      <c r="D873" s="43" t="s">
        <v>17</v>
      </c>
      <c r="E873" s="43" t="s">
        <v>18</v>
      </c>
      <c r="F873" s="43" t="s">
        <v>19</v>
      </c>
      <c r="G873" s="48">
        <v>46239.47152777778</v>
      </c>
      <c r="H873" s="48">
        <v>46242.779861111114</v>
      </c>
      <c r="I873" s="43" t="s">
        <v>10648</v>
      </c>
      <c r="J873" s="43" t="s">
        <v>2373</v>
      </c>
      <c r="K873" s="43" t="s">
        <v>8264</v>
      </c>
      <c r="L873" s="43" t="s">
        <v>36</v>
      </c>
      <c r="M873" s="43" t="s">
        <v>10648</v>
      </c>
      <c r="N873" s="43">
        <v>12</v>
      </c>
      <c r="O873" s="43">
        <v>12</v>
      </c>
      <c r="P873" s="43" t="s">
        <v>10648</v>
      </c>
      <c r="Q873" s="43" t="s">
        <v>1517</v>
      </c>
      <c r="R873" s="43" t="s">
        <v>10649</v>
      </c>
      <c r="S873" s="52">
        <f t="shared" si="13"/>
        <v>3.31</v>
      </c>
      <c r="T873" s="47"/>
      <c r="U873" s="47"/>
    </row>
    <row r="874" spans="1:21" ht="16.5" thickTop="1" thickBot="1" x14ac:dyDescent="0.3">
      <c r="A874" s="51" t="s">
        <v>10491</v>
      </c>
      <c r="B874" s="52" t="s">
        <v>10492</v>
      </c>
      <c r="C874" s="52" t="s">
        <v>38</v>
      </c>
      <c r="D874" s="52" t="s">
        <v>17</v>
      </c>
      <c r="E874" s="52" t="s">
        <v>18</v>
      </c>
      <c r="F874" s="52" t="s">
        <v>28</v>
      </c>
      <c r="G874" s="53">
        <v>46239.524305555555</v>
      </c>
      <c r="H874" s="53">
        <v>46240.754166666666</v>
      </c>
      <c r="I874" s="52">
        <v>69</v>
      </c>
      <c r="J874" s="52" t="s">
        <v>1156</v>
      </c>
      <c r="K874" s="52" t="s">
        <v>8350</v>
      </c>
      <c r="L874" s="52" t="s">
        <v>20</v>
      </c>
      <c r="M874" s="52">
        <v>69</v>
      </c>
      <c r="N874" s="52">
        <v>10</v>
      </c>
      <c r="O874" s="52">
        <v>10</v>
      </c>
      <c r="P874" s="52" t="s">
        <v>1434</v>
      </c>
      <c r="Q874" s="52" t="s">
        <v>1546</v>
      </c>
      <c r="R874" s="52" t="s">
        <v>10647</v>
      </c>
      <c r="S874" s="52">
        <f t="shared" si="13"/>
        <v>1.23</v>
      </c>
      <c r="T874" s="52"/>
      <c r="U874" s="52"/>
    </row>
    <row r="875" spans="1:21" s="46" customFormat="1" ht="16.5" thickTop="1" thickBot="1" x14ac:dyDescent="0.3">
      <c r="A875" s="50" t="s">
        <v>10489</v>
      </c>
      <c r="B875" s="43" t="s">
        <v>10490</v>
      </c>
      <c r="C875" s="43" t="s">
        <v>38</v>
      </c>
      <c r="D875" s="43" t="s">
        <v>17</v>
      </c>
      <c r="E875" s="43" t="s">
        <v>18</v>
      </c>
      <c r="F875" s="43" t="s">
        <v>32</v>
      </c>
      <c r="G875" s="48">
        <v>46239.527083333334</v>
      </c>
      <c r="H875" s="48">
        <v>46242.790972222225</v>
      </c>
      <c r="I875" s="43">
        <v>75</v>
      </c>
      <c r="J875" s="43" t="s">
        <v>1156</v>
      </c>
      <c r="K875" s="43" t="s">
        <v>1156</v>
      </c>
      <c r="L875" s="43" t="s">
        <v>20</v>
      </c>
      <c r="M875" s="43">
        <v>75</v>
      </c>
      <c r="N875" s="43">
        <v>10</v>
      </c>
      <c r="O875" s="43">
        <v>10</v>
      </c>
      <c r="P875" s="43" t="s">
        <v>9055</v>
      </c>
      <c r="Q875" s="43" t="s">
        <v>1517</v>
      </c>
      <c r="R875" s="43" t="s">
        <v>10646</v>
      </c>
      <c r="S875" s="52">
        <f t="shared" si="13"/>
        <v>3.26</v>
      </c>
      <c r="T875" s="47"/>
      <c r="U875" s="47"/>
    </row>
    <row r="876" spans="1:21" ht="16.5" thickTop="1" thickBot="1" x14ac:dyDescent="0.3">
      <c r="A876" s="51" t="s">
        <v>10487</v>
      </c>
      <c r="B876" s="52" t="s">
        <v>10488</v>
      </c>
      <c r="C876" s="52" t="s">
        <v>38</v>
      </c>
      <c r="D876" s="52" t="s">
        <v>17</v>
      </c>
      <c r="E876" s="52" t="s">
        <v>18</v>
      </c>
      <c r="F876" s="52" t="s">
        <v>28</v>
      </c>
      <c r="G876" s="53">
        <v>46239.532638888886</v>
      </c>
      <c r="H876" s="53">
        <v>46240.713194444441</v>
      </c>
      <c r="I876" s="52">
        <v>352</v>
      </c>
      <c r="J876" s="52" t="s">
        <v>1156</v>
      </c>
      <c r="K876" s="52" t="s">
        <v>1156</v>
      </c>
      <c r="L876" s="52" t="s">
        <v>20</v>
      </c>
      <c r="M876" s="52">
        <v>227</v>
      </c>
      <c r="N876" s="52">
        <v>29</v>
      </c>
      <c r="O876" s="52">
        <v>46</v>
      </c>
      <c r="P876" s="52" t="s">
        <v>1321</v>
      </c>
      <c r="Q876" s="52" t="s">
        <v>1514</v>
      </c>
      <c r="R876" s="52" t="s">
        <v>10645</v>
      </c>
      <c r="S876" s="52">
        <f t="shared" si="13"/>
        <v>1.18</v>
      </c>
      <c r="T876" s="52"/>
      <c r="U876" s="52"/>
    </row>
    <row r="877" spans="1:21" s="46" customFormat="1" ht="16.5" thickTop="1" thickBot="1" x14ac:dyDescent="0.3">
      <c r="A877" s="50" t="s">
        <v>10485</v>
      </c>
      <c r="B877" s="43" t="s">
        <v>10486</v>
      </c>
      <c r="C877" s="43" t="s">
        <v>38</v>
      </c>
      <c r="D877" s="43" t="s">
        <v>17</v>
      </c>
      <c r="E877" s="43" t="s">
        <v>18</v>
      </c>
      <c r="F877" s="43" t="s">
        <v>42</v>
      </c>
      <c r="G877" s="48">
        <v>46239.536805555559</v>
      </c>
      <c r="H877" s="48">
        <v>46242.72152777778</v>
      </c>
      <c r="I877" s="43">
        <v>92</v>
      </c>
      <c r="J877" s="43" t="s">
        <v>1156</v>
      </c>
      <c r="K877" s="43" t="s">
        <v>1156</v>
      </c>
      <c r="L877" s="43" t="s">
        <v>25</v>
      </c>
      <c r="M877" s="43">
        <v>92</v>
      </c>
      <c r="N877" s="43">
        <v>26</v>
      </c>
      <c r="O877" s="43">
        <v>26</v>
      </c>
      <c r="P877" s="43" t="s">
        <v>10644</v>
      </c>
      <c r="Q877" s="43" t="s">
        <v>1546</v>
      </c>
      <c r="R877" s="43"/>
      <c r="S877" s="52">
        <f t="shared" si="13"/>
        <v>3.18</v>
      </c>
      <c r="T877" s="47"/>
      <c r="U877" s="47"/>
    </row>
    <row r="878" spans="1:21" ht="16.5" thickTop="1" thickBot="1" x14ac:dyDescent="0.3">
      <c r="A878" s="51" t="s">
        <v>10483</v>
      </c>
      <c r="B878" s="52" t="s">
        <v>10484</v>
      </c>
      <c r="C878" s="52" t="s">
        <v>38</v>
      </c>
      <c r="D878" s="52" t="s">
        <v>17</v>
      </c>
      <c r="E878" s="52" t="s">
        <v>18</v>
      </c>
      <c r="F878" s="52" t="s">
        <v>42</v>
      </c>
      <c r="G878" s="53">
        <v>46239.542361111111</v>
      </c>
      <c r="H878" s="53">
        <v>46240.840277777781</v>
      </c>
      <c r="I878" s="52">
        <v>315</v>
      </c>
      <c r="J878" s="52" t="s">
        <v>1156</v>
      </c>
      <c r="K878" s="52" t="s">
        <v>1156</v>
      </c>
      <c r="L878" s="52" t="s">
        <v>25</v>
      </c>
      <c r="M878" s="52">
        <v>308</v>
      </c>
      <c r="N878" s="52">
        <v>50</v>
      </c>
      <c r="O878" s="52">
        <v>51</v>
      </c>
      <c r="P878" s="52" t="s">
        <v>10643</v>
      </c>
      <c r="Q878" s="52" t="s">
        <v>1546</v>
      </c>
      <c r="R878" s="52"/>
      <c r="S878" s="52">
        <f t="shared" si="13"/>
        <v>1.3</v>
      </c>
      <c r="T878" s="52"/>
      <c r="U878" s="52"/>
    </row>
    <row r="879" spans="1:21" s="46" customFormat="1" ht="16.5" thickTop="1" thickBot="1" x14ac:dyDescent="0.3">
      <c r="A879" s="50" t="s">
        <v>10481</v>
      </c>
      <c r="B879" s="43" t="s">
        <v>10482</v>
      </c>
      <c r="C879" s="43" t="s">
        <v>38</v>
      </c>
      <c r="D879" s="43" t="s">
        <v>17</v>
      </c>
      <c r="E879" s="43" t="s">
        <v>19</v>
      </c>
      <c r="F879" s="43" t="s">
        <v>10420</v>
      </c>
      <c r="G879" s="48">
        <v>46239.6875</v>
      </c>
      <c r="H879" s="48">
        <v>46239.85833333333</v>
      </c>
      <c r="I879" s="43">
        <v>2</v>
      </c>
      <c r="J879" s="43" t="s">
        <v>2373</v>
      </c>
      <c r="K879" s="43" t="s">
        <v>8317</v>
      </c>
      <c r="L879" s="43" t="s">
        <v>33</v>
      </c>
      <c r="M879" s="43">
        <v>2</v>
      </c>
      <c r="N879" s="43">
        <v>2</v>
      </c>
      <c r="O879" s="43">
        <v>2</v>
      </c>
      <c r="P879" s="43" t="s">
        <v>8627</v>
      </c>
      <c r="Q879" s="43" t="s">
        <v>1517</v>
      </c>
      <c r="R879" s="43" t="s">
        <v>10642</v>
      </c>
      <c r="S879" s="52">
        <f t="shared" si="13"/>
        <v>0.17</v>
      </c>
      <c r="T879" s="47"/>
      <c r="U879" s="47"/>
    </row>
    <row r="880" spans="1:21" ht="16.5" thickTop="1" thickBot="1" x14ac:dyDescent="0.3">
      <c r="A880" s="51" t="s">
        <v>10479</v>
      </c>
      <c r="B880" s="52" t="s">
        <v>10480</v>
      </c>
      <c r="C880" s="52" t="s">
        <v>38</v>
      </c>
      <c r="D880" s="52" t="s">
        <v>17</v>
      </c>
      <c r="E880" s="52" t="s">
        <v>18</v>
      </c>
      <c r="F880" s="52" t="s">
        <v>42</v>
      </c>
      <c r="G880" s="53">
        <v>46239.711805555555</v>
      </c>
      <c r="H880" s="53">
        <v>46240.839583333334</v>
      </c>
      <c r="I880" s="52">
        <v>173</v>
      </c>
      <c r="J880" s="52" t="s">
        <v>1156</v>
      </c>
      <c r="K880" s="52" t="s">
        <v>1156</v>
      </c>
      <c r="L880" s="52" t="s">
        <v>25</v>
      </c>
      <c r="M880" s="52">
        <v>173</v>
      </c>
      <c r="N880" s="52">
        <v>30</v>
      </c>
      <c r="O880" s="52">
        <v>30</v>
      </c>
      <c r="P880" s="52" t="s">
        <v>10640</v>
      </c>
      <c r="Q880" s="52" t="s">
        <v>1517</v>
      </c>
      <c r="R880" s="52" t="s">
        <v>10641</v>
      </c>
      <c r="S880" s="52">
        <f t="shared" si="13"/>
        <v>1.1299999999999999</v>
      </c>
      <c r="T880" s="52"/>
      <c r="U880" s="52"/>
    </row>
    <row r="881" spans="1:21" s="46" customFormat="1" ht="16.5" thickTop="1" thickBot="1" x14ac:dyDescent="0.3">
      <c r="A881" s="50" t="s">
        <v>10477</v>
      </c>
      <c r="B881" s="43" t="s">
        <v>10478</v>
      </c>
      <c r="C881" s="43" t="s">
        <v>38</v>
      </c>
      <c r="D881" s="43" t="s">
        <v>17</v>
      </c>
      <c r="E881" s="43" t="s">
        <v>18</v>
      </c>
      <c r="F881" s="43" t="s">
        <v>42</v>
      </c>
      <c r="G881" s="48">
        <v>46239.745138888888</v>
      </c>
      <c r="H881" s="48">
        <v>46241.513194444444</v>
      </c>
      <c r="I881" s="43">
        <v>1</v>
      </c>
      <c r="J881" s="43" t="s">
        <v>2373</v>
      </c>
      <c r="K881" s="43" t="s">
        <v>8317</v>
      </c>
      <c r="L881" s="43" t="s">
        <v>33</v>
      </c>
      <c r="M881" s="43">
        <v>1</v>
      </c>
      <c r="N881" s="43">
        <v>1</v>
      </c>
      <c r="O881" s="43">
        <v>1</v>
      </c>
      <c r="P881" s="43" t="s">
        <v>10331</v>
      </c>
      <c r="Q881" s="43" t="s">
        <v>1517</v>
      </c>
      <c r="R881" s="43" t="s">
        <v>10639</v>
      </c>
      <c r="S881" s="52">
        <f t="shared" si="13"/>
        <v>1.77</v>
      </c>
      <c r="T881" s="47"/>
      <c r="U881" s="47"/>
    </row>
    <row r="882" spans="1:21" ht="16.5" thickTop="1" thickBot="1" x14ac:dyDescent="0.3">
      <c r="A882" s="51" t="s">
        <v>10475</v>
      </c>
      <c r="B882" s="52" t="s">
        <v>10476</v>
      </c>
      <c r="C882" s="52" t="s">
        <v>38</v>
      </c>
      <c r="D882" s="52" t="s">
        <v>17</v>
      </c>
      <c r="E882" s="52" t="s">
        <v>18</v>
      </c>
      <c r="F882" s="52" t="s">
        <v>42</v>
      </c>
      <c r="G882" s="53">
        <v>46239.807638888888</v>
      </c>
      <c r="H882" s="53">
        <v>46242.556944444441</v>
      </c>
      <c r="I882" s="52">
        <v>17</v>
      </c>
      <c r="J882" s="52" t="s">
        <v>1156</v>
      </c>
      <c r="K882" s="52" t="s">
        <v>1156</v>
      </c>
      <c r="L882" s="52" t="s">
        <v>8475</v>
      </c>
      <c r="M882" s="52">
        <v>12</v>
      </c>
      <c r="N882" s="52">
        <v>12</v>
      </c>
      <c r="O882" s="52">
        <v>17</v>
      </c>
      <c r="P882" s="52" t="s">
        <v>10637</v>
      </c>
      <c r="Q882" s="52" t="s">
        <v>1517</v>
      </c>
      <c r="R882" s="52" t="s">
        <v>10638</v>
      </c>
      <c r="S882" s="52">
        <f t="shared" si="13"/>
        <v>2.75</v>
      </c>
      <c r="T882" s="52"/>
      <c r="U882" s="52"/>
    </row>
    <row r="883" spans="1:21" s="46" customFormat="1" ht="16.5" thickTop="1" thickBot="1" x14ac:dyDescent="0.3">
      <c r="A883" s="50" t="s">
        <v>10473</v>
      </c>
      <c r="B883" s="43" t="s">
        <v>10474</v>
      </c>
      <c r="C883" s="43" t="s">
        <v>38</v>
      </c>
      <c r="D883" s="43" t="s">
        <v>17</v>
      </c>
      <c r="E883" s="43" t="s">
        <v>18</v>
      </c>
      <c r="F883" s="43" t="s">
        <v>32</v>
      </c>
      <c r="G883" s="48">
        <v>46240.011805555558</v>
      </c>
      <c r="H883" s="48">
        <v>46241.548611111109</v>
      </c>
      <c r="I883" s="43">
        <v>5</v>
      </c>
      <c r="J883" s="43" t="s">
        <v>1156</v>
      </c>
      <c r="K883" s="43" t="s">
        <v>1156</v>
      </c>
      <c r="L883" s="43" t="s">
        <v>33</v>
      </c>
      <c r="M883" s="43">
        <v>5</v>
      </c>
      <c r="N883" s="43">
        <v>5</v>
      </c>
      <c r="O883" s="43">
        <v>5</v>
      </c>
      <c r="P883" s="43" t="s">
        <v>8450</v>
      </c>
      <c r="Q883" s="43" t="s">
        <v>1517</v>
      </c>
      <c r="R883" s="43" t="s">
        <v>10636</v>
      </c>
      <c r="S883" s="52">
        <f t="shared" si="13"/>
        <v>1.54</v>
      </c>
      <c r="T883" s="47"/>
      <c r="U883" s="47"/>
    </row>
    <row r="884" spans="1:21" ht="16.5" thickTop="1" thickBot="1" x14ac:dyDescent="0.3">
      <c r="A884" s="51" t="s">
        <v>10472</v>
      </c>
      <c r="B884" s="52" t="s">
        <v>10031</v>
      </c>
      <c r="C884" s="52" t="s">
        <v>38</v>
      </c>
      <c r="D884" s="52" t="s">
        <v>17</v>
      </c>
      <c r="E884" s="52" t="s">
        <v>19</v>
      </c>
      <c r="F884" s="52" t="s">
        <v>19</v>
      </c>
      <c r="G884" s="53">
        <v>46240.443055555559</v>
      </c>
      <c r="H884" s="53">
        <v>46240.722916666666</v>
      </c>
      <c r="I884" s="52">
        <v>1</v>
      </c>
      <c r="J884" s="52" t="s">
        <v>1156</v>
      </c>
      <c r="K884" s="52" t="s">
        <v>1156</v>
      </c>
      <c r="L884" s="52" t="s">
        <v>33</v>
      </c>
      <c r="M884" s="52">
        <v>1</v>
      </c>
      <c r="N884" s="52">
        <v>1</v>
      </c>
      <c r="O884" s="52">
        <v>1</v>
      </c>
      <c r="P884" s="52" t="s">
        <v>9526</v>
      </c>
      <c r="Q884" s="52" t="s">
        <v>1514</v>
      </c>
      <c r="R884" s="52" t="s">
        <v>10635</v>
      </c>
      <c r="S884" s="52">
        <f t="shared" si="13"/>
        <v>0.28000000000000003</v>
      </c>
      <c r="T884" s="52"/>
      <c r="U884" s="52"/>
    </row>
    <row r="885" spans="1:21" s="46" customFormat="1" ht="16.5" thickTop="1" thickBot="1" x14ac:dyDescent="0.3">
      <c r="A885" s="50" t="s">
        <v>10470</v>
      </c>
      <c r="B885" s="43" t="s">
        <v>10471</v>
      </c>
      <c r="C885" s="43" t="s">
        <v>38</v>
      </c>
      <c r="D885" s="43" t="s">
        <v>17</v>
      </c>
      <c r="E885" s="43" t="s">
        <v>18</v>
      </c>
      <c r="F885" s="43" t="s">
        <v>32</v>
      </c>
      <c r="G885" s="48">
        <v>46240.464583333334</v>
      </c>
      <c r="H885" s="48">
        <v>46241.681944444441</v>
      </c>
      <c r="I885" s="43">
        <v>4</v>
      </c>
      <c r="J885" s="43" t="s">
        <v>1156</v>
      </c>
      <c r="K885" s="43" t="s">
        <v>1156</v>
      </c>
      <c r="L885" s="43" t="s">
        <v>33</v>
      </c>
      <c r="M885" s="43">
        <v>4</v>
      </c>
      <c r="N885" s="43">
        <v>4</v>
      </c>
      <c r="O885" s="43">
        <v>4</v>
      </c>
      <c r="P885" s="43" t="s">
        <v>10633</v>
      </c>
      <c r="Q885" s="43" t="s">
        <v>1546</v>
      </c>
      <c r="R885" s="43" t="s">
        <v>10634</v>
      </c>
      <c r="S885" s="52">
        <f t="shared" si="13"/>
        <v>1.22</v>
      </c>
      <c r="T885" s="47"/>
      <c r="U885" s="47"/>
    </row>
    <row r="886" spans="1:21" ht="16.5" thickTop="1" thickBot="1" x14ac:dyDescent="0.3">
      <c r="A886" s="51" t="s">
        <v>10468</v>
      </c>
      <c r="B886" s="52" t="s">
        <v>10469</v>
      </c>
      <c r="C886" s="52" t="s">
        <v>38</v>
      </c>
      <c r="D886" s="52" t="s">
        <v>17</v>
      </c>
      <c r="E886" s="52" t="s">
        <v>18</v>
      </c>
      <c r="F886" s="52" t="s">
        <v>32</v>
      </c>
      <c r="G886" s="53">
        <v>46240.526388888888</v>
      </c>
      <c r="H886" s="53">
        <v>46241.679861111108</v>
      </c>
      <c r="I886" s="52">
        <v>6</v>
      </c>
      <c r="J886" s="52" t="s">
        <v>2373</v>
      </c>
      <c r="K886" s="52" t="s">
        <v>8317</v>
      </c>
      <c r="L886" s="52" t="s">
        <v>33</v>
      </c>
      <c r="M886" s="52">
        <v>6</v>
      </c>
      <c r="N886" s="52">
        <v>6</v>
      </c>
      <c r="O886" s="52">
        <v>6</v>
      </c>
      <c r="P886" s="52" t="s">
        <v>1417</v>
      </c>
      <c r="Q886" s="52" t="s">
        <v>1517</v>
      </c>
      <c r="R886" s="52" t="s">
        <v>10632</v>
      </c>
      <c r="S886" s="52">
        <f t="shared" si="13"/>
        <v>1.1499999999999999</v>
      </c>
      <c r="T886" s="52"/>
      <c r="U886" s="52"/>
    </row>
    <row r="887" spans="1:21" s="46" customFormat="1" ht="16.5" thickTop="1" thickBot="1" x14ac:dyDescent="0.3">
      <c r="A887" s="50" t="s">
        <v>10466</v>
      </c>
      <c r="B887" s="43" t="s">
        <v>10467</v>
      </c>
      <c r="C887" s="43" t="s">
        <v>39</v>
      </c>
      <c r="D887" s="43" t="s">
        <v>17</v>
      </c>
      <c r="E887" s="43" t="s">
        <v>18</v>
      </c>
      <c r="F887" s="43" t="s">
        <v>32</v>
      </c>
      <c r="G887" s="48">
        <v>46240.574305555558</v>
      </c>
      <c r="H887" s="48">
        <v>46241.671527777777</v>
      </c>
      <c r="I887" s="43">
        <v>60</v>
      </c>
      <c r="J887" s="43" t="s">
        <v>1156</v>
      </c>
      <c r="K887" s="43" t="s">
        <v>1156</v>
      </c>
      <c r="L887" s="43" t="s">
        <v>20</v>
      </c>
      <c r="M887" s="43">
        <v>60</v>
      </c>
      <c r="N887" s="43">
        <v>10</v>
      </c>
      <c r="O887" s="43">
        <v>10</v>
      </c>
      <c r="P887" s="43" t="s">
        <v>10630</v>
      </c>
      <c r="Q887" s="43" t="s">
        <v>1514</v>
      </c>
      <c r="R887" s="43" t="s">
        <v>10631</v>
      </c>
      <c r="S887" s="52">
        <f t="shared" si="13"/>
        <v>1.1000000000000001</v>
      </c>
      <c r="T887" s="47"/>
      <c r="U887" s="47"/>
    </row>
    <row r="888" spans="1:21" ht="16.5" thickTop="1" thickBot="1" x14ac:dyDescent="0.3">
      <c r="A888" s="51" t="s">
        <v>10464</v>
      </c>
      <c r="B888" s="52" t="s">
        <v>10465</v>
      </c>
      <c r="C888" s="52" t="s">
        <v>38</v>
      </c>
      <c r="D888" s="52" t="s">
        <v>17</v>
      </c>
      <c r="E888" s="52" t="s">
        <v>18</v>
      </c>
      <c r="F888" s="52" t="s">
        <v>32</v>
      </c>
      <c r="G888" s="53">
        <v>46240.585416666669</v>
      </c>
      <c r="H888" s="53">
        <v>46242.631944444445</v>
      </c>
      <c r="I888" s="52">
        <v>25</v>
      </c>
      <c r="J888" s="52" t="s">
        <v>1156</v>
      </c>
      <c r="K888" s="52" t="s">
        <v>1156</v>
      </c>
      <c r="L888" s="52" t="s">
        <v>36</v>
      </c>
      <c r="M888" s="52">
        <v>25</v>
      </c>
      <c r="N888" s="52">
        <v>25</v>
      </c>
      <c r="O888" s="52">
        <v>25</v>
      </c>
      <c r="P888" s="52" t="s">
        <v>10628</v>
      </c>
      <c r="Q888" s="52" t="s">
        <v>1517</v>
      </c>
      <c r="R888" s="52" t="s">
        <v>10629</v>
      </c>
      <c r="S888" s="52">
        <f t="shared" si="13"/>
        <v>2.0499999999999998</v>
      </c>
      <c r="T888" s="52"/>
      <c r="U888" s="52"/>
    </row>
    <row r="889" spans="1:21" s="46" customFormat="1" ht="16.5" thickTop="1" thickBot="1" x14ac:dyDescent="0.3">
      <c r="A889" s="50" t="s">
        <v>10462</v>
      </c>
      <c r="B889" s="43" t="s">
        <v>10463</v>
      </c>
      <c r="C889" s="43" t="s">
        <v>38</v>
      </c>
      <c r="D889" s="43" t="s">
        <v>17</v>
      </c>
      <c r="E889" s="43" t="s">
        <v>18</v>
      </c>
      <c r="F889" s="43" t="s">
        <v>32</v>
      </c>
      <c r="G889" s="48">
        <v>46240.68472222222</v>
      </c>
      <c r="H889" s="48">
        <v>46242.636111111111</v>
      </c>
      <c r="I889" s="43">
        <v>8</v>
      </c>
      <c r="J889" s="43" t="s">
        <v>1156</v>
      </c>
      <c r="K889" s="43" t="s">
        <v>8331</v>
      </c>
      <c r="L889" s="43" t="s">
        <v>33</v>
      </c>
      <c r="M889" s="43">
        <v>8</v>
      </c>
      <c r="N889" s="43">
        <v>8</v>
      </c>
      <c r="O889" s="43">
        <v>8</v>
      </c>
      <c r="P889" s="43" t="s">
        <v>9526</v>
      </c>
      <c r="Q889" s="43" t="s">
        <v>1514</v>
      </c>
      <c r="R889" s="43" t="s">
        <v>10627</v>
      </c>
      <c r="S889" s="52">
        <f t="shared" si="13"/>
        <v>1.95</v>
      </c>
      <c r="T889" s="47"/>
      <c r="U889" s="47"/>
    </row>
    <row r="890" spans="1:21" ht="16.5" thickTop="1" thickBot="1" x14ac:dyDescent="0.3">
      <c r="A890" s="51" t="s">
        <v>10461</v>
      </c>
      <c r="B890" s="52" t="s">
        <v>10405</v>
      </c>
      <c r="C890" s="52" t="s">
        <v>38</v>
      </c>
      <c r="D890" s="52" t="s">
        <v>17</v>
      </c>
      <c r="E890" s="52" t="s">
        <v>18</v>
      </c>
      <c r="F890" s="52" t="s">
        <v>32</v>
      </c>
      <c r="G890" s="53">
        <v>46240.754861111112</v>
      </c>
      <c r="H890" s="53">
        <v>46242.885416666664</v>
      </c>
      <c r="I890" s="52">
        <v>411</v>
      </c>
      <c r="J890" s="52" t="s">
        <v>1156</v>
      </c>
      <c r="K890" s="52" t="s">
        <v>1156</v>
      </c>
      <c r="L890" s="52" t="s">
        <v>20</v>
      </c>
      <c r="M890" s="52">
        <v>369</v>
      </c>
      <c r="N890" s="52">
        <v>62</v>
      </c>
      <c r="O890" s="52">
        <v>69</v>
      </c>
      <c r="P890" s="52" t="s">
        <v>10257</v>
      </c>
      <c r="Q890" s="52" t="s">
        <v>1517</v>
      </c>
      <c r="R890" s="52" t="s">
        <v>10626</v>
      </c>
      <c r="S890" s="52">
        <f t="shared" si="13"/>
        <v>2.13</v>
      </c>
      <c r="T890" s="52"/>
      <c r="U890" s="52"/>
    </row>
    <row r="891" spans="1:21" s="46" customFormat="1" ht="16.5" thickTop="1" thickBot="1" x14ac:dyDescent="0.3">
      <c r="A891" s="50" t="s">
        <v>10459</v>
      </c>
      <c r="B891" s="43" t="s">
        <v>10460</v>
      </c>
      <c r="C891" s="43" t="s">
        <v>1372</v>
      </c>
      <c r="D891" s="43" t="s">
        <v>17</v>
      </c>
      <c r="E891" s="43" t="s">
        <v>18</v>
      </c>
      <c r="F891" s="43" t="s">
        <v>32</v>
      </c>
      <c r="G891" s="48">
        <v>46240.793749999997</v>
      </c>
      <c r="H891" s="48">
        <v>46243.757638888892</v>
      </c>
      <c r="I891" s="43">
        <v>1189</v>
      </c>
      <c r="J891" s="43" t="s">
        <v>1156</v>
      </c>
      <c r="K891" s="43" t="s">
        <v>8294</v>
      </c>
      <c r="L891" s="43" t="s">
        <v>20</v>
      </c>
      <c r="M891" s="43">
        <v>1189</v>
      </c>
      <c r="N891" s="43">
        <v>174</v>
      </c>
      <c r="O891" s="43">
        <v>174</v>
      </c>
      <c r="P891" s="43" t="s">
        <v>1410</v>
      </c>
      <c r="Q891" s="43" t="s">
        <v>1546</v>
      </c>
      <c r="R891" s="43" t="s">
        <v>10625</v>
      </c>
      <c r="S891" s="52">
        <f t="shared" si="13"/>
        <v>2.96</v>
      </c>
      <c r="T891" s="47"/>
      <c r="U891" s="47"/>
    </row>
    <row r="892" spans="1:21" ht="16.5" thickTop="1" thickBot="1" x14ac:dyDescent="0.3">
      <c r="A892" s="51" t="s">
        <v>10457</v>
      </c>
      <c r="B892" s="52" t="s">
        <v>10458</v>
      </c>
      <c r="C892" s="52" t="s">
        <v>38</v>
      </c>
      <c r="D892" s="52" t="s">
        <v>17</v>
      </c>
      <c r="E892" s="52" t="s">
        <v>18</v>
      </c>
      <c r="F892" s="52" t="s">
        <v>32</v>
      </c>
      <c r="G892" s="53">
        <v>46241.583333333336</v>
      </c>
      <c r="H892" s="53">
        <v>46242.574999999997</v>
      </c>
      <c r="I892" s="52">
        <v>92</v>
      </c>
      <c r="J892" s="52" t="s">
        <v>1156</v>
      </c>
      <c r="K892" s="52" t="s">
        <v>1156</v>
      </c>
      <c r="L892" s="52" t="s">
        <v>33</v>
      </c>
      <c r="M892" s="52">
        <v>4</v>
      </c>
      <c r="N892" s="52">
        <v>4</v>
      </c>
      <c r="O892" s="52">
        <v>4</v>
      </c>
      <c r="P892" s="52" t="s">
        <v>10623</v>
      </c>
      <c r="Q892" s="52" t="s">
        <v>1546</v>
      </c>
      <c r="R892" s="52" t="s">
        <v>10624</v>
      </c>
      <c r="S892" s="52">
        <f t="shared" si="13"/>
        <v>0.99</v>
      </c>
      <c r="T892" s="52"/>
      <c r="U892" s="52"/>
    </row>
    <row r="893" spans="1:21" s="46" customFormat="1" ht="16.5" thickTop="1" thickBot="1" x14ac:dyDescent="0.3">
      <c r="A893" s="50" t="s">
        <v>10455</v>
      </c>
      <c r="B893" s="43" t="s">
        <v>10456</v>
      </c>
      <c r="C893" s="43" t="s">
        <v>38</v>
      </c>
      <c r="D893" s="43" t="s">
        <v>17</v>
      </c>
      <c r="E893" s="43" t="s">
        <v>18</v>
      </c>
      <c r="F893" s="43" t="s">
        <v>32</v>
      </c>
      <c r="G893" s="48">
        <v>46241.602083333331</v>
      </c>
      <c r="H893" s="48">
        <v>46242.919444444444</v>
      </c>
      <c r="I893" s="43">
        <v>1264</v>
      </c>
      <c r="J893" s="43" t="s">
        <v>1156</v>
      </c>
      <c r="K893" s="43" t="s">
        <v>1156</v>
      </c>
      <c r="L893" s="43" t="s">
        <v>25</v>
      </c>
      <c r="M893" s="43">
        <v>1264</v>
      </c>
      <c r="N893" s="43">
        <v>209</v>
      </c>
      <c r="O893" s="43">
        <v>209</v>
      </c>
      <c r="P893" s="43" t="s">
        <v>10255</v>
      </c>
      <c r="Q893" s="43" t="s">
        <v>1517</v>
      </c>
      <c r="R893" s="43" t="s">
        <v>10622</v>
      </c>
      <c r="S893" s="52">
        <f t="shared" si="13"/>
        <v>1.32</v>
      </c>
      <c r="T893" s="47"/>
      <c r="U893" s="47"/>
    </row>
    <row r="894" spans="1:21" ht="16.5" thickTop="1" thickBot="1" x14ac:dyDescent="0.3">
      <c r="A894" s="51" t="s">
        <v>10453</v>
      </c>
      <c r="B894" s="52" t="s">
        <v>10454</v>
      </c>
      <c r="C894" s="52" t="s">
        <v>38</v>
      </c>
      <c r="D894" s="52" t="s">
        <v>17</v>
      </c>
      <c r="E894" s="52" t="s">
        <v>18</v>
      </c>
      <c r="F894" s="52" t="s">
        <v>32</v>
      </c>
      <c r="G894" s="53">
        <v>46241.613888888889</v>
      </c>
      <c r="H894" s="53">
        <v>46242.730555555558</v>
      </c>
      <c r="I894" s="52">
        <v>2</v>
      </c>
      <c r="J894" s="52" t="s">
        <v>2373</v>
      </c>
      <c r="K894" s="52" t="s">
        <v>8317</v>
      </c>
      <c r="L894" s="52" t="s">
        <v>44</v>
      </c>
      <c r="M894" s="52">
        <v>2</v>
      </c>
      <c r="N894" s="52">
        <v>2</v>
      </c>
      <c r="O894" s="52">
        <v>2</v>
      </c>
      <c r="P894" s="52" t="s">
        <v>2057</v>
      </c>
      <c r="Q894" s="52" t="s">
        <v>1517</v>
      </c>
      <c r="R894" s="52" t="s">
        <v>10621</v>
      </c>
      <c r="S894" s="52">
        <f t="shared" si="13"/>
        <v>1.1200000000000001</v>
      </c>
      <c r="T894" s="52"/>
      <c r="U894" s="52"/>
    </row>
    <row r="895" spans="1:21" s="46" customFormat="1" ht="16.5" thickTop="1" thickBot="1" x14ac:dyDescent="0.3">
      <c r="A895" s="50" t="s">
        <v>10451</v>
      </c>
      <c r="B895" s="43" t="s">
        <v>10452</v>
      </c>
      <c r="C895" s="43" t="s">
        <v>38</v>
      </c>
      <c r="D895" s="43" t="s">
        <v>17</v>
      </c>
      <c r="E895" s="43" t="s">
        <v>18</v>
      </c>
      <c r="F895" s="43" t="s">
        <v>32</v>
      </c>
      <c r="G895" s="48">
        <v>46241.646527777775</v>
      </c>
      <c r="H895" s="48">
        <v>46242.534722222219</v>
      </c>
      <c r="I895" s="43">
        <v>12</v>
      </c>
      <c r="J895" s="43" t="s">
        <v>1156</v>
      </c>
      <c r="K895" s="43" t="s">
        <v>8331</v>
      </c>
      <c r="L895" s="43" t="s">
        <v>33</v>
      </c>
      <c r="M895" s="43">
        <v>12</v>
      </c>
      <c r="N895" s="43">
        <v>6</v>
      </c>
      <c r="O895" s="43">
        <v>6</v>
      </c>
      <c r="P895" s="43" t="s">
        <v>10619</v>
      </c>
      <c r="Q895" s="43" t="s">
        <v>1514</v>
      </c>
      <c r="R895" s="43" t="s">
        <v>10620</v>
      </c>
      <c r="S895" s="52">
        <f t="shared" si="13"/>
        <v>0.89</v>
      </c>
      <c r="T895" s="47"/>
      <c r="U895" s="47"/>
    </row>
    <row r="896" spans="1:21" ht="16.5" thickTop="1" thickBot="1" x14ac:dyDescent="0.3">
      <c r="A896" s="51" t="s">
        <v>10449</v>
      </c>
      <c r="B896" s="52" t="s">
        <v>10450</v>
      </c>
      <c r="C896" s="52" t="s">
        <v>38</v>
      </c>
      <c r="D896" s="52" t="s">
        <v>17</v>
      </c>
      <c r="E896" s="52" t="s">
        <v>18</v>
      </c>
      <c r="F896" s="52" t="s">
        <v>32</v>
      </c>
      <c r="G896" s="53">
        <v>46241.648611111108</v>
      </c>
      <c r="H896" s="53">
        <v>46242.656944444447</v>
      </c>
      <c r="I896" s="52">
        <v>273</v>
      </c>
      <c r="J896" s="52" t="s">
        <v>2373</v>
      </c>
      <c r="K896" s="52" t="s">
        <v>8326</v>
      </c>
      <c r="L896" s="52" t="s">
        <v>33</v>
      </c>
      <c r="M896" s="52">
        <v>273</v>
      </c>
      <c r="N896" s="52">
        <v>273</v>
      </c>
      <c r="O896" s="52">
        <v>273</v>
      </c>
      <c r="P896" s="52" t="s">
        <v>10617</v>
      </c>
      <c r="Q896" s="52" t="s">
        <v>1514</v>
      </c>
      <c r="R896" s="52" t="s">
        <v>10618</v>
      </c>
      <c r="S896" s="52">
        <f t="shared" si="13"/>
        <v>1.01</v>
      </c>
      <c r="T896" s="52"/>
      <c r="U896" s="52"/>
    </row>
    <row r="897" spans="1:21" s="46" customFormat="1" ht="16.5" thickTop="1" thickBot="1" x14ac:dyDescent="0.3">
      <c r="A897" s="50" t="s">
        <v>10447</v>
      </c>
      <c r="B897" s="43" t="s">
        <v>10448</v>
      </c>
      <c r="C897" s="43" t="s">
        <v>38</v>
      </c>
      <c r="D897" s="43" t="s">
        <v>17</v>
      </c>
      <c r="E897" s="43" t="s">
        <v>18</v>
      </c>
      <c r="F897" s="43" t="s">
        <v>32</v>
      </c>
      <c r="G897" s="48">
        <v>46241.661805555559</v>
      </c>
      <c r="H897" s="48">
        <v>46242.53402777778</v>
      </c>
      <c r="I897" s="43">
        <v>1</v>
      </c>
      <c r="J897" s="43" t="s">
        <v>1156</v>
      </c>
      <c r="K897" s="43" t="s">
        <v>8331</v>
      </c>
      <c r="L897" s="43" t="s">
        <v>33</v>
      </c>
      <c r="M897" s="43">
        <v>1</v>
      </c>
      <c r="N897" s="43">
        <v>1</v>
      </c>
      <c r="O897" s="43">
        <v>1</v>
      </c>
      <c r="P897" s="43" t="s">
        <v>9526</v>
      </c>
      <c r="Q897" s="43" t="s">
        <v>1514</v>
      </c>
      <c r="R897" s="43" t="s">
        <v>10616</v>
      </c>
      <c r="S897" s="52">
        <f t="shared" si="13"/>
        <v>0.87</v>
      </c>
      <c r="T897" s="47"/>
      <c r="U897" s="47"/>
    </row>
    <row r="898" spans="1:21" ht="16.5" thickTop="1" thickBot="1" x14ac:dyDescent="0.3">
      <c r="A898" s="51" t="s">
        <v>10445</v>
      </c>
      <c r="B898" s="52" t="s">
        <v>10446</v>
      </c>
      <c r="C898" s="52" t="s">
        <v>38</v>
      </c>
      <c r="D898" s="52" t="s">
        <v>17</v>
      </c>
      <c r="E898" s="52" t="s">
        <v>18</v>
      </c>
      <c r="F898" s="52" t="s">
        <v>32</v>
      </c>
      <c r="G898" s="53">
        <v>46241.677777777775</v>
      </c>
      <c r="H898" s="53">
        <v>46242.552777777775</v>
      </c>
      <c r="I898" s="52">
        <v>173</v>
      </c>
      <c r="J898" s="52" t="s">
        <v>1156</v>
      </c>
      <c r="K898" s="52" t="s">
        <v>1156</v>
      </c>
      <c r="L898" s="52" t="s">
        <v>20</v>
      </c>
      <c r="M898" s="52">
        <v>173</v>
      </c>
      <c r="N898" s="52">
        <v>25</v>
      </c>
      <c r="O898" s="52">
        <v>25</v>
      </c>
      <c r="P898" s="52" t="s">
        <v>1411</v>
      </c>
      <c r="Q898" s="52" t="s">
        <v>1517</v>
      </c>
      <c r="R898" s="52" t="s">
        <v>10615</v>
      </c>
      <c r="S898" s="52">
        <f t="shared" ref="S898:S961" si="14">IF(OR(G898="",H898=""),"",ROUND(H898-G898,2))</f>
        <v>0.88</v>
      </c>
      <c r="T898" s="52"/>
      <c r="U898" s="52"/>
    </row>
    <row r="899" spans="1:21" s="46" customFormat="1" ht="16.5" thickTop="1" thickBot="1" x14ac:dyDescent="0.3">
      <c r="A899" s="50" t="s">
        <v>10443</v>
      </c>
      <c r="B899" s="43" t="s">
        <v>10444</v>
      </c>
      <c r="C899" s="43" t="s">
        <v>38</v>
      </c>
      <c r="D899" s="43" t="s">
        <v>17</v>
      </c>
      <c r="E899" s="43" t="s">
        <v>18</v>
      </c>
      <c r="F899" s="43" t="s">
        <v>32</v>
      </c>
      <c r="G899" s="48">
        <v>46241.690972222219</v>
      </c>
      <c r="H899" s="48">
        <v>46241.693055555559</v>
      </c>
      <c r="I899" s="43">
        <v>517</v>
      </c>
      <c r="J899" s="43" t="s">
        <v>1156</v>
      </c>
      <c r="K899" s="43" t="s">
        <v>8343</v>
      </c>
      <c r="L899" s="43" t="s">
        <v>25</v>
      </c>
      <c r="M899" s="43">
        <v>319</v>
      </c>
      <c r="N899" s="43">
        <v>45</v>
      </c>
      <c r="O899" s="43">
        <v>85</v>
      </c>
      <c r="P899" s="43" t="s">
        <v>10613</v>
      </c>
      <c r="Q899" s="43" t="s">
        <v>1517</v>
      </c>
      <c r="R899" s="43"/>
      <c r="S899" s="52">
        <f t="shared" si="14"/>
        <v>0</v>
      </c>
      <c r="T899" s="47"/>
      <c r="U899" s="47"/>
    </row>
    <row r="900" spans="1:21" ht="16.5" thickTop="1" thickBot="1" x14ac:dyDescent="0.3">
      <c r="A900" s="51" t="s">
        <v>10441</v>
      </c>
      <c r="B900" s="52" t="s">
        <v>10442</v>
      </c>
      <c r="C900" s="52" t="s">
        <v>38</v>
      </c>
      <c r="D900" s="52" t="s">
        <v>17</v>
      </c>
      <c r="E900" s="52" t="s">
        <v>18</v>
      </c>
      <c r="F900" s="52" t="s">
        <v>32</v>
      </c>
      <c r="G900" s="53">
        <v>46241.693749999999</v>
      </c>
      <c r="H900" s="53">
        <v>46242.763194444444</v>
      </c>
      <c r="I900" s="52">
        <v>247</v>
      </c>
      <c r="J900" s="52" t="s">
        <v>1156</v>
      </c>
      <c r="K900" s="52" t="s">
        <v>8343</v>
      </c>
      <c r="L900" s="52" t="s">
        <v>20</v>
      </c>
      <c r="M900" s="52">
        <v>206</v>
      </c>
      <c r="N900" s="52">
        <v>27</v>
      </c>
      <c r="O900" s="52">
        <v>47</v>
      </c>
      <c r="P900" s="52" t="s">
        <v>10613</v>
      </c>
      <c r="Q900" s="52" t="s">
        <v>1517</v>
      </c>
      <c r="R900" s="52" t="s">
        <v>10614</v>
      </c>
      <c r="S900" s="52">
        <f t="shared" si="14"/>
        <v>1.07</v>
      </c>
      <c r="T900" s="52"/>
      <c r="U900" s="52"/>
    </row>
    <row r="901" spans="1:21" s="46" customFormat="1" ht="16.5" thickTop="1" thickBot="1" x14ac:dyDescent="0.3">
      <c r="A901" s="50" t="s">
        <v>10439</v>
      </c>
      <c r="B901" s="43" t="s">
        <v>10440</v>
      </c>
      <c r="C901" s="43" t="s">
        <v>38</v>
      </c>
      <c r="D901" s="43" t="s">
        <v>17</v>
      </c>
      <c r="E901" s="43" t="s">
        <v>18</v>
      </c>
      <c r="F901" s="43" t="s">
        <v>32</v>
      </c>
      <c r="G901" s="48">
        <v>46241.695833333331</v>
      </c>
      <c r="H901" s="48">
        <v>46242.806250000001</v>
      </c>
      <c r="I901" s="43">
        <v>325</v>
      </c>
      <c r="J901" s="43" t="s">
        <v>1156</v>
      </c>
      <c r="K901" s="43" t="s">
        <v>1156</v>
      </c>
      <c r="L901" s="43" t="s">
        <v>20</v>
      </c>
      <c r="M901" s="43">
        <v>325</v>
      </c>
      <c r="N901" s="43">
        <v>56</v>
      </c>
      <c r="O901" s="43">
        <v>56</v>
      </c>
      <c r="P901" s="43" t="s">
        <v>10611</v>
      </c>
      <c r="Q901" s="43" t="s">
        <v>1517</v>
      </c>
      <c r="R901" s="43" t="s">
        <v>10612</v>
      </c>
      <c r="S901" s="52">
        <f t="shared" si="14"/>
        <v>1.1100000000000001</v>
      </c>
      <c r="T901" s="47"/>
      <c r="U901" s="47"/>
    </row>
    <row r="902" spans="1:21" ht="16.5" thickTop="1" thickBot="1" x14ac:dyDescent="0.3">
      <c r="A902" s="51" t="s">
        <v>10437</v>
      </c>
      <c r="B902" s="52" t="s">
        <v>10438</v>
      </c>
      <c r="C902" s="52" t="s">
        <v>38</v>
      </c>
      <c r="D902" s="52" t="s">
        <v>17</v>
      </c>
      <c r="E902" s="52" t="s">
        <v>18</v>
      </c>
      <c r="F902" s="52" t="s">
        <v>32</v>
      </c>
      <c r="G902" s="53">
        <v>46241.731249999997</v>
      </c>
      <c r="H902" s="53">
        <v>46242.502083333333</v>
      </c>
      <c r="I902" s="52">
        <v>16</v>
      </c>
      <c r="J902" s="52" t="s">
        <v>1156</v>
      </c>
      <c r="K902" s="52" t="s">
        <v>1156</v>
      </c>
      <c r="L902" s="52" t="s">
        <v>36</v>
      </c>
      <c r="M902" s="52">
        <v>16</v>
      </c>
      <c r="N902" s="52">
        <v>16</v>
      </c>
      <c r="O902" s="52">
        <v>16</v>
      </c>
      <c r="P902" s="52" t="s">
        <v>8760</v>
      </c>
      <c r="Q902" s="52" t="s">
        <v>1517</v>
      </c>
      <c r="R902" s="52" t="s">
        <v>10610</v>
      </c>
      <c r="S902" s="52">
        <f t="shared" si="14"/>
        <v>0.77</v>
      </c>
      <c r="T902" s="52"/>
      <c r="U902" s="52"/>
    </row>
    <row r="903" spans="1:21" s="46" customFormat="1" ht="16.5" thickTop="1" thickBot="1" x14ac:dyDescent="0.3">
      <c r="A903" s="50" t="s">
        <v>10435</v>
      </c>
      <c r="B903" s="43" t="s">
        <v>10436</v>
      </c>
      <c r="C903" s="43" t="s">
        <v>38</v>
      </c>
      <c r="D903" s="43" t="s">
        <v>17</v>
      </c>
      <c r="E903" s="43" t="s">
        <v>18</v>
      </c>
      <c r="F903" s="43" t="s">
        <v>28</v>
      </c>
      <c r="G903" s="48">
        <v>46241.731944444444</v>
      </c>
      <c r="H903" s="48">
        <v>46242.642361111109</v>
      </c>
      <c r="I903" s="43">
        <v>2</v>
      </c>
      <c r="J903" s="43" t="s">
        <v>1156</v>
      </c>
      <c r="K903" s="43" t="s">
        <v>8331</v>
      </c>
      <c r="L903" s="43" t="s">
        <v>33</v>
      </c>
      <c r="M903" s="43">
        <v>2</v>
      </c>
      <c r="N903" s="43">
        <v>2</v>
      </c>
      <c r="O903" s="43">
        <v>2</v>
      </c>
      <c r="P903" s="43" t="s">
        <v>8576</v>
      </c>
      <c r="Q903" s="43" t="s">
        <v>1546</v>
      </c>
      <c r="R903" s="43" t="s">
        <v>10609</v>
      </c>
      <c r="S903" s="52">
        <f t="shared" si="14"/>
        <v>0.91</v>
      </c>
      <c r="T903" s="47"/>
      <c r="U903" s="47"/>
    </row>
    <row r="904" spans="1:21" ht="16.5" thickTop="1" thickBot="1" x14ac:dyDescent="0.3">
      <c r="A904" s="51" t="s">
        <v>10433</v>
      </c>
      <c r="B904" s="52" t="s">
        <v>10434</v>
      </c>
      <c r="C904" s="52" t="s">
        <v>38</v>
      </c>
      <c r="D904" s="52" t="s">
        <v>17</v>
      </c>
      <c r="E904" s="52" t="s">
        <v>18</v>
      </c>
      <c r="F904" s="52" t="s">
        <v>32</v>
      </c>
      <c r="G904" s="53">
        <v>46241.737500000003</v>
      </c>
      <c r="H904" s="53">
        <v>46241.737500000003</v>
      </c>
      <c r="I904" s="52">
        <v>936</v>
      </c>
      <c r="J904" s="52" t="s">
        <v>1156</v>
      </c>
      <c r="K904" s="52" t="s">
        <v>1156</v>
      </c>
      <c r="L904" s="52" t="s">
        <v>31</v>
      </c>
      <c r="M904" s="52">
        <v>722</v>
      </c>
      <c r="N904" s="52">
        <v>173</v>
      </c>
      <c r="O904" s="52">
        <v>229</v>
      </c>
      <c r="P904" s="52" t="s">
        <v>9953</v>
      </c>
      <c r="Q904" s="52" t="s">
        <v>1517</v>
      </c>
      <c r="R904" s="52"/>
      <c r="S904" s="52">
        <f t="shared" si="14"/>
        <v>0</v>
      </c>
      <c r="T904" s="52"/>
      <c r="U904" s="52"/>
    </row>
    <row r="905" spans="1:21" s="46" customFormat="1" ht="16.5" thickTop="1" thickBot="1" x14ac:dyDescent="0.3">
      <c r="A905" s="50" t="s">
        <v>10431</v>
      </c>
      <c r="B905" s="43" t="s">
        <v>10432</v>
      </c>
      <c r="C905" s="43" t="s">
        <v>38</v>
      </c>
      <c r="D905" s="43" t="s">
        <v>17</v>
      </c>
      <c r="E905" s="43" t="s">
        <v>18</v>
      </c>
      <c r="F905" s="43" t="s">
        <v>32</v>
      </c>
      <c r="G905" s="48">
        <v>46241.793749999997</v>
      </c>
      <c r="H905" s="48">
        <v>46241.965277777781</v>
      </c>
      <c r="I905" s="43">
        <v>4</v>
      </c>
      <c r="J905" s="43" t="s">
        <v>1156</v>
      </c>
      <c r="K905" s="43" t="s">
        <v>1156</v>
      </c>
      <c r="L905" s="43" t="s">
        <v>33</v>
      </c>
      <c r="M905" s="43">
        <v>4</v>
      </c>
      <c r="N905" s="43">
        <v>4</v>
      </c>
      <c r="O905" s="43">
        <v>4</v>
      </c>
      <c r="P905" s="43" t="s">
        <v>10594</v>
      </c>
      <c r="Q905" s="43" t="s">
        <v>1546</v>
      </c>
      <c r="R905" s="43" t="s">
        <v>10608</v>
      </c>
      <c r="S905" s="52">
        <f t="shared" si="14"/>
        <v>0.17</v>
      </c>
      <c r="T905" s="47"/>
      <c r="U905" s="47"/>
    </row>
    <row r="906" spans="1:21" ht="16.5" thickTop="1" thickBot="1" x14ac:dyDescent="0.3">
      <c r="A906" s="51" t="s">
        <v>10429</v>
      </c>
      <c r="B906" s="52" t="s">
        <v>10430</v>
      </c>
      <c r="C906" s="52" t="s">
        <v>39</v>
      </c>
      <c r="D906" s="52" t="s">
        <v>17</v>
      </c>
      <c r="E906" s="52" t="s">
        <v>18</v>
      </c>
      <c r="F906" s="52" t="s">
        <v>28</v>
      </c>
      <c r="G906" s="53">
        <v>46241.919444444444</v>
      </c>
      <c r="H906" s="53">
        <v>46242.652777777781</v>
      </c>
      <c r="I906" s="52">
        <v>1085</v>
      </c>
      <c r="J906" s="52" t="s">
        <v>2373</v>
      </c>
      <c r="K906" s="52" t="s">
        <v>8317</v>
      </c>
      <c r="L906" s="52" t="s">
        <v>20</v>
      </c>
      <c r="M906" s="52">
        <v>1085</v>
      </c>
      <c r="N906" s="52">
        <v>258</v>
      </c>
      <c r="O906" s="52">
        <v>258</v>
      </c>
      <c r="P906" s="52" t="s">
        <v>10606</v>
      </c>
      <c r="Q906" s="52" t="s">
        <v>1514</v>
      </c>
      <c r="R906" s="52" t="s">
        <v>10607</v>
      </c>
      <c r="S906" s="52">
        <f t="shared" si="14"/>
        <v>0.73</v>
      </c>
      <c r="T906" s="52"/>
      <c r="U906" s="52"/>
    </row>
    <row r="907" spans="1:21" s="46" customFormat="1" ht="16.5" thickTop="1" thickBot="1" x14ac:dyDescent="0.3">
      <c r="A907" s="50" t="s">
        <v>10427</v>
      </c>
      <c r="B907" s="43" t="s">
        <v>10428</v>
      </c>
      <c r="C907" s="43" t="s">
        <v>38</v>
      </c>
      <c r="D907" s="43" t="s">
        <v>17</v>
      </c>
      <c r="E907" s="43" t="s">
        <v>18</v>
      </c>
      <c r="F907" s="43" t="s">
        <v>32</v>
      </c>
      <c r="G907" s="48">
        <v>46241.992361111108</v>
      </c>
      <c r="H907" s="48">
        <v>46242.79791666667</v>
      </c>
      <c r="I907" s="43">
        <v>6</v>
      </c>
      <c r="J907" s="43" t="s">
        <v>1156</v>
      </c>
      <c r="K907" s="43" t="s">
        <v>1156</v>
      </c>
      <c r="L907" s="43" t="s">
        <v>36</v>
      </c>
      <c r="M907" s="43">
        <v>6</v>
      </c>
      <c r="N907" s="43">
        <v>6</v>
      </c>
      <c r="O907" s="43">
        <v>6</v>
      </c>
      <c r="P907" s="43" t="s">
        <v>10604</v>
      </c>
      <c r="Q907" s="43" t="s">
        <v>1517</v>
      </c>
      <c r="R907" s="43" t="s">
        <v>10605</v>
      </c>
      <c r="S907" s="52">
        <f t="shared" si="14"/>
        <v>0.81</v>
      </c>
      <c r="T907" s="47"/>
      <c r="U907" s="47"/>
    </row>
    <row r="908" spans="1:21" ht="16.5" thickTop="1" thickBot="1" x14ac:dyDescent="0.3">
      <c r="A908" s="51" t="s">
        <v>10425</v>
      </c>
      <c r="B908" s="52" t="s">
        <v>10426</v>
      </c>
      <c r="C908" s="52" t="s">
        <v>38</v>
      </c>
      <c r="D908" s="52" t="s">
        <v>17</v>
      </c>
      <c r="E908" s="52" t="s">
        <v>18</v>
      </c>
      <c r="F908" s="52" t="s">
        <v>28</v>
      </c>
      <c r="G908" s="53">
        <v>46242.017361111109</v>
      </c>
      <c r="H908" s="53">
        <v>46242.8</v>
      </c>
      <c r="I908" s="52">
        <v>37</v>
      </c>
      <c r="J908" s="52" t="s">
        <v>1156</v>
      </c>
      <c r="K908" s="52" t="s">
        <v>1156</v>
      </c>
      <c r="L908" s="52" t="s">
        <v>36</v>
      </c>
      <c r="M908" s="52">
        <v>37</v>
      </c>
      <c r="N908" s="52">
        <v>37</v>
      </c>
      <c r="O908" s="52">
        <v>37</v>
      </c>
      <c r="P908" s="52" t="s">
        <v>10602</v>
      </c>
      <c r="Q908" s="52" t="s">
        <v>1514</v>
      </c>
      <c r="R908" s="52" t="s">
        <v>10603</v>
      </c>
      <c r="S908" s="52">
        <f t="shared" si="14"/>
        <v>0.78</v>
      </c>
      <c r="T908" s="52"/>
      <c r="U908" s="52"/>
    </row>
    <row r="909" spans="1:21" s="46" customFormat="1" ht="16.5" thickTop="1" thickBot="1" x14ac:dyDescent="0.3">
      <c r="A909" s="50" t="s">
        <v>10423</v>
      </c>
      <c r="B909" s="43" t="s">
        <v>10424</v>
      </c>
      <c r="C909" s="43" t="s">
        <v>39</v>
      </c>
      <c r="D909" s="43" t="s">
        <v>17</v>
      </c>
      <c r="E909" s="43" t="s">
        <v>18</v>
      </c>
      <c r="F909" s="43" t="s">
        <v>32</v>
      </c>
      <c r="G909" s="48">
        <v>46242.031944444447</v>
      </c>
      <c r="H909" s="48">
        <v>46242.734027777777</v>
      </c>
      <c r="I909" s="43">
        <v>40</v>
      </c>
      <c r="J909" s="43" t="s">
        <v>1156</v>
      </c>
      <c r="K909" s="43" t="s">
        <v>1156</v>
      </c>
      <c r="L909" s="43" t="s">
        <v>33</v>
      </c>
      <c r="M909" s="43">
        <v>40</v>
      </c>
      <c r="N909" s="43">
        <v>40</v>
      </c>
      <c r="O909" s="43">
        <v>40</v>
      </c>
      <c r="P909" s="43" t="s">
        <v>10600</v>
      </c>
      <c r="Q909" s="43" t="s">
        <v>1546</v>
      </c>
      <c r="R909" s="43" t="s">
        <v>10601</v>
      </c>
      <c r="S909" s="52">
        <f t="shared" si="14"/>
        <v>0.7</v>
      </c>
      <c r="T909" s="47"/>
      <c r="U909" s="47"/>
    </row>
    <row r="910" spans="1:21" ht="16.5" thickTop="1" thickBot="1" x14ac:dyDescent="0.3">
      <c r="A910" s="51" t="s">
        <v>10421</v>
      </c>
      <c r="B910" s="52" t="s">
        <v>10422</v>
      </c>
      <c r="C910" s="52" t="s">
        <v>39</v>
      </c>
      <c r="D910" s="52" t="s">
        <v>17</v>
      </c>
      <c r="E910" s="52" t="s">
        <v>18</v>
      </c>
      <c r="F910" s="52" t="s">
        <v>32</v>
      </c>
      <c r="G910" s="53">
        <v>46242.040277777778</v>
      </c>
      <c r="H910" s="53">
        <v>46242.792361111111</v>
      </c>
      <c r="I910" s="52">
        <v>17</v>
      </c>
      <c r="J910" s="52" t="s">
        <v>1156</v>
      </c>
      <c r="K910" s="52" t="s">
        <v>1156</v>
      </c>
      <c r="L910" s="52" t="s">
        <v>33</v>
      </c>
      <c r="M910" s="52">
        <v>17</v>
      </c>
      <c r="N910" s="52">
        <v>17</v>
      </c>
      <c r="O910" s="52">
        <v>17</v>
      </c>
      <c r="P910" s="52" t="s">
        <v>10598</v>
      </c>
      <c r="Q910" s="52" t="s">
        <v>1517</v>
      </c>
      <c r="R910" s="52" t="s">
        <v>10599</v>
      </c>
      <c r="S910" s="52">
        <f t="shared" si="14"/>
        <v>0.75</v>
      </c>
      <c r="T910" s="52"/>
      <c r="U910" s="52"/>
    </row>
    <row r="911" spans="1:21" s="46" customFormat="1" ht="16.5" thickTop="1" thickBot="1" x14ac:dyDescent="0.3">
      <c r="A911" s="50" t="s">
        <v>10418</v>
      </c>
      <c r="B911" s="43" t="s">
        <v>10419</v>
      </c>
      <c r="C911" s="43" t="s">
        <v>1073</v>
      </c>
      <c r="D911" s="43" t="s">
        <v>17</v>
      </c>
      <c r="E911" s="43" t="s">
        <v>18</v>
      </c>
      <c r="F911" s="43" t="s">
        <v>32</v>
      </c>
      <c r="G911" s="48">
        <v>46242.064583333333</v>
      </c>
      <c r="H911" s="48">
        <v>46242.716666666667</v>
      </c>
      <c r="I911" s="43">
        <v>2</v>
      </c>
      <c r="J911" s="43" t="s">
        <v>2373</v>
      </c>
      <c r="K911" s="43" t="s">
        <v>8326</v>
      </c>
      <c r="L911" s="43" t="s">
        <v>33</v>
      </c>
      <c r="M911" s="43">
        <v>2</v>
      </c>
      <c r="N911" s="43">
        <v>2</v>
      </c>
      <c r="O911" s="43">
        <v>2</v>
      </c>
      <c r="P911" s="43" t="s">
        <v>10596</v>
      </c>
      <c r="Q911" s="43" t="s">
        <v>1546</v>
      </c>
      <c r="R911" s="43" t="s">
        <v>10597</v>
      </c>
      <c r="S911" s="52">
        <f t="shared" si="14"/>
        <v>0.65</v>
      </c>
      <c r="T911" s="47"/>
      <c r="U911" s="47"/>
    </row>
    <row r="912" spans="1:21" ht="16.5" thickTop="1" thickBot="1" x14ac:dyDescent="0.3">
      <c r="A912" s="51" t="s">
        <v>10416</v>
      </c>
      <c r="B912" s="52" t="s">
        <v>10417</v>
      </c>
      <c r="C912" s="52" t="s">
        <v>30</v>
      </c>
      <c r="D912" s="52" t="s">
        <v>17</v>
      </c>
      <c r="E912" s="52" t="s">
        <v>18</v>
      </c>
      <c r="F912" s="52" t="s">
        <v>32</v>
      </c>
      <c r="G912" s="53">
        <v>46242.081944444442</v>
      </c>
      <c r="H912" s="53">
        <v>46242.732638888891</v>
      </c>
      <c r="I912" s="52">
        <v>2</v>
      </c>
      <c r="J912" s="52" t="s">
        <v>2373</v>
      </c>
      <c r="K912" s="52" t="s">
        <v>8317</v>
      </c>
      <c r="L912" s="52" t="s">
        <v>33</v>
      </c>
      <c r="M912" s="52">
        <v>2</v>
      </c>
      <c r="N912" s="52">
        <v>2</v>
      </c>
      <c r="O912" s="52">
        <v>2</v>
      </c>
      <c r="P912" s="52" t="s">
        <v>10594</v>
      </c>
      <c r="Q912" s="52" t="s">
        <v>1514</v>
      </c>
      <c r="R912" s="52" t="s">
        <v>10595</v>
      </c>
      <c r="S912" s="52">
        <f t="shared" si="14"/>
        <v>0.65</v>
      </c>
      <c r="T912" s="52"/>
      <c r="U912" s="52"/>
    </row>
    <row r="913" spans="1:21" s="46" customFormat="1" ht="16.5" thickTop="1" thickBot="1" x14ac:dyDescent="0.3">
      <c r="A913" s="50" t="s">
        <v>10414</v>
      </c>
      <c r="B913" s="43" t="s">
        <v>10415</v>
      </c>
      <c r="C913" s="43" t="s">
        <v>1129</v>
      </c>
      <c r="D913" s="43" t="s">
        <v>17</v>
      </c>
      <c r="E913" s="43" t="s">
        <v>18</v>
      </c>
      <c r="F913" s="43" t="s">
        <v>32</v>
      </c>
      <c r="G913" s="48">
        <v>46242.088888888888</v>
      </c>
      <c r="H913" s="48">
        <v>46242.527777777781</v>
      </c>
      <c r="I913" s="43">
        <v>20</v>
      </c>
      <c r="J913" s="43" t="s">
        <v>1156</v>
      </c>
      <c r="K913" s="43" t="s">
        <v>1156</v>
      </c>
      <c r="L913" s="43" t="s">
        <v>33</v>
      </c>
      <c r="M913" s="43">
        <v>20</v>
      </c>
      <c r="N913" s="43">
        <v>20</v>
      </c>
      <c r="O913" s="43">
        <v>20</v>
      </c>
      <c r="P913" s="43" t="s">
        <v>10592</v>
      </c>
      <c r="Q913" s="43" t="s">
        <v>1546</v>
      </c>
      <c r="R913" s="43" t="s">
        <v>10593</v>
      </c>
      <c r="S913" s="52">
        <f t="shared" si="14"/>
        <v>0.44</v>
      </c>
      <c r="T913" s="47"/>
      <c r="U913" s="47"/>
    </row>
    <row r="914" spans="1:21" ht="16.5" thickTop="1" thickBot="1" x14ac:dyDescent="0.3">
      <c r="A914" s="51" t="s">
        <v>10412</v>
      </c>
      <c r="B914" s="52" t="s">
        <v>10413</v>
      </c>
      <c r="C914" s="52" t="s">
        <v>38</v>
      </c>
      <c r="D914" s="52" t="s">
        <v>17</v>
      </c>
      <c r="E914" s="52" t="s">
        <v>18</v>
      </c>
      <c r="F914" s="52" t="s">
        <v>32</v>
      </c>
      <c r="G914" s="53">
        <v>46242.093055555553</v>
      </c>
      <c r="H914" s="53">
        <v>46242.727083333331</v>
      </c>
      <c r="I914" s="52">
        <v>22</v>
      </c>
      <c r="J914" s="52" t="s">
        <v>1156</v>
      </c>
      <c r="K914" s="52" t="s">
        <v>1156</v>
      </c>
      <c r="L914" s="52" t="s">
        <v>33</v>
      </c>
      <c r="M914" s="52">
        <v>22</v>
      </c>
      <c r="N914" s="52">
        <v>22</v>
      </c>
      <c r="O914" s="52">
        <v>22</v>
      </c>
      <c r="P914" s="52" t="s">
        <v>10590</v>
      </c>
      <c r="Q914" s="52" t="s">
        <v>1546</v>
      </c>
      <c r="R914" s="52" t="s">
        <v>10591</v>
      </c>
      <c r="S914" s="52">
        <f t="shared" si="14"/>
        <v>0.63</v>
      </c>
      <c r="T914" s="52"/>
      <c r="U914" s="52"/>
    </row>
    <row r="915" spans="1:21" s="46" customFormat="1" ht="16.5" thickTop="1" thickBot="1" x14ac:dyDescent="0.3">
      <c r="A915" s="50" t="s">
        <v>10410</v>
      </c>
      <c r="B915" s="43" t="s">
        <v>10411</v>
      </c>
      <c r="C915" s="43" t="s">
        <v>38</v>
      </c>
      <c r="D915" s="43" t="s">
        <v>17</v>
      </c>
      <c r="E915" s="43" t="s">
        <v>18</v>
      </c>
      <c r="F915" s="43" t="s">
        <v>32</v>
      </c>
      <c r="G915" s="48">
        <v>46242.72152777778</v>
      </c>
      <c r="H915" s="48">
        <v>46242.72152777778</v>
      </c>
      <c r="I915" s="43">
        <v>6</v>
      </c>
      <c r="J915" s="43" t="s">
        <v>2373</v>
      </c>
      <c r="K915" s="43" t="s">
        <v>8264</v>
      </c>
      <c r="L915" s="43" t="s">
        <v>8739</v>
      </c>
      <c r="M915" s="43">
        <v>6</v>
      </c>
      <c r="N915" s="43">
        <v>6</v>
      </c>
      <c r="O915" s="43">
        <v>6</v>
      </c>
      <c r="P915" s="43" t="s">
        <v>10589</v>
      </c>
      <c r="Q915" s="43" t="s">
        <v>1517</v>
      </c>
      <c r="R915" s="43"/>
      <c r="S915" s="52">
        <f t="shared" si="14"/>
        <v>0</v>
      </c>
      <c r="T915" s="47"/>
      <c r="U915" s="47"/>
    </row>
    <row r="916" spans="1:21" ht="16.5" thickTop="1" thickBot="1" x14ac:dyDescent="0.3">
      <c r="A916" s="51" t="s">
        <v>10408</v>
      </c>
      <c r="B916" s="52" t="s">
        <v>10409</v>
      </c>
      <c r="C916" s="52" t="s">
        <v>39</v>
      </c>
      <c r="D916" s="52" t="s">
        <v>17</v>
      </c>
      <c r="E916" s="52" t="s">
        <v>18</v>
      </c>
      <c r="F916" s="52" t="s">
        <v>28</v>
      </c>
      <c r="G916" s="53">
        <v>46242.724999999999</v>
      </c>
      <c r="H916" s="53">
        <v>46242.725694444445</v>
      </c>
      <c r="I916" s="52">
        <v>217</v>
      </c>
      <c r="J916" s="52" t="s">
        <v>1156</v>
      </c>
      <c r="K916" s="52" t="s">
        <v>1156</v>
      </c>
      <c r="L916" s="52" t="s">
        <v>20</v>
      </c>
      <c r="M916" s="52">
        <v>217</v>
      </c>
      <c r="N916" s="52">
        <v>18</v>
      </c>
      <c r="O916" s="52">
        <v>18</v>
      </c>
      <c r="P916" s="52" t="s">
        <v>8774</v>
      </c>
      <c r="Q916" s="52" t="s">
        <v>1514</v>
      </c>
      <c r="R916" s="52"/>
      <c r="S916" s="52">
        <f t="shared" si="14"/>
        <v>0</v>
      </c>
      <c r="T916" s="52"/>
      <c r="U916" s="52"/>
    </row>
    <row r="917" spans="1:21" s="46" customFormat="1" ht="16.5" thickTop="1" thickBot="1" x14ac:dyDescent="0.3">
      <c r="A917" s="50" t="s">
        <v>10406</v>
      </c>
      <c r="B917" s="43" t="s">
        <v>10407</v>
      </c>
      <c r="C917" s="43" t="s">
        <v>10781</v>
      </c>
      <c r="D917" s="43" t="s">
        <v>17</v>
      </c>
      <c r="E917" s="43" t="s">
        <v>18</v>
      </c>
      <c r="F917" s="43" t="s">
        <v>32</v>
      </c>
      <c r="G917" s="48">
        <v>46242.738194444442</v>
      </c>
      <c r="H917" s="48">
        <v>46242.777083333334</v>
      </c>
      <c r="I917" s="43">
        <v>348</v>
      </c>
      <c r="J917" s="43" t="s">
        <v>1156</v>
      </c>
      <c r="K917" s="43" t="s">
        <v>1156</v>
      </c>
      <c r="L917" s="43" t="s">
        <v>25</v>
      </c>
      <c r="M917" s="43">
        <v>348</v>
      </c>
      <c r="N917" s="43">
        <v>60</v>
      </c>
      <c r="O917" s="43">
        <v>60</v>
      </c>
      <c r="P917" s="43" t="s">
        <v>10587</v>
      </c>
      <c r="Q917" s="43" t="s">
        <v>1517</v>
      </c>
      <c r="R917" s="43" t="s">
        <v>10588</v>
      </c>
      <c r="S917" s="52">
        <f t="shared" si="14"/>
        <v>0.04</v>
      </c>
      <c r="T917" s="47"/>
      <c r="U917" s="47"/>
    </row>
    <row r="918" spans="1:21" ht="16.5" thickTop="1" thickBot="1" x14ac:dyDescent="0.3">
      <c r="A918" s="51" t="s">
        <v>10404</v>
      </c>
      <c r="B918" s="52" t="s">
        <v>10405</v>
      </c>
      <c r="C918" s="52" t="s">
        <v>38</v>
      </c>
      <c r="D918" s="52" t="s">
        <v>17</v>
      </c>
      <c r="E918" s="52" t="s">
        <v>18</v>
      </c>
      <c r="F918" s="52" t="s">
        <v>32</v>
      </c>
      <c r="G918" s="53">
        <v>46242.75</v>
      </c>
      <c r="H918" s="53">
        <v>46242.834722222222</v>
      </c>
      <c r="I918" s="52">
        <v>411</v>
      </c>
      <c r="J918" s="52" t="s">
        <v>1156</v>
      </c>
      <c r="K918" s="52" t="s">
        <v>1156</v>
      </c>
      <c r="L918" s="52" t="s">
        <v>20</v>
      </c>
      <c r="M918" s="52">
        <v>411</v>
      </c>
      <c r="N918" s="52">
        <v>69</v>
      </c>
      <c r="O918" s="52">
        <v>69</v>
      </c>
      <c r="P918" s="52" t="s">
        <v>10585</v>
      </c>
      <c r="Q918" s="52" t="s">
        <v>1517</v>
      </c>
      <c r="R918" s="52" t="s">
        <v>10586</v>
      </c>
      <c r="S918" s="52">
        <f t="shared" si="14"/>
        <v>0.08</v>
      </c>
      <c r="T918" s="52"/>
      <c r="U918" s="52"/>
    </row>
    <row r="919" spans="1:21" s="46" customFormat="1" ht="16.5" thickTop="1" thickBot="1" x14ac:dyDescent="0.3">
      <c r="A919" s="50" t="s">
        <v>10403</v>
      </c>
      <c r="B919" s="43" t="s">
        <v>1555</v>
      </c>
      <c r="C919" s="43" t="s">
        <v>1073</v>
      </c>
      <c r="D919" s="43" t="s">
        <v>17</v>
      </c>
      <c r="E919" s="43" t="s">
        <v>18</v>
      </c>
      <c r="F919" s="43" t="s">
        <v>32</v>
      </c>
      <c r="G919" s="48">
        <v>46242.753472222219</v>
      </c>
      <c r="H919" s="48">
        <v>46242.753472222219</v>
      </c>
      <c r="I919" s="43">
        <v>2</v>
      </c>
      <c r="J919" s="43" t="s">
        <v>2373</v>
      </c>
      <c r="K919" s="43" t="s">
        <v>8317</v>
      </c>
      <c r="L919" s="43" t="s">
        <v>33</v>
      </c>
      <c r="M919" s="43">
        <v>2</v>
      </c>
      <c r="N919" s="43">
        <v>2</v>
      </c>
      <c r="O919" s="43">
        <v>2</v>
      </c>
      <c r="P919" s="43" t="s">
        <v>9889</v>
      </c>
      <c r="Q919" s="43" t="s">
        <v>1517</v>
      </c>
      <c r="R919" s="43"/>
      <c r="S919" s="52">
        <f t="shared" si="14"/>
        <v>0</v>
      </c>
      <c r="T919" s="47"/>
      <c r="U919" s="47"/>
    </row>
    <row r="920" spans="1:21" ht="16.5" thickTop="1" thickBot="1" x14ac:dyDescent="0.3">
      <c r="A920" s="51" t="s">
        <v>10401</v>
      </c>
      <c r="B920" s="52" t="s">
        <v>10402</v>
      </c>
      <c r="C920" s="52" t="s">
        <v>30</v>
      </c>
      <c r="D920" s="52" t="s">
        <v>17</v>
      </c>
      <c r="E920" s="52" t="s">
        <v>18</v>
      </c>
      <c r="F920" s="52" t="s">
        <v>32</v>
      </c>
      <c r="G920" s="53">
        <v>46242.763194444444</v>
      </c>
      <c r="H920" s="53">
        <v>46242.850694444445</v>
      </c>
      <c r="I920" s="52">
        <v>444</v>
      </c>
      <c r="J920" s="52" t="s">
        <v>1156</v>
      </c>
      <c r="K920" s="52" t="s">
        <v>1156</v>
      </c>
      <c r="L920" s="52" t="s">
        <v>31</v>
      </c>
      <c r="M920" s="52">
        <v>444</v>
      </c>
      <c r="N920" s="52">
        <v>46</v>
      </c>
      <c r="O920" s="52">
        <v>46</v>
      </c>
      <c r="P920" s="52" t="s">
        <v>10583</v>
      </c>
      <c r="Q920" s="52" t="s">
        <v>1517</v>
      </c>
      <c r="R920" s="52" t="s">
        <v>10584</v>
      </c>
      <c r="S920" s="52">
        <f t="shared" si="14"/>
        <v>0.09</v>
      </c>
      <c r="T920" s="52"/>
      <c r="U920" s="52"/>
    </row>
    <row r="921" spans="1:21" s="46" customFormat="1" ht="16.5" thickTop="1" thickBot="1" x14ac:dyDescent="0.3">
      <c r="A921" s="50" t="s">
        <v>10400</v>
      </c>
      <c r="B921" s="43" t="s">
        <v>10399</v>
      </c>
      <c r="C921" s="43" t="s">
        <v>38</v>
      </c>
      <c r="D921" s="43" t="s">
        <v>17</v>
      </c>
      <c r="E921" s="43" t="s">
        <v>18</v>
      </c>
      <c r="F921" s="43" t="s">
        <v>32</v>
      </c>
      <c r="G921" s="48">
        <v>46242.76666666667</v>
      </c>
      <c r="H921" s="48">
        <v>46242.865972222222</v>
      </c>
      <c r="I921" s="43">
        <v>150</v>
      </c>
      <c r="J921" s="43" t="s">
        <v>1156</v>
      </c>
      <c r="K921" s="43" t="s">
        <v>1156</v>
      </c>
      <c r="L921" s="43" t="s">
        <v>20</v>
      </c>
      <c r="M921" s="43">
        <v>150</v>
      </c>
      <c r="N921" s="43">
        <v>24</v>
      </c>
      <c r="O921" s="43">
        <v>24</v>
      </c>
      <c r="P921" s="43" t="s">
        <v>1474</v>
      </c>
      <c r="Q921" s="43" t="s">
        <v>1517</v>
      </c>
      <c r="R921" s="43" t="s">
        <v>10582</v>
      </c>
      <c r="S921" s="52">
        <f t="shared" si="14"/>
        <v>0.1</v>
      </c>
      <c r="T921" s="47"/>
      <c r="U921" s="47"/>
    </row>
    <row r="922" spans="1:21" ht="16.5" thickTop="1" thickBot="1" x14ac:dyDescent="0.3">
      <c r="A922" s="51" t="s">
        <v>10398</v>
      </c>
      <c r="B922" s="52" t="s">
        <v>10399</v>
      </c>
      <c r="C922" s="52" t="s">
        <v>38</v>
      </c>
      <c r="D922" s="52" t="s">
        <v>17</v>
      </c>
      <c r="E922" s="52" t="s">
        <v>18</v>
      </c>
      <c r="F922" s="52" t="s">
        <v>28</v>
      </c>
      <c r="G922" s="53">
        <v>46242.927083333336</v>
      </c>
      <c r="H922" s="53">
        <v>46242.927083333336</v>
      </c>
      <c r="I922" s="52">
        <v>150</v>
      </c>
      <c r="J922" s="52" t="s">
        <v>1156</v>
      </c>
      <c r="K922" s="52" t="s">
        <v>1156</v>
      </c>
      <c r="L922" s="52" t="s">
        <v>20</v>
      </c>
      <c r="M922" s="52">
        <v>150</v>
      </c>
      <c r="N922" s="52">
        <v>9</v>
      </c>
      <c r="O922" s="52">
        <v>9</v>
      </c>
      <c r="P922" s="52" t="s">
        <v>1474</v>
      </c>
      <c r="Q922" s="52" t="s">
        <v>1517</v>
      </c>
      <c r="R922" s="52"/>
      <c r="S922" s="52">
        <f t="shared" si="14"/>
        <v>0</v>
      </c>
      <c r="T922" s="52"/>
      <c r="U922" s="52"/>
    </row>
    <row r="923" spans="1:21" s="46" customFormat="1" ht="16.5" thickTop="1" thickBot="1" x14ac:dyDescent="0.3">
      <c r="A923" s="50" t="s">
        <v>10396</v>
      </c>
      <c r="B923" s="43" t="s">
        <v>10397</v>
      </c>
      <c r="C923" s="43" t="s">
        <v>39</v>
      </c>
      <c r="D923" s="43" t="s">
        <v>17</v>
      </c>
      <c r="E923" s="43" t="s">
        <v>18</v>
      </c>
      <c r="F923" s="43" t="s">
        <v>42</v>
      </c>
      <c r="G923" s="48">
        <v>46242.998611111114</v>
      </c>
      <c r="H923" s="48">
        <v>46242.998611111114</v>
      </c>
      <c r="I923" s="43">
        <v>363</v>
      </c>
      <c r="J923" s="43" t="s">
        <v>1156</v>
      </c>
      <c r="K923" s="43" t="s">
        <v>1156</v>
      </c>
      <c r="L923" s="43" t="s">
        <v>25</v>
      </c>
      <c r="M923" s="43">
        <v>363</v>
      </c>
      <c r="N923" s="43">
        <v>69</v>
      </c>
      <c r="O923" s="43">
        <v>69</v>
      </c>
      <c r="P923" s="43" t="s">
        <v>10581</v>
      </c>
      <c r="Q923" s="43" t="s">
        <v>1517</v>
      </c>
      <c r="R923" s="43"/>
      <c r="S923" s="52">
        <f t="shared" si="14"/>
        <v>0</v>
      </c>
      <c r="T923" s="47"/>
      <c r="U923" s="47"/>
    </row>
    <row r="924" spans="1:21" ht="16.5" thickTop="1" thickBot="1" x14ac:dyDescent="0.3">
      <c r="A924" s="51" t="s">
        <v>10394</v>
      </c>
      <c r="B924" s="52" t="s">
        <v>10395</v>
      </c>
      <c r="C924" s="52" t="s">
        <v>38</v>
      </c>
      <c r="D924" s="52" t="s">
        <v>17</v>
      </c>
      <c r="E924" s="52" t="s">
        <v>18</v>
      </c>
      <c r="F924" s="52" t="s">
        <v>42</v>
      </c>
      <c r="G924" s="53">
        <v>46243.023611111108</v>
      </c>
      <c r="H924" s="53">
        <v>46243.023611111108</v>
      </c>
      <c r="I924" s="52">
        <v>1</v>
      </c>
      <c r="J924" s="52" t="s">
        <v>2373</v>
      </c>
      <c r="K924" s="52" t="s">
        <v>8317</v>
      </c>
      <c r="L924" s="52" t="s">
        <v>8475</v>
      </c>
      <c r="M924" s="52">
        <v>1</v>
      </c>
      <c r="N924" s="52">
        <v>1</v>
      </c>
      <c r="O924" s="52">
        <v>1</v>
      </c>
      <c r="P924" s="52" t="s">
        <v>10580</v>
      </c>
      <c r="Q924" s="52" t="s">
        <v>1517</v>
      </c>
      <c r="R924" s="52"/>
      <c r="S924" s="52">
        <f t="shared" si="14"/>
        <v>0</v>
      </c>
      <c r="T924" s="52"/>
      <c r="U924" s="52"/>
    </row>
    <row r="925" spans="1:21" s="46" customFormat="1" ht="16.5" thickTop="1" thickBot="1" x14ac:dyDescent="0.3">
      <c r="A925" s="50" t="s">
        <v>10392</v>
      </c>
      <c r="B925" s="43" t="s">
        <v>10393</v>
      </c>
      <c r="C925" s="43" t="s">
        <v>38</v>
      </c>
      <c r="D925" s="43" t="s">
        <v>34</v>
      </c>
      <c r="E925" s="43" t="s">
        <v>19</v>
      </c>
      <c r="F925" s="43" t="s">
        <v>42</v>
      </c>
      <c r="G925" s="48">
        <v>46243.544444444444</v>
      </c>
      <c r="H925" s="48">
        <v>46243.544444444444</v>
      </c>
      <c r="I925" s="43">
        <v>66</v>
      </c>
      <c r="J925" s="43" t="s">
        <v>1156</v>
      </c>
      <c r="K925" s="43" t="s">
        <v>1156</v>
      </c>
      <c r="L925" s="43" t="s">
        <v>33</v>
      </c>
      <c r="M925" s="43">
        <v>39</v>
      </c>
      <c r="N925" s="43">
        <v>39</v>
      </c>
      <c r="O925" s="43">
        <v>66</v>
      </c>
      <c r="P925" s="43" t="s">
        <v>10579</v>
      </c>
      <c r="Q925" s="43" t="s">
        <v>1517</v>
      </c>
      <c r="R925" s="43"/>
      <c r="S925" s="52">
        <f t="shared" si="14"/>
        <v>0</v>
      </c>
      <c r="T925" s="47"/>
      <c r="U925" s="47"/>
    </row>
    <row r="926" spans="1:21" ht="16.5" thickTop="1" thickBot="1" x14ac:dyDescent="0.3">
      <c r="A926" s="51" t="s">
        <v>10390</v>
      </c>
      <c r="B926" s="52" t="s">
        <v>10391</v>
      </c>
      <c r="C926" s="52" t="s">
        <v>39</v>
      </c>
      <c r="D926" s="52" t="s">
        <v>17</v>
      </c>
      <c r="E926" s="52" t="s">
        <v>18</v>
      </c>
      <c r="F926" s="52" t="s">
        <v>42</v>
      </c>
      <c r="G926" s="53">
        <v>46243.549305555556</v>
      </c>
      <c r="H926" s="53">
        <v>46243.549305555556</v>
      </c>
      <c r="I926" s="52">
        <v>177</v>
      </c>
      <c r="J926" s="52" t="s">
        <v>1156</v>
      </c>
      <c r="K926" s="52" t="s">
        <v>1156</v>
      </c>
      <c r="L926" s="52" t="s">
        <v>36</v>
      </c>
      <c r="M926" s="52">
        <v>177</v>
      </c>
      <c r="N926" s="52">
        <v>177</v>
      </c>
      <c r="O926" s="52">
        <v>177</v>
      </c>
      <c r="P926" s="52" t="s">
        <v>8991</v>
      </c>
      <c r="Q926" s="52" t="s">
        <v>1514</v>
      </c>
      <c r="R926" s="52"/>
      <c r="S926" s="52">
        <f t="shared" si="14"/>
        <v>0</v>
      </c>
      <c r="T926" s="52"/>
      <c r="U926" s="52"/>
    </row>
    <row r="927" spans="1:21" s="46" customFormat="1" ht="16.5" thickTop="1" thickBot="1" x14ac:dyDescent="0.3">
      <c r="A927" s="50" t="s">
        <v>10388</v>
      </c>
      <c r="B927" s="43" t="s">
        <v>10389</v>
      </c>
      <c r="C927" s="43" t="s">
        <v>38</v>
      </c>
      <c r="D927" s="43" t="s">
        <v>17</v>
      </c>
      <c r="E927" s="43" t="s">
        <v>18</v>
      </c>
      <c r="F927" s="43" t="s">
        <v>42</v>
      </c>
      <c r="G927" s="48">
        <v>46243.556250000001</v>
      </c>
      <c r="H927" s="48">
        <v>46243.556250000001</v>
      </c>
      <c r="I927" s="43">
        <v>51</v>
      </c>
      <c r="J927" s="43" t="s">
        <v>1156</v>
      </c>
      <c r="K927" s="43" t="s">
        <v>1156</v>
      </c>
      <c r="L927" s="43" t="s">
        <v>36</v>
      </c>
      <c r="M927" s="43">
        <v>51</v>
      </c>
      <c r="N927" s="43">
        <v>51</v>
      </c>
      <c r="O927" s="43">
        <v>51</v>
      </c>
      <c r="P927" s="43" t="s">
        <v>8523</v>
      </c>
      <c r="Q927" s="43" t="s">
        <v>1517</v>
      </c>
      <c r="R927" s="43"/>
      <c r="S927" s="52">
        <f t="shared" si="14"/>
        <v>0</v>
      </c>
      <c r="T927" s="47"/>
      <c r="U927" s="47"/>
    </row>
    <row r="928" spans="1:21" ht="16.5" thickTop="1" thickBot="1" x14ac:dyDescent="0.3">
      <c r="A928" s="51" t="s">
        <v>10386</v>
      </c>
      <c r="B928" s="52" t="s">
        <v>10387</v>
      </c>
      <c r="C928" s="52" t="s">
        <v>38</v>
      </c>
      <c r="D928" s="52" t="s">
        <v>17</v>
      </c>
      <c r="E928" s="52" t="s">
        <v>18</v>
      </c>
      <c r="F928" s="52" t="s">
        <v>42</v>
      </c>
      <c r="G928" s="53">
        <v>46243.56527777778</v>
      </c>
      <c r="H928" s="53">
        <v>46243.565972222219</v>
      </c>
      <c r="I928" s="52">
        <v>1</v>
      </c>
      <c r="J928" s="52" t="s">
        <v>1156</v>
      </c>
      <c r="K928" s="52" t="s">
        <v>1156</v>
      </c>
      <c r="L928" s="52" t="s">
        <v>33</v>
      </c>
      <c r="M928" s="52">
        <v>1</v>
      </c>
      <c r="N928" s="52">
        <v>1</v>
      </c>
      <c r="O928" s="52">
        <v>1</v>
      </c>
      <c r="P928" s="52" t="s">
        <v>9366</v>
      </c>
      <c r="Q928" s="52" t="s">
        <v>1546</v>
      </c>
      <c r="R928" s="52"/>
      <c r="S928" s="52">
        <f t="shared" si="14"/>
        <v>0</v>
      </c>
      <c r="T928" s="52"/>
      <c r="U928" s="52"/>
    </row>
    <row r="929" spans="1:21" s="46" customFormat="1" ht="16.5" thickTop="1" thickBot="1" x14ac:dyDescent="0.3">
      <c r="A929" s="50" t="s">
        <v>10384</v>
      </c>
      <c r="B929" s="43" t="s">
        <v>10385</v>
      </c>
      <c r="C929" s="43" t="s">
        <v>35</v>
      </c>
      <c r="D929" s="43" t="s">
        <v>17</v>
      </c>
      <c r="E929" s="43" t="s">
        <v>18</v>
      </c>
      <c r="F929" s="43" t="s">
        <v>42</v>
      </c>
      <c r="G929" s="48">
        <v>46243.609722222223</v>
      </c>
      <c r="H929" s="48">
        <v>46243.609722222223</v>
      </c>
      <c r="I929" s="43">
        <v>66</v>
      </c>
      <c r="J929" s="43" t="s">
        <v>2373</v>
      </c>
      <c r="K929" s="43" t="s">
        <v>8317</v>
      </c>
      <c r="L929" s="43" t="s">
        <v>33</v>
      </c>
      <c r="M929" s="43">
        <v>66</v>
      </c>
      <c r="N929" s="43">
        <v>130</v>
      </c>
      <c r="O929" s="43">
        <v>130</v>
      </c>
      <c r="P929" s="43" t="s">
        <v>8238</v>
      </c>
      <c r="Q929" s="43" t="s">
        <v>1546</v>
      </c>
      <c r="R929" s="43"/>
      <c r="S929" s="52">
        <f t="shared" si="14"/>
        <v>0</v>
      </c>
      <c r="T929" s="47"/>
      <c r="U929" s="47"/>
    </row>
    <row r="930" spans="1:21" ht="16.5" thickTop="1" thickBot="1" x14ac:dyDescent="0.3">
      <c r="A930" s="51" t="s">
        <v>10382</v>
      </c>
      <c r="B930" s="52" t="s">
        <v>10383</v>
      </c>
      <c r="C930" s="52" t="s">
        <v>35</v>
      </c>
      <c r="D930" s="52" t="s">
        <v>17</v>
      </c>
      <c r="E930" s="52" t="s">
        <v>18</v>
      </c>
      <c r="F930" s="52" t="s">
        <v>32</v>
      </c>
      <c r="G930" s="53">
        <v>46243.628472222219</v>
      </c>
      <c r="H930" s="53">
        <v>46243.628472222219</v>
      </c>
      <c r="I930" s="52">
        <v>46</v>
      </c>
      <c r="J930" s="52" t="s">
        <v>2373</v>
      </c>
      <c r="K930" s="52" t="s">
        <v>8317</v>
      </c>
      <c r="L930" s="52" t="s">
        <v>25</v>
      </c>
      <c r="M930" s="52">
        <v>46</v>
      </c>
      <c r="N930" s="52">
        <v>20</v>
      </c>
      <c r="O930" s="52">
        <v>20</v>
      </c>
      <c r="P930" s="52" t="s">
        <v>10578</v>
      </c>
      <c r="Q930" s="52" t="s">
        <v>1517</v>
      </c>
      <c r="R930" s="52"/>
      <c r="S930" s="52">
        <f t="shared" si="14"/>
        <v>0</v>
      </c>
      <c r="T930" s="52"/>
      <c r="U930" s="52"/>
    </row>
    <row r="931" spans="1:21" s="46" customFormat="1" ht="16.5" thickTop="1" thickBot="1" x14ac:dyDescent="0.3">
      <c r="A931" s="50" t="s">
        <v>10378</v>
      </c>
      <c r="B931" s="43" t="s">
        <v>10379</v>
      </c>
      <c r="C931" s="43" t="s">
        <v>38</v>
      </c>
      <c r="D931" s="43" t="s">
        <v>17</v>
      </c>
      <c r="E931" s="43" t="s">
        <v>18</v>
      </c>
      <c r="F931" s="43" t="s">
        <v>32</v>
      </c>
      <c r="G931" s="48">
        <v>46243.640277777777</v>
      </c>
      <c r="H931" s="48">
        <v>46243.640277777777</v>
      </c>
      <c r="I931" s="43">
        <v>2</v>
      </c>
      <c r="J931" s="43" t="s">
        <v>1156</v>
      </c>
      <c r="K931" s="43" t="s">
        <v>8331</v>
      </c>
      <c r="L931" s="43" t="s">
        <v>33</v>
      </c>
      <c r="M931" s="43">
        <v>2</v>
      </c>
      <c r="N931" s="43">
        <v>2</v>
      </c>
      <c r="O931" s="43">
        <v>2</v>
      </c>
      <c r="P931" s="43" t="s">
        <v>8785</v>
      </c>
      <c r="Q931" s="43" t="s">
        <v>1546</v>
      </c>
      <c r="R931" s="43"/>
      <c r="S931" s="52">
        <f t="shared" si="14"/>
        <v>0</v>
      </c>
      <c r="T931" s="47"/>
      <c r="U931" s="47"/>
    </row>
    <row r="932" spans="1:21" ht="16.5" thickTop="1" thickBot="1" x14ac:dyDescent="0.3">
      <c r="A932" s="51" t="s">
        <v>10380</v>
      </c>
      <c r="B932" s="52" t="s">
        <v>10381</v>
      </c>
      <c r="C932" s="52" t="s">
        <v>38</v>
      </c>
      <c r="D932" s="52" t="s">
        <v>17</v>
      </c>
      <c r="E932" s="52" t="s">
        <v>18</v>
      </c>
      <c r="F932" s="52" t="s">
        <v>42</v>
      </c>
      <c r="G932" s="53">
        <v>46243.640277777777</v>
      </c>
      <c r="H932" s="53">
        <v>46243.640277777777</v>
      </c>
      <c r="I932" s="52">
        <v>643</v>
      </c>
      <c r="J932" s="52" t="s">
        <v>1156</v>
      </c>
      <c r="K932" s="52" t="s">
        <v>1156</v>
      </c>
      <c r="L932" s="52" t="s">
        <v>20</v>
      </c>
      <c r="M932" s="52">
        <v>601</v>
      </c>
      <c r="N932" s="52">
        <v>101</v>
      </c>
      <c r="O932" s="52">
        <v>108</v>
      </c>
      <c r="P932" s="52" t="s">
        <v>10257</v>
      </c>
      <c r="Q932" s="52" t="s">
        <v>1517</v>
      </c>
      <c r="R932" s="52"/>
      <c r="S932" s="52">
        <f t="shared" si="14"/>
        <v>0</v>
      </c>
      <c r="T932" s="52"/>
      <c r="U932" s="52"/>
    </row>
    <row r="933" spans="1:21" s="46" customFormat="1" ht="16.5" thickTop="1" thickBot="1" x14ac:dyDescent="0.3">
      <c r="A933" s="50" t="s">
        <v>10376</v>
      </c>
      <c r="B933" s="43" t="s">
        <v>10377</v>
      </c>
      <c r="C933" s="43" t="s">
        <v>38</v>
      </c>
      <c r="D933" s="43" t="s">
        <v>17</v>
      </c>
      <c r="E933" s="43" t="s">
        <v>18</v>
      </c>
      <c r="F933" s="43" t="s">
        <v>32</v>
      </c>
      <c r="G933" s="48">
        <v>46243.654166666667</v>
      </c>
      <c r="H933" s="48">
        <v>46243.654166666667</v>
      </c>
      <c r="I933" s="43">
        <v>2</v>
      </c>
      <c r="J933" s="43" t="s">
        <v>2373</v>
      </c>
      <c r="K933" s="43" t="s">
        <v>8310</v>
      </c>
      <c r="L933" s="43" t="s">
        <v>33</v>
      </c>
      <c r="M933" s="43">
        <v>2</v>
      </c>
      <c r="N933" s="43">
        <v>2</v>
      </c>
      <c r="O933" s="43">
        <v>2</v>
      </c>
      <c r="P933" s="43" t="s">
        <v>9076</v>
      </c>
      <c r="Q933" s="43" t="s">
        <v>1546</v>
      </c>
      <c r="R933" s="43"/>
      <c r="S933" s="52">
        <f t="shared" si="14"/>
        <v>0</v>
      </c>
      <c r="T933" s="47"/>
      <c r="U933" s="47"/>
    </row>
    <row r="934" spans="1:21" ht="16.5" thickTop="1" thickBot="1" x14ac:dyDescent="0.3">
      <c r="A934" s="51" t="s">
        <v>10374</v>
      </c>
      <c r="B934" s="52" t="s">
        <v>10375</v>
      </c>
      <c r="C934" s="52" t="s">
        <v>38</v>
      </c>
      <c r="D934" s="52" t="s">
        <v>17</v>
      </c>
      <c r="E934" s="52" t="s">
        <v>18</v>
      </c>
      <c r="F934" s="52" t="s">
        <v>42</v>
      </c>
      <c r="G934" s="53">
        <v>46243.670138888891</v>
      </c>
      <c r="H934" s="53">
        <v>46243.670138888891</v>
      </c>
      <c r="I934" s="52">
        <v>480</v>
      </c>
      <c r="J934" s="52" t="s">
        <v>1156</v>
      </c>
      <c r="K934" s="52" t="s">
        <v>1156</v>
      </c>
      <c r="L934" s="52" t="s">
        <v>25</v>
      </c>
      <c r="M934" s="52">
        <v>480</v>
      </c>
      <c r="N934" s="52">
        <v>96</v>
      </c>
      <c r="O934" s="52">
        <v>96</v>
      </c>
      <c r="P934" s="52" t="s">
        <v>1477</v>
      </c>
      <c r="Q934" s="52" t="s">
        <v>1546</v>
      </c>
      <c r="R934" s="52"/>
      <c r="S934" s="52">
        <f t="shared" si="14"/>
        <v>0</v>
      </c>
      <c r="T934" s="52"/>
      <c r="U934" s="52"/>
    </row>
    <row r="935" spans="1:21" s="46" customFormat="1" ht="16.5" thickTop="1" thickBot="1" x14ac:dyDescent="0.3">
      <c r="A935" s="50" t="s">
        <v>10372</v>
      </c>
      <c r="B935" s="43" t="s">
        <v>10373</v>
      </c>
      <c r="C935" s="43" t="s">
        <v>35</v>
      </c>
      <c r="D935" s="43" t="s">
        <v>17</v>
      </c>
      <c r="E935" s="43" t="s">
        <v>18</v>
      </c>
      <c r="F935" s="43" t="s">
        <v>42</v>
      </c>
      <c r="G935" s="48">
        <v>46243.675000000003</v>
      </c>
      <c r="H935" s="48">
        <v>46243.675694444442</v>
      </c>
      <c r="I935" s="43">
        <v>58</v>
      </c>
      <c r="J935" s="43" t="s">
        <v>1156</v>
      </c>
      <c r="K935" s="43" t="s">
        <v>1156</v>
      </c>
      <c r="L935" s="43" t="s">
        <v>25</v>
      </c>
      <c r="M935" s="43">
        <v>58</v>
      </c>
      <c r="N935" s="43">
        <v>35</v>
      </c>
      <c r="O935" s="43">
        <v>35</v>
      </c>
      <c r="P935" s="43" t="s">
        <v>10577</v>
      </c>
      <c r="Q935" s="43" t="s">
        <v>1546</v>
      </c>
      <c r="R935" s="43"/>
      <c r="S935" s="52">
        <f t="shared" si="14"/>
        <v>0</v>
      </c>
      <c r="T935" s="47"/>
      <c r="U935" s="47"/>
    </row>
    <row r="936" spans="1:21" ht="16.5" thickTop="1" thickBot="1" x14ac:dyDescent="0.3">
      <c r="A936" s="51" t="s">
        <v>10370</v>
      </c>
      <c r="B936" s="52" t="s">
        <v>10371</v>
      </c>
      <c r="C936" s="52" t="s">
        <v>38</v>
      </c>
      <c r="D936" s="52" t="s">
        <v>17</v>
      </c>
      <c r="E936" s="52" t="s">
        <v>18</v>
      </c>
      <c r="F936" s="52" t="s">
        <v>42</v>
      </c>
      <c r="G936" s="53">
        <v>46243.695833333331</v>
      </c>
      <c r="H936" s="53">
        <v>46243.695833333331</v>
      </c>
      <c r="I936" s="52">
        <v>240</v>
      </c>
      <c r="J936" s="52" t="s">
        <v>1156</v>
      </c>
      <c r="K936" s="52" t="s">
        <v>1156</v>
      </c>
      <c r="L936" s="52" t="s">
        <v>20</v>
      </c>
      <c r="M936" s="52">
        <v>240</v>
      </c>
      <c r="N936" s="52">
        <v>40</v>
      </c>
      <c r="O936" s="52">
        <v>40</v>
      </c>
      <c r="P936" s="52" t="s">
        <v>10576</v>
      </c>
      <c r="Q936" s="52" t="s">
        <v>1517</v>
      </c>
      <c r="R936" s="52"/>
      <c r="S936" s="52">
        <f t="shared" si="14"/>
        <v>0</v>
      </c>
      <c r="T936" s="52"/>
      <c r="U936" s="52"/>
    </row>
    <row r="937" spans="1:21" s="46" customFormat="1" ht="16.5" thickTop="1" thickBot="1" x14ac:dyDescent="0.3">
      <c r="A937" s="50" t="s">
        <v>10368</v>
      </c>
      <c r="B937" s="43" t="s">
        <v>10369</v>
      </c>
      <c r="C937" s="43" t="s">
        <v>38</v>
      </c>
      <c r="D937" s="43" t="s">
        <v>17</v>
      </c>
      <c r="E937" s="43" t="s">
        <v>18</v>
      </c>
      <c r="F937" s="43" t="s">
        <v>42</v>
      </c>
      <c r="G937" s="48">
        <v>46243.697916666664</v>
      </c>
      <c r="H937" s="48">
        <v>46243.698611111111</v>
      </c>
      <c r="I937" s="43">
        <v>102</v>
      </c>
      <c r="J937" s="43" t="s">
        <v>2373</v>
      </c>
      <c r="K937" s="43" t="s">
        <v>8329</v>
      </c>
      <c r="L937" s="43" t="s">
        <v>25</v>
      </c>
      <c r="M937" s="43">
        <v>102</v>
      </c>
      <c r="N937" s="43">
        <v>17</v>
      </c>
      <c r="O937" s="43">
        <v>17</v>
      </c>
      <c r="P937" s="43" t="s">
        <v>1333</v>
      </c>
      <c r="Q937" s="43" t="s">
        <v>1517</v>
      </c>
      <c r="R937" s="43"/>
      <c r="S937" s="52">
        <f t="shared" si="14"/>
        <v>0</v>
      </c>
      <c r="T937" s="47"/>
      <c r="U937" s="47"/>
    </row>
    <row r="938" spans="1:21" ht="16.5" thickTop="1" thickBot="1" x14ac:dyDescent="0.3">
      <c r="A938" s="51" t="s">
        <v>10366</v>
      </c>
      <c r="B938" s="52" t="s">
        <v>10367</v>
      </c>
      <c r="C938" s="52" t="s">
        <v>10781</v>
      </c>
      <c r="D938" s="52" t="s">
        <v>17</v>
      </c>
      <c r="E938" s="52" t="s">
        <v>18</v>
      </c>
      <c r="F938" s="52" t="s">
        <v>42</v>
      </c>
      <c r="G938" s="53">
        <v>46243.705555555556</v>
      </c>
      <c r="H938" s="53">
        <v>46243.705555555556</v>
      </c>
      <c r="I938" s="52">
        <v>951</v>
      </c>
      <c r="J938" s="52" t="s">
        <v>1156</v>
      </c>
      <c r="K938" s="52" t="s">
        <v>1156</v>
      </c>
      <c r="L938" s="52" t="s">
        <v>31</v>
      </c>
      <c r="M938" s="52">
        <v>951</v>
      </c>
      <c r="N938" s="52">
        <v>131</v>
      </c>
      <c r="O938" s="52">
        <v>131</v>
      </c>
      <c r="P938" s="52" t="s">
        <v>8786</v>
      </c>
      <c r="Q938" s="52" t="s">
        <v>1517</v>
      </c>
      <c r="R938" s="52"/>
      <c r="S938" s="52">
        <f t="shared" si="14"/>
        <v>0</v>
      </c>
      <c r="T938" s="52"/>
      <c r="U938" s="52"/>
    </row>
    <row r="939" spans="1:21" s="46" customFormat="1" ht="16.5" thickTop="1" thickBot="1" x14ac:dyDescent="0.3">
      <c r="A939" s="50" t="s">
        <v>10825</v>
      </c>
      <c r="B939" s="43" t="s">
        <v>10826</v>
      </c>
      <c r="C939" s="43" t="s">
        <v>1073</v>
      </c>
      <c r="D939" s="43" t="s">
        <v>17</v>
      </c>
      <c r="E939" s="43" t="s">
        <v>18</v>
      </c>
      <c r="F939" s="43" t="s">
        <v>42</v>
      </c>
      <c r="G939" s="48">
        <v>46243.930555555555</v>
      </c>
      <c r="H939" s="48">
        <v>46249.013888888891</v>
      </c>
      <c r="I939" s="43">
        <v>75</v>
      </c>
      <c r="J939" s="43" t="s">
        <v>1156</v>
      </c>
      <c r="K939" s="43" t="s">
        <v>1156</v>
      </c>
      <c r="L939" s="43" t="s">
        <v>25</v>
      </c>
      <c r="M939" s="43"/>
      <c r="N939" s="43"/>
      <c r="O939" s="43">
        <v>75</v>
      </c>
      <c r="P939" s="43" t="s">
        <v>10892</v>
      </c>
      <c r="Q939" s="43" t="s">
        <v>1517</v>
      </c>
      <c r="R939" s="43"/>
      <c r="S939" s="52">
        <f t="shared" si="14"/>
        <v>5.08</v>
      </c>
      <c r="T939" s="47"/>
      <c r="U939" s="47"/>
    </row>
    <row r="940" spans="1:21" ht="16.5" thickTop="1" thickBot="1" x14ac:dyDescent="0.3">
      <c r="A940" s="51" t="s">
        <v>10823</v>
      </c>
      <c r="B940" s="52" t="s">
        <v>10824</v>
      </c>
      <c r="C940" s="52" t="s">
        <v>38</v>
      </c>
      <c r="D940" s="52" t="s">
        <v>17</v>
      </c>
      <c r="E940" s="52" t="s">
        <v>19</v>
      </c>
      <c r="F940" s="52" t="s">
        <v>19</v>
      </c>
      <c r="G940" s="53">
        <v>46244.400694444441</v>
      </c>
      <c r="H940" s="53">
        <v>46244.722916666666</v>
      </c>
      <c r="I940" s="52">
        <v>513</v>
      </c>
      <c r="J940" s="52" t="s">
        <v>1156</v>
      </c>
      <c r="K940" s="52" t="s">
        <v>8350</v>
      </c>
      <c r="L940" s="52" t="s">
        <v>20</v>
      </c>
      <c r="M940" s="52">
        <v>444</v>
      </c>
      <c r="N940" s="52">
        <v>65</v>
      </c>
      <c r="O940" s="52">
        <v>78</v>
      </c>
      <c r="P940" s="52" t="s">
        <v>10890</v>
      </c>
      <c r="Q940" s="52" t="s">
        <v>1546</v>
      </c>
      <c r="R940" s="52" t="s">
        <v>10891</v>
      </c>
      <c r="S940" s="52">
        <f t="shared" si="14"/>
        <v>0.32</v>
      </c>
      <c r="T940" s="52"/>
      <c r="U940" s="52"/>
    </row>
    <row r="941" spans="1:21" s="46" customFormat="1" ht="16.5" thickTop="1" thickBot="1" x14ac:dyDescent="0.3">
      <c r="A941" s="50" t="s">
        <v>10821</v>
      </c>
      <c r="B941" s="43" t="s">
        <v>10822</v>
      </c>
      <c r="C941" s="43" t="s">
        <v>38</v>
      </c>
      <c r="D941" s="43" t="s">
        <v>17</v>
      </c>
      <c r="E941" s="43" t="s">
        <v>18</v>
      </c>
      <c r="F941" s="43" t="s">
        <v>19</v>
      </c>
      <c r="G941" s="48">
        <v>46244.423611111109</v>
      </c>
      <c r="H941" s="48">
        <v>46248.538194444445</v>
      </c>
      <c r="I941" s="43">
        <v>5</v>
      </c>
      <c r="J941" s="43" t="s">
        <v>1156</v>
      </c>
      <c r="K941" s="43" t="s">
        <v>1156</v>
      </c>
      <c r="L941" s="43" t="s">
        <v>25</v>
      </c>
      <c r="M941" s="43">
        <v>5</v>
      </c>
      <c r="N941" s="43">
        <v>5</v>
      </c>
      <c r="O941" s="43">
        <v>5</v>
      </c>
      <c r="P941" s="43" t="s">
        <v>1464</v>
      </c>
      <c r="Q941" s="43" t="s">
        <v>1517</v>
      </c>
      <c r="R941" s="43" t="s">
        <v>10889</v>
      </c>
      <c r="S941" s="52">
        <f t="shared" si="14"/>
        <v>4.1100000000000003</v>
      </c>
      <c r="T941" s="47"/>
      <c r="U941" s="47"/>
    </row>
    <row r="942" spans="1:21" ht="16.5" thickTop="1" thickBot="1" x14ac:dyDescent="0.3">
      <c r="A942" s="51" t="s">
        <v>10819</v>
      </c>
      <c r="B942" s="52" t="s">
        <v>10820</v>
      </c>
      <c r="C942" s="52" t="s">
        <v>38</v>
      </c>
      <c r="D942" s="52" t="s">
        <v>17</v>
      </c>
      <c r="E942" s="52" t="s">
        <v>18</v>
      </c>
      <c r="F942" s="52" t="s">
        <v>42</v>
      </c>
      <c r="G942" s="53">
        <v>46244.435416666667</v>
      </c>
      <c r="H942" s="53">
        <v>46245.457638888889</v>
      </c>
      <c r="I942" s="52">
        <v>6</v>
      </c>
      <c r="J942" s="52" t="s">
        <v>1156</v>
      </c>
      <c r="K942" s="52" t="s">
        <v>1156</v>
      </c>
      <c r="L942" s="52" t="s">
        <v>36</v>
      </c>
      <c r="M942" s="52">
        <v>6</v>
      </c>
      <c r="N942" s="52">
        <v>6</v>
      </c>
      <c r="O942" s="52">
        <v>6</v>
      </c>
      <c r="P942" s="52" t="s">
        <v>9832</v>
      </c>
      <c r="Q942" s="52" t="s">
        <v>1517</v>
      </c>
      <c r="R942" s="52" t="s">
        <v>10888</v>
      </c>
      <c r="S942" s="52">
        <f t="shared" si="14"/>
        <v>1.02</v>
      </c>
      <c r="T942" s="52"/>
      <c r="U942" s="52"/>
    </row>
    <row r="943" spans="1:21" s="46" customFormat="1" ht="16.5" thickTop="1" thickBot="1" x14ac:dyDescent="0.3">
      <c r="A943" s="50" t="s">
        <v>10818</v>
      </c>
      <c r="B943" s="43" t="s">
        <v>10510</v>
      </c>
      <c r="C943" s="43" t="s">
        <v>38</v>
      </c>
      <c r="D943" s="43" t="s">
        <v>17</v>
      </c>
      <c r="E943" s="43" t="s">
        <v>18</v>
      </c>
      <c r="F943" s="43" t="s">
        <v>42</v>
      </c>
      <c r="G943" s="48">
        <v>46244.438888888886</v>
      </c>
      <c r="H943" s="48">
        <v>46244.465277777781</v>
      </c>
      <c r="I943" s="43">
        <v>21</v>
      </c>
      <c r="J943" s="43" t="s">
        <v>1156</v>
      </c>
      <c r="K943" s="43" t="s">
        <v>1156</v>
      </c>
      <c r="L943" s="43" t="s">
        <v>36</v>
      </c>
      <c r="M943" s="43"/>
      <c r="N943" s="43"/>
      <c r="O943" s="43">
        <v>21</v>
      </c>
      <c r="P943" s="43" t="s">
        <v>1330</v>
      </c>
      <c r="Q943" s="43" t="s">
        <v>1517</v>
      </c>
      <c r="R943" s="43" t="s">
        <v>10887</v>
      </c>
      <c r="S943" s="52">
        <f t="shared" si="14"/>
        <v>0.03</v>
      </c>
      <c r="T943" s="47"/>
      <c r="U943" s="47"/>
    </row>
    <row r="944" spans="1:21" ht="16.5" thickTop="1" thickBot="1" x14ac:dyDescent="0.3">
      <c r="A944" s="51" t="s">
        <v>10816</v>
      </c>
      <c r="B944" s="52" t="s">
        <v>10817</v>
      </c>
      <c r="C944" s="52" t="s">
        <v>1129</v>
      </c>
      <c r="D944" s="52" t="s">
        <v>17</v>
      </c>
      <c r="E944" s="52" t="s">
        <v>18</v>
      </c>
      <c r="F944" s="52" t="s">
        <v>42</v>
      </c>
      <c r="G944" s="53">
        <v>46244.515277777777</v>
      </c>
      <c r="H944" s="53">
        <v>46248.682638888888</v>
      </c>
      <c r="I944" s="52">
        <v>1</v>
      </c>
      <c r="J944" s="52" t="s">
        <v>1156</v>
      </c>
      <c r="K944" s="52" t="s">
        <v>1156</v>
      </c>
      <c r="L944" s="52" t="s">
        <v>33</v>
      </c>
      <c r="M944" s="52"/>
      <c r="N944" s="52"/>
      <c r="O944" s="52">
        <v>1</v>
      </c>
      <c r="P944" s="52" t="s">
        <v>10355</v>
      </c>
      <c r="Q944" s="52" t="s">
        <v>1546</v>
      </c>
      <c r="R944" s="52" t="s">
        <v>10886</v>
      </c>
      <c r="S944" s="52">
        <f t="shared" si="14"/>
        <v>4.17</v>
      </c>
      <c r="T944" s="52"/>
      <c r="U944" s="52"/>
    </row>
    <row r="945" spans="1:21" s="46" customFormat="1" ht="16.5" thickTop="1" thickBot="1" x14ac:dyDescent="0.3">
      <c r="A945" s="50" t="s">
        <v>10815</v>
      </c>
      <c r="B945" s="43" t="s">
        <v>10084</v>
      </c>
      <c r="C945" s="43" t="s">
        <v>1372</v>
      </c>
      <c r="D945" s="43" t="s">
        <v>17</v>
      </c>
      <c r="E945" s="43" t="s">
        <v>18</v>
      </c>
      <c r="F945" s="43" t="s">
        <v>19</v>
      </c>
      <c r="G945" s="48">
        <v>46244.520138888889</v>
      </c>
      <c r="H945" s="48">
        <v>46248.537499999999</v>
      </c>
      <c r="I945" s="43">
        <v>5</v>
      </c>
      <c r="J945" s="43" t="s">
        <v>2373</v>
      </c>
      <c r="K945" s="43" t="s">
        <v>8317</v>
      </c>
      <c r="L945" s="43" t="s">
        <v>33</v>
      </c>
      <c r="M945" s="43"/>
      <c r="N945" s="43"/>
      <c r="O945" s="43">
        <v>5</v>
      </c>
      <c r="P945" s="43" t="s">
        <v>9003</v>
      </c>
      <c r="Q945" s="43" t="s">
        <v>1517</v>
      </c>
      <c r="R945" s="43" t="s">
        <v>10885</v>
      </c>
      <c r="S945" s="52">
        <f t="shared" si="14"/>
        <v>4.0199999999999996</v>
      </c>
      <c r="T945" s="47"/>
      <c r="U945" s="47"/>
    </row>
    <row r="946" spans="1:21" ht="16.5" thickTop="1" thickBot="1" x14ac:dyDescent="0.3">
      <c r="A946" s="51" t="s">
        <v>10813</v>
      </c>
      <c r="B946" s="52" t="s">
        <v>10814</v>
      </c>
      <c r="C946" s="52" t="s">
        <v>38</v>
      </c>
      <c r="D946" s="52" t="s">
        <v>17</v>
      </c>
      <c r="E946" s="52" t="s">
        <v>18</v>
      </c>
      <c r="F946" s="52" t="s">
        <v>42</v>
      </c>
      <c r="G946" s="53">
        <v>46244.537499999999</v>
      </c>
      <c r="H946" s="53">
        <v>46248.813194444447</v>
      </c>
      <c r="I946" s="52">
        <v>776</v>
      </c>
      <c r="J946" s="52" t="s">
        <v>2373</v>
      </c>
      <c r="K946" s="52" t="s">
        <v>8317</v>
      </c>
      <c r="L946" s="52" t="s">
        <v>25</v>
      </c>
      <c r="M946" s="52">
        <v>776</v>
      </c>
      <c r="N946" s="52">
        <v>149</v>
      </c>
      <c r="O946" s="52">
        <v>149</v>
      </c>
      <c r="P946" s="52" t="s">
        <v>1318</v>
      </c>
      <c r="Q946" s="52" t="s">
        <v>1517</v>
      </c>
      <c r="R946" s="52" t="s">
        <v>10884</v>
      </c>
      <c r="S946" s="52">
        <f t="shared" si="14"/>
        <v>4.28</v>
      </c>
      <c r="T946" s="52"/>
      <c r="U946" s="52"/>
    </row>
    <row r="947" spans="1:21" s="46" customFormat="1" ht="16.5" thickTop="1" thickBot="1" x14ac:dyDescent="0.3">
      <c r="A947" s="50" t="s">
        <v>10812</v>
      </c>
      <c r="B947" s="43" t="s">
        <v>10469</v>
      </c>
      <c r="C947" s="43" t="s">
        <v>38</v>
      </c>
      <c r="D947" s="43" t="s">
        <v>17</v>
      </c>
      <c r="E947" s="43" t="s">
        <v>18</v>
      </c>
      <c r="F947" s="43" t="s">
        <v>32</v>
      </c>
      <c r="G947" s="48">
        <v>46244.551388888889</v>
      </c>
      <c r="H947" s="48">
        <v>46247.757638888892</v>
      </c>
      <c r="I947" s="43">
        <v>5</v>
      </c>
      <c r="J947" s="43" t="s">
        <v>1156</v>
      </c>
      <c r="K947" s="43" t="s">
        <v>1156</v>
      </c>
      <c r="L947" s="43" t="s">
        <v>33</v>
      </c>
      <c r="M947" s="43">
        <v>5</v>
      </c>
      <c r="N947" s="43">
        <v>5</v>
      </c>
      <c r="O947" s="43">
        <v>5</v>
      </c>
      <c r="P947" s="43" t="s">
        <v>1417</v>
      </c>
      <c r="Q947" s="43" t="s">
        <v>1517</v>
      </c>
      <c r="R947" s="43" t="s">
        <v>10883</v>
      </c>
      <c r="S947" s="52">
        <f t="shared" si="14"/>
        <v>3.21</v>
      </c>
      <c r="T947" s="47"/>
      <c r="U947" s="47"/>
    </row>
    <row r="948" spans="1:21" ht="16.5" thickTop="1" thickBot="1" x14ac:dyDescent="0.3">
      <c r="A948" s="51" t="s">
        <v>10810</v>
      </c>
      <c r="B948" s="52" t="s">
        <v>10811</v>
      </c>
      <c r="C948" s="52" t="s">
        <v>1239</v>
      </c>
      <c r="D948" s="52" t="s">
        <v>17</v>
      </c>
      <c r="E948" s="52" t="s">
        <v>18</v>
      </c>
      <c r="F948" s="52" t="s">
        <v>32</v>
      </c>
      <c r="G948" s="53">
        <v>46244.613194444442</v>
      </c>
      <c r="H948" s="53">
        <v>46244.613194444442</v>
      </c>
      <c r="I948" s="52">
        <v>2</v>
      </c>
      <c r="J948" s="52" t="s">
        <v>2373</v>
      </c>
      <c r="K948" s="52" t="s">
        <v>8317</v>
      </c>
      <c r="L948" s="52" t="s">
        <v>33</v>
      </c>
      <c r="M948" s="52"/>
      <c r="N948" s="52"/>
      <c r="O948" s="52">
        <v>2</v>
      </c>
      <c r="P948" s="52" t="s">
        <v>1424</v>
      </c>
      <c r="Q948" s="52" t="s">
        <v>1517</v>
      </c>
      <c r="R948" s="52"/>
      <c r="S948" s="52">
        <f t="shared" si="14"/>
        <v>0</v>
      </c>
      <c r="T948" s="52"/>
      <c r="U948" s="52"/>
    </row>
    <row r="949" spans="1:21" s="46" customFormat="1" ht="16.5" thickTop="1" thickBot="1" x14ac:dyDescent="0.3">
      <c r="A949" s="50" t="s">
        <v>10808</v>
      </c>
      <c r="B949" s="43" t="s">
        <v>10809</v>
      </c>
      <c r="C949" s="43" t="s">
        <v>38</v>
      </c>
      <c r="D949" s="43" t="s">
        <v>17</v>
      </c>
      <c r="E949" s="43" t="s">
        <v>18</v>
      </c>
      <c r="F949" s="43" t="s">
        <v>42</v>
      </c>
      <c r="G949" s="48">
        <v>46244.64166666667</v>
      </c>
      <c r="H949" s="48">
        <v>46248.618750000001</v>
      </c>
      <c r="I949" s="43">
        <v>68</v>
      </c>
      <c r="J949" s="43" t="s">
        <v>1156</v>
      </c>
      <c r="K949" s="43" t="s">
        <v>8350</v>
      </c>
      <c r="L949" s="43" t="s">
        <v>20</v>
      </c>
      <c r="M949" s="43">
        <v>68</v>
      </c>
      <c r="N949" s="43">
        <v>11</v>
      </c>
      <c r="O949" s="43">
        <v>11</v>
      </c>
      <c r="P949" s="43" t="s">
        <v>1362</v>
      </c>
      <c r="Q949" s="43" t="s">
        <v>1546</v>
      </c>
      <c r="R949" s="43" t="s">
        <v>10882</v>
      </c>
      <c r="S949" s="52">
        <f t="shared" si="14"/>
        <v>3.98</v>
      </c>
      <c r="T949" s="47"/>
      <c r="U949" s="47"/>
    </row>
    <row r="950" spans="1:21" ht="16.5" thickTop="1" thickBot="1" x14ac:dyDescent="0.3">
      <c r="A950" s="51" t="s">
        <v>10806</v>
      </c>
      <c r="B950" s="52" t="s">
        <v>10807</v>
      </c>
      <c r="C950" s="52" t="s">
        <v>38</v>
      </c>
      <c r="D950" s="52" t="s">
        <v>17</v>
      </c>
      <c r="E950" s="52" t="s">
        <v>18</v>
      </c>
      <c r="F950" s="52" t="s">
        <v>42</v>
      </c>
      <c r="G950" s="53">
        <v>46244.644444444442</v>
      </c>
      <c r="H950" s="53">
        <v>46248.629166666666</v>
      </c>
      <c r="I950" s="52">
        <v>140</v>
      </c>
      <c r="J950" s="52" t="s">
        <v>1156</v>
      </c>
      <c r="K950" s="52" t="s">
        <v>1156</v>
      </c>
      <c r="L950" s="52" t="s">
        <v>20</v>
      </c>
      <c r="M950" s="52">
        <v>140</v>
      </c>
      <c r="N950" s="52">
        <v>26</v>
      </c>
      <c r="O950" s="52">
        <v>26</v>
      </c>
      <c r="P950" s="52" t="s">
        <v>10880</v>
      </c>
      <c r="Q950" s="52" t="s">
        <v>1517</v>
      </c>
      <c r="R950" s="52" t="s">
        <v>10881</v>
      </c>
      <c r="S950" s="52">
        <f t="shared" si="14"/>
        <v>3.98</v>
      </c>
      <c r="T950" s="52"/>
      <c r="U950" s="52"/>
    </row>
    <row r="951" spans="1:21" s="46" customFormat="1" ht="16.5" thickTop="1" thickBot="1" x14ac:dyDescent="0.3">
      <c r="A951" s="50" t="s">
        <v>10804</v>
      </c>
      <c r="B951" s="43" t="s">
        <v>10805</v>
      </c>
      <c r="C951" s="43" t="s">
        <v>38</v>
      </c>
      <c r="D951" s="43" t="s">
        <v>17</v>
      </c>
      <c r="E951" s="43" t="s">
        <v>18</v>
      </c>
      <c r="F951" s="43" t="s">
        <v>32</v>
      </c>
      <c r="G951" s="48">
        <v>46244.718055555553</v>
      </c>
      <c r="H951" s="48">
        <v>46248.636805555558</v>
      </c>
      <c r="I951" s="43">
        <v>115</v>
      </c>
      <c r="J951" s="43" t="s">
        <v>1156</v>
      </c>
      <c r="K951" s="43" t="s">
        <v>1156</v>
      </c>
      <c r="L951" s="43" t="s">
        <v>20</v>
      </c>
      <c r="M951" s="43">
        <v>115</v>
      </c>
      <c r="N951" s="43">
        <v>15</v>
      </c>
      <c r="O951" s="43">
        <v>15</v>
      </c>
      <c r="P951" s="43" t="s">
        <v>1411</v>
      </c>
      <c r="Q951" s="43" t="s">
        <v>1517</v>
      </c>
      <c r="R951" s="43" t="s">
        <v>10879</v>
      </c>
      <c r="S951" s="52">
        <f t="shared" si="14"/>
        <v>3.92</v>
      </c>
      <c r="T951" s="47"/>
      <c r="U951" s="47"/>
    </row>
    <row r="952" spans="1:21" ht="16.5" thickTop="1" thickBot="1" x14ac:dyDescent="0.3">
      <c r="A952" s="51" t="s">
        <v>10802</v>
      </c>
      <c r="B952" s="52" t="s">
        <v>10803</v>
      </c>
      <c r="C952" s="52" t="s">
        <v>38</v>
      </c>
      <c r="D952" s="52" t="s">
        <v>17</v>
      </c>
      <c r="E952" s="52" t="s">
        <v>18</v>
      </c>
      <c r="F952" s="52" t="s">
        <v>42</v>
      </c>
      <c r="G952" s="53">
        <v>46244.734027777777</v>
      </c>
      <c r="H952" s="53">
        <v>46246.493750000001</v>
      </c>
      <c r="I952" s="52">
        <v>3</v>
      </c>
      <c r="J952" s="52" t="s">
        <v>2373</v>
      </c>
      <c r="K952" s="52" t="s">
        <v>8329</v>
      </c>
      <c r="L952" s="52" t="s">
        <v>25</v>
      </c>
      <c r="M952" s="52">
        <v>3</v>
      </c>
      <c r="N952" s="52">
        <v>3</v>
      </c>
      <c r="O952" s="52">
        <v>3</v>
      </c>
      <c r="P952" s="52" t="s">
        <v>10877</v>
      </c>
      <c r="Q952" s="52" t="s">
        <v>1517</v>
      </c>
      <c r="R952" s="52" t="s">
        <v>10878</v>
      </c>
      <c r="S952" s="52">
        <f t="shared" si="14"/>
        <v>1.76</v>
      </c>
      <c r="T952" s="52"/>
      <c r="U952" s="52"/>
    </row>
    <row r="953" spans="1:21" s="46" customFormat="1" ht="16.5" thickTop="1" thickBot="1" x14ac:dyDescent="0.3">
      <c r="A953" s="50" t="s">
        <v>10800</v>
      </c>
      <c r="B953" s="43" t="s">
        <v>10801</v>
      </c>
      <c r="C953" s="43" t="s">
        <v>38</v>
      </c>
      <c r="D953" s="43" t="s">
        <v>17</v>
      </c>
      <c r="E953" s="43" t="s">
        <v>18</v>
      </c>
      <c r="F953" s="43" t="s">
        <v>32</v>
      </c>
      <c r="G953" s="48">
        <v>46244.74722222222</v>
      </c>
      <c r="H953" s="48">
        <v>46247.763194444444</v>
      </c>
      <c r="I953" s="43">
        <v>42</v>
      </c>
      <c r="J953" s="43" t="s">
        <v>1156</v>
      </c>
      <c r="K953" s="43" t="s">
        <v>1156</v>
      </c>
      <c r="L953" s="43" t="s">
        <v>20</v>
      </c>
      <c r="M953" s="43">
        <v>42</v>
      </c>
      <c r="N953" s="43">
        <v>7</v>
      </c>
      <c r="O953" s="43">
        <v>7</v>
      </c>
      <c r="P953" s="43" t="s">
        <v>10875</v>
      </c>
      <c r="Q953" s="43" t="s">
        <v>1517</v>
      </c>
      <c r="R953" s="43" t="s">
        <v>10876</v>
      </c>
      <c r="S953" s="52">
        <f t="shared" si="14"/>
        <v>3.02</v>
      </c>
      <c r="T953" s="47"/>
      <c r="U953" s="47"/>
    </row>
    <row r="954" spans="1:21" ht="16.5" thickTop="1" thickBot="1" x14ac:dyDescent="0.3">
      <c r="A954" s="51" t="s">
        <v>10798</v>
      </c>
      <c r="B954" s="52" t="s">
        <v>10799</v>
      </c>
      <c r="C954" s="52" t="s">
        <v>38</v>
      </c>
      <c r="D954" s="52" t="s">
        <v>17</v>
      </c>
      <c r="E954" s="52" t="s">
        <v>18</v>
      </c>
      <c r="F954" s="52" t="s">
        <v>32</v>
      </c>
      <c r="G954" s="53">
        <v>46244.754166666666</v>
      </c>
      <c r="H954" s="53">
        <v>46248.65902777778</v>
      </c>
      <c r="I954" s="52">
        <v>176</v>
      </c>
      <c r="J954" s="52" t="s">
        <v>1156</v>
      </c>
      <c r="K954" s="52" t="s">
        <v>1156</v>
      </c>
      <c r="L954" s="52" t="s">
        <v>8739</v>
      </c>
      <c r="M954" s="52">
        <v>163</v>
      </c>
      <c r="N954" s="52">
        <v>160</v>
      </c>
      <c r="O954" s="52">
        <v>176</v>
      </c>
      <c r="P954" s="52" t="s">
        <v>9034</v>
      </c>
      <c r="Q954" s="52" t="s">
        <v>1517</v>
      </c>
      <c r="R954" s="52" t="s">
        <v>10874</v>
      </c>
      <c r="S954" s="52">
        <f t="shared" si="14"/>
        <v>3.9</v>
      </c>
      <c r="T954" s="52"/>
      <c r="U954" s="52"/>
    </row>
    <row r="955" spans="1:21" s="46" customFormat="1" ht="16.5" thickTop="1" thickBot="1" x14ac:dyDescent="0.3">
      <c r="A955" s="50" t="s">
        <v>10796</v>
      </c>
      <c r="B955" s="43" t="s">
        <v>10797</v>
      </c>
      <c r="C955" s="43" t="s">
        <v>10781</v>
      </c>
      <c r="D955" s="43" t="s">
        <v>17</v>
      </c>
      <c r="E955" s="43" t="s">
        <v>18</v>
      </c>
      <c r="F955" s="43" t="s">
        <v>42</v>
      </c>
      <c r="G955" s="48">
        <v>46244.763888888891</v>
      </c>
      <c r="H955" s="48">
        <v>46249.00277777778</v>
      </c>
      <c r="I955" s="43">
        <v>186</v>
      </c>
      <c r="J955" s="43" t="s">
        <v>1156</v>
      </c>
      <c r="K955" s="43" t="s">
        <v>1156</v>
      </c>
      <c r="L955" s="43" t="s">
        <v>25</v>
      </c>
      <c r="M955" s="43"/>
      <c r="N955" s="43"/>
      <c r="O955" s="43">
        <v>39</v>
      </c>
      <c r="P955" s="43" t="s">
        <v>10872</v>
      </c>
      <c r="Q955" s="43" t="s">
        <v>1517</v>
      </c>
      <c r="R955" s="43" t="s">
        <v>10873</v>
      </c>
      <c r="S955" s="52">
        <f t="shared" si="14"/>
        <v>4.24</v>
      </c>
      <c r="T955" s="47"/>
      <c r="U955" s="47"/>
    </row>
    <row r="956" spans="1:21" ht="16.5" thickTop="1" thickBot="1" x14ac:dyDescent="0.3">
      <c r="A956" s="51" t="s">
        <v>10794</v>
      </c>
      <c r="B956" s="52" t="s">
        <v>10795</v>
      </c>
      <c r="C956" s="52" t="s">
        <v>30</v>
      </c>
      <c r="D956" s="52" t="s">
        <v>17</v>
      </c>
      <c r="E956" s="52" t="s">
        <v>18</v>
      </c>
      <c r="F956" s="52" t="s">
        <v>42</v>
      </c>
      <c r="G956" s="53">
        <v>46244.767361111109</v>
      </c>
      <c r="H956" s="53">
        <v>46248.589583333334</v>
      </c>
      <c r="I956" s="52">
        <v>10</v>
      </c>
      <c r="J956" s="52" t="s">
        <v>1156</v>
      </c>
      <c r="K956" s="52" t="s">
        <v>1156</v>
      </c>
      <c r="L956" s="52" t="s">
        <v>33</v>
      </c>
      <c r="M956" s="52"/>
      <c r="N956" s="52"/>
      <c r="O956" s="52">
        <v>10</v>
      </c>
      <c r="P956" s="52" t="s">
        <v>1465</v>
      </c>
      <c r="Q956" s="52" t="s">
        <v>1546</v>
      </c>
      <c r="R956" s="52" t="s">
        <v>10871</v>
      </c>
      <c r="S956" s="52">
        <f t="shared" si="14"/>
        <v>3.82</v>
      </c>
      <c r="T956" s="52"/>
      <c r="U956" s="52"/>
    </row>
    <row r="957" spans="1:21" s="46" customFormat="1" ht="16.5" thickTop="1" thickBot="1" x14ac:dyDescent="0.3">
      <c r="A957" s="50" t="s">
        <v>10792</v>
      </c>
      <c r="B957" s="43" t="s">
        <v>10793</v>
      </c>
      <c r="C957" s="43" t="s">
        <v>38</v>
      </c>
      <c r="D957" s="43" t="s">
        <v>17</v>
      </c>
      <c r="E957" s="43" t="s">
        <v>18</v>
      </c>
      <c r="F957" s="43" t="s">
        <v>19</v>
      </c>
      <c r="G957" s="48">
        <v>46245.447916666664</v>
      </c>
      <c r="H957" s="48">
        <v>46247.769444444442</v>
      </c>
      <c r="I957" s="43">
        <v>16</v>
      </c>
      <c r="J957" s="43" t="s">
        <v>1156</v>
      </c>
      <c r="K957" s="43" t="s">
        <v>1156</v>
      </c>
      <c r="L957" s="43" t="s">
        <v>20</v>
      </c>
      <c r="M957" s="43">
        <v>16</v>
      </c>
      <c r="N957" s="43">
        <v>2</v>
      </c>
      <c r="O957" s="43">
        <v>2</v>
      </c>
      <c r="P957" s="43" t="s">
        <v>9827</v>
      </c>
      <c r="Q957" s="43" t="s">
        <v>1514</v>
      </c>
      <c r="R957" s="43" t="s">
        <v>10870</v>
      </c>
      <c r="S957" s="52">
        <f t="shared" si="14"/>
        <v>2.3199999999999998</v>
      </c>
      <c r="T957" s="47"/>
      <c r="U957" s="47"/>
    </row>
    <row r="958" spans="1:21" ht="16.5" thickTop="1" thickBot="1" x14ac:dyDescent="0.3">
      <c r="A958" s="51" t="s">
        <v>10790</v>
      </c>
      <c r="B958" s="52" t="s">
        <v>10791</v>
      </c>
      <c r="C958" s="52" t="s">
        <v>30</v>
      </c>
      <c r="D958" s="52" t="s">
        <v>17</v>
      </c>
      <c r="E958" s="52" t="s">
        <v>18</v>
      </c>
      <c r="F958" s="52" t="s">
        <v>19</v>
      </c>
      <c r="G958" s="53">
        <v>46245.451388888891</v>
      </c>
      <c r="H958" s="53">
        <v>46246.695138888892</v>
      </c>
      <c r="I958" s="52">
        <v>24</v>
      </c>
      <c r="J958" s="52" t="s">
        <v>2373</v>
      </c>
      <c r="K958" s="52" t="s">
        <v>8326</v>
      </c>
      <c r="L958" s="52" t="s">
        <v>20</v>
      </c>
      <c r="M958" s="52"/>
      <c r="N958" s="52"/>
      <c r="O958" s="52">
        <v>3</v>
      </c>
      <c r="P958" s="52" t="s">
        <v>9827</v>
      </c>
      <c r="Q958" s="52" t="s">
        <v>1514</v>
      </c>
      <c r="R958" s="52" t="s">
        <v>10869</v>
      </c>
      <c r="S958" s="52">
        <f t="shared" si="14"/>
        <v>1.24</v>
      </c>
      <c r="T958" s="52"/>
      <c r="U958" s="52"/>
    </row>
    <row r="959" spans="1:21" s="46" customFormat="1" ht="16.5" thickTop="1" thickBot="1" x14ac:dyDescent="0.3">
      <c r="A959" s="50" t="s">
        <v>10788</v>
      </c>
      <c r="B959" s="43" t="s">
        <v>10789</v>
      </c>
      <c r="C959" s="43" t="s">
        <v>35</v>
      </c>
      <c r="D959" s="43" t="s">
        <v>17</v>
      </c>
      <c r="E959" s="43" t="s">
        <v>18</v>
      </c>
      <c r="F959" s="43" t="s">
        <v>32</v>
      </c>
      <c r="G959" s="48">
        <v>46245.474305555559</v>
      </c>
      <c r="H959" s="48">
        <v>46248.649305555555</v>
      </c>
      <c r="I959" s="43">
        <v>43</v>
      </c>
      <c r="J959" s="43" t="s">
        <v>1156</v>
      </c>
      <c r="K959" s="43" t="s">
        <v>1156</v>
      </c>
      <c r="L959" s="43" t="s">
        <v>33</v>
      </c>
      <c r="M959" s="43"/>
      <c r="N959" s="43"/>
      <c r="O959" s="43">
        <v>43</v>
      </c>
      <c r="P959" s="43" t="s">
        <v>10867</v>
      </c>
      <c r="Q959" s="43" t="s">
        <v>1546</v>
      </c>
      <c r="R959" s="43" t="s">
        <v>10868</v>
      </c>
      <c r="S959" s="52">
        <f t="shared" si="14"/>
        <v>3.17</v>
      </c>
      <c r="T959" s="47"/>
      <c r="U959" s="47"/>
    </row>
    <row r="960" spans="1:21" ht="16.5" thickTop="1" thickBot="1" x14ac:dyDescent="0.3">
      <c r="A960" s="51" t="s">
        <v>10786</v>
      </c>
      <c r="B960" s="52" t="s">
        <v>10787</v>
      </c>
      <c r="C960" s="52" t="s">
        <v>38</v>
      </c>
      <c r="D960" s="52" t="s">
        <v>17</v>
      </c>
      <c r="E960" s="52" t="s">
        <v>18</v>
      </c>
      <c r="F960" s="52" t="s">
        <v>32</v>
      </c>
      <c r="G960" s="53">
        <v>46245.477777777778</v>
      </c>
      <c r="H960" s="53">
        <v>46250.774305555555</v>
      </c>
      <c r="I960" s="52">
        <v>12</v>
      </c>
      <c r="J960" s="52" t="s">
        <v>1156</v>
      </c>
      <c r="K960" s="52" t="s">
        <v>1156</v>
      </c>
      <c r="L960" s="52" t="s">
        <v>44</v>
      </c>
      <c r="M960" s="52">
        <v>9</v>
      </c>
      <c r="N960" s="52">
        <v>9</v>
      </c>
      <c r="O960" s="52">
        <v>12</v>
      </c>
      <c r="P960" s="52" t="s">
        <v>1451</v>
      </c>
      <c r="Q960" s="52" t="s">
        <v>1517</v>
      </c>
      <c r="R960" s="52" t="s">
        <v>10866</v>
      </c>
      <c r="S960" s="52">
        <f t="shared" si="14"/>
        <v>5.3</v>
      </c>
      <c r="T960" s="52"/>
      <c r="U960" s="52"/>
    </row>
    <row r="961" spans="1:21" s="46" customFormat="1" ht="16.5" thickTop="1" thickBot="1" x14ac:dyDescent="0.3">
      <c r="A961" s="50" t="s">
        <v>10784</v>
      </c>
      <c r="B961" s="43" t="s">
        <v>10785</v>
      </c>
      <c r="C961" s="43" t="s">
        <v>1129</v>
      </c>
      <c r="D961" s="43" t="s">
        <v>17</v>
      </c>
      <c r="E961" s="43" t="s">
        <v>18</v>
      </c>
      <c r="F961" s="43" t="s">
        <v>42</v>
      </c>
      <c r="G961" s="48">
        <v>46245.493055555555</v>
      </c>
      <c r="H961" s="48">
        <v>46248.794444444444</v>
      </c>
      <c r="I961" s="43">
        <v>4</v>
      </c>
      <c r="J961" s="43" t="s">
        <v>2373</v>
      </c>
      <c r="K961" s="43" t="s">
        <v>8317</v>
      </c>
      <c r="L961" s="43" t="s">
        <v>10676</v>
      </c>
      <c r="M961" s="43"/>
      <c r="N961" s="43"/>
      <c r="O961" s="43">
        <v>4</v>
      </c>
      <c r="P961" s="43" t="s">
        <v>10864</v>
      </c>
      <c r="Q961" s="43" t="s">
        <v>1546</v>
      </c>
      <c r="R961" s="43" t="s">
        <v>10865</v>
      </c>
      <c r="S961" s="52">
        <f t="shared" si="14"/>
        <v>3.3</v>
      </c>
      <c r="T961" s="47"/>
      <c r="U961" s="47"/>
    </row>
    <row r="962" spans="1:21" ht="16.5" thickTop="1" thickBot="1" x14ac:dyDescent="0.3">
      <c r="A962" s="51" t="s">
        <v>10782</v>
      </c>
      <c r="B962" s="52" t="s">
        <v>10783</v>
      </c>
      <c r="C962" s="52" t="s">
        <v>35</v>
      </c>
      <c r="D962" s="52" t="s">
        <v>17</v>
      </c>
      <c r="E962" s="52" t="s">
        <v>18</v>
      </c>
      <c r="F962" s="52" t="s">
        <v>42</v>
      </c>
      <c r="G962" s="53">
        <v>46245.5</v>
      </c>
      <c r="H962" s="53">
        <v>46248.765277777777</v>
      </c>
      <c r="I962" s="52">
        <v>73</v>
      </c>
      <c r="J962" s="52" t="s">
        <v>2373</v>
      </c>
      <c r="K962" s="52" t="s">
        <v>8326</v>
      </c>
      <c r="L962" s="52" t="s">
        <v>33</v>
      </c>
      <c r="M962" s="52"/>
      <c r="N962" s="52"/>
      <c r="O962" s="52">
        <v>73</v>
      </c>
      <c r="P962" s="52" t="s">
        <v>8769</v>
      </c>
      <c r="Q962" s="52" t="s">
        <v>1517</v>
      </c>
      <c r="R962" s="52" t="s">
        <v>10863</v>
      </c>
      <c r="S962" s="52">
        <f t="shared" ref="S962:S1002" si="15">IF(OR(G962="",H962=""),"",ROUND(H962-G962,2))</f>
        <v>3.27</v>
      </c>
      <c r="T962" s="52"/>
      <c r="U962" s="52"/>
    </row>
    <row r="963" spans="1:21" s="46" customFormat="1" ht="16.5" thickTop="1" thickBot="1" x14ac:dyDescent="0.3">
      <c r="A963" s="50" t="s">
        <v>10779</v>
      </c>
      <c r="B963" s="43" t="s">
        <v>10780</v>
      </c>
      <c r="C963" s="43" t="s">
        <v>10781</v>
      </c>
      <c r="D963" s="43" t="s">
        <v>17</v>
      </c>
      <c r="E963" s="43" t="s">
        <v>18</v>
      </c>
      <c r="F963" s="43" t="s">
        <v>42</v>
      </c>
      <c r="G963" s="48">
        <v>46245.524305555555</v>
      </c>
      <c r="H963" s="48">
        <v>46249.000694444447</v>
      </c>
      <c r="I963" s="43">
        <v>437</v>
      </c>
      <c r="J963" s="43" t="s">
        <v>1156</v>
      </c>
      <c r="K963" s="43" t="s">
        <v>1156</v>
      </c>
      <c r="L963" s="43" t="s">
        <v>25</v>
      </c>
      <c r="M963" s="43"/>
      <c r="N963" s="43"/>
      <c r="O963" s="43">
        <v>39</v>
      </c>
      <c r="P963" s="43" t="s">
        <v>10861</v>
      </c>
      <c r="Q963" s="43" t="s">
        <v>1517</v>
      </c>
      <c r="R963" s="43" t="s">
        <v>10862</v>
      </c>
      <c r="S963" s="52">
        <f t="shared" si="15"/>
        <v>3.48</v>
      </c>
      <c r="T963" s="47"/>
      <c r="U963" s="47"/>
    </row>
    <row r="964" spans="1:21" ht="16.5" thickTop="1" thickBot="1" x14ac:dyDescent="0.3">
      <c r="A964" s="51" t="s">
        <v>10777</v>
      </c>
      <c r="B964" s="52" t="s">
        <v>10778</v>
      </c>
      <c r="C964" s="52" t="s">
        <v>38</v>
      </c>
      <c r="D964" s="52" t="s">
        <v>17</v>
      </c>
      <c r="E964" s="52" t="s">
        <v>18</v>
      </c>
      <c r="F964" s="52" t="s">
        <v>42</v>
      </c>
      <c r="G964" s="53">
        <v>46245.540972222225</v>
      </c>
      <c r="H964" s="53">
        <v>46246.600694444445</v>
      </c>
      <c r="I964" s="52">
        <v>5</v>
      </c>
      <c r="J964" s="52" t="s">
        <v>1156</v>
      </c>
      <c r="K964" s="52" t="s">
        <v>1156</v>
      </c>
      <c r="L964" s="52" t="s">
        <v>36</v>
      </c>
      <c r="M964" s="52">
        <v>5</v>
      </c>
      <c r="N964" s="52">
        <v>5</v>
      </c>
      <c r="O964" s="52">
        <v>5</v>
      </c>
      <c r="P964" s="52" t="s">
        <v>1330</v>
      </c>
      <c r="Q964" s="52" t="s">
        <v>1517</v>
      </c>
      <c r="R964" s="52" t="s">
        <v>10860</v>
      </c>
      <c r="S964" s="52">
        <f t="shared" si="15"/>
        <v>1.06</v>
      </c>
      <c r="T964" s="52"/>
      <c r="U964" s="52"/>
    </row>
    <row r="965" spans="1:21" s="46" customFormat="1" ht="16.5" thickTop="1" thickBot="1" x14ac:dyDescent="0.3">
      <c r="A965" s="50" t="s">
        <v>10775</v>
      </c>
      <c r="B965" s="43" t="s">
        <v>10776</v>
      </c>
      <c r="C965" s="43" t="s">
        <v>9636</v>
      </c>
      <c r="D965" s="43" t="s">
        <v>17</v>
      </c>
      <c r="E965" s="43" t="s">
        <v>18</v>
      </c>
      <c r="F965" s="43" t="s">
        <v>42</v>
      </c>
      <c r="G965" s="48">
        <v>46245.570138888892</v>
      </c>
      <c r="H965" s="48">
        <v>46248.484722222223</v>
      </c>
      <c r="I965" s="43">
        <v>0</v>
      </c>
      <c r="J965" s="43" t="s">
        <v>1156</v>
      </c>
      <c r="K965" s="43" t="s">
        <v>1156</v>
      </c>
      <c r="L965" s="43" t="s">
        <v>25</v>
      </c>
      <c r="M965" s="43"/>
      <c r="N965" s="43"/>
      <c r="O965" s="43">
        <v>0</v>
      </c>
      <c r="P965" s="43" t="s">
        <v>10859</v>
      </c>
      <c r="Q965" s="43" t="s">
        <v>1546</v>
      </c>
      <c r="R965" s="43"/>
      <c r="S965" s="52">
        <f t="shared" si="15"/>
        <v>2.91</v>
      </c>
      <c r="T965" s="47"/>
      <c r="U965" s="47"/>
    </row>
    <row r="966" spans="1:21" ht="16.5" thickTop="1" thickBot="1" x14ac:dyDescent="0.3">
      <c r="A966" s="51" t="s">
        <v>10773</v>
      </c>
      <c r="B966" s="52" t="s">
        <v>10774</v>
      </c>
      <c r="C966" s="52" t="s">
        <v>38</v>
      </c>
      <c r="D966" s="52" t="s">
        <v>17</v>
      </c>
      <c r="E966" s="52" t="s">
        <v>18</v>
      </c>
      <c r="F966" s="52" t="s">
        <v>32</v>
      </c>
      <c r="G966" s="53">
        <v>46245.570833333331</v>
      </c>
      <c r="H966" s="53">
        <v>46247.776388888888</v>
      </c>
      <c r="I966" s="52">
        <v>3</v>
      </c>
      <c r="J966" s="52" t="s">
        <v>1156</v>
      </c>
      <c r="K966" s="52" t="s">
        <v>1156</v>
      </c>
      <c r="L966" s="52" t="s">
        <v>33</v>
      </c>
      <c r="M966" s="52">
        <v>3</v>
      </c>
      <c r="N966" s="52">
        <v>3</v>
      </c>
      <c r="O966" s="52">
        <v>3</v>
      </c>
      <c r="P966" s="52" t="s">
        <v>10857</v>
      </c>
      <c r="Q966" s="52" t="s">
        <v>1546</v>
      </c>
      <c r="R966" s="52" t="s">
        <v>10858</v>
      </c>
      <c r="S966" s="52">
        <f t="shared" si="15"/>
        <v>2.21</v>
      </c>
      <c r="T966" s="52"/>
      <c r="U966" s="52"/>
    </row>
    <row r="967" spans="1:21" s="46" customFormat="1" ht="16.5" thickTop="1" thickBot="1" x14ac:dyDescent="0.3">
      <c r="A967" s="50" t="s">
        <v>10771</v>
      </c>
      <c r="B967" s="43" t="s">
        <v>10772</v>
      </c>
      <c r="C967" s="43" t="s">
        <v>38</v>
      </c>
      <c r="D967" s="43" t="s">
        <v>17</v>
      </c>
      <c r="E967" s="43" t="s">
        <v>18</v>
      </c>
      <c r="F967" s="43" t="s">
        <v>32</v>
      </c>
      <c r="G967" s="48">
        <v>46245.605555555558</v>
      </c>
      <c r="H967" s="48">
        <v>46247.786805555559</v>
      </c>
      <c r="I967" s="43">
        <v>489</v>
      </c>
      <c r="J967" s="43" t="s">
        <v>1156</v>
      </c>
      <c r="K967" s="43" t="s">
        <v>1156</v>
      </c>
      <c r="L967" s="43" t="s">
        <v>20</v>
      </c>
      <c r="M967" s="43">
        <v>93</v>
      </c>
      <c r="N967" s="43">
        <v>6</v>
      </c>
      <c r="O967" s="43">
        <v>26</v>
      </c>
      <c r="P967" s="43" t="s">
        <v>10296</v>
      </c>
      <c r="Q967" s="43" t="s">
        <v>1514</v>
      </c>
      <c r="R967" s="43" t="s">
        <v>10856</v>
      </c>
      <c r="S967" s="52">
        <f t="shared" si="15"/>
        <v>2.1800000000000002</v>
      </c>
      <c r="T967" s="47"/>
      <c r="U967" s="47"/>
    </row>
    <row r="968" spans="1:21" ht="16.5" thickTop="1" thickBot="1" x14ac:dyDescent="0.3">
      <c r="A968" s="51" t="s">
        <v>10769</v>
      </c>
      <c r="B968" s="52" t="s">
        <v>10770</v>
      </c>
      <c r="C968" s="52" t="s">
        <v>1129</v>
      </c>
      <c r="D968" s="52" t="s">
        <v>17</v>
      </c>
      <c r="E968" s="52" t="s">
        <v>18</v>
      </c>
      <c r="F968" s="52" t="s">
        <v>42</v>
      </c>
      <c r="G968" s="53">
        <v>46245.61041666667</v>
      </c>
      <c r="H968" s="53">
        <v>46248.759027777778</v>
      </c>
      <c r="I968" s="52">
        <v>4</v>
      </c>
      <c r="J968" s="52" t="s">
        <v>2373</v>
      </c>
      <c r="K968" s="52" t="s">
        <v>8310</v>
      </c>
      <c r="L968" s="52" t="s">
        <v>33</v>
      </c>
      <c r="M968" s="52"/>
      <c r="N968" s="52"/>
      <c r="O968" s="52">
        <v>4</v>
      </c>
      <c r="P968" s="52" t="s">
        <v>10854</v>
      </c>
      <c r="Q968" s="52" t="s">
        <v>1546</v>
      </c>
      <c r="R968" s="52" t="s">
        <v>10855</v>
      </c>
      <c r="S968" s="52">
        <f t="shared" si="15"/>
        <v>3.15</v>
      </c>
      <c r="T968" s="52"/>
      <c r="U968" s="52"/>
    </row>
    <row r="969" spans="1:21" s="46" customFormat="1" ht="16.5" thickTop="1" thickBot="1" x14ac:dyDescent="0.3">
      <c r="A969" s="50" t="s">
        <v>10767</v>
      </c>
      <c r="B969" s="43" t="s">
        <v>10768</v>
      </c>
      <c r="C969" s="43" t="s">
        <v>38</v>
      </c>
      <c r="D969" s="43" t="s">
        <v>17</v>
      </c>
      <c r="E969" s="43" t="s">
        <v>19</v>
      </c>
      <c r="F969" s="43" t="s">
        <v>19</v>
      </c>
      <c r="G969" s="48">
        <v>46245.652083333334</v>
      </c>
      <c r="H969" s="48">
        <v>46248.665277777778</v>
      </c>
      <c r="I969" s="43">
        <v>62</v>
      </c>
      <c r="J969" s="43" t="s">
        <v>1156</v>
      </c>
      <c r="K969" s="43" t="s">
        <v>1156</v>
      </c>
      <c r="L969" s="43" t="s">
        <v>44</v>
      </c>
      <c r="M969" s="43">
        <v>60</v>
      </c>
      <c r="N969" s="43">
        <v>60</v>
      </c>
      <c r="O969" s="43">
        <v>62</v>
      </c>
      <c r="P969" s="43" t="s">
        <v>10357</v>
      </c>
      <c r="Q969" s="43" t="s">
        <v>1517</v>
      </c>
      <c r="R969" s="43" t="s">
        <v>10853</v>
      </c>
      <c r="S969" s="52">
        <f t="shared" si="15"/>
        <v>3.01</v>
      </c>
      <c r="T969" s="47"/>
      <c r="U969" s="47"/>
    </row>
    <row r="970" spans="1:21" ht="16.5" thickTop="1" thickBot="1" x14ac:dyDescent="0.3">
      <c r="A970" s="51" t="s">
        <v>10765</v>
      </c>
      <c r="B970" s="52" t="s">
        <v>10766</v>
      </c>
      <c r="C970" s="52" t="s">
        <v>1129</v>
      </c>
      <c r="D970" s="52" t="s">
        <v>17</v>
      </c>
      <c r="E970" s="52" t="s">
        <v>18</v>
      </c>
      <c r="F970" s="52" t="s">
        <v>42</v>
      </c>
      <c r="G970" s="53">
        <v>46245.65347222222</v>
      </c>
      <c r="H970" s="53">
        <v>46248.743750000001</v>
      </c>
      <c r="I970" s="52">
        <v>44</v>
      </c>
      <c r="J970" s="52" t="s">
        <v>2373</v>
      </c>
      <c r="K970" s="52" t="s">
        <v>8317</v>
      </c>
      <c r="L970" s="52" t="s">
        <v>25</v>
      </c>
      <c r="M970" s="52"/>
      <c r="N970" s="52"/>
      <c r="O970" s="52">
        <v>7</v>
      </c>
      <c r="P970" s="52" t="s">
        <v>1333</v>
      </c>
      <c r="Q970" s="52" t="s">
        <v>1517</v>
      </c>
      <c r="R970" s="52" t="s">
        <v>10852</v>
      </c>
      <c r="S970" s="52">
        <f t="shared" si="15"/>
        <v>3.09</v>
      </c>
      <c r="T970" s="52"/>
      <c r="U970" s="52"/>
    </row>
    <row r="971" spans="1:21" s="46" customFormat="1" ht="16.5" thickTop="1" thickBot="1" x14ac:dyDescent="0.3">
      <c r="A971" s="50" t="s">
        <v>10764</v>
      </c>
      <c r="B971" s="43" t="s">
        <v>9866</v>
      </c>
      <c r="C971" s="43" t="s">
        <v>39</v>
      </c>
      <c r="D971" s="43" t="s">
        <v>17</v>
      </c>
      <c r="E971" s="43" t="s">
        <v>18</v>
      </c>
      <c r="F971" s="43" t="s">
        <v>32</v>
      </c>
      <c r="G971" s="48">
        <v>46245.670138888891</v>
      </c>
      <c r="H971" s="48">
        <v>46246.602777777778</v>
      </c>
      <c r="I971" s="43">
        <v>4</v>
      </c>
      <c r="J971" s="43" t="s">
        <v>1156</v>
      </c>
      <c r="K971" s="43" t="s">
        <v>1156</v>
      </c>
      <c r="L971" s="43" t="s">
        <v>33</v>
      </c>
      <c r="M971" s="43"/>
      <c r="N971" s="43"/>
      <c r="O971" s="43">
        <v>4</v>
      </c>
      <c r="P971" s="43" t="s">
        <v>9867</v>
      </c>
      <c r="Q971" s="43" t="s">
        <v>1546</v>
      </c>
      <c r="R971" s="43" t="s">
        <v>10851</v>
      </c>
      <c r="S971" s="52">
        <f t="shared" si="15"/>
        <v>0.93</v>
      </c>
      <c r="T971" s="47"/>
      <c r="U971" s="47"/>
    </row>
    <row r="972" spans="1:21" ht="16.5" thickTop="1" thickBot="1" x14ac:dyDescent="0.3">
      <c r="A972" s="51" t="s">
        <v>10762</v>
      </c>
      <c r="B972" s="52" t="s">
        <v>10763</v>
      </c>
      <c r="C972" s="52" t="s">
        <v>1129</v>
      </c>
      <c r="D972" s="52" t="s">
        <v>17</v>
      </c>
      <c r="E972" s="52" t="s">
        <v>18</v>
      </c>
      <c r="F972" s="52" t="s">
        <v>32</v>
      </c>
      <c r="G972" s="53">
        <v>46245.683333333334</v>
      </c>
      <c r="H972" s="53">
        <v>46248.734027777777</v>
      </c>
      <c r="I972" s="52">
        <v>2</v>
      </c>
      <c r="J972" s="52" t="s">
        <v>2373</v>
      </c>
      <c r="K972" s="52" t="s">
        <v>8326</v>
      </c>
      <c r="L972" s="52" t="s">
        <v>33</v>
      </c>
      <c r="M972" s="52"/>
      <c r="N972" s="52"/>
      <c r="O972" s="52">
        <v>2</v>
      </c>
      <c r="P972" s="52" t="s">
        <v>1466</v>
      </c>
      <c r="Q972" s="52" t="s">
        <v>1517</v>
      </c>
      <c r="R972" s="52" t="s">
        <v>10850</v>
      </c>
      <c r="S972" s="52">
        <f t="shared" si="15"/>
        <v>3.05</v>
      </c>
      <c r="T972" s="52"/>
      <c r="U972" s="52"/>
    </row>
    <row r="973" spans="1:21" s="46" customFormat="1" ht="16.5" thickTop="1" thickBot="1" x14ac:dyDescent="0.3">
      <c r="A973" s="50" t="s">
        <v>10759</v>
      </c>
      <c r="B973" s="43" t="s">
        <v>10760</v>
      </c>
      <c r="C973" s="43" t="s">
        <v>10761</v>
      </c>
      <c r="D973" s="43" t="s">
        <v>17</v>
      </c>
      <c r="E973" s="43" t="s">
        <v>18</v>
      </c>
      <c r="F973" s="43" t="s">
        <v>42</v>
      </c>
      <c r="G973" s="48">
        <v>46245.722222222219</v>
      </c>
      <c r="H973" s="48">
        <v>46249.012499999997</v>
      </c>
      <c r="I973" s="43">
        <v>78</v>
      </c>
      <c r="J973" s="43" t="s">
        <v>1156</v>
      </c>
      <c r="K973" s="43" t="s">
        <v>1156</v>
      </c>
      <c r="L973" s="43" t="s">
        <v>36</v>
      </c>
      <c r="M973" s="43"/>
      <c r="N973" s="43"/>
      <c r="O973" s="43">
        <v>78</v>
      </c>
      <c r="P973" s="43" t="s">
        <v>1359</v>
      </c>
      <c r="Q973" s="43" t="s">
        <v>1517</v>
      </c>
      <c r="R973" s="43"/>
      <c r="S973" s="52">
        <f t="shared" si="15"/>
        <v>3.29</v>
      </c>
      <c r="T973" s="47"/>
      <c r="U973" s="47"/>
    </row>
    <row r="974" spans="1:21" ht="16.5" thickTop="1" thickBot="1" x14ac:dyDescent="0.3">
      <c r="A974" s="51" t="s">
        <v>10757</v>
      </c>
      <c r="B974" s="52" t="s">
        <v>10758</v>
      </c>
      <c r="C974" s="52" t="s">
        <v>38</v>
      </c>
      <c r="D974" s="52" t="s">
        <v>17</v>
      </c>
      <c r="E974" s="52" t="s">
        <v>18</v>
      </c>
      <c r="F974" s="52" t="s">
        <v>32</v>
      </c>
      <c r="G974" s="53">
        <v>46245.734027777777</v>
      </c>
      <c r="H974" s="53">
        <v>46248.677083333336</v>
      </c>
      <c r="I974" s="52">
        <v>63</v>
      </c>
      <c r="J974" s="52" t="s">
        <v>1156</v>
      </c>
      <c r="K974" s="52" t="s">
        <v>1156</v>
      </c>
      <c r="L974" s="52" t="s">
        <v>36</v>
      </c>
      <c r="M974" s="52">
        <v>63</v>
      </c>
      <c r="N974" s="52">
        <v>63</v>
      </c>
      <c r="O974" s="52">
        <v>63</v>
      </c>
      <c r="P974" s="52" t="s">
        <v>9034</v>
      </c>
      <c r="Q974" s="52" t="s">
        <v>1517</v>
      </c>
      <c r="R974" s="52" t="s">
        <v>10849</v>
      </c>
      <c r="S974" s="52">
        <f t="shared" si="15"/>
        <v>2.94</v>
      </c>
      <c r="T974" s="52"/>
      <c r="U974" s="52"/>
    </row>
    <row r="975" spans="1:21" s="46" customFormat="1" ht="16.5" thickTop="1" thickBot="1" x14ac:dyDescent="0.3">
      <c r="A975" s="50" t="s">
        <v>10755</v>
      </c>
      <c r="B975" s="43" t="s">
        <v>10756</v>
      </c>
      <c r="C975" s="43" t="s">
        <v>30</v>
      </c>
      <c r="D975" s="43" t="s">
        <v>17</v>
      </c>
      <c r="E975" s="43" t="s">
        <v>18</v>
      </c>
      <c r="F975" s="43" t="s">
        <v>42</v>
      </c>
      <c r="G975" s="48">
        <v>46245.750694444447</v>
      </c>
      <c r="H975" s="48">
        <v>46248.781944444447</v>
      </c>
      <c r="I975" s="43">
        <v>570</v>
      </c>
      <c r="J975" s="43" t="s">
        <v>1156</v>
      </c>
      <c r="K975" s="43" t="s">
        <v>1156</v>
      </c>
      <c r="L975" s="43" t="s">
        <v>20</v>
      </c>
      <c r="M975" s="43"/>
      <c r="N975" s="43"/>
      <c r="O975" s="43">
        <v>120</v>
      </c>
      <c r="P975" s="43" t="s">
        <v>9223</v>
      </c>
      <c r="Q975" s="43" t="s">
        <v>1517</v>
      </c>
      <c r="R975" s="43" t="s">
        <v>10848</v>
      </c>
      <c r="S975" s="52">
        <f t="shared" si="15"/>
        <v>3.03</v>
      </c>
      <c r="T975" s="47"/>
      <c r="U975" s="47"/>
    </row>
    <row r="976" spans="1:21" ht="16.5" thickTop="1" thickBot="1" x14ac:dyDescent="0.3">
      <c r="A976" s="51" t="s">
        <v>10753</v>
      </c>
      <c r="B976" s="52" t="s">
        <v>10754</v>
      </c>
      <c r="C976" s="52" t="s">
        <v>1129</v>
      </c>
      <c r="D976" s="52" t="s">
        <v>17</v>
      </c>
      <c r="E976" s="52" t="s">
        <v>18</v>
      </c>
      <c r="F976" s="52" t="s">
        <v>42</v>
      </c>
      <c r="G976" s="53">
        <v>46245.761111111111</v>
      </c>
      <c r="H976" s="53">
        <v>46248.689583333333</v>
      </c>
      <c r="I976" s="52">
        <v>5</v>
      </c>
      <c r="J976" s="52" t="s">
        <v>2373</v>
      </c>
      <c r="K976" s="52" t="s">
        <v>8317</v>
      </c>
      <c r="L976" s="52" t="s">
        <v>31</v>
      </c>
      <c r="M976" s="52"/>
      <c r="N976" s="52"/>
      <c r="O976" s="52">
        <v>5</v>
      </c>
      <c r="P976" s="52" t="s">
        <v>10846</v>
      </c>
      <c r="Q976" s="52" t="s">
        <v>1514</v>
      </c>
      <c r="R976" s="52" t="s">
        <v>10847</v>
      </c>
      <c r="S976" s="52">
        <f t="shared" si="15"/>
        <v>2.93</v>
      </c>
      <c r="T976" s="52"/>
      <c r="U976" s="52"/>
    </row>
    <row r="977" spans="1:21" s="46" customFormat="1" ht="16.5" thickTop="1" thickBot="1" x14ac:dyDescent="0.3">
      <c r="A977" s="50" t="s">
        <v>10751</v>
      </c>
      <c r="B977" s="43" t="s">
        <v>10752</v>
      </c>
      <c r="C977" s="43" t="s">
        <v>1239</v>
      </c>
      <c r="D977" s="43" t="s">
        <v>17</v>
      </c>
      <c r="E977" s="43" t="s">
        <v>18</v>
      </c>
      <c r="F977" s="43" t="s">
        <v>32</v>
      </c>
      <c r="G977" s="48">
        <v>46245.770138888889</v>
      </c>
      <c r="H977" s="48">
        <v>46245.770138888889</v>
      </c>
      <c r="I977" s="43">
        <v>5</v>
      </c>
      <c r="J977" s="43" t="s">
        <v>1156</v>
      </c>
      <c r="K977" s="43" t="s">
        <v>1156</v>
      </c>
      <c r="L977" s="43" t="s">
        <v>37</v>
      </c>
      <c r="M977" s="43"/>
      <c r="N977" s="43"/>
      <c r="O977" s="43">
        <v>5</v>
      </c>
      <c r="P977" s="43" t="s">
        <v>10845</v>
      </c>
      <c r="Q977" s="43" t="s">
        <v>1514</v>
      </c>
      <c r="R977" s="43"/>
      <c r="S977" s="52">
        <f t="shared" si="15"/>
        <v>0</v>
      </c>
      <c r="T977" s="47"/>
      <c r="U977" s="47"/>
    </row>
    <row r="978" spans="1:21" ht="16.5" thickTop="1" thickBot="1" x14ac:dyDescent="0.3">
      <c r="A978" s="51" t="s">
        <v>10750</v>
      </c>
      <c r="B978" s="52" t="s">
        <v>10178</v>
      </c>
      <c r="C978" s="52" t="s">
        <v>1073</v>
      </c>
      <c r="D978" s="52" t="s">
        <v>17</v>
      </c>
      <c r="E978" s="52" t="s">
        <v>18</v>
      </c>
      <c r="F978" s="52" t="s">
        <v>19</v>
      </c>
      <c r="G978" s="53">
        <v>46246.449305555558</v>
      </c>
      <c r="H978" s="53">
        <v>46248.618055555555</v>
      </c>
      <c r="I978" s="52">
        <v>468</v>
      </c>
      <c r="J978" s="52" t="s">
        <v>1156</v>
      </c>
      <c r="K978" s="52" t="s">
        <v>1156</v>
      </c>
      <c r="L978" s="52" t="s">
        <v>25</v>
      </c>
      <c r="M978" s="52"/>
      <c r="N978" s="52"/>
      <c r="O978" s="52">
        <v>78</v>
      </c>
      <c r="P978" s="52" t="s">
        <v>10314</v>
      </c>
      <c r="Q978" s="52" t="s">
        <v>1546</v>
      </c>
      <c r="R978" s="52"/>
      <c r="S978" s="52">
        <f t="shared" si="15"/>
        <v>2.17</v>
      </c>
      <c r="T978" s="52"/>
      <c r="U978" s="52"/>
    </row>
    <row r="979" spans="1:21" s="46" customFormat="1" ht="16.5" thickTop="1" thickBot="1" x14ac:dyDescent="0.3">
      <c r="A979" s="50" t="s">
        <v>10748</v>
      </c>
      <c r="B979" s="43" t="s">
        <v>10749</v>
      </c>
      <c r="C979" s="43" t="s">
        <v>1372</v>
      </c>
      <c r="D979" s="43" t="s">
        <v>17</v>
      </c>
      <c r="E979" s="43" t="s">
        <v>18</v>
      </c>
      <c r="F979" s="43" t="s">
        <v>42</v>
      </c>
      <c r="G979" s="48">
        <v>46246.547222222223</v>
      </c>
      <c r="H979" s="48">
        <v>46248.712500000001</v>
      </c>
      <c r="I979" s="43">
        <v>42</v>
      </c>
      <c r="J979" s="43" t="s">
        <v>2373</v>
      </c>
      <c r="K979" s="43" t="s">
        <v>8326</v>
      </c>
      <c r="L979" s="43" t="s">
        <v>33</v>
      </c>
      <c r="M979" s="43"/>
      <c r="N979" s="43"/>
      <c r="O979" s="43">
        <v>42</v>
      </c>
      <c r="P979" s="43" t="s">
        <v>9526</v>
      </c>
      <c r="Q979" s="43" t="s">
        <v>1514</v>
      </c>
      <c r="R979" s="43" t="s">
        <v>10844</v>
      </c>
      <c r="S979" s="52">
        <f t="shared" si="15"/>
        <v>2.17</v>
      </c>
      <c r="T979" s="47"/>
      <c r="U979" s="47"/>
    </row>
    <row r="980" spans="1:21" ht="16.5" thickTop="1" thickBot="1" x14ac:dyDescent="0.3">
      <c r="A980" s="51" t="s">
        <v>10747</v>
      </c>
      <c r="B980" s="52" t="s">
        <v>10450</v>
      </c>
      <c r="C980" s="52" t="s">
        <v>38</v>
      </c>
      <c r="D980" s="52" t="s">
        <v>17</v>
      </c>
      <c r="E980" s="52" t="s">
        <v>19</v>
      </c>
      <c r="F980" s="52" t="s">
        <v>42</v>
      </c>
      <c r="G980" s="53">
        <v>46246.560416666667</v>
      </c>
      <c r="H980" s="53">
        <v>46247.40902777778</v>
      </c>
      <c r="I980" s="52">
        <v>69</v>
      </c>
      <c r="J980" s="52" t="s">
        <v>2373</v>
      </c>
      <c r="K980" s="52" t="s">
        <v>8317</v>
      </c>
      <c r="L980" s="52" t="s">
        <v>33</v>
      </c>
      <c r="M980" s="52">
        <v>69</v>
      </c>
      <c r="N980" s="52">
        <v>273</v>
      </c>
      <c r="O980" s="52">
        <v>69</v>
      </c>
      <c r="P980" s="52" t="s">
        <v>10617</v>
      </c>
      <c r="Q980" s="52" t="s">
        <v>1514</v>
      </c>
      <c r="R980" s="52" t="s">
        <v>10843</v>
      </c>
      <c r="S980" s="52">
        <f t="shared" si="15"/>
        <v>0.85</v>
      </c>
      <c r="T980" s="52"/>
      <c r="U980" s="52"/>
    </row>
    <row r="981" spans="1:21" s="46" customFormat="1" ht="16.5" thickTop="1" thickBot="1" x14ac:dyDescent="0.3">
      <c r="A981" s="50" t="s">
        <v>10745</v>
      </c>
      <c r="B981" s="43" t="s">
        <v>10746</v>
      </c>
      <c r="C981" s="43" t="s">
        <v>38</v>
      </c>
      <c r="D981" s="43" t="s">
        <v>17</v>
      </c>
      <c r="E981" s="43" t="s">
        <v>18</v>
      </c>
      <c r="F981" s="43" t="s">
        <v>32</v>
      </c>
      <c r="G981" s="48">
        <v>46246.67083333333</v>
      </c>
      <c r="H981" s="48">
        <v>46248.685416666667</v>
      </c>
      <c r="I981" s="43">
        <v>48</v>
      </c>
      <c r="J981" s="43" t="s">
        <v>1156</v>
      </c>
      <c r="K981" s="43" t="s">
        <v>1156</v>
      </c>
      <c r="L981" s="43" t="s">
        <v>20</v>
      </c>
      <c r="M981" s="43">
        <v>48</v>
      </c>
      <c r="N981" s="43">
        <v>8</v>
      </c>
      <c r="O981" s="43">
        <v>8</v>
      </c>
      <c r="P981" s="43" t="s">
        <v>10841</v>
      </c>
      <c r="Q981" s="43" t="s">
        <v>1517</v>
      </c>
      <c r="R981" s="43" t="s">
        <v>10842</v>
      </c>
      <c r="S981" s="52">
        <f t="shared" si="15"/>
        <v>2.0099999999999998</v>
      </c>
      <c r="T981" s="47"/>
      <c r="U981" s="47"/>
    </row>
    <row r="982" spans="1:21" ht="16.5" thickTop="1" thickBot="1" x14ac:dyDescent="0.3">
      <c r="A982" s="51" t="s">
        <v>10743</v>
      </c>
      <c r="B982" s="52" t="s">
        <v>10744</v>
      </c>
      <c r="C982" s="52" t="s">
        <v>1239</v>
      </c>
      <c r="D982" s="52" t="s">
        <v>17</v>
      </c>
      <c r="E982" s="52" t="s">
        <v>18</v>
      </c>
      <c r="F982" s="52" t="s">
        <v>42</v>
      </c>
      <c r="G982" s="53">
        <v>46246.680555555555</v>
      </c>
      <c r="H982" s="53">
        <v>46246.680555555555</v>
      </c>
      <c r="I982" s="52">
        <v>1461</v>
      </c>
      <c r="J982" s="52" t="s">
        <v>2373</v>
      </c>
      <c r="K982" s="52" t="s">
        <v>8315</v>
      </c>
      <c r="L982" s="52" t="s">
        <v>44</v>
      </c>
      <c r="M982" s="52"/>
      <c r="N982" s="52"/>
      <c r="O982" s="52">
        <v>1461</v>
      </c>
      <c r="P982" s="52" t="s">
        <v>1355</v>
      </c>
      <c r="Q982" s="52" t="s">
        <v>1514</v>
      </c>
      <c r="R982" s="52"/>
      <c r="S982" s="52">
        <f t="shared" si="15"/>
        <v>0</v>
      </c>
      <c r="T982" s="52"/>
      <c r="U982" s="52"/>
    </row>
    <row r="983" spans="1:21" s="46" customFormat="1" ht="16.5" thickTop="1" thickBot="1" x14ac:dyDescent="0.3">
      <c r="A983" s="50" t="s">
        <v>10741</v>
      </c>
      <c r="B983" s="43" t="s">
        <v>10742</v>
      </c>
      <c r="C983" s="43" t="s">
        <v>1239</v>
      </c>
      <c r="D983" s="43" t="s">
        <v>17</v>
      </c>
      <c r="E983" s="43" t="s">
        <v>18</v>
      </c>
      <c r="F983" s="43" t="s">
        <v>32</v>
      </c>
      <c r="G983" s="48">
        <v>46246.684027777781</v>
      </c>
      <c r="H983" s="48">
        <v>46246.6875</v>
      </c>
      <c r="I983" s="43">
        <v>9</v>
      </c>
      <c r="J983" s="43" t="s">
        <v>1156</v>
      </c>
      <c r="K983" s="43" t="s">
        <v>1156</v>
      </c>
      <c r="L983" s="43" t="s">
        <v>33</v>
      </c>
      <c r="M983" s="43"/>
      <c r="N983" s="43"/>
      <c r="O983" s="43">
        <v>9</v>
      </c>
      <c r="P983" s="43" t="s">
        <v>10342</v>
      </c>
      <c r="Q983" s="43" t="s">
        <v>1546</v>
      </c>
      <c r="R983" s="43"/>
      <c r="S983" s="52">
        <f t="shared" si="15"/>
        <v>0</v>
      </c>
      <c r="T983" s="47"/>
      <c r="U983" s="47"/>
    </row>
    <row r="984" spans="1:21" ht="16.5" thickTop="1" thickBot="1" x14ac:dyDescent="0.3">
      <c r="A984" s="51" t="s">
        <v>10739</v>
      </c>
      <c r="B984" s="52" t="s">
        <v>10740</v>
      </c>
      <c r="C984" s="52" t="s">
        <v>35</v>
      </c>
      <c r="D984" s="52" t="s">
        <v>17</v>
      </c>
      <c r="E984" s="52" t="s">
        <v>18</v>
      </c>
      <c r="F984" s="52" t="s">
        <v>32</v>
      </c>
      <c r="G984" s="53">
        <v>46246.779166666667</v>
      </c>
      <c r="H984" s="53">
        <v>46248.588194444441</v>
      </c>
      <c r="I984" s="52">
        <v>4</v>
      </c>
      <c r="J984" s="52" t="s">
        <v>1156</v>
      </c>
      <c r="K984" s="52" t="s">
        <v>1156</v>
      </c>
      <c r="L984" s="52" t="s">
        <v>33</v>
      </c>
      <c r="M984" s="52"/>
      <c r="N984" s="52"/>
      <c r="O984" s="52">
        <v>4</v>
      </c>
      <c r="P984" s="52" t="s">
        <v>10839</v>
      </c>
      <c r="Q984" s="52" t="s">
        <v>1517</v>
      </c>
      <c r="R984" s="52" t="s">
        <v>10840</v>
      </c>
      <c r="S984" s="52">
        <f t="shared" si="15"/>
        <v>1.81</v>
      </c>
      <c r="T984" s="52"/>
      <c r="U984" s="52"/>
    </row>
    <row r="985" spans="1:21" s="46" customFormat="1" ht="16.5" thickTop="1" thickBot="1" x14ac:dyDescent="0.3">
      <c r="A985" s="50" t="s">
        <v>10736</v>
      </c>
      <c r="B985" s="43" t="s">
        <v>10737</v>
      </c>
      <c r="C985" s="43" t="s">
        <v>5638</v>
      </c>
      <c r="D985" s="43" t="s">
        <v>17</v>
      </c>
      <c r="E985" s="43" t="s">
        <v>19</v>
      </c>
      <c r="F985" s="43" t="s">
        <v>10738</v>
      </c>
      <c r="G985" s="48">
        <v>46247.396527777775</v>
      </c>
      <c r="H985" s="48">
        <v>46247.503472222219</v>
      </c>
      <c r="I985" s="43">
        <v>22</v>
      </c>
      <c r="J985" s="43" t="s">
        <v>2373</v>
      </c>
      <c r="K985" s="43" t="s">
        <v>8264</v>
      </c>
      <c r="L985" s="43" t="s">
        <v>20</v>
      </c>
      <c r="M985" s="43"/>
      <c r="N985" s="43"/>
      <c r="O985" s="43">
        <v>2</v>
      </c>
      <c r="P985" s="43" t="s">
        <v>1341</v>
      </c>
      <c r="Q985" s="43" t="s">
        <v>1546</v>
      </c>
      <c r="R985" s="43" t="s">
        <v>10838</v>
      </c>
      <c r="S985" s="52">
        <f t="shared" si="15"/>
        <v>0.11</v>
      </c>
      <c r="T985" s="47"/>
      <c r="U985" s="47"/>
    </row>
    <row r="986" spans="1:21" ht="16.5" thickTop="1" thickBot="1" x14ac:dyDescent="0.3">
      <c r="A986" s="51" t="s">
        <v>10734</v>
      </c>
      <c r="B986" s="52" t="s">
        <v>10735</v>
      </c>
      <c r="C986" s="52" t="s">
        <v>38</v>
      </c>
      <c r="D986" s="52" t="s">
        <v>17</v>
      </c>
      <c r="E986" s="52" t="s">
        <v>18</v>
      </c>
      <c r="F986" s="52" t="s">
        <v>32</v>
      </c>
      <c r="G986" s="53">
        <v>46247.511805555558</v>
      </c>
      <c r="H986" s="53">
        <v>46248.511805555558</v>
      </c>
      <c r="I986" s="52">
        <v>617</v>
      </c>
      <c r="J986" s="52" t="s">
        <v>1156</v>
      </c>
      <c r="K986" s="52" t="s">
        <v>1156</v>
      </c>
      <c r="L986" s="52" t="s">
        <v>20</v>
      </c>
      <c r="M986" s="52">
        <v>607</v>
      </c>
      <c r="N986" s="52">
        <v>111</v>
      </c>
      <c r="O986" s="52">
        <v>113</v>
      </c>
      <c r="P986" s="52" t="s">
        <v>8777</v>
      </c>
      <c r="Q986" s="52" t="s">
        <v>1517</v>
      </c>
      <c r="R986" s="52" t="s">
        <v>10837</v>
      </c>
      <c r="S986" s="52">
        <f t="shared" si="15"/>
        <v>1</v>
      </c>
      <c r="T986" s="52"/>
      <c r="U986" s="52"/>
    </row>
    <row r="987" spans="1:21" s="46" customFormat="1" ht="16.5" thickTop="1" thickBot="1" x14ac:dyDescent="0.3">
      <c r="A987" s="50" t="s">
        <v>10732</v>
      </c>
      <c r="B987" s="43" t="s">
        <v>10733</v>
      </c>
      <c r="C987" s="43" t="s">
        <v>38</v>
      </c>
      <c r="D987" s="43" t="s">
        <v>17</v>
      </c>
      <c r="E987" s="43" t="s">
        <v>18</v>
      </c>
      <c r="F987" s="43" t="s">
        <v>42</v>
      </c>
      <c r="G987" s="48">
        <v>46247.552777777775</v>
      </c>
      <c r="H987" s="48">
        <v>46248.692361111112</v>
      </c>
      <c r="I987" s="43">
        <v>108</v>
      </c>
      <c r="J987" s="43" t="s">
        <v>1156</v>
      </c>
      <c r="K987" s="43" t="s">
        <v>1156</v>
      </c>
      <c r="L987" s="43" t="s">
        <v>20</v>
      </c>
      <c r="M987" s="43">
        <v>108</v>
      </c>
      <c r="N987" s="43">
        <v>18</v>
      </c>
      <c r="O987" s="43">
        <v>18</v>
      </c>
      <c r="P987" s="43" t="s">
        <v>1454</v>
      </c>
      <c r="Q987" s="43" t="s">
        <v>1517</v>
      </c>
      <c r="R987" s="43" t="s">
        <v>10836</v>
      </c>
      <c r="S987" s="52">
        <f t="shared" si="15"/>
        <v>1.1399999999999999</v>
      </c>
      <c r="T987" s="47"/>
      <c r="U987" s="47"/>
    </row>
    <row r="988" spans="1:21" ht="16.5" thickTop="1" thickBot="1" x14ac:dyDescent="0.3">
      <c r="A988" s="51" t="s">
        <v>10730</v>
      </c>
      <c r="B988" s="52" t="s">
        <v>10731</v>
      </c>
      <c r="C988" s="52" t="s">
        <v>38</v>
      </c>
      <c r="D988" s="52" t="s">
        <v>17</v>
      </c>
      <c r="E988" s="52" t="s">
        <v>18</v>
      </c>
      <c r="F988" s="52" t="s">
        <v>42</v>
      </c>
      <c r="G988" s="53">
        <v>46247.604166666664</v>
      </c>
      <c r="H988" s="53">
        <v>46248.425000000003</v>
      </c>
      <c r="I988" s="52">
        <v>24</v>
      </c>
      <c r="J988" s="52" t="s">
        <v>2373</v>
      </c>
      <c r="K988" s="52" t="s">
        <v>8326</v>
      </c>
      <c r="L988" s="52" t="s">
        <v>33</v>
      </c>
      <c r="M988" s="52"/>
      <c r="N988" s="52"/>
      <c r="O988" s="52">
        <v>24</v>
      </c>
      <c r="P988" s="52" t="s">
        <v>9526</v>
      </c>
      <c r="Q988" s="52" t="s">
        <v>1514</v>
      </c>
      <c r="R988" s="52" t="s">
        <v>10835</v>
      </c>
      <c r="S988" s="52">
        <f t="shared" si="15"/>
        <v>0.82</v>
      </c>
      <c r="T988" s="52"/>
      <c r="U988" s="52"/>
    </row>
    <row r="989" spans="1:21" s="46" customFormat="1" ht="16.5" thickTop="1" thickBot="1" x14ac:dyDescent="0.3">
      <c r="A989" s="50" t="s">
        <v>10726</v>
      </c>
      <c r="B989" s="43" t="s">
        <v>10727</v>
      </c>
      <c r="C989" s="43" t="s">
        <v>38</v>
      </c>
      <c r="D989" s="43" t="s">
        <v>17</v>
      </c>
      <c r="E989" s="43" t="s">
        <v>18</v>
      </c>
      <c r="F989" s="43" t="s">
        <v>24</v>
      </c>
      <c r="G989" s="48">
        <v>46247.6875</v>
      </c>
      <c r="H989" s="48">
        <v>46247.806250000001</v>
      </c>
      <c r="I989" s="43">
        <v>43</v>
      </c>
      <c r="J989" s="43" t="s">
        <v>1156</v>
      </c>
      <c r="K989" s="43" t="s">
        <v>1156</v>
      </c>
      <c r="L989" s="43" t="s">
        <v>20</v>
      </c>
      <c r="M989" s="43"/>
      <c r="N989" s="43"/>
      <c r="O989" s="43">
        <v>43</v>
      </c>
      <c r="P989" s="43" t="s">
        <v>1464</v>
      </c>
      <c r="Q989" s="43" t="s">
        <v>1517</v>
      </c>
      <c r="R989" s="43"/>
      <c r="S989" s="52">
        <f t="shared" si="15"/>
        <v>0.12</v>
      </c>
      <c r="T989" s="47"/>
      <c r="U989" s="47"/>
    </row>
    <row r="990" spans="1:21" ht="16.5" thickTop="1" thickBot="1" x14ac:dyDescent="0.3">
      <c r="A990" s="51" t="s">
        <v>10728</v>
      </c>
      <c r="B990" s="52" t="s">
        <v>10729</v>
      </c>
      <c r="C990" s="52" t="s">
        <v>35</v>
      </c>
      <c r="D990" s="52" t="s">
        <v>17</v>
      </c>
      <c r="E990" s="52" t="s">
        <v>18</v>
      </c>
      <c r="F990" s="52" t="s">
        <v>24</v>
      </c>
      <c r="G990" s="53">
        <v>46247.6875</v>
      </c>
      <c r="H990" s="53">
        <v>46248.59097222222</v>
      </c>
      <c r="I990" s="52">
        <v>314</v>
      </c>
      <c r="J990" s="52" t="s">
        <v>2373</v>
      </c>
      <c r="K990" s="52" t="s">
        <v>8278</v>
      </c>
      <c r="L990" s="52" t="s">
        <v>25</v>
      </c>
      <c r="M990" s="52"/>
      <c r="N990" s="52"/>
      <c r="O990" s="52">
        <v>133</v>
      </c>
      <c r="P990" s="52" t="s">
        <v>1464</v>
      </c>
      <c r="Q990" s="52" t="s">
        <v>1517</v>
      </c>
      <c r="R990" s="52" t="s">
        <v>10834</v>
      </c>
      <c r="S990" s="52">
        <f t="shared" si="15"/>
        <v>0.9</v>
      </c>
      <c r="T990" s="52"/>
      <c r="U990" s="52"/>
    </row>
    <row r="991" spans="1:21" s="46" customFormat="1" ht="16.5" thickTop="1" thickBot="1" x14ac:dyDescent="0.3">
      <c r="A991" s="50" t="s">
        <v>10724</v>
      </c>
      <c r="B991" s="43" t="s">
        <v>10725</v>
      </c>
      <c r="C991" s="43" t="s">
        <v>35</v>
      </c>
      <c r="D991" s="43" t="s">
        <v>17</v>
      </c>
      <c r="E991" s="43" t="s">
        <v>18</v>
      </c>
      <c r="F991" s="43" t="s">
        <v>32</v>
      </c>
      <c r="G991" s="48">
        <v>46247.790972222225</v>
      </c>
      <c r="H991" s="48">
        <v>46248.476388888892</v>
      </c>
      <c r="I991" s="43">
        <v>12</v>
      </c>
      <c r="J991" s="43" t="s">
        <v>1156</v>
      </c>
      <c r="K991" s="43" t="s">
        <v>1156</v>
      </c>
      <c r="L991" s="43" t="s">
        <v>8486</v>
      </c>
      <c r="M991" s="43"/>
      <c r="N991" s="43"/>
      <c r="O991" s="43">
        <v>12</v>
      </c>
      <c r="P991" s="43" t="s">
        <v>1484</v>
      </c>
      <c r="Q991" s="43" t="s">
        <v>1517</v>
      </c>
      <c r="R991" s="43" t="s">
        <v>10833</v>
      </c>
      <c r="S991" s="52">
        <f t="shared" si="15"/>
        <v>0.69</v>
      </c>
      <c r="T991" s="47"/>
      <c r="U991" s="47"/>
    </row>
    <row r="992" spans="1:21" ht="16.5" thickTop="1" thickBot="1" x14ac:dyDescent="0.3">
      <c r="A992" s="51" t="s">
        <v>10722</v>
      </c>
      <c r="B992" s="52" t="s">
        <v>10723</v>
      </c>
      <c r="C992" s="52" t="s">
        <v>30</v>
      </c>
      <c r="D992" s="52" t="s">
        <v>17</v>
      </c>
      <c r="E992" s="52" t="s">
        <v>18</v>
      </c>
      <c r="F992" s="52" t="s">
        <v>32</v>
      </c>
      <c r="G992" s="53">
        <v>46247.81527777778</v>
      </c>
      <c r="H992" s="53">
        <v>46248.781944444447</v>
      </c>
      <c r="I992" s="52">
        <v>53</v>
      </c>
      <c r="J992" s="52" t="s">
        <v>1156</v>
      </c>
      <c r="K992" s="52" t="s">
        <v>1156</v>
      </c>
      <c r="L992" s="52" t="s">
        <v>20</v>
      </c>
      <c r="M992" s="52"/>
      <c r="N992" s="52"/>
      <c r="O992" s="52">
        <v>53</v>
      </c>
      <c r="P992" s="52" t="s">
        <v>1501</v>
      </c>
      <c r="Q992" s="52" t="s">
        <v>1514</v>
      </c>
      <c r="R992" s="52" t="s">
        <v>10832</v>
      </c>
      <c r="S992" s="52">
        <f t="shared" si="15"/>
        <v>0.97</v>
      </c>
      <c r="T992" s="52"/>
      <c r="U992" s="52"/>
    </row>
    <row r="993" spans="1:21" s="46" customFormat="1" ht="16.5" thickTop="1" thickBot="1" x14ac:dyDescent="0.3">
      <c r="A993" s="50" t="s">
        <v>10721</v>
      </c>
      <c r="B993" s="43" t="s">
        <v>10067</v>
      </c>
      <c r="C993" s="43" t="s">
        <v>1239</v>
      </c>
      <c r="D993" s="43" t="s">
        <v>17</v>
      </c>
      <c r="E993" s="43" t="s">
        <v>18</v>
      </c>
      <c r="F993" s="43" t="s">
        <v>10068</v>
      </c>
      <c r="G993" s="48">
        <v>46247.987500000003</v>
      </c>
      <c r="H993" s="48">
        <v>46247.987500000003</v>
      </c>
      <c r="I993" s="43">
        <v>180</v>
      </c>
      <c r="J993" s="43" t="s">
        <v>2373</v>
      </c>
      <c r="K993" s="43" t="s">
        <v>8278</v>
      </c>
      <c r="L993" s="43" t="s">
        <v>31</v>
      </c>
      <c r="M993" s="43"/>
      <c r="N993" s="43"/>
      <c r="O993" s="43">
        <v>167</v>
      </c>
      <c r="P993" s="43" t="s">
        <v>10827</v>
      </c>
      <c r="Q993" s="43" t="s">
        <v>1546</v>
      </c>
      <c r="R993" s="43"/>
      <c r="S993" s="52">
        <f t="shared" si="15"/>
        <v>0</v>
      </c>
      <c r="T993" s="47"/>
      <c r="U993" s="47"/>
    </row>
    <row r="994" spans="1:21" ht="16.5" thickTop="1" thickBot="1" x14ac:dyDescent="0.3">
      <c r="A994" s="51" t="s">
        <v>10719</v>
      </c>
      <c r="B994" s="52" t="s">
        <v>10720</v>
      </c>
      <c r="C994" s="52" t="s">
        <v>35</v>
      </c>
      <c r="D994" s="52" t="s">
        <v>17</v>
      </c>
      <c r="E994" s="52" t="s">
        <v>18</v>
      </c>
      <c r="F994" s="52" t="s">
        <v>28</v>
      </c>
      <c r="G994" s="53">
        <v>46248.525694444441</v>
      </c>
      <c r="H994" s="53">
        <v>46248.635416666664</v>
      </c>
      <c r="I994" s="52">
        <v>13</v>
      </c>
      <c r="J994" s="52" t="s">
        <v>1156</v>
      </c>
      <c r="K994" s="52" t="s">
        <v>10281</v>
      </c>
      <c r="L994" s="52" t="s">
        <v>33</v>
      </c>
      <c r="M994" s="52"/>
      <c r="N994" s="52"/>
      <c r="O994" s="52">
        <v>13</v>
      </c>
      <c r="P994" s="52" t="s">
        <v>10830</v>
      </c>
      <c r="Q994" s="52" t="s">
        <v>1546</v>
      </c>
      <c r="R994" s="52" t="s">
        <v>10831</v>
      </c>
      <c r="S994" s="52">
        <f t="shared" si="15"/>
        <v>0.11</v>
      </c>
      <c r="T994" s="52"/>
      <c r="U994" s="52"/>
    </row>
    <row r="995" spans="1:21" s="46" customFormat="1" ht="16.5" thickTop="1" thickBot="1" x14ac:dyDescent="0.3">
      <c r="A995" s="50" t="s">
        <v>10717</v>
      </c>
      <c r="B995" s="43" t="s">
        <v>10718</v>
      </c>
      <c r="C995" s="43" t="s">
        <v>35</v>
      </c>
      <c r="D995" s="43" t="s">
        <v>17</v>
      </c>
      <c r="E995" s="43" t="s">
        <v>18</v>
      </c>
      <c r="F995" s="43" t="s">
        <v>28</v>
      </c>
      <c r="G995" s="48">
        <v>46248.681944444441</v>
      </c>
      <c r="H995" s="48">
        <v>46248.996527777781</v>
      </c>
      <c r="I995" s="43">
        <v>15</v>
      </c>
      <c r="J995" s="43" t="s">
        <v>1156</v>
      </c>
      <c r="K995" s="43" t="s">
        <v>1156</v>
      </c>
      <c r="L995" s="43" t="s">
        <v>8486</v>
      </c>
      <c r="M995" s="43"/>
      <c r="N995" s="43"/>
      <c r="O995" s="43">
        <v>15</v>
      </c>
      <c r="P995" s="43" t="s">
        <v>9832</v>
      </c>
      <c r="Q995" s="43" t="s">
        <v>1517</v>
      </c>
      <c r="R995" s="43" t="s">
        <v>10829</v>
      </c>
      <c r="S995" s="52">
        <f t="shared" si="15"/>
        <v>0.31</v>
      </c>
      <c r="T995" s="47"/>
      <c r="U995" s="47"/>
    </row>
    <row r="996" spans="1:21" ht="16.5" thickTop="1" thickBot="1" x14ac:dyDescent="0.3">
      <c r="A996" s="51" t="s">
        <v>10715</v>
      </c>
      <c r="B996" s="52" t="s">
        <v>10716</v>
      </c>
      <c r="C996" s="52" t="s">
        <v>1239</v>
      </c>
      <c r="D996" s="52" t="s">
        <v>17</v>
      </c>
      <c r="E996" s="52" t="s">
        <v>18</v>
      </c>
      <c r="F996" s="52" t="s">
        <v>32</v>
      </c>
      <c r="G996" s="53">
        <v>46248.682638888888</v>
      </c>
      <c r="H996" s="53">
        <v>46248.682638888888</v>
      </c>
      <c r="I996" s="52">
        <v>56</v>
      </c>
      <c r="J996" s="52" t="s">
        <v>1156</v>
      </c>
      <c r="K996" s="52" t="s">
        <v>1156</v>
      </c>
      <c r="L996" s="52" t="s">
        <v>25</v>
      </c>
      <c r="M996" s="52"/>
      <c r="N996" s="52"/>
      <c r="O996" s="52">
        <v>7</v>
      </c>
      <c r="P996" s="52" t="s">
        <v>10264</v>
      </c>
      <c r="Q996" s="52" t="s">
        <v>1517</v>
      </c>
      <c r="R996" s="52"/>
      <c r="S996" s="52">
        <f t="shared" si="15"/>
        <v>0</v>
      </c>
      <c r="T996" s="52"/>
      <c r="U996" s="52"/>
    </row>
    <row r="997" spans="1:21" s="46" customFormat="1" ht="16.5" thickTop="1" thickBot="1" x14ac:dyDescent="0.3">
      <c r="A997" s="50" t="s">
        <v>10713</v>
      </c>
      <c r="B997" s="43" t="s">
        <v>10714</v>
      </c>
      <c r="C997" s="43" t="s">
        <v>1239</v>
      </c>
      <c r="D997" s="43" t="s">
        <v>17</v>
      </c>
      <c r="E997" s="43" t="s">
        <v>18</v>
      </c>
      <c r="F997" s="43" t="s">
        <v>32</v>
      </c>
      <c r="G997" s="48">
        <v>46248.695833333331</v>
      </c>
      <c r="H997" s="48">
        <v>46248.695833333331</v>
      </c>
      <c r="I997" s="43">
        <v>2</v>
      </c>
      <c r="J997" s="43" t="s">
        <v>2373</v>
      </c>
      <c r="K997" s="43" t="s">
        <v>8310</v>
      </c>
      <c r="L997" s="43" t="s">
        <v>33</v>
      </c>
      <c r="M997" s="43"/>
      <c r="N997" s="43"/>
      <c r="O997" s="43">
        <v>2</v>
      </c>
      <c r="P997" s="43" t="s">
        <v>8576</v>
      </c>
      <c r="Q997" s="43" t="s">
        <v>1546</v>
      </c>
      <c r="R997" s="43"/>
      <c r="S997" s="52">
        <f t="shared" si="15"/>
        <v>0</v>
      </c>
      <c r="T997" s="47"/>
      <c r="U997" s="47"/>
    </row>
    <row r="998" spans="1:21" ht="16.5" thickTop="1" thickBot="1" x14ac:dyDescent="0.3">
      <c r="A998" s="51" t="s">
        <v>10711</v>
      </c>
      <c r="B998" s="52" t="s">
        <v>10712</v>
      </c>
      <c r="C998" s="52" t="s">
        <v>1239</v>
      </c>
      <c r="D998" s="52" t="s">
        <v>17</v>
      </c>
      <c r="E998" s="52" t="s">
        <v>18</v>
      </c>
      <c r="F998" s="52" t="s">
        <v>32</v>
      </c>
      <c r="G998" s="53">
        <v>46248.700694444444</v>
      </c>
      <c r="H998" s="53">
        <v>46248.700694444444</v>
      </c>
      <c r="I998" s="52">
        <v>1</v>
      </c>
      <c r="J998" s="52" t="s">
        <v>1156</v>
      </c>
      <c r="K998" s="52" t="s">
        <v>1156</v>
      </c>
      <c r="L998" s="52" t="s">
        <v>33</v>
      </c>
      <c r="M998" s="52"/>
      <c r="N998" s="52"/>
      <c r="O998" s="52">
        <v>1</v>
      </c>
      <c r="P998" s="52" t="s">
        <v>8769</v>
      </c>
      <c r="Q998" s="52" t="s">
        <v>1517</v>
      </c>
      <c r="R998" s="52"/>
      <c r="S998" s="52">
        <f t="shared" si="15"/>
        <v>0</v>
      </c>
      <c r="T998" s="52"/>
      <c r="U998" s="52"/>
    </row>
    <row r="999" spans="1:21" s="46" customFormat="1" ht="16.5" thickTop="1" thickBot="1" x14ac:dyDescent="0.3">
      <c r="A999" s="50" t="s">
        <v>10709</v>
      </c>
      <c r="B999" s="43" t="s">
        <v>10710</v>
      </c>
      <c r="C999" s="43" t="s">
        <v>1239</v>
      </c>
      <c r="D999" s="43" t="s">
        <v>17</v>
      </c>
      <c r="E999" s="43" t="s">
        <v>18</v>
      </c>
      <c r="F999" s="43" t="s">
        <v>32</v>
      </c>
      <c r="G999" s="48">
        <v>46248.736111111109</v>
      </c>
      <c r="H999" s="48">
        <v>46248.736111111109</v>
      </c>
      <c r="I999" s="43">
        <v>8</v>
      </c>
      <c r="J999" s="43" t="s">
        <v>1156</v>
      </c>
      <c r="K999" s="43" t="s">
        <v>8331</v>
      </c>
      <c r="L999" s="43" t="s">
        <v>33</v>
      </c>
      <c r="M999" s="43"/>
      <c r="N999" s="43"/>
      <c r="O999" s="43">
        <v>8</v>
      </c>
      <c r="P999" s="43" t="s">
        <v>10590</v>
      </c>
      <c r="Q999" s="43" t="s">
        <v>1546</v>
      </c>
      <c r="R999" s="43"/>
      <c r="S999" s="52">
        <f t="shared" si="15"/>
        <v>0</v>
      </c>
      <c r="T999" s="47"/>
      <c r="U999" s="47"/>
    </row>
    <row r="1000" spans="1:21" ht="16.5" thickTop="1" thickBot="1" x14ac:dyDescent="0.3">
      <c r="A1000" s="51" t="s">
        <v>10708</v>
      </c>
      <c r="B1000" s="52" t="s">
        <v>10067</v>
      </c>
      <c r="C1000" s="52" t="s">
        <v>1239</v>
      </c>
      <c r="D1000" s="52" t="s">
        <v>17</v>
      </c>
      <c r="E1000" s="52" t="s">
        <v>18</v>
      </c>
      <c r="F1000" s="52" t="s">
        <v>10068</v>
      </c>
      <c r="G1000" s="53">
        <v>46248.751388888886</v>
      </c>
      <c r="H1000" s="53">
        <v>46249.859722222223</v>
      </c>
      <c r="I1000" s="52">
        <v>2</v>
      </c>
      <c r="J1000" s="52" t="s">
        <v>2373</v>
      </c>
      <c r="K1000" s="52" t="s">
        <v>8278</v>
      </c>
      <c r="L1000" s="52" t="s">
        <v>31</v>
      </c>
      <c r="M1000" s="52"/>
      <c r="N1000" s="52"/>
      <c r="O1000" s="52">
        <v>2</v>
      </c>
      <c r="P1000" s="52" t="s">
        <v>10827</v>
      </c>
      <c r="Q1000" s="52" t="s">
        <v>1546</v>
      </c>
      <c r="R1000" s="52"/>
      <c r="S1000" s="52">
        <f t="shared" si="15"/>
        <v>1.1100000000000001</v>
      </c>
      <c r="T1000" s="52"/>
      <c r="U1000" s="52"/>
    </row>
    <row r="1001" spans="1:21" s="46" customFormat="1" ht="16.5" thickTop="1" thickBot="1" x14ac:dyDescent="0.3">
      <c r="A1001" s="50" t="s">
        <v>10706</v>
      </c>
      <c r="B1001" s="43" t="s">
        <v>10707</v>
      </c>
      <c r="C1001" s="43" t="s">
        <v>1239</v>
      </c>
      <c r="D1001" s="43" t="s">
        <v>17</v>
      </c>
      <c r="E1001" s="43" t="s">
        <v>18</v>
      </c>
      <c r="F1001" s="43" t="s">
        <v>32</v>
      </c>
      <c r="G1001" s="48">
        <v>46248.782638888886</v>
      </c>
      <c r="H1001" s="48">
        <v>46248.782638888886</v>
      </c>
      <c r="I1001" s="43">
        <v>3</v>
      </c>
      <c r="J1001" s="43" t="s">
        <v>2373</v>
      </c>
      <c r="K1001" s="43" t="s">
        <v>8326</v>
      </c>
      <c r="L1001" s="43" t="s">
        <v>36</v>
      </c>
      <c r="M1001" s="43"/>
      <c r="N1001" s="43"/>
      <c r="O1001" s="43">
        <v>3</v>
      </c>
      <c r="P1001" s="43" t="s">
        <v>10266</v>
      </c>
      <c r="Q1001" s="43" t="s">
        <v>1517</v>
      </c>
      <c r="R1001" s="43"/>
      <c r="S1001" s="52">
        <f t="shared" si="15"/>
        <v>0</v>
      </c>
      <c r="T1001" s="47"/>
      <c r="U1001" s="47"/>
    </row>
    <row r="1002" spans="1:21" ht="15.75" thickTop="1" x14ac:dyDescent="0.25">
      <c r="A1002" s="51" t="s">
        <v>10704</v>
      </c>
      <c r="B1002" s="52" t="s">
        <v>10705</v>
      </c>
      <c r="C1002" s="52" t="s">
        <v>1239</v>
      </c>
      <c r="D1002" s="52" t="s">
        <v>17</v>
      </c>
      <c r="E1002" s="52" t="s">
        <v>18</v>
      </c>
      <c r="F1002" s="52" t="s">
        <v>10068</v>
      </c>
      <c r="G1002" s="53">
        <v>46249.859722222223</v>
      </c>
      <c r="H1002" s="53">
        <v>46249.861111111109</v>
      </c>
      <c r="I1002" s="52">
        <v>2</v>
      </c>
      <c r="J1002" s="52" t="s">
        <v>2373</v>
      </c>
      <c r="K1002" s="52" t="s">
        <v>8278</v>
      </c>
      <c r="L1002" s="52" t="s">
        <v>31</v>
      </c>
      <c r="M1002" s="52"/>
      <c r="N1002" s="52"/>
      <c r="O1002" s="52">
        <v>2</v>
      </c>
      <c r="P1002" s="52" t="s">
        <v>10827</v>
      </c>
      <c r="Q1002" s="52" t="s">
        <v>1546</v>
      </c>
      <c r="R1002" s="52" t="s">
        <v>10828</v>
      </c>
      <c r="S1002" s="52">
        <f t="shared" si="15"/>
        <v>0</v>
      </c>
      <c r="T1002" s="52"/>
      <c r="U1002" s="52"/>
    </row>
  </sheetData>
  <sortState xmlns:xlrd2="http://schemas.microsoft.com/office/spreadsheetml/2017/richdata2" ref="A2:W1002">
    <sortCondition ref="G2:G1002"/>
  </sortState>
  <phoneticPr fontId="4" type="noConversion"/>
  <conditionalFormatting sqref="A1:A1048576">
    <cfRule type="duplicateValues" dxfId="0" priority="1"/>
  </conditionalFormatting>
  <hyperlinks>
    <hyperlink ref="A271" r:id="rId1" xr:uid="{69184E49-7A86-41A3-938E-3458816FBA8F}"/>
    <hyperlink ref="A270" r:id="rId2" xr:uid="{231FB8A1-2FE2-412A-ADF5-EE2564AE1C05}"/>
    <hyperlink ref="A269" r:id="rId3" xr:uid="{EED15FA6-72EF-44D8-B945-F487C4DAA607}"/>
    <hyperlink ref="A268" r:id="rId4" xr:uid="{95387470-816A-4AFE-AF5E-F1B1EEFA2A6B}"/>
    <hyperlink ref="A267" r:id="rId5" xr:uid="{E80B22AF-67D1-458C-BC4C-824A3E78E394}"/>
    <hyperlink ref="A266" r:id="rId6" xr:uid="{B9B40979-FE9A-405D-AFA0-285002E3F3AE}"/>
    <hyperlink ref="A265" r:id="rId7" xr:uid="{30B11490-8BEE-49A1-A7E4-8AEDE3AB9E9E}"/>
    <hyperlink ref="A264" r:id="rId8" xr:uid="{20AD9732-310D-4E66-BDCC-C9DB564EB9DF}"/>
    <hyperlink ref="A263" r:id="rId9" xr:uid="{84F39208-6644-4FAC-B2EB-C0C995EFEC92}"/>
    <hyperlink ref="A262" r:id="rId10" xr:uid="{B9286E72-BE40-4350-B7F7-85B3F8003EE4}"/>
    <hyperlink ref="A261" r:id="rId11" xr:uid="{5B72AC83-F69E-487F-AD18-C166AEA22136}"/>
    <hyperlink ref="A260" r:id="rId12" xr:uid="{6FC115CF-E9C7-4113-B019-06DCC9957566}"/>
    <hyperlink ref="A259" r:id="rId13" xr:uid="{A351EC15-CBA2-4AE9-A16F-D847FFBF1A66}"/>
    <hyperlink ref="A258" r:id="rId14" xr:uid="{5B56538A-6E69-42F2-9C0A-1EEA8B278569}"/>
    <hyperlink ref="A257" r:id="rId15" xr:uid="{C9BAD244-A181-44B5-ABC3-599773969B48}"/>
    <hyperlink ref="A256" r:id="rId16" xr:uid="{C64ECAC9-80EC-4D29-B1A0-21A39A9FF4EE}"/>
    <hyperlink ref="A255" r:id="rId17" xr:uid="{9D4AB8F5-6CE4-42CE-95C6-7215AB2296AB}"/>
    <hyperlink ref="A253" r:id="rId18" xr:uid="{BB8ACBA0-4B89-4177-80A6-C618CED5E3ED}"/>
    <hyperlink ref="A254" r:id="rId19" xr:uid="{3C8943E4-8C09-4028-98E7-29C7486001A3}"/>
    <hyperlink ref="A252" r:id="rId20" xr:uid="{490FEDBF-970B-4953-8DFF-C06A9DFB90E9}"/>
    <hyperlink ref="A251" r:id="rId21" xr:uid="{5E1EE37A-A021-4CE1-8A60-D5A1634C6619}"/>
    <hyperlink ref="A250" r:id="rId22" xr:uid="{92A8D59A-220B-4CB1-A17E-0F6C5E7C5BBF}"/>
    <hyperlink ref="A249" r:id="rId23" xr:uid="{FE79116B-92AE-4963-B569-06F2E8B324B4}"/>
    <hyperlink ref="A248" r:id="rId24" xr:uid="{0CE082C6-441B-4A89-B66E-9AE4A3022D13}"/>
    <hyperlink ref="A247" r:id="rId25" xr:uid="{5F2F0134-A9D4-43BD-84B8-7D4B2DD69AFA}"/>
    <hyperlink ref="A246" r:id="rId26" xr:uid="{545BAEDD-0894-41EE-83B0-CD449AD1EB36}"/>
    <hyperlink ref="A245" r:id="rId27" xr:uid="{18BAF1B6-AAB8-41AA-9E07-162496839624}"/>
    <hyperlink ref="A244" r:id="rId28" xr:uid="{46F3C820-47D7-4AA4-88DA-A4DA674A9E61}"/>
    <hyperlink ref="A243" r:id="rId29" xr:uid="{718921D2-C061-4430-BAC4-8EB4FED95744}"/>
    <hyperlink ref="A242" r:id="rId30" xr:uid="{20423699-3092-4AC2-85F9-F18B0EA83127}"/>
    <hyperlink ref="A241" r:id="rId31" xr:uid="{97ECDFE0-762A-49F9-974D-5A5C325BED41}"/>
    <hyperlink ref="A240" r:id="rId32" xr:uid="{24437939-96EB-4ED5-AF63-16D26C2000DA}"/>
    <hyperlink ref="A239" r:id="rId33" xr:uid="{3F198593-BCF5-49B1-A7F1-497B4A8D32CC}"/>
    <hyperlink ref="A238" r:id="rId34" xr:uid="{F51D6C9B-B7BC-4E79-A1E8-B7567F6BFAFA}"/>
    <hyperlink ref="A237" r:id="rId35" xr:uid="{4B87630E-B8B6-4876-9C1E-0D8A7AACDBDD}"/>
    <hyperlink ref="A236" r:id="rId36" xr:uid="{EF629765-7B61-4524-9FE1-2976494D09C6}"/>
    <hyperlink ref="A235" r:id="rId37" xr:uid="{76DE5579-933C-45FF-AA33-9FCC7A02CA15}"/>
    <hyperlink ref="A234" r:id="rId38" xr:uid="{86C9BC3C-CE8B-403E-9B55-9D7FA6CA84EC}"/>
    <hyperlink ref="A233" r:id="rId39" xr:uid="{F347653A-8AEE-4BA6-8DF4-0BC644FB2206}"/>
    <hyperlink ref="A232" r:id="rId40" xr:uid="{97436772-184E-4628-AD32-586394A22C04}"/>
    <hyperlink ref="A231" r:id="rId41" xr:uid="{FDEC5124-2AAD-44EA-8473-F9776266F832}"/>
    <hyperlink ref="A230" r:id="rId42" xr:uid="{6739DDA2-9639-430C-A2FA-6CE644AAFD89}"/>
    <hyperlink ref="A229" r:id="rId43" xr:uid="{E0CFF56F-3944-4643-BF51-04E9B7718278}"/>
    <hyperlink ref="A228" r:id="rId44" xr:uid="{8D926B66-A180-4514-A7BC-1A542C2BC36D}"/>
    <hyperlink ref="A227" r:id="rId45" xr:uid="{39CC8534-A86A-4CCB-9773-278A63C9CED7}"/>
    <hyperlink ref="A226" r:id="rId46" xr:uid="{C5465D5C-75DE-40DC-B16E-B6B1BFA15059}"/>
    <hyperlink ref="A225" r:id="rId47" xr:uid="{43261F4A-0667-4206-8F18-12A3BAFFB616}"/>
    <hyperlink ref="A224" r:id="rId48" xr:uid="{25F02002-8B33-4E84-B6E3-F18E6261540B}"/>
    <hyperlink ref="A223" r:id="rId49" xr:uid="{D4D5077D-D0D0-4D2B-BC95-A3C786A8B859}"/>
    <hyperlink ref="A222" r:id="rId50" xr:uid="{0B68F20C-B934-443E-A9F0-C1EB1C516315}"/>
    <hyperlink ref="A221" r:id="rId51" xr:uid="{AE685A15-98AF-4FF2-B4A6-68BA6135CE5F}"/>
    <hyperlink ref="A220" r:id="rId52" xr:uid="{54C90248-A824-4F84-8E73-1227406E314E}"/>
    <hyperlink ref="A219" r:id="rId53" xr:uid="{155766C4-D2E2-4217-97E7-17F9A86310C3}"/>
    <hyperlink ref="A218" r:id="rId54" xr:uid="{E7F5956F-73CC-44D2-840C-E38903F69F5F}"/>
    <hyperlink ref="A217" r:id="rId55" xr:uid="{A5286187-561F-4A9C-A5B7-5A8F6D18E7F8}"/>
    <hyperlink ref="A216" r:id="rId56" xr:uid="{60742F7B-C6AC-4F09-B1D8-255EF57AD741}"/>
    <hyperlink ref="A215" r:id="rId57" xr:uid="{0E01E984-5479-4C5C-92D4-28C501ED17CF}"/>
    <hyperlink ref="A214" r:id="rId58" xr:uid="{A7A025DE-78B3-47A1-9C62-67769C4B12CC}"/>
    <hyperlink ref="A213" r:id="rId59" xr:uid="{35C9D2DF-29FE-4EB2-8860-0D7B68DCC08F}"/>
    <hyperlink ref="A212" r:id="rId60" xr:uid="{75EBCC3A-AD3C-41F2-9FCA-1D30FAA51F1E}"/>
    <hyperlink ref="A211" r:id="rId61" xr:uid="{867D4CDA-6409-464E-8D96-FF3B6469A9A1}"/>
    <hyperlink ref="A210" r:id="rId62" xr:uid="{DDE6C81B-2F83-49B4-8CE7-84B8F855A52E}"/>
    <hyperlink ref="A209" r:id="rId63" xr:uid="{E7CD4496-7986-44A1-B189-EF3C7F8DC402}"/>
    <hyperlink ref="A208" r:id="rId64" xr:uid="{39EC49CB-37E8-4473-9650-5AC9647EE520}"/>
    <hyperlink ref="A201" r:id="rId65" xr:uid="{10924674-73A5-4157-83EF-0695D223602C}"/>
    <hyperlink ref="A207" r:id="rId66" xr:uid="{D5B3C5DB-26F4-4ECB-A6FF-E47E5ECCC0EF}"/>
    <hyperlink ref="A206" r:id="rId67" xr:uid="{C0F4ED94-805C-4100-B5B9-B4A7299FDAD1}"/>
    <hyperlink ref="A205" r:id="rId68" xr:uid="{E82153A4-C5F3-447A-9B65-CFDC185D9FAD}"/>
    <hyperlink ref="A204" r:id="rId69" xr:uid="{796FEB8B-8072-4368-AB65-69FA640CB26C}"/>
    <hyperlink ref="A203" r:id="rId70" xr:uid="{4B0BF769-B28D-4285-807A-10941D7C39BA}"/>
    <hyperlink ref="A202" r:id="rId71" xr:uid="{747F592C-EF52-497B-AA46-876C13D828A2}"/>
    <hyperlink ref="A200" r:id="rId72" xr:uid="{CF1649C1-25C8-4C58-9B49-E1EFB4F9E495}"/>
    <hyperlink ref="A199" r:id="rId73" xr:uid="{F8B79ACE-4E34-473F-A9EF-FF95039DD913}"/>
    <hyperlink ref="A198" r:id="rId74" xr:uid="{DB52AE46-8FA9-4E22-B925-63F61C87AC66}"/>
    <hyperlink ref="A197" r:id="rId75" xr:uid="{3FC14FF4-15E1-4DD3-A9C3-0ED92FE1E6DF}"/>
    <hyperlink ref="A196" r:id="rId76" xr:uid="{FFAEB8F6-ED44-4C4A-A5A6-DDC64AF65147}"/>
    <hyperlink ref="A195" r:id="rId77" xr:uid="{B62E37DB-7EA8-4CE6-BD09-7B5C71FBCCD7}"/>
    <hyperlink ref="A194" r:id="rId78" xr:uid="{A4B40121-2C63-4AD9-A3B6-6A67645CEFC3}"/>
    <hyperlink ref="A193" r:id="rId79" xr:uid="{D8341953-EE32-49EC-BFC6-32E085CD437D}"/>
    <hyperlink ref="A192" r:id="rId80" xr:uid="{B6DA0349-77E2-41EC-A745-653336A6D905}"/>
    <hyperlink ref="A191" r:id="rId81" xr:uid="{19863330-009A-428C-9679-0E522FE870FD}"/>
    <hyperlink ref="A190" r:id="rId82" xr:uid="{23AA43A6-E5D9-4DE3-96E7-EF211F5AF549}"/>
    <hyperlink ref="A189" r:id="rId83" xr:uid="{41EB6636-E73A-4FA4-917E-EA8E18E0B342}"/>
    <hyperlink ref="A188" r:id="rId84" xr:uid="{90741A9D-3249-4081-AA3E-BB613D563DFA}"/>
    <hyperlink ref="A187" r:id="rId85" xr:uid="{E5EDC030-CA76-41D1-AA9F-A84606563AC2}"/>
    <hyperlink ref="A186" r:id="rId86" xr:uid="{6407046A-F533-4861-B6C5-7EC8D2E7D2A8}"/>
    <hyperlink ref="A185" r:id="rId87" xr:uid="{F832E126-81A7-4371-BDA8-44E73FA8F783}"/>
    <hyperlink ref="A184" r:id="rId88" xr:uid="{A0B1B85C-4B29-4417-9D29-D9EF66827BA4}"/>
    <hyperlink ref="A183" r:id="rId89" xr:uid="{15247F98-A7A7-47C4-8482-6D69B338B065}"/>
    <hyperlink ref="A182" r:id="rId90" xr:uid="{8F6058AE-04A7-46E3-B9E9-FB8C5FEA5423}"/>
    <hyperlink ref="A181" r:id="rId91" xr:uid="{6EEF8795-BFE1-4B0D-8636-ED4BEEECC279}"/>
    <hyperlink ref="A180" r:id="rId92" xr:uid="{1DB61EE2-6571-4448-9D34-DB2769C035E7}"/>
    <hyperlink ref="A179" r:id="rId93" xr:uid="{997F7BB9-47DB-4660-8E04-15988AD61E9C}"/>
    <hyperlink ref="A178" r:id="rId94" xr:uid="{BC16F8D3-6C77-427D-8F98-FDDF7BF56002}"/>
    <hyperlink ref="A177" r:id="rId95" xr:uid="{5CBF1FF4-647F-4607-99C7-092F4AD36DA1}"/>
    <hyperlink ref="A176" r:id="rId96" xr:uid="{E3AEF608-D1E8-4291-AE1B-835891F36833}"/>
    <hyperlink ref="A175" r:id="rId97" xr:uid="{7E53D5EB-9797-4C85-B71B-42FA369064A8}"/>
    <hyperlink ref="A174" r:id="rId98" xr:uid="{DD03E307-752D-4B95-BADF-39BC1CA9B5BC}"/>
    <hyperlink ref="A173" r:id="rId99" xr:uid="{D432F49E-4E06-482E-A2B5-6D0FBCAB1D6E}"/>
    <hyperlink ref="A172" r:id="rId100" xr:uid="{A131111B-B8E4-419D-8927-1B592CB00709}"/>
    <hyperlink ref="A171" r:id="rId101" xr:uid="{38DD6973-56DB-497D-B7CC-33FA779CDBF4}"/>
    <hyperlink ref="A170" r:id="rId102" xr:uid="{54D1F995-659D-4D78-85BA-4B0F05F84914}"/>
    <hyperlink ref="A169" r:id="rId103" xr:uid="{A01339E3-3369-4108-8E06-6E6A3934AD50}"/>
    <hyperlink ref="A168" r:id="rId104" xr:uid="{0E909539-2F21-42CC-A394-84D4A356FCE1}"/>
    <hyperlink ref="A167" r:id="rId105" xr:uid="{E68E2894-2C66-4B5D-960F-601F1F23194D}"/>
    <hyperlink ref="A166" r:id="rId106" xr:uid="{9625DBBE-113A-490C-B032-47E297A7ED05}"/>
    <hyperlink ref="A165" r:id="rId107" xr:uid="{EA3BEF2D-B4D8-4E50-8DE3-970C1934EAA7}"/>
    <hyperlink ref="A164" r:id="rId108" xr:uid="{1E591DA3-9167-4463-B2DE-E45EFE4E3E77}"/>
    <hyperlink ref="A163" r:id="rId109" xr:uid="{3EA9BF07-F7DF-4BDD-AA90-733493852D73}"/>
    <hyperlink ref="A162" r:id="rId110" xr:uid="{7D2DF05C-403D-4679-9B85-C3049C228ED7}"/>
    <hyperlink ref="A161" r:id="rId111" xr:uid="{74F243EC-B4DA-4823-A3F6-4FF0026BE190}"/>
    <hyperlink ref="A160" r:id="rId112" xr:uid="{D6ABCACC-CCD4-4230-A833-672C36F4C4FA}"/>
    <hyperlink ref="A159" r:id="rId113" xr:uid="{D22EF376-FBD5-4212-A155-BA08634401DE}"/>
    <hyperlink ref="A158" r:id="rId114" xr:uid="{519D87D6-3904-4BFA-B8C4-FF92370BB901}"/>
    <hyperlink ref="A157" r:id="rId115" xr:uid="{584DE572-69E5-4A91-89B5-56A20B25A448}"/>
    <hyperlink ref="A156" r:id="rId116" xr:uid="{82C5BDC1-A6AE-460D-BA72-D460C6456DA0}"/>
    <hyperlink ref="A155" r:id="rId117" xr:uid="{F27CFB9C-E16E-498F-85EF-B7EC158C29E1}"/>
    <hyperlink ref="A154" r:id="rId118" xr:uid="{EADB7AA1-365F-435F-83E9-21EEB51B2424}"/>
    <hyperlink ref="A153" r:id="rId119" xr:uid="{D1B90FE8-9F4B-4733-BB7D-70D9FC1D9240}"/>
    <hyperlink ref="A151" r:id="rId120" xr:uid="{A6F89CC7-C65F-473B-8F29-4631A16B036F}"/>
    <hyperlink ref="A152" r:id="rId121" xr:uid="{914300D3-6895-4587-8022-69700B014F79}"/>
    <hyperlink ref="A150" r:id="rId122" xr:uid="{43997650-8065-4728-BAEC-BC9A2D3DA480}"/>
    <hyperlink ref="A149" r:id="rId123" xr:uid="{4033E715-B0BF-4C07-B022-A0BFCEEE66D8}"/>
    <hyperlink ref="A147" r:id="rId124" xr:uid="{462EAA10-A5E8-4B44-8115-675D1045D306}"/>
    <hyperlink ref="A146" r:id="rId125" xr:uid="{FBA8FB71-12F9-4322-B53D-E4BFDE7DF9DE}"/>
    <hyperlink ref="A145" r:id="rId126" xr:uid="{45AF4EA7-8A43-4254-8BD8-E9BF3BF0A7CC}"/>
    <hyperlink ref="A144" r:id="rId127" xr:uid="{D2F89BE5-BFFE-43A5-8C70-3297BC3C4FFC}"/>
    <hyperlink ref="A143" r:id="rId128" xr:uid="{454F6AB5-37E1-4C4B-8427-1FA4EE162106}"/>
    <hyperlink ref="A142" r:id="rId129" xr:uid="{5AC79EC0-88E8-40C6-8E27-CC0B7F5380A5}"/>
    <hyperlink ref="A141" r:id="rId130" xr:uid="{4A5CF858-B612-440B-9CE9-88A340D91188}"/>
    <hyperlink ref="A140" r:id="rId131" xr:uid="{64C65406-72E2-491C-8BB7-987907DA6B38}"/>
    <hyperlink ref="A139" r:id="rId132" xr:uid="{06A6152D-8ED2-4B5C-9351-AB696E17453F}"/>
    <hyperlink ref="A138" r:id="rId133" xr:uid="{B8C3DED1-243B-4CA9-A6D1-A51DD465AA83}"/>
    <hyperlink ref="A137" r:id="rId134" xr:uid="{08CD7CDE-4646-47A1-AFA1-1802086CA377}"/>
    <hyperlink ref="A136" r:id="rId135" xr:uid="{C96E888E-83D5-44B2-8970-E8DF0A44F402}"/>
    <hyperlink ref="A135" r:id="rId136" xr:uid="{529ED3E2-1B0C-471C-89FF-AB54DD5B331E}"/>
    <hyperlink ref="A134" r:id="rId137" xr:uid="{93BC6BB1-1513-4BBB-B1A7-8B9C435D8226}"/>
    <hyperlink ref="A133" r:id="rId138" xr:uid="{F13CA86A-92C6-40B7-84D2-299F7514F5B3}"/>
    <hyperlink ref="A132" r:id="rId139" xr:uid="{65EA1272-37F2-4798-AC82-0AB221BCE7D0}"/>
    <hyperlink ref="A131" r:id="rId140" xr:uid="{C810EB1E-9BAD-404C-B8E3-A66C08ADE738}"/>
    <hyperlink ref="A130" r:id="rId141" xr:uid="{FF067524-40A9-4A46-875A-686998C52B72}"/>
    <hyperlink ref="A129" r:id="rId142" xr:uid="{9620CC54-2D6D-4226-BF67-ABA347C234EF}"/>
    <hyperlink ref="A128" r:id="rId143" xr:uid="{1EE7AC9D-37B3-4086-95AB-1FD1AB5D1984}"/>
    <hyperlink ref="A127" r:id="rId144" xr:uid="{05684B45-C5A1-4A37-B84F-DE92D6777522}"/>
    <hyperlink ref="A126" r:id="rId145" xr:uid="{7B077993-76D0-4592-B289-B809D1C10A99}"/>
    <hyperlink ref="A125" r:id="rId146" xr:uid="{A3FE4AA4-CBF2-4118-9426-3885BA8DEDB6}"/>
    <hyperlink ref="A124" r:id="rId147" xr:uid="{3AD1A381-C57A-4CFA-A326-0E6CC0709FB0}"/>
    <hyperlink ref="A123" r:id="rId148" xr:uid="{2C2CB502-2520-4F0F-84EB-AF04E602A89F}"/>
    <hyperlink ref="A121" r:id="rId149" xr:uid="{F6996CCE-16B5-4452-A5BE-53CFCACE83C5}"/>
    <hyperlink ref="A122" r:id="rId150" xr:uid="{6BFBCBEB-C309-4A5E-9F79-E0D467F29C3F}"/>
    <hyperlink ref="A120" r:id="rId151" xr:uid="{63A5BB09-721D-4D6D-B6CE-EE308C8404E8}"/>
    <hyperlink ref="A119" r:id="rId152" xr:uid="{5277147E-2E4B-4D2A-8571-C11155B8D9F0}"/>
    <hyperlink ref="A118" r:id="rId153" xr:uid="{1F5E6AB9-EEC4-43ED-B7D2-96C20630EAA0}"/>
    <hyperlink ref="A117" r:id="rId154" xr:uid="{07D1FB46-5E83-4333-B1D6-7489992E8514}"/>
    <hyperlink ref="A116" r:id="rId155" xr:uid="{A2678E87-B351-4FC9-A000-5C3AD8B9CA0C}"/>
    <hyperlink ref="A115" r:id="rId156" xr:uid="{C0176CE2-878B-453B-83CD-D2E6757C4DFB}"/>
    <hyperlink ref="A114" r:id="rId157" xr:uid="{8789E2E8-22E7-4257-9036-5A0FE880D42F}"/>
    <hyperlink ref="A113" r:id="rId158" xr:uid="{5013B4E3-45EF-4272-AEE3-F5070E79105E}"/>
    <hyperlink ref="A112" r:id="rId159" xr:uid="{74CE8D75-8419-4A3C-BFD8-1C608BAE5CBB}"/>
    <hyperlink ref="A111" r:id="rId160" xr:uid="{B49246E2-8AF5-4C89-8A7D-028DDCB07DE9}"/>
    <hyperlink ref="A110" r:id="rId161" xr:uid="{F1A5C305-AA1B-417C-8236-CBF55FB49DBF}"/>
    <hyperlink ref="A109" r:id="rId162" xr:uid="{9AFA44FF-2216-45DE-86CB-CCE3E6F51B29}"/>
    <hyperlink ref="A108" r:id="rId163" xr:uid="{D9A6CE82-448E-4A1E-93A6-0CEAAED5EFC8}"/>
    <hyperlink ref="A107" r:id="rId164" xr:uid="{A0DBFD7C-6DA5-4B7A-AA33-F5250ADF0CA7}"/>
    <hyperlink ref="A106" r:id="rId165" xr:uid="{3648483F-5FB3-4084-ABCF-2A8DC9E2CF7F}"/>
    <hyperlink ref="A105" r:id="rId166" xr:uid="{021AC4B0-097C-4B4E-89EB-E97C8650BBE4}"/>
    <hyperlink ref="A104" r:id="rId167" xr:uid="{762C54C2-1EE3-48C3-A3CC-1671FE495B40}"/>
    <hyperlink ref="A103" r:id="rId168" xr:uid="{AF6EACA2-2B0F-4EA8-AC77-78BCFBEC5545}"/>
    <hyperlink ref="A102" r:id="rId169" xr:uid="{EE2B1F46-07A0-4A73-BEAB-77EBF346B9D7}"/>
    <hyperlink ref="A101" r:id="rId170" xr:uid="{A7E903FB-0A19-486F-BC2C-7EBFBE037D40}"/>
    <hyperlink ref="A100" r:id="rId171" xr:uid="{170BF110-07DD-462A-965A-90D0E4D52A80}"/>
    <hyperlink ref="A99" r:id="rId172" xr:uid="{9210B1FE-1A85-4C22-BE4E-16FAF6C39D22}"/>
    <hyperlink ref="A98" r:id="rId173" xr:uid="{8F5491DB-E51D-4109-AADC-B7B439B024E2}"/>
    <hyperlink ref="A97" r:id="rId174" xr:uid="{F219882E-B2DC-4AB2-91F9-C05AF0729D69}"/>
    <hyperlink ref="A96" r:id="rId175" xr:uid="{32A3730E-A63F-44CE-981B-B4A87CE1710F}"/>
    <hyperlink ref="A95" r:id="rId176" xr:uid="{5E75A3A8-1570-4E0F-9850-7B46EAB51997}"/>
    <hyperlink ref="A94" r:id="rId177" xr:uid="{76680926-5299-47FA-8EDB-61F58A0207FE}"/>
    <hyperlink ref="A93" r:id="rId178" xr:uid="{5356D664-8C6A-4F33-90A5-AA57E54AC784}"/>
    <hyperlink ref="A92" r:id="rId179" xr:uid="{9D4251D9-5121-43F1-854A-20302062D8B0}"/>
    <hyperlink ref="A91" r:id="rId180" xr:uid="{6F013AB8-5F27-4EF7-BE72-6760305EA596}"/>
    <hyperlink ref="A90" r:id="rId181" xr:uid="{9D8245F9-77E6-4D86-BCCA-B91EC66F1330}"/>
    <hyperlink ref="A89" r:id="rId182" xr:uid="{4C53CEAC-A570-47FA-8C49-03CCC3A5BB95}"/>
    <hyperlink ref="A88" r:id="rId183" xr:uid="{5B57FE5F-21D3-47AB-9E59-7634E2B96A7E}"/>
    <hyperlink ref="A87" r:id="rId184" xr:uid="{3DD45903-EE1D-4A2E-B806-EA290218BA1A}"/>
    <hyperlink ref="A86" r:id="rId185" xr:uid="{01A4A783-B5D9-471F-9F39-D94299411B83}"/>
    <hyperlink ref="A85" r:id="rId186" xr:uid="{CB33D8C5-F3C7-455F-B889-B9B9BB524FBA}"/>
    <hyperlink ref="A84" r:id="rId187" xr:uid="{0FD52268-7DBF-46AD-863F-EDA2C0443691}"/>
    <hyperlink ref="A83" r:id="rId188" xr:uid="{36D765F8-6DAE-4938-A7F4-2AD844642526}"/>
    <hyperlink ref="A82" r:id="rId189" xr:uid="{4C9664DA-C5AB-4962-9931-E1BAC22E3D5D}"/>
    <hyperlink ref="A81" r:id="rId190" xr:uid="{FE9FB97F-C75B-49EC-8E3B-0B85363FF120}"/>
    <hyperlink ref="A80" r:id="rId191" xr:uid="{CC176836-320E-4EAF-808E-5B579992DE4F}"/>
    <hyperlink ref="A79" r:id="rId192" xr:uid="{AB861F15-5F79-4B11-93C4-AED9F3C2E500}"/>
    <hyperlink ref="A78" r:id="rId193" xr:uid="{63CECC1B-EF8F-419A-A9EB-47EB0B502733}"/>
    <hyperlink ref="A77" r:id="rId194" xr:uid="{1ED44FBF-5B78-4824-8035-163C375BF5F9}"/>
    <hyperlink ref="A76" r:id="rId195" xr:uid="{20081C05-8966-4C3E-B6BE-D02AC054468D}"/>
    <hyperlink ref="A75" r:id="rId196" xr:uid="{7A19D22A-B174-4111-B844-9B9FD7C5B1F2}"/>
    <hyperlink ref="A73" r:id="rId197" xr:uid="{67FCE1D0-797D-466B-A1BE-E4C36E4734E1}"/>
    <hyperlink ref="A74" r:id="rId198" xr:uid="{01D9D0F2-9ACB-4FDF-8D1C-1D9316C04A66}"/>
    <hyperlink ref="A72" r:id="rId199" xr:uid="{D91AAABF-3350-413C-B884-283A9AB28E95}"/>
    <hyperlink ref="A71" r:id="rId200" xr:uid="{1FC740B2-AB89-46F5-9713-33689E390894}"/>
    <hyperlink ref="A70" r:id="rId201" xr:uid="{2F697725-34FA-4CCB-A2B5-F101B2124A9F}"/>
    <hyperlink ref="A69" r:id="rId202" xr:uid="{6A5A2391-651C-4BBC-BCF2-A003F29E0311}"/>
    <hyperlink ref="A148" r:id="rId203" xr:uid="{13B6204C-46E9-44FB-A4DA-91524CEA5568}"/>
    <hyperlink ref="A68" r:id="rId204" xr:uid="{413CD568-AF18-4393-B367-7ABFE016A223}"/>
    <hyperlink ref="A67" r:id="rId205" xr:uid="{32D1AEEE-010F-4C41-A531-62D95EF07022}"/>
    <hyperlink ref="A66" r:id="rId206" xr:uid="{A0DFACDD-5E8E-4A09-8915-5D2CEDDE9946}"/>
    <hyperlink ref="A65" r:id="rId207" xr:uid="{A4CF18D8-BBE9-41C7-A520-36920707C611}"/>
    <hyperlink ref="A64" r:id="rId208" xr:uid="{F111648A-5082-41E4-AF8B-614F4986773E}"/>
    <hyperlink ref="A63" r:id="rId209" xr:uid="{27726FA1-9992-46BB-8E57-E628F9F17A37}"/>
    <hyperlink ref="A62" r:id="rId210" xr:uid="{4EBA7683-3BE0-49E6-AD28-DE93082F230B}"/>
    <hyperlink ref="A61" r:id="rId211" xr:uid="{F99AF331-95D6-42A9-9A77-B8D8212EC80A}"/>
    <hyperlink ref="A60" r:id="rId212" xr:uid="{77878748-B269-47F5-9C39-00F52FE9EB32}"/>
    <hyperlink ref="A59" r:id="rId213" xr:uid="{5D58DDAA-ED9E-4FC4-97B4-595718B5C9F3}"/>
    <hyperlink ref="A58" r:id="rId214" xr:uid="{AF142E1A-9E69-430C-B5C0-166E06CE1BB7}"/>
    <hyperlink ref="A57" r:id="rId215" xr:uid="{56552E8D-F359-4453-B746-8D6CA057623E}"/>
    <hyperlink ref="A56" r:id="rId216" xr:uid="{84187004-E4B1-49F7-B3ED-3AC219BE7355}"/>
    <hyperlink ref="A55" r:id="rId217" xr:uid="{F815CAE0-49F6-441D-A386-1483D4393FFF}"/>
    <hyperlink ref="A54" r:id="rId218" xr:uid="{8313EA46-D557-4B0A-9237-3DA669B3C96C}"/>
    <hyperlink ref="A53" r:id="rId219" xr:uid="{EB6452F6-9B7E-4D97-8DBC-EED94ACEC2A5}"/>
    <hyperlink ref="A52" r:id="rId220" xr:uid="{1454CBCB-806C-4CC7-8D4B-223E0E0DAF27}"/>
    <hyperlink ref="A51" r:id="rId221" xr:uid="{90C776B2-750E-4C42-843C-4DA99815C41F}"/>
    <hyperlink ref="A50" r:id="rId222" xr:uid="{C7452E80-8CA0-4411-9502-FB3C95BCFAE6}"/>
    <hyperlink ref="A49" r:id="rId223" xr:uid="{9268C606-2A21-45B4-8EA6-D5AF902615B9}"/>
    <hyperlink ref="A48" r:id="rId224" xr:uid="{DC5B6532-1B16-4F6D-91CC-1F6264C47287}"/>
    <hyperlink ref="A47" r:id="rId225" xr:uid="{79B6A62B-9CC6-4FB2-8281-8810708CD029}"/>
    <hyperlink ref="A46" r:id="rId226" xr:uid="{B6AE546A-7ABE-4479-949B-51FCE0513541}"/>
    <hyperlink ref="A45" r:id="rId227" xr:uid="{BDA9B805-C647-4AA3-9D00-EF98741FFF32}"/>
    <hyperlink ref="A44" r:id="rId228" xr:uid="{A3049BEC-0B2E-4CBC-94C8-7FC7C977B739}"/>
    <hyperlink ref="A43" r:id="rId229" xr:uid="{2CFD5D17-CC8C-4A2C-B996-B3A13909DAE7}"/>
    <hyperlink ref="A42" r:id="rId230" xr:uid="{3F952156-F893-464F-AB22-919FB720ED9F}"/>
    <hyperlink ref="A41" r:id="rId231" xr:uid="{C2E9761E-0707-408E-8955-ECCF40485B01}"/>
    <hyperlink ref="A40" r:id="rId232" xr:uid="{DC1288CE-532C-4E7B-BA56-3724FD7F07C0}"/>
    <hyperlink ref="A39" r:id="rId233" xr:uid="{0A8FB137-42FD-4BCA-B973-DA3D031B49DF}"/>
    <hyperlink ref="A38" r:id="rId234" xr:uid="{B303927F-30EB-4971-AFA2-8DF3E02B207E}"/>
    <hyperlink ref="A37" r:id="rId235" xr:uid="{4A6857E2-A4AE-484F-B821-2CF60FD6A575}"/>
    <hyperlink ref="A36" r:id="rId236" xr:uid="{F28D46DC-C956-4E32-8F6D-66A52C468438}"/>
    <hyperlink ref="A35" r:id="rId237" xr:uid="{29170172-0EB0-4C34-863E-D7D79688153F}"/>
    <hyperlink ref="A34" r:id="rId238" xr:uid="{76BEF5B7-A143-4F80-A68C-F217514C3720}"/>
    <hyperlink ref="A33" r:id="rId239" xr:uid="{BED77B14-1993-49C0-9B11-210899739B3F}"/>
    <hyperlink ref="A32" r:id="rId240" xr:uid="{31646B07-95DB-4FBD-926A-9F335050C3FD}"/>
    <hyperlink ref="A31" r:id="rId241" xr:uid="{3FC17833-7E24-4D2C-869D-D94EAAA8EE1A}"/>
    <hyperlink ref="A30" r:id="rId242" xr:uid="{650D0EAC-2E79-44B4-A4F2-E40F83383391}"/>
    <hyperlink ref="A29" r:id="rId243" xr:uid="{707143FD-7FB5-4E69-AA6B-45DCC21A9668}"/>
    <hyperlink ref="A28" r:id="rId244" xr:uid="{EBEE872F-1430-4ECA-BA0E-1606D6D6850E}"/>
    <hyperlink ref="A27" r:id="rId245" xr:uid="{008122F5-A28A-491A-95C4-B507566F5CD4}"/>
    <hyperlink ref="A26" r:id="rId246" xr:uid="{E41EA1F6-F70B-4ABF-8D4B-26C5D7A710BE}"/>
    <hyperlink ref="A25" r:id="rId247" xr:uid="{817F9A38-104E-4C58-8B65-C4621BF73B2F}"/>
    <hyperlink ref="A24" r:id="rId248" xr:uid="{EB2233FB-F83E-4278-803A-68537B7CE5FE}"/>
    <hyperlink ref="A23" r:id="rId249" xr:uid="{9A2FF485-1688-419B-99A9-994A7C4E0E14}"/>
    <hyperlink ref="A22" r:id="rId250" xr:uid="{995F3E9E-F65D-4BBC-B561-A770C9C67BEC}"/>
    <hyperlink ref="A21" r:id="rId251" xr:uid="{114A77A9-9BFA-43C8-8958-8FBC57F53919}"/>
    <hyperlink ref="A20" r:id="rId252" xr:uid="{7FD2C686-A0B5-493B-87C5-82FC20CE0B7A}"/>
    <hyperlink ref="A19" r:id="rId253" xr:uid="{4FA36A1D-02F9-4A97-AC43-6B3F93038DCB}"/>
    <hyperlink ref="A18" r:id="rId254" xr:uid="{825CCF3C-65C6-432D-8A4D-B5A01789697A}"/>
    <hyperlink ref="A17" r:id="rId255" xr:uid="{FC9C668C-8DD1-4834-B6B8-BE6025DF0F8C}"/>
    <hyperlink ref="A16" r:id="rId256" xr:uid="{E159AA5B-C20B-42F2-BC07-D4F595572337}"/>
    <hyperlink ref="A15" r:id="rId257" xr:uid="{C306478D-E191-49A4-B661-C7D99F862ACB}"/>
    <hyperlink ref="A14" r:id="rId258" xr:uid="{7F7AA2E6-64D5-435A-B4D5-BE05E74B4D3E}"/>
    <hyperlink ref="A13" r:id="rId259" xr:uid="{F2FA1C88-6C3D-40AE-A267-68C7055C8517}"/>
    <hyperlink ref="A12" r:id="rId260" xr:uid="{E040CFCA-D1BF-4FBA-B304-2FDA80247B24}"/>
    <hyperlink ref="A11" r:id="rId261" xr:uid="{DAB434CE-9638-43C8-B84D-F92866541186}"/>
    <hyperlink ref="A10" r:id="rId262" xr:uid="{E2DA990D-D307-4A52-BC0D-D1378A6AA790}"/>
    <hyperlink ref="A9" r:id="rId263" xr:uid="{36102A3A-8E39-4092-90E6-BDFED6389802}"/>
    <hyperlink ref="A8" r:id="rId264" xr:uid="{7E59AFB8-969B-46E9-A76C-C86338804EF0}"/>
    <hyperlink ref="A7" r:id="rId265" xr:uid="{C70813E8-543F-4BFB-8EB1-786AAF3E872F}"/>
    <hyperlink ref="A6" r:id="rId266" xr:uid="{0C9A60B5-B7E0-418B-A35E-BCD112CC1EFD}"/>
    <hyperlink ref="A5" r:id="rId267" xr:uid="{5038ECFF-4128-4BD2-AC40-C7869E1ED94E}"/>
    <hyperlink ref="A4" r:id="rId268" xr:uid="{C5AA09C0-9820-4E4A-BDD1-9A6A2EEA9ACD}"/>
    <hyperlink ref="A3" r:id="rId269" xr:uid="{E350151B-0F14-4EC3-A376-071AE36C3DB1}"/>
    <hyperlink ref="A2" r:id="rId270" xr:uid="{5E955886-537F-4D84-86B0-088FF811F26F}"/>
    <hyperlink ref="A681" r:id="rId271" xr:uid="{38C39496-5C4B-41DA-B7A2-4BAA62F04B22}"/>
    <hyperlink ref="A680" r:id="rId272" xr:uid="{06FB5FA1-1158-4356-B31E-A5705A1FFEB1}"/>
    <hyperlink ref="A679" r:id="rId273" xr:uid="{23216DD1-B284-4063-A5D6-8AFA67351EEA}"/>
    <hyperlink ref="A678" r:id="rId274" xr:uid="{F521B18B-496F-46EE-B008-030DB4363FAE}"/>
    <hyperlink ref="A677" r:id="rId275" xr:uid="{2774BE07-7D8C-4F39-9ECC-AB4050917EBE}"/>
    <hyperlink ref="A676" r:id="rId276" xr:uid="{B42505D3-0D2D-48EC-9025-4548C64E0A88}"/>
    <hyperlink ref="A675" r:id="rId277" xr:uid="{9270935E-1334-45CD-A8AA-C1C802DD29C0}"/>
    <hyperlink ref="A674" r:id="rId278" xr:uid="{9B255644-675B-40AD-93AE-7DA037EF0654}"/>
    <hyperlink ref="A673" r:id="rId279" xr:uid="{63DF3BA5-CDA1-46B6-804C-48D96565AD1C}"/>
    <hyperlink ref="A672" r:id="rId280" xr:uid="{043C9983-365B-4DDD-BE65-E696BC5FD035}"/>
    <hyperlink ref="A671" r:id="rId281" xr:uid="{EB0E74D4-A687-4288-A7EF-938CEF8D38AC}"/>
    <hyperlink ref="A670" r:id="rId282" xr:uid="{17202131-1D7F-4459-93B5-C26AD1AF92B2}"/>
    <hyperlink ref="A669" r:id="rId283" xr:uid="{15F474F0-5703-4759-AF1D-E14AAC97F405}"/>
    <hyperlink ref="A668" r:id="rId284" xr:uid="{7FE1CF4B-07D6-4275-AC0E-E130C00C156D}"/>
    <hyperlink ref="A667" r:id="rId285" xr:uid="{890ACEB2-C3CC-44FE-968E-16F83FB21CEE}"/>
    <hyperlink ref="A666" r:id="rId286" xr:uid="{CF4DDE77-3675-4AED-B976-BA3A64B483CC}"/>
    <hyperlink ref="A665" r:id="rId287" xr:uid="{5F85D31B-6F51-40A3-8A17-81AD87EAD0FD}"/>
    <hyperlink ref="A664" r:id="rId288" xr:uid="{14C73F3E-C9B1-496D-AF58-4C55FF6D8F7B}"/>
    <hyperlink ref="A663" r:id="rId289" xr:uid="{16225A24-CD5E-4F4B-9316-CCFAE721A543}"/>
    <hyperlink ref="A662" r:id="rId290" xr:uid="{05B7FBC0-9F69-4A70-9EF3-D84EF529D222}"/>
    <hyperlink ref="A661" r:id="rId291" xr:uid="{6B308288-4A33-4E20-BC1D-D2A2FD976AFC}"/>
    <hyperlink ref="A660" r:id="rId292" xr:uid="{7386BB14-7712-4C64-817F-D870D69A3233}"/>
    <hyperlink ref="A659" r:id="rId293" xr:uid="{61C0C01F-4344-4FBC-A013-1FFEECCF2264}"/>
    <hyperlink ref="A658" r:id="rId294" xr:uid="{4BC560D8-E04E-4453-8F7C-F103339FF2B7}"/>
    <hyperlink ref="A657" r:id="rId295" xr:uid="{4EBDC927-6BD5-46EA-8F77-544F96F2EB53}"/>
    <hyperlink ref="A656" r:id="rId296" xr:uid="{1A4C9369-1168-44C7-87B7-FDA284EB469C}"/>
    <hyperlink ref="A655" r:id="rId297" xr:uid="{4CD36EAD-7669-4F1A-AD5E-6C87E98375BE}"/>
    <hyperlink ref="A654" r:id="rId298" xr:uid="{0B24828E-1C94-4559-8C7F-250E5E6310EE}"/>
    <hyperlink ref="A653" r:id="rId299" xr:uid="{EF7293E0-F13D-4ACC-AB55-00789EB81C99}"/>
    <hyperlink ref="A652" r:id="rId300" xr:uid="{15D5D381-2345-41D0-9C54-A1A5BE4ABDE8}"/>
    <hyperlink ref="A651" r:id="rId301" xr:uid="{F7F7CA17-7064-469E-9BBF-4E2C9943002D}"/>
    <hyperlink ref="A650" r:id="rId302" xr:uid="{C35B2E5B-A935-453E-BA15-622172F20DE6}"/>
    <hyperlink ref="A649" r:id="rId303" xr:uid="{69AF201F-F25F-4084-86F0-08AD0DD6008A}"/>
    <hyperlink ref="A648" r:id="rId304" xr:uid="{DABA9760-A49F-4655-BB1C-7D74E855127A}"/>
    <hyperlink ref="A647" r:id="rId305" xr:uid="{4E54CBC5-66FB-4DE4-9205-56142C90B641}"/>
    <hyperlink ref="A646" r:id="rId306" xr:uid="{6B9D74E7-8FCE-4855-885A-7063DD4B4E39}"/>
    <hyperlink ref="A645" r:id="rId307" xr:uid="{6A57F862-5A95-4E2F-812A-CD854897E7F6}"/>
    <hyperlink ref="A644" r:id="rId308" xr:uid="{F7D41D30-F1EF-49EF-8E82-82BBAEED36C5}"/>
    <hyperlink ref="A643" r:id="rId309" xr:uid="{99D24F6E-081E-4498-A4F6-635D8439C774}"/>
    <hyperlink ref="A642" r:id="rId310" xr:uid="{E57190E0-0DBA-478F-A57A-A103B8024FB9}"/>
    <hyperlink ref="A641" r:id="rId311" xr:uid="{7BDCC611-68C5-4DFE-B06A-FA496A524D30}"/>
    <hyperlink ref="A640" r:id="rId312" xr:uid="{7F6A6B67-0B48-4E2E-A9C0-2602F8CE1E0D}"/>
    <hyperlink ref="A639" r:id="rId313" xr:uid="{1AADD394-ECE4-477F-A490-B8D721016355}"/>
    <hyperlink ref="A638" r:id="rId314" xr:uid="{B0B1D807-EF65-400F-B6B7-E92215244ACE}"/>
    <hyperlink ref="A637" r:id="rId315" xr:uid="{41B964B6-D01D-4F49-9B6C-7AD552A4E75D}"/>
    <hyperlink ref="A636" r:id="rId316" xr:uid="{173A20E5-D8F8-485B-91F8-31ACC25BEA41}"/>
    <hyperlink ref="A634" r:id="rId317" xr:uid="{4CF8AC23-0541-4469-9110-8BF7F19E9E2F}"/>
    <hyperlink ref="A635" r:id="rId318" xr:uid="{FEEDBD4A-9AB1-4007-9A4E-04D31BE88A7D}"/>
    <hyperlink ref="A633" r:id="rId319" xr:uid="{E6C9C2A4-B258-4146-A8B9-374D529F1234}"/>
    <hyperlink ref="A632" r:id="rId320" xr:uid="{F7500C87-BA91-45B3-8143-2DCFEC43DD86}"/>
    <hyperlink ref="A631" r:id="rId321" xr:uid="{87E6F466-A472-488D-AC69-64E995571DA7}"/>
    <hyperlink ref="A630" r:id="rId322" xr:uid="{669A786C-4882-469B-B707-E10C268A76AF}"/>
    <hyperlink ref="A629" r:id="rId323" xr:uid="{D5F91BF1-28EB-4F9B-9DF3-FCA56EC22F00}"/>
    <hyperlink ref="A628" r:id="rId324" xr:uid="{4FFFC3DC-7D7A-4D40-A219-1E99977377C0}"/>
    <hyperlink ref="A627" r:id="rId325" xr:uid="{B8C5FB90-CC52-4F52-B358-C7E5BBF736E7}"/>
    <hyperlink ref="A626" r:id="rId326" xr:uid="{EC9132D2-0802-4418-9391-97C487A19F72}"/>
    <hyperlink ref="A625" r:id="rId327" xr:uid="{F7134A86-4268-4027-8B08-FF4C0A095EF7}"/>
    <hyperlink ref="A624" r:id="rId328" xr:uid="{54707D3C-A64E-40FE-8049-6DEFF0324807}"/>
    <hyperlink ref="A623" r:id="rId329" xr:uid="{FBDA3117-6630-4926-8724-8B82FECAA26E}"/>
    <hyperlink ref="A622" r:id="rId330" xr:uid="{BA2B8614-B139-453D-A27C-6C440840F1DA}"/>
    <hyperlink ref="A831" r:id="rId331" xr:uid="{06872B10-BFBA-46E8-89AF-06B3A413EC41}"/>
    <hyperlink ref="A830" r:id="rId332" xr:uid="{0FF46860-36D8-4BD9-8E63-C09A76FE62EB}"/>
    <hyperlink ref="A829" r:id="rId333" xr:uid="{44A9E79A-15FB-429E-857B-BFF298459A29}"/>
    <hyperlink ref="A828" r:id="rId334" xr:uid="{D592AF11-B722-4961-8A4C-6245F4EAAC43}"/>
    <hyperlink ref="A827" r:id="rId335" xr:uid="{F1CC7B26-3DB6-41C8-8D83-26BA8A0077E4}"/>
    <hyperlink ref="A826" r:id="rId336" xr:uid="{85C4AF1B-755B-43A2-ACBB-2B416B36F301}"/>
    <hyperlink ref="A825" r:id="rId337" xr:uid="{FD5D5D1F-F2AF-4421-BBF7-84F55FAB1D15}"/>
    <hyperlink ref="A824" r:id="rId338" xr:uid="{F4C234F4-D4CC-49D0-A2CE-8332C3FD647F}"/>
    <hyperlink ref="A823" r:id="rId339" xr:uid="{85444837-F2AE-4D01-B544-FE56936297ED}"/>
    <hyperlink ref="A822" r:id="rId340" xr:uid="{85D9CBFF-EA85-4F07-BF06-EA4059C866D1}"/>
    <hyperlink ref="A821" r:id="rId341" xr:uid="{AABD634C-AB51-488A-860B-172E5D892F8C}"/>
    <hyperlink ref="A820" r:id="rId342" xr:uid="{0049AF3F-0CFE-4110-93C9-0382C47BF3C3}"/>
    <hyperlink ref="A819" r:id="rId343" xr:uid="{42DAA5AC-49E2-4A4F-9B6A-48171BC847AB}"/>
    <hyperlink ref="A818" r:id="rId344" xr:uid="{BD18723D-884D-47D6-B0A4-80B969A959A8}"/>
    <hyperlink ref="A817" r:id="rId345" xr:uid="{9603F420-B74C-40B3-9017-C27A243CCF50}"/>
    <hyperlink ref="A816" r:id="rId346" xr:uid="{B7717FE4-2891-4133-9701-F3D48F4C090F}"/>
    <hyperlink ref="A815" r:id="rId347" xr:uid="{5EEC9892-415A-4836-B227-99F6D14F04FC}"/>
    <hyperlink ref="A814" r:id="rId348" xr:uid="{7BBAA253-767E-4BB6-B2A0-2CAA14DDBEB7}"/>
    <hyperlink ref="A813" r:id="rId349" xr:uid="{BA244849-72C7-42A3-9DF5-0FB820EC39D3}"/>
    <hyperlink ref="A812" r:id="rId350" xr:uid="{459629A5-5FD1-4B11-BA40-77EFFC700A7A}"/>
    <hyperlink ref="A811" r:id="rId351" xr:uid="{AA5A8E45-B719-439C-8457-1CF24CBB9AF8}"/>
    <hyperlink ref="A810" r:id="rId352" xr:uid="{8A2B6F24-0D2A-4210-ACA5-D64C1126DEBF}"/>
    <hyperlink ref="A809" r:id="rId353" xr:uid="{ACCE1CD6-01EE-411D-852C-6F0E49567822}"/>
    <hyperlink ref="A808" r:id="rId354" xr:uid="{E178953D-FEA0-4745-AE77-6BDE78CC22EE}"/>
    <hyperlink ref="A807" r:id="rId355" xr:uid="{41CA104E-036E-4B77-88EF-DD7452CBE75A}"/>
    <hyperlink ref="A806" r:id="rId356" xr:uid="{160A2623-B060-40EE-9ABA-B72593BBBB72}"/>
    <hyperlink ref="A805" r:id="rId357" xr:uid="{75CDD158-53CC-4F2F-876A-A8088BB627E2}"/>
    <hyperlink ref="A804" r:id="rId358" xr:uid="{F4317F2E-DF74-4471-B41F-74F6C63A882C}"/>
    <hyperlink ref="A803" r:id="rId359" xr:uid="{C768F38B-0535-462E-8CCB-39F732213193}"/>
    <hyperlink ref="A802" r:id="rId360" xr:uid="{2E3B1C16-AAA7-44C0-BB89-591F426AF61A}"/>
    <hyperlink ref="A801" r:id="rId361" xr:uid="{082F4997-AE52-4D5E-AD2D-7065DC41D0FD}"/>
    <hyperlink ref="A800" r:id="rId362" xr:uid="{1C1A528D-5B50-4551-8811-A06AC9B6BEC1}"/>
    <hyperlink ref="A799" r:id="rId363" xr:uid="{AEC5987B-5C3C-4017-A9CB-1552250B1F61}"/>
    <hyperlink ref="A798" r:id="rId364" xr:uid="{327F8E0E-F3BA-41F6-B0A4-2E2271999130}"/>
    <hyperlink ref="A797" r:id="rId365" xr:uid="{3E344CB8-E890-4838-B274-12CC2A323BD7}"/>
    <hyperlink ref="A796" r:id="rId366" xr:uid="{3E7EDF91-2EB6-44C2-9059-F6872FD37C9C}"/>
    <hyperlink ref="A795" r:id="rId367" xr:uid="{667ED6BD-DA1A-4742-9B9B-82AFBC2DF3FD}"/>
    <hyperlink ref="A794" r:id="rId368" xr:uid="{233771CF-01B6-4F1B-A728-572666A94C7D}"/>
    <hyperlink ref="A793" r:id="rId369" xr:uid="{1291C06E-6A90-45D1-833D-DE82DA94F9F1}"/>
    <hyperlink ref="A792" r:id="rId370" xr:uid="{F61A6C55-4176-4263-B4FC-3CD31B4A77F5}"/>
    <hyperlink ref="A791" r:id="rId371" xr:uid="{BE5D3718-E8DA-42EE-98D4-621A88F9AB31}"/>
    <hyperlink ref="A790" r:id="rId372" xr:uid="{50B4EC61-D7C6-4B89-8C20-0AC81EE1D624}"/>
    <hyperlink ref="A789" r:id="rId373" xr:uid="{1A7C79BF-0735-4268-91E4-EC63B741FB4A}"/>
    <hyperlink ref="A788" r:id="rId374" xr:uid="{ECFD6DEA-6151-4E37-91F2-A995496CEE0B}"/>
    <hyperlink ref="A787" r:id="rId375" xr:uid="{6592DBA9-D604-43DB-A171-1B0FD051FB15}"/>
    <hyperlink ref="A786" r:id="rId376" xr:uid="{4FC493E6-4C5E-4623-A747-C8D5179FE302}"/>
    <hyperlink ref="A785" r:id="rId377" xr:uid="{10296354-03D8-400B-B26E-FCC5B94DE0A2}"/>
    <hyperlink ref="A784" r:id="rId378" xr:uid="{EE5EF6CC-9BD3-4CF3-9C95-0D7D5091F7E3}"/>
    <hyperlink ref="A783" r:id="rId379" xr:uid="{E98DA7FF-AAAA-4DA0-8E8A-5A455B83AC7A}"/>
    <hyperlink ref="A782" r:id="rId380" xr:uid="{D45D6ECD-CE4F-4F2C-82EB-1774CCB5EC00}"/>
    <hyperlink ref="A781" r:id="rId381" xr:uid="{D3465CF2-04A1-41F8-8643-495EC49DED60}"/>
    <hyperlink ref="A780" r:id="rId382" xr:uid="{808F3133-4DA8-405E-AA5C-9D60428B94BE}"/>
    <hyperlink ref="A779" r:id="rId383" xr:uid="{AE92EBBD-4B6D-4FDF-B8DE-B10B6101588E}"/>
    <hyperlink ref="A778" r:id="rId384" xr:uid="{D3E05017-9CD9-4D7B-874E-62DC5FBE9238}"/>
    <hyperlink ref="A777" r:id="rId385" xr:uid="{E6E1D766-E51B-4198-9043-90C92D497FA9}"/>
    <hyperlink ref="A776" r:id="rId386" xr:uid="{46A62D18-EA76-43C1-A98E-C4F6519B34AF}"/>
    <hyperlink ref="A775" r:id="rId387" xr:uid="{92015664-C512-430C-9B8B-5FE841F84D3A}"/>
    <hyperlink ref="A774" r:id="rId388" xr:uid="{0E64A451-04E0-49AA-BCC8-C80051A61B81}"/>
    <hyperlink ref="A773" r:id="rId389" xr:uid="{C348AE8D-1EBC-460A-BCB3-10AFD2F5D1E9}"/>
    <hyperlink ref="A772" r:id="rId390" xr:uid="{E70E4F50-015A-4E2A-B8DF-63B0F18B1ED4}"/>
    <hyperlink ref="A771" r:id="rId391" xr:uid="{5395263A-3CF2-4F05-B543-EB78B1974585}"/>
    <hyperlink ref="A770" r:id="rId392" xr:uid="{01FE10F3-D23E-48D1-9034-5B26DEC547BD}"/>
    <hyperlink ref="A769" r:id="rId393" xr:uid="{92BA959D-406F-47B7-B45F-D8C7E2D8ED7D}"/>
    <hyperlink ref="A768" r:id="rId394" xr:uid="{C0CF374F-BF27-4202-A806-F052ABF1D194}"/>
    <hyperlink ref="A767" r:id="rId395" xr:uid="{240B515B-38F0-4D5B-8E96-B8E4EE369FC8}"/>
    <hyperlink ref="A766" r:id="rId396" xr:uid="{1A8E8CAF-7ECE-409C-B824-D869F2444526}"/>
    <hyperlink ref="A765" r:id="rId397" xr:uid="{5AE16F59-4184-4629-BFEA-513A6B01EAD5}"/>
    <hyperlink ref="A764" r:id="rId398" xr:uid="{C65B7E39-D505-4869-8D88-1175B32B5079}"/>
    <hyperlink ref="A763" r:id="rId399" xr:uid="{C51AF1D9-8D0C-46D0-A643-E2454FBED232}"/>
    <hyperlink ref="A762" r:id="rId400" xr:uid="{45C90C9B-73D4-4A60-8870-AE45614EC9FB}"/>
    <hyperlink ref="A761" r:id="rId401" xr:uid="{2200C331-957F-4295-8BB2-787D60D9A87E}"/>
    <hyperlink ref="A760" r:id="rId402" xr:uid="{72EB5A82-D87A-4334-A443-34E4332A91D8}"/>
    <hyperlink ref="A759" r:id="rId403" xr:uid="{5C03B886-368A-47BA-BBAB-2FF422E5F978}"/>
    <hyperlink ref="A758" r:id="rId404" xr:uid="{A0C55A8E-2100-4D8E-B1A6-44C57A626E1D}"/>
    <hyperlink ref="A757" r:id="rId405" xr:uid="{316A437D-F756-4AA2-81A6-D71703BDB5AF}"/>
    <hyperlink ref="A756" r:id="rId406" xr:uid="{6A28EC71-091E-4EC5-9595-E9DDBA6731EC}"/>
    <hyperlink ref="A755" r:id="rId407" xr:uid="{014C46D7-ED9F-494A-B004-C7D30B24E4F5}"/>
    <hyperlink ref="A754" r:id="rId408" xr:uid="{3BD65F22-F938-41E0-BD92-8206350FA382}"/>
    <hyperlink ref="A753" r:id="rId409" xr:uid="{33CF336B-9154-4FBD-A03F-216EE28930BD}"/>
    <hyperlink ref="A752" r:id="rId410" xr:uid="{91E32001-6BA1-4CB1-B46A-20C502C9AFF3}"/>
    <hyperlink ref="A751" r:id="rId411" xr:uid="{546C46A3-26B5-4BED-B334-7051551B5F93}"/>
    <hyperlink ref="A750" r:id="rId412" xr:uid="{1F25A4C9-C41C-4710-9EC5-B4DE95600227}"/>
    <hyperlink ref="A749" r:id="rId413" xr:uid="{4D1D331B-AA12-4188-990B-BAC736757F32}"/>
    <hyperlink ref="A748" r:id="rId414" xr:uid="{825882BF-201D-41A4-96CF-CF4319C61C67}"/>
    <hyperlink ref="A747" r:id="rId415" xr:uid="{E27F42E1-290E-4A65-A11F-4B58051BFEA7}"/>
    <hyperlink ref="A746" r:id="rId416" xr:uid="{8660B547-8293-4B1F-89B5-7318D6EF3603}"/>
    <hyperlink ref="A745" r:id="rId417" xr:uid="{FBB486C4-C5C6-421D-8440-467FD9C989B1}"/>
    <hyperlink ref="A744" r:id="rId418" xr:uid="{5C7BBABA-6FB3-4421-ADDC-CCF4FD3F2BC2}"/>
    <hyperlink ref="A743" r:id="rId419" xr:uid="{F9F85F0B-E6C6-480B-BB38-1BB1273726FE}"/>
    <hyperlink ref="A742" r:id="rId420" xr:uid="{CA411670-2DC3-4A45-98BE-DCAC3587B36F}"/>
    <hyperlink ref="A741" r:id="rId421" xr:uid="{B3B25CB9-36AA-43C1-9EEB-50CE0E458F83}"/>
    <hyperlink ref="A740" r:id="rId422" xr:uid="{B9074F3F-B4C6-4584-B73E-B98F274BDD84}"/>
    <hyperlink ref="A739" r:id="rId423" xr:uid="{B929F279-29E2-44F4-874F-F61AA589DC7C}"/>
    <hyperlink ref="A738" r:id="rId424" xr:uid="{03D7FCD3-5628-4A2D-943F-E86B1559D9F7}"/>
    <hyperlink ref="A1002" r:id="rId425" xr:uid="{39ACBC79-E58C-4E3E-ABE1-74D3805E2396}"/>
    <hyperlink ref="A1001" r:id="rId426" xr:uid="{D0E3CA39-CE3E-4A2E-A1A0-805E76A00702}"/>
    <hyperlink ref="A1000" r:id="rId427" xr:uid="{6019F588-8E95-4BAE-A3FA-219BC9E65A59}"/>
    <hyperlink ref="A999" r:id="rId428" xr:uid="{7D688131-733D-41D9-9B1A-5BA7C1FF99E4}"/>
    <hyperlink ref="A998" r:id="rId429" xr:uid="{15CACAAD-8EBE-4DCB-900A-257F924FC4AF}"/>
    <hyperlink ref="A997" r:id="rId430" xr:uid="{ABE0787F-DF4B-4A8C-B777-4C0C4C6F0196}"/>
    <hyperlink ref="A996" r:id="rId431" xr:uid="{C0BEB480-3DA6-4E65-9CB7-9E16D1E73F32}"/>
    <hyperlink ref="A995" r:id="rId432" xr:uid="{55778421-FA74-4775-B8F6-D1E512DBC13A}"/>
    <hyperlink ref="A994" r:id="rId433" xr:uid="{E1277FDB-CBBB-4CD2-BCF6-84FA5B99879B}"/>
    <hyperlink ref="A993" r:id="rId434" xr:uid="{8EAB0587-CFDF-40F8-A1E3-F044F7E79E41}"/>
    <hyperlink ref="A992" r:id="rId435" xr:uid="{E79863C4-D58D-48BF-B07E-929B38E7C305}"/>
    <hyperlink ref="A991" r:id="rId436" xr:uid="{A51B0D26-8835-403B-BE64-AC9867F8A706}"/>
    <hyperlink ref="A989" r:id="rId437" xr:uid="{D57F65D9-E06B-437F-A163-1405461464DE}"/>
    <hyperlink ref="A990" r:id="rId438" xr:uid="{0C11BC38-4E20-426A-B6E3-27DA0102FAC3}"/>
    <hyperlink ref="A988" r:id="rId439" xr:uid="{788CC091-88F6-494C-8F2E-795A3AF19494}"/>
    <hyperlink ref="A987" r:id="rId440" xr:uid="{B459BD0C-451D-4556-9E94-712CE3FEE83B}"/>
    <hyperlink ref="A986" r:id="rId441" xr:uid="{91BDF27D-EDC3-442B-A188-417B946AC7EF}"/>
    <hyperlink ref="A985" r:id="rId442" xr:uid="{18285663-8234-4533-BF47-E82FFD98D825}"/>
    <hyperlink ref="A984" r:id="rId443" xr:uid="{CF189921-3BDE-4C06-8B6E-0B1227D1191A}"/>
    <hyperlink ref="A983" r:id="rId444" xr:uid="{40AFEF9E-9FC1-4755-A4B8-DE052F457EFE}"/>
    <hyperlink ref="A982" r:id="rId445" xr:uid="{7B5889E0-8302-482A-B33A-F646E6351B73}"/>
    <hyperlink ref="A981" r:id="rId446" xr:uid="{26ACD380-B02C-496E-8084-B559B4DB2D12}"/>
    <hyperlink ref="A980" r:id="rId447" xr:uid="{EA3577D3-605A-441E-8E4F-0440E7F5427B}"/>
    <hyperlink ref="A979" r:id="rId448" xr:uid="{3B3C5DA5-CAA0-4CF5-8AF4-4FEED4B462DC}"/>
    <hyperlink ref="A978" r:id="rId449" xr:uid="{0117E34B-C470-49D3-BA2B-F94E353B933A}"/>
    <hyperlink ref="A977" r:id="rId450" xr:uid="{32D0B565-E534-456A-A90C-AF4F3E5E1A3B}"/>
    <hyperlink ref="A976" r:id="rId451" xr:uid="{EB5EE6C2-3EFF-40AD-AEF3-5C1CC70D044B}"/>
    <hyperlink ref="A975" r:id="rId452" xr:uid="{5F40846E-A8EA-4D02-9ED9-292216C8580A}"/>
    <hyperlink ref="A974" r:id="rId453" xr:uid="{0DCBBE6F-B0D8-4E71-BC19-29C12FED9580}"/>
    <hyperlink ref="A973" r:id="rId454" xr:uid="{7C767AA6-0457-4130-8E34-11FE2D014FA0}"/>
    <hyperlink ref="A972" r:id="rId455" xr:uid="{2DACD37F-6FB2-4C9C-9D6C-9961A70EC990}"/>
    <hyperlink ref="A971" r:id="rId456" xr:uid="{D1AF12F4-C911-4871-8B97-D6704A276BD9}"/>
    <hyperlink ref="A970" r:id="rId457" xr:uid="{C84F6A28-DAF2-474A-9532-F49874B088A2}"/>
    <hyperlink ref="A969" r:id="rId458" xr:uid="{42611924-5696-4A19-9264-B6A57BA90ABE}"/>
    <hyperlink ref="A968" r:id="rId459" xr:uid="{3FC64AE7-8C75-4E65-AFD5-0D920C868EE8}"/>
    <hyperlink ref="A967" r:id="rId460" xr:uid="{5CD80CB9-A835-4EA4-AACD-4AB3AACB060A}"/>
    <hyperlink ref="A966" r:id="rId461" xr:uid="{EA1E215E-591E-40AD-AD3F-DA384D0BF112}"/>
    <hyperlink ref="A965" r:id="rId462" xr:uid="{2C67CF90-D1A6-49BB-B814-29ABB1CAABDC}"/>
    <hyperlink ref="A964" r:id="rId463" xr:uid="{63F2417E-4DB0-4744-9F72-2BD9263AE5D8}"/>
    <hyperlink ref="A963" r:id="rId464" xr:uid="{032371F0-C692-423D-BE3B-07BF6077E8BF}"/>
    <hyperlink ref="A962" r:id="rId465" xr:uid="{92008C9D-F29E-4736-AEC6-EDA29B688AA2}"/>
    <hyperlink ref="A961" r:id="rId466" xr:uid="{76BFE456-5569-4F36-9186-75BC074CCDDB}"/>
    <hyperlink ref="A960" r:id="rId467" xr:uid="{BD83CF4C-FCCD-4610-93BE-4C05C6CC2AFD}"/>
    <hyperlink ref="A959" r:id="rId468" xr:uid="{0BC5FD72-E9EC-4FEB-BEA4-3BD7C6D519AB}"/>
    <hyperlink ref="A958" r:id="rId469" xr:uid="{4D82B740-ACC3-403C-A04C-0A7CB8E56C87}"/>
    <hyperlink ref="A957" r:id="rId470" xr:uid="{BC97F094-423C-4F23-9F54-582E2F13F0C6}"/>
    <hyperlink ref="A956" r:id="rId471" xr:uid="{9009C1C1-EAD6-4D93-80E7-54B1D9B145A5}"/>
    <hyperlink ref="A955" r:id="rId472" xr:uid="{D0E9327F-58EB-499A-93CB-7B718F0C2D5E}"/>
    <hyperlink ref="A954" r:id="rId473" xr:uid="{36E61F35-26CE-452E-8EEB-E7877F2766C7}"/>
    <hyperlink ref="A953" r:id="rId474" xr:uid="{A4A7C10A-1B75-44C2-A16B-0D8607ADF3BD}"/>
    <hyperlink ref="A952" r:id="rId475" xr:uid="{947A5F33-176A-429B-ACBB-F8DEFF947C74}"/>
    <hyperlink ref="A951" r:id="rId476" xr:uid="{C090A93E-3240-4B0B-AFFD-43C003ACF6C6}"/>
    <hyperlink ref="A950" r:id="rId477" xr:uid="{C2A01A4F-0D76-4203-BA45-3428456D519C}"/>
    <hyperlink ref="A949" r:id="rId478" xr:uid="{042BA87A-41B4-467C-8EAD-3999B8A42FA4}"/>
    <hyperlink ref="A948" r:id="rId479" xr:uid="{A0E85C2F-88C9-4D2B-95C2-3CEFAFDCB652}"/>
    <hyperlink ref="A947" r:id="rId480" xr:uid="{F456F553-5EE8-41DD-B629-8C11C8EE079C}"/>
    <hyperlink ref="A946" r:id="rId481" xr:uid="{3074D640-2328-4CA5-84BF-1D88B90E838C}"/>
    <hyperlink ref="A945" r:id="rId482" xr:uid="{37FE16D5-59B9-42C9-8676-3BAEE3A49B88}"/>
    <hyperlink ref="A944" r:id="rId483" xr:uid="{86E1344F-F3FD-44C0-9430-D06D4646A8C4}"/>
    <hyperlink ref="A943" r:id="rId484" xr:uid="{97487428-6CB9-4D4C-98D8-2BAE7A19E247}"/>
    <hyperlink ref="A942" r:id="rId485" xr:uid="{618406D2-B930-43D7-BEEF-9ACB48864F46}"/>
    <hyperlink ref="A941" r:id="rId486" xr:uid="{4054BAD6-1497-438E-96E1-8473FC4BFA29}"/>
    <hyperlink ref="A940" r:id="rId487" xr:uid="{97F57C15-61BF-4708-B9F6-2A48E2A5949B}"/>
    <hyperlink ref="A939" r:id="rId488" xr:uid="{29982CA6-29F6-4B56-95FC-B911FB90BA09}"/>
  </hyperlinks>
  <pageMargins left="0.7" right="0.7" top="0.75" bottom="0.75" header="0.3" footer="0.3"/>
  <pageSetup orientation="portrait" r:id="rId48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6CFD-3C20-423E-A8BB-AF6044E87E44}">
  <dimension ref="A1:I30"/>
  <sheetViews>
    <sheetView tabSelected="1" topLeftCell="B1" workbookViewId="0">
      <pane ySplit="1" topLeftCell="A20" activePane="bottomLeft" state="frozen"/>
      <selection pane="bottomLeft" activeCell="C34" sqref="C34"/>
    </sheetView>
  </sheetViews>
  <sheetFormatPr defaultRowHeight="15" x14ac:dyDescent="0.25"/>
  <cols>
    <col min="1" max="2" width="19.85546875" customWidth="1"/>
    <col min="3" max="3" width="45.7109375" customWidth="1"/>
    <col min="4" max="4" width="19.85546875" style="54" customWidth="1"/>
    <col min="5" max="5" width="12.140625" style="54" customWidth="1"/>
    <col min="6" max="6" width="36.7109375" customWidth="1"/>
    <col min="7" max="7" width="19.85546875" customWidth="1"/>
    <col min="8" max="8" width="21.42578125" customWidth="1"/>
    <col min="9" max="9" width="18.140625" customWidth="1"/>
  </cols>
  <sheetData>
    <row r="1" spans="1:9" x14ac:dyDescent="0.25">
      <c r="A1" t="s">
        <v>5641</v>
      </c>
      <c r="B1" s="54" t="s">
        <v>9472</v>
      </c>
      <c r="C1" t="s">
        <v>9477</v>
      </c>
      <c r="D1" s="54" t="s">
        <v>9473</v>
      </c>
      <c r="E1" s="54" t="s">
        <v>9474</v>
      </c>
      <c r="F1" s="54" t="s">
        <v>9475</v>
      </c>
      <c r="G1" s="54" t="s">
        <v>9476</v>
      </c>
      <c r="H1" s="54" t="s">
        <v>9478</v>
      </c>
      <c r="I1" t="s">
        <v>9479</v>
      </c>
    </row>
    <row r="2" spans="1:9" x14ac:dyDescent="0.25">
      <c r="A2" s="58" t="s">
        <v>2099</v>
      </c>
      <c r="B2" s="55">
        <v>46146</v>
      </c>
      <c r="C2" t="s">
        <v>1041</v>
      </c>
      <c r="D2" s="55">
        <v>46151</v>
      </c>
      <c r="E2" s="54" t="s">
        <v>9483</v>
      </c>
      <c r="F2" s="57" t="s">
        <v>9484</v>
      </c>
      <c r="G2" s="55">
        <v>46151</v>
      </c>
      <c r="H2" s="54">
        <v>3</v>
      </c>
      <c r="I2" t="s">
        <v>9480</v>
      </c>
    </row>
    <row r="3" spans="1:9" x14ac:dyDescent="0.25">
      <c r="A3" s="58" t="s">
        <v>1877</v>
      </c>
      <c r="B3" s="55">
        <v>46153</v>
      </c>
      <c r="C3" t="s">
        <v>1878</v>
      </c>
      <c r="D3" s="55">
        <v>46154</v>
      </c>
      <c r="E3" s="54" t="s">
        <v>9483</v>
      </c>
      <c r="F3" s="56" t="s">
        <v>9486</v>
      </c>
      <c r="G3" s="55">
        <v>46156</v>
      </c>
      <c r="H3" s="54">
        <v>4</v>
      </c>
      <c r="I3" t="s">
        <v>9481</v>
      </c>
    </row>
    <row r="4" spans="1:9" x14ac:dyDescent="0.25">
      <c r="A4" s="58" t="s">
        <v>2105</v>
      </c>
      <c r="B4" s="55">
        <v>46157</v>
      </c>
      <c r="C4" t="s">
        <v>2106</v>
      </c>
      <c r="D4" s="55">
        <v>46158</v>
      </c>
      <c r="E4" s="54" t="s">
        <v>9483</v>
      </c>
      <c r="F4" s="56" t="s">
        <v>9485</v>
      </c>
      <c r="G4" s="55">
        <v>46158</v>
      </c>
      <c r="H4" s="54">
        <v>1</v>
      </c>
      <c r="I4" t="s">
        <v>9480</v>
      </c>
    </row>
    <row r="5" spans="1:9" x14ac:dyDescent="0.25">
      <c r="A5" s="58" t="s">
        <v>1715</v>
      </c>
      <c r="B5" s="55">
        <v>46160</v>
      </c>
      <c r="C5" t="s">
        <v>1716</v>
      </c>
      <c r="D5" s="55">
        <v>46161</v>
      </c>
      <c r="E5" s="54" t="s">
        <v>9483</v>
      </c>
      <c r="F5" s="56" t="s">
        <v>9487</v>
      </c>
      <c r="G5" s="55">
        <v>46171</v>
      </c>
      <c r="H5" s="54">
        <v>96</v>
      </c>
      <c r="I5" t="s">
        <v>9480</v>
      </c>
    </row>
    <row r="6" spans="1:9" x14ac:dyDescent="0.25">
      <c r="A6" s="58" t="s">
        <v>2164</v>
      </c>
      <c r="B6" s="55">
        <v>46161</v>
      </c>
      <c r="C6" t="s">
        <v>9482</v>
      </c>
      <c r="D6" s="55">
        <v>46161</v>
      </c>
      <c r="E6" s="54" t="s">
        <v>9483</v>
      </c>
      <c r="F6" s="56" t="s">
        <v>9488</v>
      </c>
      <c r="G6" s="55">
        <v>46174</v>
      </c>
      <c r="H6" s="54">
        <v>50</v>
      </c>
      <c r="I6" t="s">
        <v>9480</v>
      </c>
    </row>
    <row r="7" spans="1:9" x14ac:dyDescent="0.25">
      <c r="A7" s="58" t="s">
        <v>1654</v>
      </c>
      <c r="B7" s="55">
        <v>46162</v>
      </c>
      <c r="C7" t="s">
        <v>1655</v>
      </c>
      <c r="D7" s="55">
        <v>46162</v>
      </c>
      <c r="E7" s="54" t="s">
        <v>9483</v>
      </c>
      <c r="F7" s="56" t="s">
        <v>9489</v>
      </c>
      <c r="G7" s="55">
        <v>46171</v>
      </c>
      <c r="H7" s="54">
        <v>129</v>
      </c>
      <c r="I7" t="s">
        <v>9480</v>
      </c>
    </row>
    <row r="8" spans="1:9" x14ac:dyDescent="0.25">
      <c r="A8" s="58" t="s">
        <v>1608</v>
      </c>
      <c r="B8" s="55">
        <v>46164</v>
      </c>
      <c r="C8" t="s">
        <v>1609</v>
      </c>
      <c r="D8" s="55">
        <v>46164</v>
      </c>
      <c r="E8" s="54" t="s">
        <v>9483</v>
      </c>
      <c r="F8" s="56" t="s">
        <v>9495</v>
      </c>
      <c r="G8" s="55">
        <v>46167</v>
      </c>
      <c r="H8" s="54">
        <v>31</v>
      </c>
      <c r="I8" t="s">
        <v>9480</v>
      </c>
    </row>
    <row r="9" spans="1:9" x14ac:dyDescent="0.25">
      <c r="A9" s="58" t="s">
        <v>1515</v>
      </c>
      <c r="B9" s="55">
        <v>46167</v>
      </c>
      <c r="C9" t="s">
        <v>1516</v>
      </c>
      <c r="D9" s="55">
        <v>46167</v>
      </c>
      <c r="E9" s="54" t="s">
        <v>9483</v>
      </c>
      <c r="F9" s="56" t="s">
        <v>9490</v>
      </c>
      <c r="G9" s="55">
        <v>46168</v>
      </c>
      <c r="H9" s="54">
        <v>54</v>
      </c>
      <c r="I9" t="s">
        <v>9481</v>
      </c>
    </row>
    <row r="10" spans="1:9" x14ac:dyDescent="0.25">
      <c r="A10" s="58" t="s">
        <v>8281</v>
      </c>
      <c r="B10" s="55">
        <v>46169</v>
      </c>
      <c r="C10" t="s">
        <v>8282</v>
      </c>
      <c r="D10" s="55">
        <v>46169</v>
      </c>
      <c r="E10" s="54" t="s">
        <v>9483</v>
      </c>
      <c r="F10" s="56" t="s">
        <v>9491</v>
      </c>
      <c r="G10" s="55">
        <v>46171</v>
      </c>
      <c r="H10" s="54">
        <v>0</v>
      </c>
      <c r="I10" t="s">
        <v>9480</v>
      </c>
    </row>
    <row r="11" spans="1:9" x14ac:dyDescent="0.25">
      <c r="A11" s="58" t="s">
        <v>8276</v>
      </c>
      <c r="B11" s="55">
        <v>46169</v>
      </c>
      <c r="C11" t="s">
        <v>8277</v>
      </c>
      <c r="D11" s="55">
        <v>46169</v>
      </c>
      <c r="E11" s="54" t="s">
        <v>9483</v>
      </c>
      <c r="F11" s="56" t="s">
        <v>9491</v>
      </c>
      <c r="G11" s="55">
        <v>46171</v>
      </c>
      <c r="H11" s="54">
        <v>0</v>
      </c>
      <c r="I11" t="s">
        <v>9480</v>
      </c>
    </row>
    <row r="12" spans="1:9" x14ac:dyDescent="0.25">
      <c r="A12" s="58" t="s">
        <v>8517</v>
      </c>
      <c r="B12" s="55">
        <v>46176</v>
      </c>
      <c r="C12" t="s">
        <v>8518</v>
      </c>
      <c r="D12" s="55">
        <v>46176</v>
      </c>
      <c r="E12" s="54" t="s">
        <v>9496</v>
      </c>
      <c r="F12" s="59" t="s">
        <v>9503</v>
      </c>
      <c r="G12" s="55">
        <v>46178</v>
      </c>
      <c r="H12" s="54">
        <v>7</v>
      </c>
      <c r="I12" t="s">
        <v>1476</v>
      </c>
    </row>
    <row r="13" spans="1:9" x14ac:dyDescent="0.25">
      <c r="A13" s="58" t="s">
        <v>8712</v>
      </c>
      <c r="B13" s="55">
        <v>46181</v>
      </c>
      <c r="C13" t="s">
        <v>8713</v>
      </c>
      <c r="D13" s="55">
        <v>46181</v>
      </c>
      <c r="E13" s="54" t="s">
        <v>9483</v>
      </c>
      <c r="F13" s="56" t="s">
        <v>9492</v>
      </c>
      <c r="G13" s="55">
        <v>46184</v>
      </c>
      <c r="H13" s="54">
        <v>14</v>
      </c>
      <c r="I13" t="s">
        <v>9481</v>
      </c>
    </row>
    <row r="14" spans="1:9" x14ac:dyDescent="0.25">
      <c r="A14" s="58" t="s">
        <v>8894</v>
      </c>
      <c r="B14" s="55">
        <v>46189</v>
      </c>
      <c r="C14" t="s">
        <v>8966</v>
      </c>
      <c r="D14" s="55">
        <v>46189</v>
      </c>
      <c r="E14" s="54" t="s">
        <v>9483</v>
      </c>
      <c r="F14" s="56" t="s">
        <v>9493</v>
      </c>
      <c r="G14" s="55">
        <v>46189</v>
      </c>
      <c r="H14" s="54">
        <v>13</v>
      </c>
      <c r="I14" t="s">
        <v>9480</v>
      </c>
    </row>
    <row r="15" spans="1:9" x14ac:dyDescent="0.25">
      <c r="A15" s="58" t="s">
        <v>8882</v>
      </c>
      <c r="B15" s="55">
        <v>46190</v>
      </c>
      <c r="C15" t="s">
        <v>8954</v>
      </c>
      <c r="D15" s="55">
        <v>46190</v>
      </c>
      <c r="E15" s="54" t="s">
        <v>9483</v>
      </c>
      <c r="F15" s="56" t="s">
        <v>9485</v>
      </c>
      <c r="G15" s="55">
        <v>46192</v>
      </c>
      <c r="H15" s="54">
        <v>1</v>
      </c>
      <c r="I15" t="s">
        <v>9480</v>
      </c>
    </row>
    <row r="16" spans="1:9" x14ac:dyDescent="0.25">
      <c r="A16" s="58" t="s">
        <v>8883</v>
      </c>
      <c r="B16" s="55">
        <v>46190</v>
      </c>
      <c r="C16" t="s">
        <v>8954</v>
      </c>
      <c r="D16" s="55">
        <v>46190</v>
      </c>
      <c r="E16" s="54" t="s">
        <v>9483</v>
      </c>
      <c r="F16" s="56" t="s">
        <v>9485</v>
      </c>
      <c r="G16" s="55">
        <v>46198</v>
      </c>
      <c r="H16" s="54">
        <v>1</v>
      </c>
      <c r="I16" t="s">
        <v>9480</v>
      </c>
    </row>
    <row r="17" spans="1:9" x14ac:dyDescent="0.25">
      <c r="A17" s="58" t="s">
        <v>8850</v>
      </c>
      <c r="B17" s="55">
        <v>46191</v>
      </c>
      <c r="C17" t="s">
        <v>8923</v>
      </c>
      <c r="D17" s="55">
        <v>46191</v>
      </c>
      <c r="E17" s="54" t="s">
        <v>9483</v>
      </c>
      <c r="F17" s="56" t="s">
        <v>9494</v>
      </c>
      <c r="G17" s="55">
        <v>46195</v>
      </c>
      <c r="H17" s="54">
        <v>39</v>
      </c>
      <c r="I17" t="s">
        <v>9480</v>
      </c>
    </row>
    <row r="18" spans="1:9" x14ac:dyDescent="0.25">
      <c r="A18" t="s">
        <v>9123</v>
      </c>
      <c r="B18" s="55">
        <v>46196.749305555553</v>
      </c>
      <c r="C18" t="s">
        <v>9180</v>
      </c>
      <c r="D18" s="55">
        <v>46196.749305555553</v>
      </c>
      <c r="E18" s="54" t="s">
        <v>9483</v>
      </c>
      <c r="F18" s="56" t="s">
        <v>9499</v>
      </c>
      <c r="G18" s="55">
        <v>46197.749305555553</v>
      </c>
      <c r="H18" s="54">
        <v>340</v>
      </c>
      <c r="I18" t="s">
        <v>9480</v>
      </c>
    </row>
    <row r="19" spans="1:9" x14ac:dyDescent="0.25">
      <c r="A19" t="s">
        <v>9105</v>
      </c>
      <c r="B19" s="55">
        <v>46198.642361111109</v>
      </c>
      <c r="C19" t="s">
        <v>9163</v>
      </c>
      <c r="D19" s="55">
        <v>46198.642361111109</v>
      </c>
      <c r="E19" s="54" t="s">
        <v>9483</v>
      </c>
      <c r="F19" s="56" t="s">
        <v>9500</v>
      </c>
      <c r="G19" s="55">
        <v>46199.642361111109</v>
      </c>
      <c r="H19" s="54">
        <v>3</v>
      </c>
      <c r="I19" t="s">
        <v>9481</v>
      </c>
    </row>
    <row r="20" spans="1:9" x14ac:dyDescent="0.25">
      <c r="A20" t="s">
        <v>9311</v>
      </c>
      <c r="B20" s="55">
        <v>46202.442361111112</v>
      </c>
      <c r="C20" t="s">
        <v>9341</v>
      </c>
      <c r="D20" s="55">
        <v>46202.442361111112</v>
      </c>
      <c r="E20" s="54" t="s">
        <v>9496</v>
      </c>
      <c r="F20" s="59" t="s">
        <v>9501</v>
      </c>
      <c r="G20" s="55">
        <v>46202.442361111112</v>
      </c>
      <c r="H20" s="54" t="s">
        <v>1476</v>
      </c>
    </row>
    <row r="21" spans="1:9" x14ac:dyDescent="0.25">
      <c r="A21" t="s">
        <v>9497</v>
      </c>
      <c r="B21" s="55">
        <v>46212.692361111112</v>
      </c>
      <c r="C21" t="s">
        <v>9498</v>
      </c>
      <c r="D21" s="55">
        <v>46212.692361111112</v>
      </c>
      <c r="E21" s="54" t="s">
        <v>9483</v>
      </c>
      <c r="F21" s="56" t="s">
        <v>9502</v>
      </c>
      <c r="G21" s="55">
        <v>46220.491666666669</v>
      </c>
      <c r="H21" s="54">
        <v>427</v>
      </c>
      <c r="I21" t="s">
        <v>9480</v>
      </c>
    </row>
    <row r="22" spans="1:9" x14ac:dyDescent="0.25">
      <c r="A22" t="s">
        <v>9861</v>
      </c>
      <c r="B22" s="55">
        <v>46213.690972222219</v>
      </c>
      <c r="C22" t="s">
        <v>9862</v>
      </c>
      <c r="D22" s="55">
        <v>46219.774305555555</v>
      </c>
      <c r="E22" s="54" t="s">
        <v>9483</v>
      </c>
      <c r="F22" s="56" t="s">
        <v>9863</v>
      </c>
      <c r="G22" s="55">
        <v>46220.491666666669</v>
      </c>
      <c r="H22" s="54">
        <v>1</v>
      </c>
      <c r="I22" t="s">
        <v>9481</v>
      </c>
    </row>
    <row r="23" spans="1:9" x14ac:dyDescent="0.25">
      <c r="A23" t="s">
        <v>9749</v>
      </c>
      <c r="B23" s="55">
        <v>46217.497916666667</v>
      </c>
      <c r="C23" t="s">
        <v>9750</v>
      </c>
      <c r="D23" s="55">
        <v>46219.491666666669</v>
      </c>
      <c r="E23" s="54" t="s">
        <v>9483</v>
      </c>
      <c r="F23" s="56" t="s">
        <v>9864</v>
      </c>
      <c r="G23" s="55">
        <v>46220.491666666669</v>
      </c>
      <c r="H23" s="54">
        <v>409</v>
      </c>
      <c r="I23" t="s">
        <v>9480</v>
      </c>
    </row>
    <row r="24" spans="1:9" x14ac:dyDescent="0.25">
      <c r="A24" t="s">
        <v>10066</v>
      </c>
      <c r="B24" s="55">
        <v>46235.536111111112</v>
      </c>
      <c r="C24" t="s">
        <v>10067</v>
      </c>
      <c r="D24" s="55">
        <v>46235.536111111112</v>
      </c>
      <c r="E24" s="54" t="s">
        <v>9483</v>
      </c>
      <c r="F24" s="56" t="s">
        <v>10365</v>
      </c>
      <c r="G24" s="55">
        <v>46241.491666666669</v>
      </c>
      <c r="H24" s="54">
        <v>512</v>
      </c>
      <c r="I24" t="s">
        <v>9480</v>
      </c>
    </row>
    <row r="25" spans="1:9" x14ac:dyDescent="0.25">
      <c r="A25" t="s">
        <v>10394</v>
      </c>
      <c r="B25" s="55">
        <v>46243.536111111112</v>
      </c>
      <c r="C25" t="s">
        <v>10395</v>
      </c>
      <c r="D25" s="55">
        <v>46243.536111111112</v>
      </c>
      <c r="E25" s="54" t="s">
        <v>9483</v>
      </c>
      <c r="F25" s="56" t="s">
        <v>10703</v>
      </c>
      <c r="G25" s="55">
        <v>46246.491666666669</v>
      </c>
      <c r="H25" s="54">
        <v>1</v>
      </c>
      <c r="I25" t="s">
        <v>9481</v>
      </c>
    </row>
    <row r="26" spans="1:9" x14ac:dyDescent="0.25">
      <c r="A26" t="s">
        <v>10704</v>
      </c>
      <c r="B26" s="55">
        <v>46249.859722222223</v>
      </c>
      <c r="C26" t="s">
        <v>10705</v>
      </c>
      <c r="D26" s="55">
        <v>46249.859722222223</v>
      </c>
      <c r="E26" s="54" t="s">
        <v>9483</v>
      </c>
      <c r="F26" s="56" t="s">
        <v>10365</v>
      </c>
      <c r="G26" s="54" t="s">
        <v>1476</v>
      </c>
      <c r="H26" s="54">
        <v>2</v>
      </c>
      <c r="I26" t="s">
        <v>9480</v>
      </c>
    </row>
    <row r="27" spans="1:9" x14ac:dyDescent="0.25">
      <c r="A27" t="s">
        <v>10708</v>
      </c>
      <c r="B27" s="55">
        <v>46248.751388888886</v>
      </c>
      <c r="C27" t="s">
        <v>10067</v>
      </c>
      <c r="D27" s="55">
        <v>46248.751388888886</v>
      </c>
      <c r="E27" s="54" t="s">
        <v>9483</v>
      </c>
      <c r="F27" s="56" t="s">
        <v>10365</v>
      </c>
      <c r="G27" s="54" t="s">
        <v>1476</v>
      </c>
      <c r="H27" s="54">
        <v>2</v>
      </c>
      <c r="I27" t="s">
        <v>9480</v>
      </c>
    </row>
    <row r="28" spans="1:9" x14ac:dyDescent="0.25">
      <c r="A28" t="s">
        <v>10721</v>
      </c>
      <c r="B28" s="55">
        <v>46247.987500000003</v>
      </c>
      <c r="C28" t="s">
        <v>10067</v>
      </c>
      <c r="D28" s="55">
        <v>46247.987500000003</v>
      </c>
      <c r="E28" s="54" t="s">
        <v>9483</v>
      </c>
      <c r="F28" s="56" t="s">
        <v>10365</v>
      </c>
      <c r="G28" s="54" t="s">
        <v>1476</v>
      </c>
      <c r="H28" s="54">
        <v>167</v>
      </c>
      <c r="I28" t="s">
        <v>9480</v>
      </c>
    </row>
    <row r="29" spans="1:9" x14ac:dyDescent="0.25">
      <c r="A29" t="s">
        <v>10728</v>
      </c>
      <c r="B29" s="55">
        <v>46247.6875</v>
      </c>
      <c r="C29" t="s">
        <v>10729</v>
      </c>
      <c r="D29" s="55">
        <v>46247.6875</v>
      </c>
      <c r="E29" s="54" t="s">
        <v>9483</v>
      </c>
      <c r="F29" s="56" t="s">
        <v>10894</v>
      </c>
      <c r="G29" s="54" t="s">
        <v>1476</v>
      </c>
      <c r="H29" s="54">
        <v>133</v>
      </c>
      <c r="I29" t="s">
        <v>9480</v>
      </c>
    </row>
    <row r="30" spans="1:9" x14ac:dyDescent="0.25">
      <c r="A30" t="s">
        <v>10736</v>
      </c>
      <c r="B30" s="55">
        <v>46247.396527777775</v>
      </c>
      <c r="C30" t="s">
        <v>10737</v>
      </c>
      <c r="D30" s="55">
        <v>46247.396527777775</v>
      </c>
      <c r="E30" s="54" t="s">
        <v>9483</v>
      </c>
      <c r="F30" s="56" t="s">
        <v>10895</v>
      </c>
      <c r="G30" s="54" t="s">
        <v>1476</v>
      </c>
      <c r="H30" s="54">
        <v>2</v>
      </c>
      <c r="I30" t="s">
        <v>9480</v>
      </c>
    </row>
  </sheetData>
  <sortState xmlns:xlrd2="http://schemas.microsoft.com/office/spreadsheetml/2017/richdata2" ref="A2:I23">
    <sortCondition ref="B2:B2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A212-F37F-434C-BAC5-EAAA91BD6A4A}">
  <dimension ref="A1:C8732"/>
  <sheetViews>
    <sheetView workbookViewId="0">
      <selection activeCell="F18" sqref="F18"/>
    </sheetView>
  </sheetViews>
  <sheetFormatPr defaultRowHeight="15" x14ac:dyDescent="0.25"/>
  <cols>
    <col min="3" max="3" width="32.7109375" bestFit="1" customWidth="1"/>
  </cols>
  <sheetData>
    <row r="1" spans="1:3" x14ac:dyDescent="0.25">
      <c r="A1" t="s">
        <v>5641</v>
      </c>
      <c r="B1" t="s">
        <v>8</v>
      </c>
      <c r="C1" s="1" t="s">
        <v>6971</v>
      </c>
    </row>
    <row r="2" spans="1:3" x14ac:dyDescent="0.25">
      <c r="A2" t="s">
        <v>5642</v>
      </c>
      <c r="B2" t="s">
        <v>6962</v>
      </c>
      <c r="C2" s="1"/>
    </row>
    <row r="3" spans="1:3" x14ac:dyDescent="0.25">
      <c r="A3" t="s">
        <v>5643</v>
      </c>
      <c r="B3" t="s">
        <v>6962</v>
      </c>
      <c r="C3" s="1"/>
    </row>
    <row r="4" spans="1:3" x14ac:dyDescent="0.25">
      <c r="A4" t="s">
        <v>5644</v>
      </c>
      <c r="B4" t="s">
        <v>6962</v>
      </c>
      <c r="C4" s="1"/>
    </row>
    <row r="5" spans="1:3" x14ac:dyDescent="0.25">
      <c r="A5" t="s">
        <v>5645</v>
      </c>
      <c r="B5" t="s">
        <v>6962</v>
      </c>
      <c r="C5" s="1"/>
    </row>
    <row r="6" spans="1:3" x14ac:dyDescent="0.25">
      <c r="A6" t="s">
        <v>5646</v>
      </c>
      <c r="B6" t="s">
        <v>6962</v>
      </c>
      <c r="C6" s="1"/>
    </row>
    <row r="7" spans="1:3" x14ac:dyDescent="0.25">
      <c r="A7" t="s">
        <v>5647</v>
      </c>
      <c r="B7" t="s">
        <v>6962</v>
      </c>
      <c r="C7" s="1"/>
    </row>
    <row r="8" spans="1:3" x14ac:dyDescent="0.25">
      <c r="A8" t="s">
        <v>5648</v>
      </c>
      <c r="B8" t="s">
        <v>6962</v>
      </c>
      <c r="C8" s="1"/>
    </row>
    <row r="9" spans="1:3" x14ac:dyDescent="0.25">
      <c r="A9" t="s">
        <v>5649</v>
      </c>
      <c r="B9" t="s">
        <v>6962</v>
      </c>
      <c r="C9" s="1">
        <v>45720</v>
      </c>
    </row>
    <row r="10" spans="1:3" x14ac:dyDescent="0.25">
      <c r="A10" t="s">
        <v>5650</v>
      </c>
      <c r="B10" t="s">
        <v>6962</v>
      </c>
      <c r="C10" s="1"/>
    </row>
    <row r="11" spans="1:3" x14ac:dyDescent="0.25">
      <c r="A11" t="s">
        <v>5651</v>
      </c>
      <c r="B11" t="s">
        <v>6962</v>
      </c>
      <c r="C11" s="1"/>
    </row>
    <row r="12" spans="1:3" x14ac:dyDescent="0.25">
      <c r="A12" t="s">
        <v>5652</v>
      </c>
      <c r="B12" t="s">
        <v>6962</v>
      </c>
      <c r="C12" s="1"/>
    </row>
    <row r="13" spans="1:3" x14ac:dyDescent="0.25">
      <c r="A13" t="s">
        <v>5653</v>
      </c>
      <c r="B13" t="s">
        <v>6963</v>
      </c>
      <c r="C13" s="1"/>
    </row>
    <row r="14" spans="1:3" x14ac:dyDescent="0.25">
      <c r="A14" t="s">
        <v>5654</v>
      </c>
      <c r="B14" t="s">
        <v>6962</v>
      </c>
      <c r="C14" s="1"/>
    </row>
    <row r="15" spans="1:3" x14ac:dyDescent="0.25">
      <c r="A15" t="s">
        <v>5655</v>
      </c>
      <c r="B15" t="s">
        <v>6962</v>
      </c>
      <c r="C15" s="1"/>
    </row>
    <row r="16" spans="1:3" x14ac:dyDescent="0.25">
      <c r="A16" t="s">
        <v>5656</v>
      </c>
      <c r="B16" t="s">
        <v>6962</v>
      </c>
      <c r="C16" s="1"/>
    </row>
    <row r="17" spans="1:3" x14ac:dyDescent="0.25">
      <c r="A17" t="s">
        <v>5657</v>
      </c>
      <c r="B17" t="s">
        <v>6962</v>
      </c>
      <c r="C17" s="1"/>
    </row>
    <row r="18" spans="1:3" x14ac:dyDescent="0.25">
      <c r="A18" t="s">
        <v>5658</v>
      </c>
      <c r="B18" t="s">
        <v>6962</v>
      </c>
      <c r="C18" s="1"/>
    </row>
    <row r="19" spans="1:3" x14ac:dyDescent="0.25">
      <c r="A19" t="s">
        <v>5659</v>
      </c>
      <c r="B19" t="s">
        <v>6962</v>
      </c>
      <c r="C19" s="1"/>
    </row>
    <row r="20" spans="1:3" x14ac:dyDescent="0.25">
      <c r="A20" t="s">
        <v>5660</v>
      </c>
      <c r="B20" t="s">
        <v>6962</v>
      </c>
      <c r="C20" s="1"/>
    </row>
    <row r="21" spans="1:3" x14ac:dyDescent="0.25">
      <c r="A21" t="s">
        <v>5661</v>
      </c>
      <c r="B21" t="s">
        <v>6962</v>
      </c>
      <c r="C21" s="1">
        <v>45615</v>
      </c>
    </row>
    <row r="22" spans="1:3" x14ac:dyDescent="0.25">
      <c r="A22" t="s">
        <v>5662</v>
      </c>
      <c r="B22" t="s">
        <v>6962</v>
      </c>
      <c r="C22" s="1">
        <v>45615</v>
      </c>
    </row>
    <row r="23" spans="1:3" x14ac:dyDescent="0.25">
      <c r="A23" t="s">
        <v>5663</v>
      </c>
      <c r="B23" t="s">
        <v>39</v>
      </c>
      <c r="C23" s="1"/>
    </row>
    <row r="24" spans="1:3" x14ac:dyDescent="0.25">
      <c r="A24" t="s">
        <v>5664</v>
      </c>
      <c r="B24" t="s">
        <v>6963</v>
      </c>
      <c r="C24" s="1"/>
    </row>
    <row r="25" spans="1:3" x14ac:dyDescent="0.25">
      <c r="A25" t="s">
        <v>5665</v>
      </c>
      <c r="B25" t="s">
        <v>6962</v>
      </c>
      <c r="C25" s="1"/>
    </row>
    <row r="26" spans="1:3" x14ac:dyDescent="0.25">
      <c r="A26" t="s">
        <v>5666</v>
      </c>
      <c r="B26" t="s">
        <v>39</v>
      </c>
      <c r="C26" s="1"/>
    </row>
    <row r="27" spans="1:3" x14ac:dyDescent="0.25">
      <c r="A27" t="s">
        <v>5667</v>
      </c>
      <c r="B27" t="s">
        <v>6963</v>
      </c>
      <c r="C27" s="1"/>
    </row>
    <row r="28" spans="1:3" x14ac:dyDescent="0.25">
      <c r="A28" t="s">
        <v>5668</v>
      </c>
      <c r="B28" t="s">
        <v>6962</v>
      </c>
      <c r="C28" s="1">
        <v>45692</v>
      </c>
    </row>
    <row r="29" spans="1:3" x14ac:dyDescent="0.25">
      <c r="A29" t="s">
        <v>5669</v>
      </c>
      <c r="B29" t="s">
        <v>39</v>
      </c>
      <c r="C29" s="1"/>
    </row>
    <row r="30" spans="1:3" x14ac:dyDescent="0.25">
      <c r="A30" t="s">
        <v>5670</v>
      </c>
      <c r="B30" t="s">
        <v>39</v>
      </c>
      <c r="C30" s="1"/>
    </row>
    <row r="31" spans="1:3" x14ac:dyDescent="0.25">
      <c r="A31" t="s">
        <v>5671</v>
      </c>
      <c r="B31" t="s">
        <v>6962</v>
      </c>
      <c r="C31" s="1"/>
    </row>
    <row r="32" spans="1:3" x14ac:dyDescent="0.25">
      <c r="A32" t="s">
        <v>5672</v>
      </c>
      <c r="B32" t="s">
        <v>39</v>
      </c>
      <c r="C32" s="1"/>
    </row>
    <row r="33" spans="1:3" x14ac:dyDescent="0.25">
      <c r="A33" t="s">
        <v>5673</v>
      </c>
      <c r="B33" t="s">
        <v>6962</v>
      </c>
      <c r="C33" s="1"/>
    </row>
    <row r="34" spans="1:3" x14ac:dyDescent="0.25">
      <c r="A34" t="s">
        <v>5674</v>
      </c>
      <c r="B34" t="s">
        <v>6962</v>
      </c>
      <c r="C34" s="1"/>
    </row>
    <row r="35" spans="1:3" x14ac:dyDescent="0.25">
      <c r="A35" t="s">
        <v>5675</v>
      </c>
      <c r="B35" t="s">
        <v>39</v>
      </c>
      <c r="C35" s="1"/>
    </row>
    <row r="36" spans="1:3" x14ac:dyDescent="0.25">
      <c r="A36" t="s">
        <v>5676</v>
      </c>
      <c r="B36" t="s">
        <v>6963</v>
      </c>
      <c r="C36" s="1"/>
    </row>
    <row r="37" spans="1:3" x14ac:dyDescent="0.25">
      <c r="A37" t="s">
        <v>5677</v>
      </c>
      <c r="B37" t="s">
        <v>6963</v>
      </c>
      <c r="C37" s="1"/>
    </row>
    <row r="38" spans="1:3" x14ac:dyDescent="0.25">
      <c r="A38" t="s">
        <v>5678</v>
      </c>
      <c r="B38" t="s">
        <v>39</v>
      </c>
      <c r="C38" s="1"/>
    </row>
    <row r="39" spans="1:3" x14ac:dyDescent="0.25">
      <c r="A39" t="s">
        <v>5679</v>
      </c>
      <c r="B39" t="s">
        <v>39</v>
      </c>
      <c r="C39" s="1"/>
    </row>
    <row r="40" spans="1:3" x14ac:dyDescent="0.25">
      <c r="A40" t="s">
        <v>5680</v>
      </c>
      <c r="B40" t="s">
        <v>6963</v>
      </c>
      <c r="C40" s="1"/>
    </row>
    <row r="41" spans="1:3" x14ac:dyDescent="0.25">
      <c r="A41" t="s">
        <v>5681</v>
      </c>
      <c r="B41" t="s">
        <v>6964</v>
      </c>
      <c r="C41" s="1"/>
    </row>
    <row r="42" spans="1:3" x14ac:dyDescent="0.25">
      <c r="A42" t="s">
        <v>5682</v>
      </c>
      <c r="B42" t="s">
        <v>6962</v>
      </c>
      <c r="C42" s="1">
        <v>45748</v>
      </c>
    </row>
    <row r="43" spans="1:3" x14ac:dyDescent="0.25">
      <c r="A43" t="s">
        <v>5683</v>
      </c>
      <c r="B43" t="s">
        <v>6962</v>
      </c>
      <c r="C43" s="1">
        <v>45652</v>
      </c>
    </row>
    <row r="44" spans="1:3" x14ac:dyDescent="0.25">
      <c r="A44" t="s">
        <v>5684</v>
      </c>
      <c r="B44" t="s">
        <v>6963</v>
      </c>
      <c r="C44" s="1"/>
    </row>
    <row r="45" spans="1:3" x14ac:dyDescent="0.25">
      <c r="A45" t="s">
        <v>5685</v>
      </c>
      <c r="B45" t="s">
        <v>6962</v>
      </c>
      <c r="C45" s="1"/>
    </row>
    <row r="46" spans="1:3" x14ac:dyDescent="0.25">
      <c r="A46" t="s">
        <v>5686</v>
      </c>
      <c r="B46" t="s">
        <v>39</v>
      </c>
      <c r="C46" s="1"/>
    </row>
    <row r="47" spans="1:3" x14ac:dyDescent="0.25">
      <c r="A47" t="s">
        <v>5687</v>
      </c>
      <c r="B47" t="s">
        <v>6962</v>
      </c>
      <c r="C47" s="1">
        <v>45742</v>
      </c>
    </row>
    <row r="48" spans="1:3" x14ac:dyDescent="0.25">
      <c r="A48" t="s">
        <v>5688</v>
      </c>
      <c r="B48" t="s">
        <v>39</v>
      </c>
      <c r="C48" s="1"/>
    </row>
    <row r="49" spans="1:3" x14ac:dyDescent="0.25">
      <c r="A49" t="s">
        <v>5689</v>
      </c>
      <c r="B49" t="s">
        <v>6962</v>
      </c>
      <c r="C49" s="1">
        <v>45643</v>
      </c>
    </row>
    <row r="50" spans="1:3" x14ac:dyDescent="0.25">
      <c r="A50" t="s">
        <v>5690</v>
      </c>
      <c r="B50" t="s">
        <v>39</v>
      </c>
      <c r="C50" s="1"/>
    </row>
    <row r="51" spans="1:3" x14ac:dyDescent="0.25">
      <c r="A51" t="s">
        <v>5691</v>
      </c>
      <c r="B51" t="s">
        <v>6963</v>
      </c>
      <c r="C51" s="1"/>
    </row>
    <row r="52" spans="1:3" x14ac:dyDescent="0.25">
      <c r="A52" t="s">
        <v>5692</v>
      </c>
      <c r="B52" t="s">
        <v>6962</v>
      </c>
      <c r="C52" s="1">
        <v>45745</v>
      </c>
    </row>
    <row r="53" spans="1:3" x14ac:dyDescent="0.25">
      <c r="A53" t="s">
        <v>5693</v>
      </c>
      <c r="B53" t="s">
        <v>6963</v>
      </c>
      <c r="C53" s="1"/>
    </row>
    <row r="54" spans="1:3" x14ac:dyDescent="0.25">
      <c r="A54" t="s">
        <v>5694</v>
      </c>
      <c r="B54" t="s">
        <v>6962</v>
      </c>
      <c r="C54" s="1">
        <v>45722</v>
      </c>
    </row>
    <row r="55" spans="1:3" x14ac:dyDescent="0.25">
      <c r="A55" t="s">
        <v>5695</v>
      </c>
      <c r="B55" t="s">
        <v>39</v>
      </c>
      <c r="C55" s="1"/>
    </row>
    <row r="56" spans="1:3" x14ac:dyDescent="0.25">
      <c r="A56" t="s">
        <v>5696</v>
      </c>
      <c r="B56" t="s">
        <v>39</v>
      </c>
      <c r="C56" s="1"/>
    </row>
    <row r="57" spans="1:3" x14ac:dyDescent="0.25">
      <c r="A57" t="s">
        <v>5697</v>
      </c>
      <c r="B57" t="s">
        <v>6962</v>
      </c>
      <c r="C57" s="1">
        <v>45686</v>
      </c>
    </row>
    <row r="58" spans="1:3" x14ac:dyDescent="0.25">
      <c r="A58" t="s">
        <v>5698</v>
      </c>
      <c r="B58" t="s">
        <v>39</v>
      </c>
      <c r="C58" s="1"/>
    </row>
    <row r="59" spans="1:3" x14ac:dyDescent="0.25">
      <c r="A59" t="s">
        <v>5699</v>
      </c>
      <c r="B59" t="s">
        <v>6962</v>
      </c>
      <c r="C59" s="1"/>
    </row>
    <row r="60" spans="1:3" x14ac:dyDescent="0.25">
      <c r="A60" t="s">
        <v>5700</v>
      </c>
      <c r="B60" t="s">
        <v>6963</v>
      </c>
      <c r="C60" s="1"/>
    </row>
    <row r="61" spans="1:3" x14ac:dyDescent="0.25">
      <c r="A61" t="s">
        <v>5701</v>
      </c>
      <c r="B61" t="s">
        <v>6962</v>
      </c>
      <c r="C61" s="1">
        <v>45669</v>
      </c>
    </row>
    <row r="62" spans="1:3" x14ac:dyDescent="0.25">
      <c r="A62" t="s">
        <v>5702</v>
      </c>
      <c r="B62" t="s">
        <v>6964</v>
      </c>
      <c r="C62" s="1">
        <v>45717</v>
      </c>
    </row>
    <row r="63" spans="1:3" x14ac:dyDescent="0.25">
      <c r="A63" t="s">
        <v>5703</v>
      </c>
      <c r="B63" t="s">
        <v>6962</v>
      </c>
      <c r="C63" s="1"/>
    </row>
    <row r="64" spans="1:3" x14ac:dyDescent="0.25">
      <c r="A64" t="s">
        <v>5704</v>
      </c>
      <c r="B64" t="s">
        <v>6962</v>
      </c>
      <c r="C64" s="1">
        <v>45759</v>
      </c>
    </row>
    <row r="65" spans="1:3" x14ac:dyDescent="0.25">
      <c r="A65" t="s">
        <v>5705</v>
      </c>
      <c r="B65" t="s">
        <v>6962</v>
      </c>
      <c r="C65" s="1">
        <v>45717</v>
      </c>
    </row>
    <row r="66" spans="1:3" x14ac:dyDescent="0.25">
      <c r="A66" t="s">
        <v>5706</v>
      </c>
      <c r="B66" t="s">
        <v>6962</v>
      </c>
      <c r="C66" s="1">
        <v>45723</v>
      </c>
    </row>
    <row r="67" spans="1:3" x14ac:dyDescent="0.25">
      <c r="A67" t="s">
        <v>5707</v>
      </c>
      <c r="B67" t="s">
        <v>6964</v>
      </c>
      <c r="C67" s="1">
        <v>45713</v>
      </c>
    </row>
    <row r="68" spans="1:3" x14ac:dyDescent="0.25">
      <c r="A68" t="s">
        <v>5708</v>
      </c>
      <c r="B68" t="s">
        <v>6963</v>
      </c>
      <c r="C68" s="1"/>
    </row>
    <row r="69" spans="1:3" x14ac:dyDescent="0.25">
      <c r="A69" t="s">
        <v>5709</v>
      </c>
      <c r="B69" t="s">
        <v>6962</v>
      </c>
      <c r="C69" s="1">
        <v>45717</v>
      </c>
    </row>
    <row r="70" spans="1:3" x14ac:dyDescent="0.25">
      <c r="A70" t="s">
        <v>5710</v>
      </c>
      <c r="B70" t="s">
        <v>6962</v>
      </c>
      <c r="C70" s="1"/>
    </row>
    <row r="71" spans="1:3" x14ac:dyDescent="0.25">
      <c r="A71" t="s">
        <v>5711</v>
      </c>
      <c r="B71" t="s">
        <v>6962</v>
      </c>
      <c r="C71" s="1"/>
    </row>
    <row r="72" spans="1:3" x14ac:dyDescent="0.25">
      <c r="A72" t="s">
        <v>5712</v>
      </c>
      <c r="B72" t="s">
        <v>6962</v>
      </c>
      <c r="C72" s="1">
        <v>45764</v>
      </c>
    </row>
    <row r="73" spans="1:3" x14ac:dyDescent="0.25">
      <c r="A73" t="s">
        <v>5713</v>
      </c>
      <c r="B73" t="s">
        <v>6962</v>
      </c>
      <c r="C73" s="1">
        <v>45721</v>
      </c>
    </row>
    <row r="74" spans="1:3" x14ac:dyDescent="0.25">
      <c r="A74" t="s">
        <v>5714</v>
      </c>
      <c r="B74" t="s">
        <v>6962</v>
      </c>
      <c r="C74" s="1">
        <v>45729</v>
      </c>
    </row>
    <row r="75" spans="1:3" x14ac:dyDescent="0.25">
      <c r="A75" t="s">
        <v>5715</v>
      </c>
      <c r="B75" t="s">
        <v>6962</v>
      </c>
      <c r="C75" s="1">
        <v>45688</v>
      </c>
    </row>
    <row r="76" spans="1:3" x14ac:dyDescent="0.25">
      <c r="A76" t="s">
        <v>5716</v>
      </c>
      <c r="B76" t="s">
        <v>6962</v>
      </c>
      <c r="C76" s="1">
        <v>45728</v>
      </c>
    </row>
    <row r="77" spans="1:3" x14ac:dyDescent="0.25">
      <c r="A77" t="s">
        <v>5717</v>
      </c>
      <c r="B77" t="s">
        <v>6962</v>
      </c>
      <c r="C77" s="1">
        <v>45734</v>
      </c>
    </row>
    <row r="78" spans="1:3" x14ac:dyDescent="0.25">
      <c r="A78" t="s">
        <v>5718</v>
      </c>
      <c r="B78" t="s">
        <v>6962</v>
      </c>
      <c r="C78" s="1">
        <v>45740</v>
      </c>
    </row>
    <row r="79" spans="1:3" x14ac:dyDescent="0.25">
      <c r="A79" t="s">
        <v>5719</v>
      </c>
      <c r="B79" t="s">
        <v>6962</v>
      </c>
      <c r="C79" s="1">
        <v>45736</v>
      </c>
    </row>
    <row r="80" spans="1:3" x14ac:dyDescent="0.25">
      <c r="A80" t="s">
        <v>5720</v>
      </c>
      <c r="B80" t="s">
        <v>6962</v>
      </c>
      <c r="C80" s="1">
        <v>45717</v>
      </c>
    </row>
    <row r="81" spans="1:3" x14ac:dyDescent="0.25">
      <c r="A81" t="s">
        <v>5721</v>
      </c>
      <c r="B81" t="s">
        <v>39</v>
      </c>
      <c r="C81" s="1"/>
    </row>
    <row r="82" spans="1:3" x14ac:dyDescent="0.25">
      <c r="A82" t="s">
        <v>5722</v>
      </c>
      <c r="B82" t="s">
        <v>6962</v>
      </c>
      <c r="C82" s="1">
        <v>45686</v>
      </c>
    </row>
    <row r="83" spans="1:3" x14ac:dyDescent="0.25">
      <c r="A83" t="s">
        <v>5723</v>
      </c>
      <c r="B83" t="s">
        <v>6962</v>
      </c>
      <c r="C83" s="1">
        <v>45721</v>
      </c>
    </row>
    <row r="84" spans="1:3" x14ac:dyDescent="0.25">
      <c r="A84" t="s">
        <v>5724</v>
      </c>
      <c r="B84" t="s">
        <v>6962</v>
      </c>
      <c r="C84" s="1">
        <v>45674</v>
      </c>
    </row>
    <row r="85" spans="1:3" x14ac:dyDescent="0.25">
      <c r="A85" t="s">
        <v>5725</v>
      </c>
      <c r="B85" t="s">
        <v>6962</v>
      </c>
      <c r="C85" s="1">
        <v>45723</v>
      </c>
    </row>
    <row r="86" spans="1:3" x14ac:dyDescent="0.25">
      <c r="A86" t="s">
        <v>5726</v>
      </c>
      <c r="B86" t="s">
        <v>6962</v>
      </c>
      <c r="C86" s="1">
        <v>45773</v>
      </c>
    </row>
    <row r="87" spans="1:3" x14ac:dyDescent="0.25">
      <c r="A87" t="s">
        <v>5727</v>
      </c>
      <c r="B87" t="s">
        <v>6963</v>
      </c>
      <c r="C87" s="1"/>
    </row>
    <row r="88" spans="1:3" x14ac:dyDescent="0.25">
      <c r="A88" t="s">
        <v>5728</v>
      </c>
      <c r="B88" t="s">
        <v>6962</v>
      </c>
      <c r="C88" s="1">
        <v>45831</v>
      </c>
    </row>
    <row r="89" spans="1:3" x14ac:dyDescent="0.25">
      <c r="A89" t="s">
        <v>5729</v>
      </c>
      <c r="B89" t="s">
        <v>6962</v>
      </c>
      <c r="C89" s="1">
        <v>45743</v>
      </c>
    </row>
    <row r="90" spans="1:3" x14ac:dyDescent="0.25">
      <c r="A90" t="s">
        <v>5730</v>
      </c>
      <c r="B90" t="s">
        <v>6962</v>
      </c>
      <c r="C90" s="1">
        <v>45789</v>
      </c>
    </row>
    <row r="91" spans="1:3" x14ac:dyDescent="0.25">
      <c r="A91" t="s">
        <v>5731</v>
      </c>
      <c r="B91" t="s">
        <v>6962</v>
      </c>
      <c r="C91" s="1">
        <v>45731</v>
      </c>
    </row>
    <row r="92" spans="1:3" x14ac:dyDescent="0.25">
      <c r="A92" t="s">
        <v>5732</v>
      </c>
      <c r="B92" t="s">
        <v>6962</v>
      </c>
      <c r="C92" s="1">
        <v>45671</v>
      </c>
    </row>
    <row r="93" spans="1:3" x14ac:dyDescent="0.25">
      <c r="A93" t="s">
        <v>5733</v>
      </c>
      <c r="B93" t="s">
        <v>6962</v>
      </c>
      <c r="C93" s="1">
        <v>45669</v>
      </c>
    </row>
    <row r="94" spans="1:3" x14ac:dyDescent="0.25">
      <c r="A94" t="s">
        <v>5734</v>
      </c>
      <c r="B94" t="s">
        <v>6962</v>
      </c>
      <c r="C94" s="1">
        <v>45674</v>
      </c>
    </row>
    <row r="95" spans="1:3" x14ac:dyDescent="0.25">
      <c r="A95" t="s">
        <v>5735</v>
      </c>
      <c r="B95" t="s">
        <v>6962</v>
      </c>
      <c r="C95" s="1">
        <v>45685</v>
      </c>
    </row>
    <row r="96" spans="1:3" x14ac:dyDescent="0.25">
      <c r="A96" t="s">
        <v>5736</v>
      </c>
      <c r="B96" t="s">
        <v>6962</v>
      </c>
      <c r="C96" s="1">
        <v>45677</v>
      </c>
    </row>
    <row r="97" spans="1:3" x14ac:dyDescent="0.25">
      <c r="A97" t="s">
        <v>5737</v>
      </c>
      <c r="B97" t="s">
        <v>6962</v>
      </c>
      <c r="C97" s="1">
        <v>45699</v>
      </c>
    </row>
    <row r="98" spans="1:3" x14ac:dyDescent="0.25">
      <c r="A98" t="s">
        <v>5738</v>
      </c>
      <c r="B98" t="s">
        <v>6962</v>
      </c>
      <c r="C98" s="1">
        <v>45677</v>
      </c>
    </row>
    <row r="99" spans="1:3" x14ac:dyDescent="0.25">
      <c r="A99" t="s">
        <v>5739</v>
      </c>
      <c r="B99" t="s">
        <v>6962</v>
      </c>
      <c r="C99" s="1">
        <v>45731</v>
      </c>
    </row>
    <row r="100" spans="1:3" x14ac:dyDescent="0.25">
      <c r="A100" t="s">
        <v>5740</v>
      </c>
      <c r="B100" t="s">
        <v>6962</v>
      </c>
      <c r="C100" s="1">
        <v>45675</v>
      </c>
    </row>
    <row r="101" spans="1:3" x14ac:dyDescent="0.25">
      <c r="A101" t="s">
        <v>5741</v>
      </c>
      <c r="B101" t="s">
        <v>6962</v>
      </c>
      <c r="C101" s="1">
        <v>45682</v>
      </c>
    </row>
    <row r="102" spans="1:3" x14ac:dyDescent="0.25">
      <c r="A102" t="s">
        <v>5742</v>
      </c>
      <c r="B102" t="s">
        <v>6962</v>
      </c>
      <c r="C102" s="1">
        <v>45789</v>
      </c>
    </row>
    <row r="103" spans="1:3" x14ac:dyDescent="0.25">
      <c r="A103" t="s">
        <v>5743</v>
      </c>
      <c r="B103" t="s">
        <v>6962</v>
      </c>
      <c r="C103" s="1">
        <v>45764</v>
      </c>
    </row>
    <row r="104" spans="1:3" x14ac:dyDescent="0.25">
      <c r="A104" t="s">
        <v>5744</v>
      </c>
      <c r="B104" t="s">
        <v>6962</v>
      </c>
      <c r="C104" s="1">
        <v>45733</v>
      </c>
    </row>
    <row r="105" spans="1:3" x14ac:dyDescent="0.25">
      <c r="A105" t="s">
        <v>5745</v>
      </c>
      <c r="B105" t="s">
        <v>6962</v>
      </c>
      <c r="C105" s="1">
        <v>45674</v>
      </c>
    </row>
    <row r="106" spans="1:3" x14ac:dyDescent="0.25">
      <c r="A106" t="s">
        <v>5746</v>
      </c>
      <c r="B106" t="s">
        <v>6962</v>
      </c>
      <c r="C106" s="1"/>
    </row>
    <row r="107" spans="1:3" x14ac:dyDescent="0.25">
      <c r="A107" t="s">
        <v>5747</v>
      </c>
      <c r="B107" t="s">
        <v>6963</v>
      </c>
      <c r="C107" s="1"/>
    </row>
    <row r="108" spans="1:3" x14ac:dyDescent="0.25">
      <c r="A108" t="s">
        <v>5748</v>
      </c>
      <c r="B108" t="s">
        <v>6963</v>
      </c>
      <c r="C108" s="1"/>
    </row>
    <row r="109" spans="1:3" x14ac:dyDescent="0.25">
      <c r="A109" t="s">
        <v>5749</v>
      </c>
      <c r="B109" t="s">
        <v>39</v>
      </c>
      <c r="C109" s="1"/>
    </row>
    <row r="110" spans="1:3" x14ac:dyDescent="0.25">
      <c r="A110" t="s">
        <v>5750</v>
      </c>
      <c r="B110" t="s">
        <v>6962</v>
      </c>
      <c r="C110" s="1">
        <v>45738</v>
      </c>
    </row>
    <row r="111" spans="1:3" x14ac:dyDescent="0.25">
      <c r="A111" t="s">
        <v>5751</v>
      </c>
      <c r="B111" t="s">
        <v>39</v>
      </c>
      <c r="C111" s="1"/>
    </row>
    <row r="112" spans="1:3" x14ac:dyDescent="0.25">
      <c r="A112" t="s">
        <v>5752</v>
      </c>
      <c r="B112" t="s">
        <v>6962</v>
      </c>
      <c r="C112" s="1">
        <v>45731</v>
      </c>
    </row>
    <row r="113" spans="1:3" x14ac:dyDescent="0.25">
      <c r="A113" t="s">
        <v>5753</v>
      </c>
      <c r="B113" t="s">
        <v>6962</v>
      </c>
      <c r="C113" s="1">
        <v>45747</v>
      </c>
    </row>
    <row r="114" spans="1:3" x14ac:dyDescent="0.25">
      <c r="A114" t="s">
        <v>5754</v>
      </c>
      <c r="B114" t="s">
        <v>6962</v>
      </c>
      <c r="C114" s="1">
        <v>45684</v>
      </c>
    </row>
    <row r="115" spans="1:3" x14ac:dyDescent="0.25">
      <c r="A115" t="s">
        <v>5755</v>
      </c>
      <c r="B115" t="s">
        <v>6962</v>
      </c>
      <c r="C115" s="1">
        <v>45791</v>
      </c>
    </row>
    <row r="116" spans="1:3" x14ac:dyDescent="0.25">
      <c r="A116" t="s">
        <v>5756</v>
      </c>
      <c r="B116" t="s">
        <v>6962</v>
      </c>
      <c r="C116" s="1">
        <v>45678</v>
      </c>
    </row>
    <row r="117" spans="1:3" x14ac:dyDescent="0.25">
      <c r="A117" t="s">
        <v>5757</v>
      </c>
      <c r="B117" t="s">
        <v>6962</v>
      </c>
      <c r="C117" s="1">
        <v>45685</v>
      </c>
    </row>
    <row r="118" spans="1:3" x14ac:dyDescent="0.25">
      <c r="A118" t="s">
        <v>5758</v>
      </c>
      <c r="B118" t="s">
        <v>6962</v>
      </c>
      <c r="C118" s="1">
        <v>45715</v>
      </c>
    </row>
    <row r="119" spans="1:3" x14ac:dyDescent="0.25">
      <c r="A119" t="s">
        <v>5759</v>
      </c>
      <c r="B119" t="s">
        <v>6962</v>
      </c>
      <c r="C119" s="1">
        <v>45771</v>
      </c>
    </row>
    <row r="120" spans="1:3" x14ac:dyDescent="0.25">
      <c r="A120" t="s">
        <v>5760</v>
      </c>
      <c r="B120" t="s">
        <v>6962</v>
      </c>
      <c r="C120" s="1">
        <v>45705</v>
      </c>
    </row>
    <row r="121" spans="1:3" x14ac:dyDescent="0.25">
      <c r="A121" t="s">
        <v>5761</v>
      </c>
      <c r="B121" t="s">
        <v>6962</v>
      </c>
      <c r="C121" s="1">
        <v>45678</v>
      </c>
    </row>
    <row r="122" spans="1:3" x14ac:dyDescent="0.25">
      <c r="A122" t="s">
        <v>5762</v>
      </c>
      <c r="B122" t="s">
        <v>6962</v>
      </c>
      <c r="C122" s="1"/>
    </row>
    <row r="123" spans="1:3" x14ac:dyDescent="0.25">
      <c r="A123" t="s">
        <v>5763</v>
      </c>
      <c r="B123" t="s">
        <v>6962</v>
      </c>
      <c r="C123" s="1">
        <v>45739</v>
      </c>
    </row>
    <row r="124" spans="1:3" x14ac:dyDescent="0.25">
      <c r="A124" t="s">
        <v>5764</v>
      </c>
      <c r="B124" t="s">
        <v>6962</v>
      </c>
      <c r="C124" s="1">
        <v>45677</v>
      </c>
    </row>
    <row r="125" spans="1:3" x14ac:dyDescent="0.25">
      <c r="A125" t="s">
        <v>5765</v>
      </c>
      <c r="B125" t="s">
        <v>6962</v>
      </c>
      <c r="C125" s="1"/>
    </row>
    <row r="126" spans="1:3" x14ac:dyDescent="0.25">
      <c r="A126" t="s">
        <v>5766</v>
      </c>
      <c r="B126" t="s">
        <v>6962</v>
      </c>
      <c r="C126" s="1">
        <v>45733</v>
      </c>
    </row>
    <row r="127" spans="1:3" x14ac:dyDescent="0.25">
      <c r="A127" t="s">
        <v>5767</v>
      </c>
      <c r="B127" t="s">
        <v>6962</v>
      </c>
      <c r="C127" s="1">
        <v>45679</v>
      </c>
    </row>
    <row r="128" spans="1:3" x14ac:dyDescent="0.25">
      <c r="A128" t="s">
        <v>5768</v>
      </c>
      <c r="B128" t="s">
        <v>6963</v>
      </c>
      <c r="C128" s="1"/>
    </row>
    <row r="129" spans="1:3" x14ac:dyDescent="0.25">
      <c r="A129" t="s">
        <v>5769</v>
      </c>
      <c r="B129" t="s">
        <v>39</v>
      </c>
      <c r="C129" s="1"/>
    </row>
    <row r="130" spans="1:3" x14ac:dyDescent="0.25">
      <c r="A130" t="s">
        <v>5770</v>
      </c>
      <c r="B130" t="s">
        <v>6962</v>
      </c>
      <c r="C130" s="1">
        <v>45757</v>
      </c>
    </row>
    <row r="131" spans="1:3" x14ac:dyDescent="0.25">
      <c r="A131" t="s">
        <v>5771</v>
      </c>
      <c r="B131" t="s">
        <v>6962</v>
      </c>
      <c r="C131" s="1">
        <v>45688</v>
      </c>
    </row>
    <row r="132" spans="1:3" x14ac:dyDescent="0.25">
      <c r="A132" t="s">
        <v>5772</v>
      </c>
      <c r="B132" t="s">
        <v>6962</v>
      </c>
      <c r="C132" s="1">
        <v>45724</v>
      </c>
    </row>
    <row r="133" spans="1:3" x14ac:dyDescent="0.25">
      <c r="A133" t="s">
        <v>5773</v>
      </c>
      <c r="B133" t="s">
        <v>6963</v>
      </c>
      <c r="C133" s="1"/>
    </row>
    <row r="134" spans="1:3" x14ac:dyDescent="0.25">
      <c r="A134" t="s">
        <v>5774</v>
      </c>
      <c r="B134" t="s">
        <v>6962</v>
      </c>
      <c r="C134" s="1">
        <v>45786</v>
      </c>
    </row>
    <row r="135" spans="1:3" x14ac:dyDescent="0.25">
      <c r="A135" t="s">
        <v>5775</v>
      </c>
      <c r="B135" t="s">
        <v>6962</v>
      </c>
      <c r="C135" s="1">
        <v>45762</v>
      </c>
    </row>
    <row r="136" spans="1:3" x14ac:dyDescent="0.25">
      <c r="A136" t="s">
        <v>5776</v>
      </c>
      <c r="B136" t="s">
        <v>6962</v>
      </c>
      <c r="C136" s="1">
        <v>45723</v>
      </c>
    </row>
    <row r="137" spans="1:3" x14ac:dyDescent="0.25">
      <c r="A137" t="s">
        <v>5777</v>
      </c>
      <c r="B137" t="s">
        <v>6962</v>
      </c>
      <c r="C137" s="1">
        <v>45772</v>
      </c>
    </row>
    <row r="138" spans="1:3" x14ac:dyDescent="0.25">
      <c r="A138" t="s">
        <v>5778</v>
      </c>
      <c r="B138" t="s">
        <v>6962</v>
      </c>
      <c r="C138" s="1">
        <v>45733</v>
      </c>
    </row>
    <row r="139" spans="1:3" x14ac:dyDescent="0.25">
      <c r="A139" t="s">
        <v>5779</v>
      </c>
      <c r="B139" t="s">
        <v>6962</v>
      </c>
      <c r="C139" s="1">
        <v>45724</v>
      </c>
    </row>
    <row r="140" spans="1:3" x14ac:dyDescent="0.25">
      <c r="A140" t="s">
        <v>5780</v>
      </c>
      <c r="B140" t="s">
        <v>6962</v>
      </c>
      <c r="C140" s="1">
        <v>45681</v>
      </c>
    </row>
    <row r="141" spans="1:3" x14ac:dyDescent="0.25">
      <c r="A141" t="s">
        <v>5781</v>
      </c>
      <c r="B141" t="s">
        <v>6962</v>
      </c>
      <c r="C141" s="1">
        <v>45715</v>
      </c>
    </row>
    <row r="142" spans="1:3" x14ac:dyDescent="0.25">
      <c r="A142" t="s">
        <v>5782</v>
      </c>
      <c r="B142" t="s">
        <v>6962</v>
      </c>
      <c r="C142" s="1">
        <v>45798</v>
      </c>
    </row>
    <row r="143" spans="1:3" x14ac:dyDescent="0.25">
      <c r="A143" t="s">
        <v>5783</v>
      </c>
      <c r="B143" t="s">
        <v>6962</v>
      </c>
      <c r="C143" s="1">
        <v>45722</v>
      </c>
    </row>
    <row r="144" spans="1:3" x14ac:dyDescent="0.25">
      <c r="A144" t="s">
        <v>5784</v>
      </c>
      <c r="B144" t="s">
        <v>6962</v>
      </c>
      <c r="C144" s="1">
        <v>45786</v>
      </c>
    </row>
    <row r="145" spans="1:3" x14ac:dyDescent="0.25">
      <c r="A145" t="s">
        <v>5785</v>
      </c>
      <c r="B145" t="s">
        <v>6963</v>
      </c>
      <c r="C145" s="1"/>
    </row>
    <row r="146" spans="1:3" x14ac:dyDescent="0.25">
      <c r="A146" t="s">
        <v>5786</v>
      </c>
      <c r="B146" t="s">
        <v>39</v>
      </c>
      <c r="C146" s="1"/>
    </row>
    <row r="147" spans="1:3" x14ac:dyDescent="0.25">
      <c r="A147" t="s">
        <v>5787</v>
      </c>
      <c r="B147" t="s">
        <v>6962</v>
      </c>
      <c r="C147" s="1">
        <v>45723</v>
      </c>
    </row>
    <row r="148" spans="1:3" x14ac:dyDescent="0.25">
      <c r="A148" t="s">
        <v>5788</v>
      </c>
      <c r="B148" t="s">
        <v>6962</v>
      </c>
      <c r="C148" s="1">
        <v>45728</v>
      </c>
    </row>
    <row r="149" spans="1:3" x14ac:dyDescent="0.25">
      <c r="A149" t="s">
        <v>5789</v>
      </c>
      <c r="B149" t="s">
        <v>6962</v>
      </c>
      <c r="C149" s="1">
        <v>45723</v>
      </c>
    </row>
    <row r="150" spans="1:3" x14ac:dyDescent="0.25">
      <c r="A150" t="s">
        <v>5790</v>
      </c>
      <c r="B150" t="s">
        <v>6964</v>
      </c>
      <c r="C150" s="1">
        <v>45729</v>
      </c>
    </row>
    <row r="151" spans="1:3" x14ac:dyDescent="0.25">
      <c r="A151" t="s">
        <v>5791</v>
      </c>
      <c r="B151" t="s">
        <v>6962</v>
      </c>
      <c r="C151" s="1">
        <v>45722</v>
      </c>
    </row>
    <row r="152" spans="1:3" x14ac:dyDescent="0.25">
      <c r="A152" t="s">
        <v>5792</v>
      </c>
      <c r="B152" t="s">
        <v>6963</v>
      </c>
      <c r="C152" s="1"/>
    </row>
    <row r="153" spans="1:3" x14ac:dyDescent="0.25">
      <c r="A153" t="s">
        <v>5793</v>
      </c>
      <c r="B153" t="s">
        <v>6962</v>
      </c>
      <c r="C153" s="1">
        <v>45784</v>
      </c>
    </row>
    <row r="154" spans="1:3" x14ac:dyDescent="0.25">
      <c r="A154" t="s">
        <v>5794</v>
      </c>
      <c r="B154" t="s">
        <v>6962</v>
      </c>
      <c r="C154" s="1">
        <v>45702</v>
      </c>
    </row>
    <row r="155" spans="1:3" x14ac:dyDescent="0.25">
      <c r="A155" t="s">
        <v>5795</v>
      </c>
      <c r="B155" t="s">
        <v>6962</v>
      </c>
      <c r="C155" s="1">
        <v>45738</v>
      </c>
    </row>
    <row r="156" spans="1:3" x14ac:dyDescent="0.25">
      <c r="A156" t="s">
        <v>5796</v>
      </c>
      <c r="B156" t="s">
        <v>6962</v>
      </c>
      <c r="C156" s="1">
        <v>45766</v>
      </c>
    </row>
    <row r="157" spans="1:3" x14ac:dyDescent="0.25">
      <c r="A157" t="s">
        <v>5797</v>
      </c>
      <c r="B157" t="s">
        <v>6962</v>
      </c>
      <c r="C157" s="1">
        <v>45701</v>
      </c>
    </row>
    <row r="158" spans="1:3" x14ac:dyDescent="0.25">
      <c r="A158" t="s">
        <v>5798</v>
      </c>
      <c r="B158" t="s">
        <v>6962</v>
      </c>
      <c r="C158" s="1"/>
    </row>
    <row r="159" spans="1:3" x14ac:dyDescent="0.25">
      <c r="A159" t="s">
        <v>5799</v>
      </c>
      <c r="B159" t="s">
        <v>6962</v>
      </c>
      <c r="C159" s="1">
        <v>45728</v>
      </c>
    </row>
    <row r="160" spans="1:3" x14ac:dyDescent="0.25">
      <c r="A160" t="s">
        <v>5800</v>
      </c>
      <c r="B160" t="s">
        <v>6962</v>
      </c>
      <c r="C160" s="1">
        <v>45734</v>
      </c>
    </row>
    <row r="161" spans="1:3" x14ac:dyDescent="0.25">
      <c r="A161" t="s">
        <v>5801</v>
      </c>
      <c r="B161" t="s">
        <v>6962</v>
      </c>
      <c r="C161" s="1">
        <v>45734</v>
      </c>
    </row>
    <row r="162" spans="1:3" x14ac:dyDescent="0.25">
      <c r="A162" t="s">
        <v>5802</v>
      </c>
      <c r="B162" t="s">
        <v>6962</v>
      </c>
      <c r="C162" s="1">
        <v>45793</v>
      </c>
    </row>
    <row r="163" spans="1:3" x14ac:dyDescent="0.25">
      <c r="A163" t="s">
        <v>5803</v>
      </c>
      <c r="B163" t="s">
        <v>6962</v>
      </c>
      <c r="C163" s="1">
        <v>45797</v>
      </c>
    </row>
    <row r="164" spans="1:3" x14ac:dyDescent="0.25">
      <c r="A164" t="s">
        <v>5804</v>
      </c>
      <c r="B164" t="s">
        <v>6962</v>
      </c>
      <c r="C164" s="1">
        <v>45728</v>
      </c>
    </row>
    <row r="165" spans="1:3" x14ac:dyDescent="0.25">
      <c r="A165" t="s">
        <v>5805</v>
      </c>
      <c r="B165" t="s">
        <v>6962</v>
      </c>
      <c r="C165" s="1">
        <v>45681</v>
      </c>
    </row>
    <row r="166" spans="1:3" x14ac:dyDescent="0.25">
      <c r="A166" t="s">
        <v>5806</v>
      </c>
      <c r="B166" t="s">
        <v>6962</v>
      </c>
      <c r="C166" s="1">
        <v>45707</v>
      </c>
    </row>
    <row r="167" spans="1:3" x14ac:dyDescent="0.25">
      <c r="A167" t="s">
        <v>5807</v>
      </c>
      <c r="B167" t="s">
        <v>6962</v>
      </c>
      <c r="C167" s="1">
        <v>45768</v>
      </c>
    </row>
    <row r="168" spans="1:3" x14ac:dyDescent="0.25">
      <c r="A168" t="s">
        <v>5808</v>
      </c>
      <c r="B168" t="s">
        <v>6962</v>
      </c>
      <c r="C168" s="1">
        <v>45777</v>
      </c>
    </row>
    <row r="169" spans="1:3" x14ac:dyDescent="0.25">
      <c r="A169" t="s">
        <v>5809</v>
      </c>
      <c r="B169" t="s">
        <v>6962</v>
      </c>
      <c r="C169" s="1">
        <v>45985</v>
      </c>
    </row>
    <row r="170" spans="1:3" x14ac:dyDescent="0.25">
      <c r="A170" t="s">
        <v>5810</v>
      </c>
      <c r="B170" t="s">
        <v>6962</v>
      </c>
      <c r="C170" s="1">
        <v>45764</v>
      </c>
    </row>
    <row r="171" spans="1:3" x14ac:dyDescent="0.25">
      <c r="A171" t="s">
        <v>5811</v>
      </c>
      <c r="B171" t="s">
        <v>6962</v>
      </c>
      <c r="C171" s="1">
        <v>45985</v>
      </c>
    </row>
    <row r="172" spans="1:3" x14ac:dyDescent="0.25">
      <c r="A172" t="s">
        <v>5812</v>
      </c>
      <c r="B172" t="s">
        <v>6962</v>
      </c>
      <c r="C172" s="1">
        <v>45740</v>
      </c>
    </row>
    <row r="173" spans="1:3" x14ac:dyDescent="0.25">
      <c r="A173" t="s">
        <v>5813</v>
      </c>
      <c r="B173" t="s">
        <v>6962</v>
      </c>
      <c r="C173" s="1">
        <v>45721</v>
      </c>
    </row>
    <row r="174" spans="1:3" x14ac:dyDescent="0.25">
      <c r="A174" t="s">
        <v>5814</v>
      </c>
      <c r="B174" t="s">
        <v>6962</v>
      </c>
      <c r="C174" s="1">
        <v>45751</v>
      </c>
    </row>
    <row r="175" spans="1:3" x14ac:dyDescent="0.25">
      <c r="A175" t="s">
        <v>5815</v>
      </c>
      <c r="B175" t="s">
        <v>6962</v>
      </c>
      <c r="C175" s="1">
        <v>45705</v>
      </c>
    </row>
    <row r="176" spans="1:3" x14ac:dyDescent="0.25">
      <c r="A176" t="s">
        <v>5816</v>
      </c>
      <c r="B176" t="s">
        <v>6963</v>
      </c>
      <c r="C176" s="1"/>
    </row>
    <row r="177" spans="1:3" x14ac:dyDescent="0.25">
      <c r="A177" t="s">
        <v>5817</v>
      </c>
      <c r="B177" t="s">
        <v>6962</v>
      </c>
      <c r="C177" s="1">
        <v>45717</v>
      </c>
    </row>
    <row r="178" spans="1:3" x14ac:dyDescent="0.25">
      <c r="A178" t="s">
        <v>5818</v>
      </c>
      <c r="B178" t="s">
        <v>39</v>
      </c>
      <c r="C178" s="1"/>
    </row>
    <row r="179" spans="1:3" x14ac:dyDescent="0.25">
      <c r="A179" t="s">
        <v>5819</v>
      </c>
      <c r="B179" t="s">
        <v>6962</v>
      </c>
      <c r="C179" s="1">
        <v>45740</v>
      </c>
    </row>
    <row r="180" spans="1:3" x14ac:dyDescent="0.25">
      <c r="A180" t="s">
        <v>5820</v>
      </c>
      <c r="B180" t="s">
        <v>6962</v>
      </c>
      <c r="C180" s="1"/>
    </row>
    <row r="181" spans="1:3" x14ac:dyDescent="0.25">
      <c r="A181" t="s">
        <v>5821</v>
      </c>
      <c r="B181" t="s">
        <v>6962</v>
      </c>
      <c r="C181" s="1">
        <v>45735</v>
      </c>
    </row>
    <row r="182" spans="1:3" x14ac:dyDescent="0.25">
      <c r="A182" t="s">
        <v>5822</v>
      </c>
      <c r="B182" t="s">
        <v>6963</v>
      </c>
      <c r="C182" s="1"/>
    </row>
    <row r="183" spans="1:3" x14ac:dyDescent="0.25">
      <c r="A183" t="s">
        <v>5823</v>
      </c>
      <c r="B183" t="s">
        <v>6963</v>
      </c>
      <c r="C183" s="1"/>
    </row>
    <row r="184" spans="1:3" x14ac:dyDescent="0.25">
      <c r="A184" t="s">
        <v>5824</v>
      </c>
      <c r="B184" t="s">
        <v>6962</v>
      </c>
      <c r="C184" s="1">
        <v>45713</v>
      </c>
    </row>
    <row r="185" spans="1:3" x14ac:dyDescent="0.25">
      <c r="A185" t="s">
        <v>5825</v>
      </c>
      <c r="B185" t="s">
        <v>39</v>
      </c>
      <c r="C185" s="1"/>
    </row>
    <row r="186" spans="1:3" x14ac:dyDescent="0.25">
      <c r="A186" t="s">
        <v>5826</v>
      </c>
      <c r="B186" t="s">
        <v>6962</v>
      </c>
      <c r="C186" s="1">
        <v>45727</v>
      </c>
    </row>
    <row r="187" spans="1:3" x14ac:dyDescent="0.25">
      <c r="A187" t="s">
        <v>5827</v>
      </c>
      <c r="B187" t="s">
        <v>6963</v>
      </c>
      <c r="C187" s="1"/>
    </row>
    <row r="188" spans="1:3" x14ac:dyDescent="0.25">
      <c r="A188" t="s">
        <v>5828</v>
      </c>
      <c r="B188" t="s">
        <v>6962</v>
      </c>
      <c r="C188" s="1">
        <v>45723</v>
      </c>
    </row>
    <row r="189" spans="1:3" x14ac:dyDescent="0.25">
      <c r="A189" t="s">
        <v>5829</v>
      </c>
      <c r="B189" t="s">
        <v>6962</v>
      </c>
      <c r="C189" s="1">
        <v>45735</v>
      </c>
    </row>
    <row r="190" spans="1:3" x14ac:dyDescent="0.25">
      <c r="A190" t="s">
        <v>5830</v>
      </c>
      <c r="B190" t="s">
        <v>6962</v>
      </c>
      <c r="C190" s="1">
        <v>45681</v>
      </c>
    </row>
    <row r="191" spans="1:3" x14ac:dyDescent="0.25">
      <c r="A191" t="s">
        <v>5831</v>
      </c>
      <c r="B191" t="s">
        <v>6963</v>
      </c>
      <c r="C191" s="1"/>
    </row>
    <row r="192" spans="1:3" x14ac:dyDescent="0.25">
      <c r="A192" t="s">
        <v>5832</v>
      </c>
      <c r="B192" t="s">
        <v>6962</v>
      </c>
      <c r="C192" s="1">
        <v>45749</v>
      </c>
    </row>
    <row r="193" spans="1:3" x14ac:dyDescent="0.25">
      <c r="A193" t="s">
        <v>5833</v>
      </c>
      <c r="B193" t="s">
        <v>39</v>
      </c>
      <c r="C193" s="1"/>
    </row>
    <row r="194" spans="1:3" x14ac:dyDescent="0.25">
      <c r="A194" t="s">
        <v>5834</v>
      </c>
      <c r="B194" t="s">
        <v>6963</v>
      </c>
      <c r="C194" s="1"/>
    </row>
    <row r="195" spans="1:3" x14ac:dyDescent="0.25">
      <c r="A195" t="s">
        <v>5835</v>
      </c>
      <c r="B195" t="s">
        <v>6962</v>
      </c>
      <c r="C195" s="1">
        <v>45736</v>
      </c>
    </row>
    <row r="196" spans="1:3" x14ac:dyDescent="0.25">
      <c r="A196" t="s">
        <v>5836</v>
      </c>
      <c r="B196" t="s">
        <v>6962</v>
      </c>
      <c r="C196" s="1">
        <v>45741</v>
      </c>
    </row>
    <row r="197" spans="1:3" x14ac:dyDescent="0.25">
      <c r="A197" t="s">
        <v>5837</v>
      </c>
      <c r="B197" t="s">
        <v>6962</v>
      </c>
      <c r="C197" s="1">
        <v>45784</v>
      </c>
    </row>
    <row r="198" spans="1:3" x14ac:dyDescent="0.25">
      <c r="A198" t="s">
        <v>5838</v>
      </c>
      <c r="B198" t="s">
        <v>6962</v>
      </c>
      <c r="C198" s="1">
        <v>45742</v>
      </c>
    </row>
    <row r="199" spans="1:3" x14ac:dyDescent="0.25">
      <c r="A199" t="s">
        <v>5839</v>
      </c>
      <c r="B199" t="s">
        <v>6962</v>
      </c>
      <c r="C199" s="1">
        <v>45734</v>
      </c>
    </row>
    <row r="200" spans="1:3" x14ac:dyDescent="0.25">
      <c r="A200" t="s">
        <v>5840</v>
      </c>
      <c r="B200" t="s">
        <v>6962</v>
      </c>
      <c r="C200" s="1">
        <v>45727</v>
      </c>
    </row>
    <row r="201" spans="1:3" x14ac:dyDescent="0.25">
      <c r="A201" t="s">
        <v>5841</v>
      </c>
      <c r="B201" t="s">
        <v>39</v>
      </c>
      <c r="C201" s="1"/>
    </row>
    <row r="202" spans="1:3" x14ac:dyDescent="0.25">
      <c r="A202" t="s">
        <v>5842</v>
      </c>
      <c r="B202" t="s">
        <v>6962</v>
      </c>
      <c r="C202" s="1">
        <v>45734</v>
      </c>
    </row>
    <row r="203" spans="1:3" x14ac:dyDescent="0.25">
      <c r="A203" t="s">
        <v>5843</v>
      </c>
      <c r="B203" t="s">
        <v>39</v>
      </c>
      <c r="C203" s="1"/>
    </row>
    <row r="204" spans="1:3" x14ac:dyDescent="0.25">
      <c r="A204" t="s">
        <v>5844</v>
      </c>
      <c r="B204" t="s">
        <v>6962</v>
      </c>
      <c r="C204" s="1">
        <v>45737</v>
      </c>
    </row>
    <row r="205" spans="1:3" x14ac:dyDescent="0.25">
      <c r="A205" t="s">
        <v>5845</v>
      </c>
      <c r="B205" t="s">
        <v>6962</v>
      </c>
      <c r="C205" s="1">
        <v>45683</v>
      </c>
    </row>
    <row r="206" spans="1:3" x14ac:dyDescent="0.25">
      <c r="A206" t="s">
        <v>5815</v>
      </c>
      <c r="B206" t="s">
        <v>6962</v>
      </c>
      <c r="C206" s="1">
        <v>45985</v>
      </c>
    </row>
    <row r="207" spans="1:3" x14ac:dyDescent="0.25">
      <c r="A207" t="s">
        <v>5846</v>
      </c>
      <c r="B207" t="s">
        <v>6962</v>
      </c>
      <c r="C207" s="1">
        <v>45688</v>
      </c>
    </row>
    <row r="208" spans="1:3" x14ac:dyDescent="0.25">
      <c r="A208" t="s">
        <v>5815</v>
      </c>
      <c r="B208" t="s">
        <v>39</v>
      </c>
      <c r="C208" s="1"/>
    </row>
    <row r="209" spans="1:3" x14ac:dyDescent="0.25">
      <c r="A209" t="s">
        <v>5827</v>
      </c>
      <c r="B209" t="s">
        <v>6963</v>
      </c>
      <c r="C209" s="1"/>
    </row>
    <row r="210" spans="1:3" x14ac:dyDescent="0.25">
      <c r="A210" t="s">
        <v>5827</v>
      </c>
      <c r="B210" t="s">
        <v>6963</v>
      </c>
      <c r="C210" s="1"/>
    </row>
    <row r="211" spans="1:3" x14ac:dyDescent="0.25">
      <c r="A211" t="s">
        <v>5827</v>
      </c>
      <c r="B211" t="s">
        <v>39</v>
      </c>
      <c r="C211" s="1"/>
    </row>
    <row r="212" spans="1:3" x14ac:dyDescent="0.25">
      <c r="A212" t="s">
        <v>5827</v>
      </c>
      <c r="B212" t="s">
        <v>6962</v>
      </c>
      <c r="C212" s="1">
        <v>45756</v>
      </c>
    </row>
    <row r="213" spans="1:3" x14ac:dyDescent="0.25">
      <c r="A213" t="s">
        <v>5847</v>
      </c>
      <c r="B213" t="s">
        <v>6962</v>
      </c>
      <c r="C213" s="1">
        <v>45685</v>
      </c>
    </row>
    <row r="214" spans="1:3" x14ac:dyDescent="0.25">
      <c r="A214" t="s">
        <v>5848</v>
      </c>
      <c r="B214" t="s">
        <v>6962</v>
      </c>
      <c r="C214" s="1">
        <v>45985</v>
      </c>
    </row>
    <row r="215" spans="1:3" x14ac:dyDescent="0.25">
      <c r="A215" t="s">
        <v>5849</v>
      </c>
      <c r="B215" t="s">
        <v>39</v>
      </c>
      <c r="C215" s="1"/>
    </row>
    <row r="216" spans="1:3" x14ac:dyDescent="0.25">
      <c r="A216" t="s">
        <v>5836</v>
      </c>
      <c r="B216" t="s">
        <v>6963</v>
      </c>
      <c r="C216" s="1"/>
    </row>
    <row r="217" spans="1:3" x14ac:dyDescent="0.25">
      <c r="A217" t="s">
        <v>5836</v>
      </c>
      <c r="B217" t="s">
        <v>6963</v>
      </c>
      <c r="C217" s="1"/>
    </row>
    <row r="218" spans="1:3" x14ac:dyDescent="0.25">
      <c r="A218" t="s">
        <v>5836</v>
      </c>
      <c r="B218" t="s">
        <v>6963</v>
      </c>
      <c r="C218" s="1"/>
    </row>
    <row r="219" spans="1:3" x14ac:dyDescent="0.25">
      <c r="A219" t="s">
        <v>5836</v>
      </c>
      <c r="B219" t="s">
        <v>6963</v>
      </c>
      <c r="C219" s="1"/>
    </row>
    <row r="220" spans="1:3" x14ac:dyDescent="0.25">
      <c r="A220" t="s">
        <v>5850</v>
      </c>
      <c r="B220" t="s">
        <v>6962</v>
      </c>
      <c r="C220" s="1">
        <v>45985</v>
      </c>
    </row>
    <row r="221" spans="1:3" x14ac:dyDescent="0.25">
      <c r="A221" t="s">
        <v>5851</v>
      </c>
      <c r="B221" t="s">
        <v>39</v>
      </c>
      <c r="C221" s="1"/>
    </row>
    <row r="222" spans="1:3" x14ac:dyDescent="0.25">
      <c r="A222" t="s">
        <v>5852</v>
      </c>
      <c r="B222" t="s">
        <v>6962</v>
      </c>
      <c r="C222" s="1">
        <v>45692</v>
      </c>
    </row>
    <row r="223" spans="1:3" x14ac:dyDescent="0.25">
      <c r="A223" t="s">
        <v>5853</v>
      </c>
      <c r="B223" t="s">
        <v>6963</v>
      </c>
      <c r="C223" s="1"/>
    </row>
    <row r="224" spans="1:3" x14ac:dyDescent="0.25">
      <c r="A224" t="s">
        <v>5854</v>
      </c>
      <c r="B224" t="s">
        <v>6962</v>
      </c>
      <c r="C224" s="1">
        <v>45769</v>
      </c>
    </row>
    <row r="225" spans="1:3" x14ac:dyDescent="0.25">
      <c r="A225" t="s">
        <v>5855</v>
      </c>
      <c r="B225" t="s">
        <v>39</v>
      </c>
      <c r="C225" s="1"/>
    </row>
    <row r="226" spans="1:3" x14ac:dyDescent="0.25">
      <c r="A226" t="s">
        <v>5856</v>
      </c>
      <c r="B226" t="s">
        <v>6962</v>
      </c>
      <c r="C226" s="1">
        <v>45688</v>
      </c>
    </row>
    <row r="227" spans="1:3" x14ac:dyDescent="0.25">
      <c r="A227" t="s">
        <v>5857</v>
      </c>
      <c r="B227" t="s">
        <v>6962</v>
      </c>
      <c r="C227" s="1">
        <v>45716</v>
      </c>
    </row>
    <row r="228" spans="1:3" x14ac:dyDescent="0.25">
      <c r="A228" t="s">
        <v>5858</v>
      </c>
      <c r="B228" t="s">
        <v>6962</v>
      </c>
      <c r="C228" s="1">
        <v>45710</v>
      </c>
    </row>
    <row r="229" spans="1:3" x14ac:dyDescent="0.25">
      <c r="A229" t="s">
        <v>5859</v>
      </c>
      <c r="B229" t="s">
        <v>39</v>
      </c>
      <c r="C229" s="1"/>
    </row>
    <row r="230" spans="1:3" x14ac:dyDescent="0.25">
      <c r="A230" t="s">
        <v>5860</v>
      </c>
      <c r="B230" t="s">
        <v>6962</v>
      </c>
      <c r="C230" s="1">
        <v>45691</v>
      </c>
    </row>
    <row r="231" spans="1:3" x14ac:dyDescent="0.25">
      <c r="A231" t="s">
        <v>5861</v>
      </c>
      <c r="B231" t="s">
        <v>6962</v>
      </c>
      <c r="C231" s="1">
        <v>45726</v>
      </c>
    </row>
    <row r="232" spans="1:3" x14ac:dyDescent="0.25">
      <c r="A232" t="s">
        <v>5862</v>
      </c>
      <c r="B232" t="s">
        <v>6962</v>
      </c>
      <c r="C232" s="1">
        <v>45728</v>
      </c>
    </row>
    <row r="233" spans="1:3" x14ac:dyDescent="0.25">
      <c r="A233" t="s">
        <v>5863</v>
      </c>
      <c r="B233" t="s">
        <v>6962</v>
      </c>
      <c r="C233" s="1">
        <v>45750</v>
      </c>
    </row>
    <row r="234" spans="1:3" x14ac:dyDescent="0.25">
      <c r="A234" t="s">
        <v>5864</v>
      </c>
      <c r="B234" t="s">
        <v>6962</v>
      </c>
      <c r="C234" s="1">
        <v>45702</v>
      </c>
    </row>
    <row r="235" spans="1:3" x14ac:dyDescent="0.25">
      <c r="A235" t="s">
        <v>5865</v>
      </c>
      <c r="B235" t="s">
        <v>6962</v>
      </c>
      <c r="C235" s="1">
        <v>45771</v>
      </c>
    </row>
    <row r="236" spans="1:3" x14ac:dyDescent="0.25">
      <c r="A236" t="s">
        <v>5866</v>
      </c>
      <c r="B236" t="s">
        <v>6962</v>
      </c>
      <c r="C236" s="1">
        <v>45738</v>
      </c>
    </row>
    <row r="237" spans="1:3" x14ac:dyDescent="0.25">
      <c r="A237" t="s">
        <v>5867</v>
      </c>
      <c r="B237" t="s">
        <v>6962</v>
      </c>
      <c r="C237" s="1">
        <v>45729</v>
      </c>
    </row>
    <row r="238" spans="1:3" x14ac:dyDescent="0.25">
      <c r="A238" t="s">
        <v>5868</v>
      </c>
      <c r="B238" t="s">
        <v>6962</v>
      </c>
      <c r="C238" s="1">
        <v>45743</v>
      </c>
    </row>
    <row r="239" spans="1:3" x14ac:dyDescent="0.25">
      <c r="A239" t="s">
        <v>5869</v>
      </c>
      <c r="B239" t="s">
        <v>6962</v>
      </c>
      <c r="C239" s="1">
        <v>45724</v>
      </c>
    </row>
    <row r="240" spans="1:3" x14ac:dyDescent="0.25">
      <c r="A240" t="s">
        <v>5870</v>
      </c>
      <c r="B240" t="s">
        <v>6962</v>
      </c>
      <c r="C240" s="1">
        <v>45698</v>
      </c>
    </row>
    <row r="241" spans="1:3" x14ac:dyDescent="0.25">
      <c r="A241" t="s">
        <v>5871</v>
      </c>
      <c r="B241" t="s">
        <v>6962</v>
      </c>
      <c r="C241" s="1">
        <v>45751</v>
      </c>
    </row>
    <row r="242" spans="1:3" x14ac:dyDescent="0.25">
      <c r="A242" t="s">
        <v>5872</v>
      </c>
      <c r="B242" t="s">
        <v>6962</v>
      </c>
      <c r="C242" s="1">
        <v>45686</v>
      </c>
    </row>
    <row r="243" spans="1:3" x14ac:dyDescent="0.25">
      <c r="A243" t="s">
        <v>5873</v>
      </c>
      <c r="B243" t="s">
        <v>6962</v>
      </c>
      <c r="C243" s="1">
        <v>45769</v>
      </c>
    </row>
    <row r="244" spans="1:3" x14ac:dyDescent="0.25">
      <c r="A244" t="s">
        <v>5874</v>
      </c>
      <c r="B244" t="s">
        <v>6962</v>
      </c>
      <c r="C244" s="1">
        <v>45726</v>
      </c>
    </row>
    <row r="245" spans="1:3" x14ac:dyDescent="0.25">
      <c r="A245" t="s">
        <v>5875</v>
      </c>
      <c r="B245" t="s">
        <v>6962</v>
      </c>
      <c r="C245" s="1">
        <v>45741</v>
      </c>
    </row>
    <row r="246" spans="1:3" x14ac:dyDescent="0.25">
      <c r="A246" t="s">
        <v>5876</v>
      </c>
      <c r="B246" t="s">
        <v>6962</v>
      </c>
      <c r="C246" s="1">
        <v>45702</v>
      </c>
    </row>
    <row r="247" spans="1:3" x14ac:dyDescent="0.25">
      <c r="A247" t="s">
        <v>5877</v>
      </c>
      <c r="B247" t="s">
        <v>6962</v>
      </c>
      <c r="C247" s="1">
        <v>45686</v>
      </c>
    </row>
    <row r="248" spans="1:3" x14ac:dyDescent="0.25">
      <c r="A248" t="s">
        <v>5878</v>
      </c>
      <c r="B248" t="s">
        <v>6962</v>
      </c>
      <c r="C248" s="1">
        <v>45742</v>
      </c>
    </row>
    <row r="249" spans="1:3" x14ac:dyDescent="0.25">
      <c r="A249" t="s">
        <v>5879</v>
      </c>
      <c r="B249" t="s">
        <v>6962</v>
      </c>
      <c r="C249" s="1">
        <v>45686</v>
      </c>
    </row>
    <row r="250" spans="1:3" x14ac:dyDescent="0.25">
      <c r="A250" t="s">
        <v>5880</v>
      </c>
      <c r="B250" t="s">
        <v>6962</v>
      </c>
      <c r="C250" s="1">
        <v>45700</v>
      </c>
    </row>
    <row r="251" spans="1:3" x14ac:dyDescent="0.25">
      <c r="A251" t="s">
        <v>5881</v>
      </c>
      <c r="B251" t="s">
        <v>6962</v>
      </c>
      <c r="C251" s="1">
        <v>45727</v>
      </c>
    </row>
    <row r="252" spans="1:3" x14ac:dyDescent="0.25">
      <c r="A252" t="s">
        <v>5882</v>
      </c>
      <c r="B252" t="s">
        <v>6962</v>
      </c>
      <c r="C252" s="1">
        <v>45724</v>
      </c>
    </row>
    <row r="253" spans="1:3" x14ac:dyDescent="0.25">
      <c r="A253" t="s">
        <v>5883</v>
      </c>
      <c r="B253" t="s">
        <v>39</v>
      </c>
      <c r="C253" s="1"/>
    </row>
    <row r="254" spans="1:3" x14ac:dyDescent="0.25">
      <c r="A254" t="s">
        <v>5884</v>
      </c>
      <c r="B254" t="s">
        <v>6963</v>
      </c>
      <c r="C254" s="1"/>
    </row>
    <row r="255" spans="1:3" x14ac:dyDescent="0.25">
      <c r="A255" t="s">
        <v>5885</v>
      </c>
      <c r="B255" t="s">
        <v>6962</v>
      </c>
      <c r="C255" s="1">
        <v>45735</v>
      </c>
    </row>
    <row r="256" spans="1:3" x14ac:dyDescent="0.25">
      <c r="A256" t="s">
        <v>5886</v>
      </c>
      <c r="B256" t="s">
        <v>6962</v>
      </c>
      <c r="C256" s="1">
        <v>45769</v>
      </c>
    </row>
    <row r="257" spans="1:3" x14ac:dyDescent="0.25">
      <c r="A257" t="s">
        <v>5887</v>
      </c>
      <c r="B257" t="s">
        <v>6962</v>
      </c>
      <c r="C257" s="1">
        <v>45737</v>
      </c>
    </row>
    <row r="258" spans="1:3" x14ac:dyDescent="0.25">
      <c r="A258" t="s">
        <v>5888</v>
      </c>
      <c r="B258" t="s">
        <v>6963</v>
      </c>
      <c r="C258" s="1"/>
    </row>
    <row r="259" spans="1:3" x14ac:dyDescent="0.25">
      <c r="A259" t="s">
        <v>5889</v>
      </c>
      <c r="B259" t="s">
        <v>6962</v>
      </c>
      <c r="C259" s="1">
        <v>45719</v>
      </c>
    </row>
    <row r="260" spans="1:3" x14ac:dyDescent="0.25">
      <c r="A260" t="s">
        <v>5890</v>
      </c>
      <c r="B260" t="s">
        <v>6962</v>
      </c>
      <c r="C260" s="1">
        <v>45723</v>
      </c>
    </row>
    <row r="261" spans="1:3" x14ac:dyDescent="0.25">
      <c r="A261" t="s">
        <v>5891</v>
      </c>
      <c r="B261" t="s">
        <v>6962</v>
      </c>
      <c r="C261" s="1">
        <v>45723</v>
      </c>
    </row>
    <row r="262" spans="1:3" x14ac:dyDescent="0.25">
      <c r="A262" t="s">
        <v>5892</v>
      </c>
      <c r="B262" t="s">
        <v>6962</v>
      </c>
      <c r="C262" s="1">
        <v>45720</v>
      </c>
    </row>
    <row r="263" spans="1:3" x14ac:dyDescent="0.25">
      <c r="A263" t="s">
        <v>5893</v>
      </c>
      <c r="B263" t="s">
        <v>6962</v>
      </c>
      <c r="C263" s="1">
        <v>45825</v>
      </c>
    </row>
    <row r="264" spans="1:3" x14ac:dyDescent="0.25">
      <c r="A264" t="s">
        <v>5894</v>
      </c>
      <c r="B264" t="s">
        <v>6962</v>
      </c>
      <c r="C264" s="1">
        <v>45801</v>
      </c>
    </row>
    <row r="265" spans="1:3" x14ac:dyDescent="0.25">
      <c r="A265" t="s">
        <v>5895</v>
      </c>
      <c r="B265" t="s">
        <v>6962</v>
      </c>
      <c r="C265" s="1">
        <v>45734</v>
      </c>
    </row>
    <row r="266" spans="1:3" x14ac:dyDescent="0.25">
      <c r="A266" t="s">
        <v>5896</v>
      </c>
      <c r="B266" t="s">
        <v>6962</v>
      </c>
      <c r="C266" s="1">
        <v>45693</v>
      </c>
    </row>
    <row r="267" spans="1:3" x14ac:dyDescent="0.25">
      <c r="A267" t="s">
        <v>5897</v>
      </c>
      <c r="B267" t="s">
        <v>6962</v>
      </c>
      <c r="C267" s="1">
        <v>45765</v>
      </c>
    </row>
    <row r="268" spans="1:3" x14ac:dyDescent="0.25">
      <c r="A268" t="s">
        <v>5898</v>
      </c>
      <c r="B268" t="s">
        <v>6962</v>
      </c>
      <c r="C268" s="1">
        <v>45688</v>
      </c>
    </row>
    <row r="269" spans="1:3" x14ac:dyDescent="0.25">
      <c r="A269" t="s">
        <v>5899</v>
      </c>
      <c r="B269" t="s">
        <v>6962</v>
      </c>
      <c r="C269" s="1">
        <v>45757</v>
      </c>
    </row>
    <row r="270" spans="1:3" x14ac:dyDescent="0.25">
      <c r="A270" t="s">
        <v>5900</v>
      </c>
      <c r="B270" t="s">
        <v>6962</v>
      </c>
      <c r="C270" s="1">
        <v>45743</v>
      </c>
    </row>
    <row r="271" spans="1:3" x14ac:dyDescent="0.25">
      <c r="A271" t="s">
        <v>5901</v>
      </c>
      <c r="B271" t="s">
        <v>6962</v>
      </c>
      <c r="C271" s="1">
        <v>45761</v>
      </c>
    </row>
    <row r="272" spans="1:3" x14ac:dyDescent="0.25">
      <c r="A272" t="s">
        <v>5902</v>
      </c>
      <c r="B272" t="s">
        <v>6962</v>
      </c>
      <c r="C272" s="1">
        <v>45719</v>
      </c>
    </row>
    <row r="273" spans="1:3" x14ac:dyDescent="0.25">
      <c r="A273" t="s">
        <v>5903</v>
      </c>
      <c r="B273" t="s">
        <v>6962</v>
      </c>
      <c r="C273" s="1">
        <v>45734</v>
      </c>
    </row>
    <row r="274" spans="1:3" x14ac:dyDescent="0.25">
      <c r="A274" t="s">
        <v>5904</v>
      </c>
      <c r="B274" t="s">
        <v>6962</v>
      </c>
      <c r="C274" s="1">
        <v>45702</v>
      </c>
    </row>
    <row r="275" spans="1:3" x14ac:dyDescent="0.25">
      <c r="A275" t="s">
        <v>5905</v>
      </c>
      <c r="B275" t="s">
        <v>6962</v>
      </c>
      <c r="C275" s="1">
        <v>45736</v>
      </c>
    </row>
    <row r="276" spans="1:3" x14ac:dyDescent="0.25">
      <c r="A276" t="s">
        <v>5906</v>
      </c>
      <c r="B276" t="s">
        <v>6962</v>
      </c>
      <c r="C276" s="1">
        <v>45734</v>
      </c>
    </row>
    <row r="277" spans="1:3" x14ac:dyDescent="0.25">
      <c r="A277" t="s">
        <v>5907</v>
      </c>
      <c r="B277" t="s">
        <v>6962</v>
      </c>
      <c r="C277" s="1">
        <v>45727</v>
      </c>
    </row>
    <row r="278" spans="1:3" x14ac:dyDescent="0.25">
      <c r="A278" t="s">
        <v>5908</v>
      </c>
      <c r="B278" t="s">
        <v>6962</v>
      </c>
      <c r="C278" s="1">
        <v>45721</v>
      </c>
    </row>
    <row r="279" spans="1:3" x14ac:dyDescent="0.25">
      <c r="A279" t="s">
        <v>5908</v>
      </c>
      <c r="B279" t="s">
        <v>6962</v>
      </c>
      <c r="C279" s="1">
        <v>45985</v>
      </c>
    </row>
    <row r="280" spans="1:3" x14ac:dyDescent="0.25">
      <c r="A280" t="s">
        <v>5909</v>
      </c>
      <c r="B280" t="s">
        <v>6962</v>
      </c>
      <c r="C280" s="1">
        <v>45750</v>
      </c>
    </row>
    <row r="281" spans="1:3" x14ac:dyDescent="0.25">
      <c r="A281" t="s">
        <v>5910</v>
      </c>
      <c r="B281" t="s">
        <v>6962</v>
      </c>
      <c r="C281" s="1"/>
    </row>
    <row r="282" spans="1:3" x14ac:dyDescent="0.25">
      <c r="A282" t="s">
        <v>5911</v>
      </c>
      <c r="B282" t="s">
        <v>6962</v>
      </c>
      <c r="C282" s="1">
        <v>45726</v>
      </c>
    </row>
    <row r="283" spans="1:3" x14ac:dyDescent="0.25">
      <c r="A283" t="s">
        <v>5912</v>
      </c>
      <c r="B283" t="s">
        <v>6962</v>
      </c>
      <c r="C283" s="1">
        <v>45698</v>
      </c>
    </row>
    <row r="284" spans="1:3" x14ac:dyDescent="0.25">
      <c r="A284" t="s">
        <v>5913</v>
      </c>
      <c r="B284" t="s">
        <v>6962</v>
      </c>
      <c r="C284" s="1">
        <v>45756</v>
      </c>
    </row>
    <row r="285" spans="1:3" x14ac:dyDescent="0.25">
      <c r="A285" t="s">
        <v>5914</v>
      </c>
      <c r="B285" t="s">
        <v>6962</v>
      </c>
      <c r="C285" s="1">
        <v>45700</v>
      </c>
    </row>
    <row r="286" spans="1:3" x14ac:dyDescent="0.25">
      <c r="A286" t="s">
        <v>5915</v>
      </c>
      <c r="B286" t="s">
        <v>39</v>
      </c>
      <c r="C286" s="1"/>
    </row>
    <row r="287" spans="1:3" x14ac:dyDescent="0.25">
      <c r="A287" t="s">
        <v>5916</v>
      </c>
      <c r="B287" t="s">
        <v>39</v>
      </c>
      <c r="C287" s="1"/>
    </row>
    <row r="288" spans="1:3" x14ac:dyDescent="0.25">
      <c r="A288" t="s">
        <v>5917</v>
      </c>
      <c r="B288" t="s">
        <v>6962</v>
      </c>
      <c r="C288" s="1">
        <v>45777</v>
      </c>
    </row>
    <row r="289" spans="1:3" x14ac:dyDescent="0.25">
      <c r="A289" t="s">
        <v>5918</v>
      </c>
      <c r="B289" t="s">
        <v>6962</v>
      </c>
      <c r="C289" s="1">
        <v>45750</v>
      </c>
    </row>
    <row r="290" spans="1:3" x14ac:dyDescent="0.25">
      <c r="A290" t="s">
        <v>5919</v>
      </c>
      <c r="B290" t="s">
        <v>39</v>
      </c>
      <c r="C290" s="1"/>
    </row>
    <row r="291" spans="1:3" x14ac:dyDescent="0.25">
      <c r="A291" t="s">
        <v>5920</v>
      </c>
      <c r="B291" t="s">
        <v>6962</v>
      </c>
      <c r="C291" s="1">
        <v>45784</v>
      </c>
    </row>
    <row r="292" spans="1:3" x14ac:dyDescent="0.25">
      <c r="A292" t="s">
        <v>5921</v>
      </c>
      <c r="B292" t="s">
        <v>6963</v>
      </c>
      <c r="C292" s="1"/>
    </row>
    <row r="293" spans="1:3" x14ac:dyDescent="0.25">
      <c r="A293" t="s">
        <v>5922</v>
      </c>
      <c r="B293" t="s">
        <v>6962</v>
      </c>
      <c r="C293" s="1">
        <v>45721</v>
      </c>
    </row>
    <row r="294" spans="1:3" x14ac:dyDescent="0.25">
      <c r="A294" t="s">
        <v>5923</v>
      </c>
      <c r="B294" t="s">
        <v>6962</v>
      </c>
      <c r="C294" s="1">
        <v>45719</v>
      </c>
    </row>
    <row r="295" spans="1:3" x14ac:dyDescent="0.25">
      <c r="A295" t="s">
        <v>5924</v>
      </c>
      <c r="B295" t="s">
        <v>6962</v>
      </c>
      <c r="C295" s="1">
        <v>45717</v>
      </c>
    </row>
    <row r="296" spans="1:3" x14ac:dyDescent="0.25">
      <c r="A296" t="s">
        <v>5925</v>
      </c>
      <c r="B296" t="s">
        <v>6962</v>
      </c>
      <c r="C296" s="1">
        <v>45757</v>
      </c>
    </row>
    <row r="297" spans="1:3" x14ac:dyDescent="0.25">
      <c r="A297" t="s">
        <v>5926</v>
      </c>
      <c r="B297" t="s">
        <v>6962</v>
      </c>
      <c r="C297" s="1">
        <v>45746</v>
      </c>
    </row>
    <row r="298" spans="1:3" x14ac:dyDescent="0.25">
      <c r="A298" t="s">
        <v>5927</v>
      </c>
      <c r="B298" t="s">
        <v>6962</v>
      </c>
      <c r="C298" s="1">
        <v>45738</v>
      </c>
    </row>
    <row r="299" spans="1:3" x14ac:dyDescent="0.25">
      <c r="A299" t="s">
        <v>5928</v>
      </c>
      <c r="B299" t="s">
        <v>39</v>
      </c>
      <c r="C299" s="1"/>
    </row>
    <row r="300" spans="1:3" x14ac:dyDescent="0.25">
      <c r="A300" t="s">
        <v>5929</v>
      </c>
      <c r="B300" t="s">
        <v>6964</v>
      </c>
      <c r="C300" s="1">
        <v>45738</v>
      </c>
    </row>
    <row r="301" spans="1:3" x14ac:dyDescent="0.25">
      <c r="A301" t="s">
        <v>5930</v>
      </c>
      <c r="B301" t="s">
        <v>6962</v>
      </c>
      <c r="C301" s="1">
        <v>45745</v>
      </c>
    </row>
    <row r="302" spans="1:3" x14ac:dyDescent="0.25">
      <c r="A302" t="s">
        <v>5931</v>
      </c>
      <c r="B302" t="s">
        <v>6963</v>
      </c>
      <c r="C302" s="1"/>
    </row>
    <row r="303" spans="1:3" x14ac:dyDescent="0.25">
      <c r="A303" t="s">
        <v>5932</v>
      </c>
      <c r="B303" t="s">
        <v>6962</v>
      </c>
      <c r="C303" s="1">
        <v>45742</v>
      </c>
    </row>
    <row r="304" spans="1:3" x14ac:dyDescent="0.25">
      <c r="A304" t="s">
        <v>5933</v>
      </c>
      <c r="B304" t="s">
        <v>6962</v>
      </c>
      <c r="C304" s="1">
        <v>45727</v>
      </c>
    </row>
    <row r="305" spans="1:3" x14ac:dyDescent="0.25">
      <c r="A305" t="s">
        <v>5934</v>
      </c>
      <c r="B305" t="s">
        <v>39</v>
      </c>
      <c r="C305" s="1"/>
    </row>
    <row r="306" spans="1:3" x14ac:dyDescent="0.25">
      <c r="A306" t="s">
        <v>5935</v>
      </c>
      <c r="B306" t="s">
        <v>6962</v>
      </c>
      <c r="C306" s="1">
        <v>45721</v>
      </c>
    </row>
    <row r="307" spans="1:3" x14ac:dyDescent="0.25">
      <c r="A307" t="s">
        <v>5936</v>
      </c>
      <c r="B307" t="s">
        <v>6963</v>
      </c>
      <c r="C307" s="1"/>
    </row>
    <row r="308" spans="1:3" x14ac:dyDescent="0.25">
      <c r="A308" t="s">
        <v>5937</v>
      </c>
      <c r="B308" t="s">
        <v>6963</v>
      </c>
      <c r="C308" s="1"/>
    </row>
    <row r="309" spans="1:3" x14ac:dyDescent="0.25">
      <c r="A309" t="s">
        <v>5938</v>
      </c>
      <c r="B309" t="s">
        <v>39</v>
      </c>
      <c r="C309" s="1"/>
    </row>
    <row r="310" spans="1:3" x14ac:dyDescent="0.25">
      <c r="A310" t="s">
        <v>5939</v>
      </c>
      <c r="B310" t="s">
        <v>6963</v>
      </c>
      <c r="C310" s="1"/>
    </row>
    <row r="311" spans="1:3" x14ac:dyDescent="0.25">
      <c r="A311" t="s">
        <v>5940</v>
      </c>
      <c r="B311" t="s">
        <v>6963</v>
      </c>
      <c r="C311" s="1"/>
    </row>
    <row r="312" spans="1:3" x14ac:dyDescent="0.25">
      <c r="A312" t="s">
        <v>5941</v>
      </c>
      <c r="B312" t="s">
        <v>6962</v>
      </c>
      <c r="C312" s="1">
        <v>45728</v>
      </c>
    </row>
    <row r="313" spans="1:3" x14ac:dyDescent="0.25">
      <c r="A313" t="s">
        <v>5942</v>
      </c>
      <c r="B313" t="s">
        <v>6962</v>
      </c>
      <c r="C313" s="1">
        <v>45729</v>
      </c>
    </row>
    <row r="314" spans="1:3" x14ac:dyDescent="0.25">
      <c r="A314" t="s">
        <v>5943</v>
      </c>
      <c r="B314" t="s">
        <v>6962</v>
      </c>
      <c r="C314" s="1">
        <v>45729</v>
      </c>
    </row>
    <row r="315" spans="1:3" x14ac:dyDescent="0.25">
      <c r="A315" t="s">
        <v>5944</v>
      </c>
      <c r="B315" t="s">
        <v>6962</v>
      </c>
      <c r="C315" s="1">
        <v>45738</v>
      </c>
    </row>
    <row r="316" spans="1:3" x14ac:dyDescent="0.25">
      <c r="A316" t="s">
        <v>5945</v>
      </c>
      <c r="B316" t="s">
        <v>6962</v>
      </c>
      <c r="C316" s="1">
        <v>45740</v>
      </c>
    </row>
    <row r="317" spans="1:3" x14ac:dyDescent="0.25">
      <c r="A317" t="s">
        <v>5946</v>
      </c>
      <c r="B317" t="s">
        <v>6962</v>
      </c>
      <c r="C317" s="1">
        <v>45734</v>
      </c>
    </row>
    <row r="318" spans="1:3" x14ac:dyDescent="0.25">
      <c r="A318" t="s">
        <v>5947</v>
      </c>
      <c r="B318" t="s">
        <v>6962</v>
      </c>
      <c r="C318" s="1">
        <v>45724</v>
      </c>
    </row>
    <row r="319" spans="1:3" x14ac:dyDescent="0.25">
      <c r="A319" t="s">
        <v>5948</v>
      </c>
      <c r="B319" t="s">
        <v>6962</v>
      </c>
      <c r="C319" s="1">
        <v>45762</v>
      </c>
    </row>
    <row r="320" spans="1:3" x14ac:dyDescent="0.25">
      <c r="A320" t="s">
        <v>5949</v>
      </c>
      <c r="B320" t="s">
        <v>6962</v>
      </c>
      <c r="C320" s="1">
        <v>45729</v>
      </c>
    </row>
    <row r="321" spans="1:3" x14ac:dyDescent="0.25">
      <c r="A321" t="s">
        <v>5950</v>
      </c>
      <c r="B321" t="s">
        <v>6962</v>
      </c>
      <c r="C321" s="1">
        <v>45699</v>
      </c>
    </row>
    <row r="322" spans="1:3" x14ac:dyDescent="0.25">
      <c r="A322" t="s">
        <v>5951</v>
      </c>
      <c r="B322" t="s">
        <v>6963</v>
      </c>
      <c r="C322" s="1"/>
    </row>
    <row r="323" spans="1:3" x14ac:dyDescent="0.25">
      <c r="A323" t="s">
        <v>5952</v>
      </c>
      <c r="B323" t="s">
        <v>6964</v>
      </c>
      <c r="C323" s="1">
        <v>45738</v>
      </c>
    </row>
    <row r="324" spans="1:3" x14ac:dyDescent="0.25">
      <c r="A324" t="s">
        <v>5921</v>
      </c>
      <c r="B324" t="s">
        <v>39</v>
      </c>
      <c r="C324" s="1"/>
    </row>
    <row r="325" spans="1:3" x14ac:dyDescent="0.25">
      <c r="A325" t="s">
        <v>5921</v>
      </c>
      <c r="B325" t="s">
        <v>39</v>
      </c>
      <c r="C325" s="1"/>
    </row>
    <row r="326" spans="1:3" x14ac:dyDescent="0.25">
      <c r="A326" t="s">
        <v>5931</v>
      </c>
      <c r="B326" t="s">
        <v>6962</v>
      </c>
      <c r="C326" s="1">
        <v>45742</v>
      </c>
    </row>
    <row r="327" spans="1:3" x14ac:dyDescent="0.25">
      <c r="A327" t="s">
        <v>5931</v>
      </c>
      <c r="B327" t="s">
        <v>6962</v>
      </c>
      <c r="C327" s="1">
        <v>45728</v>
      </c>
    </row>
    <row r="328" spans="1:3" x14ac:dyDescent="0.25">
      <c r="A328" t="s">
        <v>5953</v>
      </c>
      <c r="B328" t="s">
        <v>6962</v>
      </c>
      <c r="C328" s="1">
        <v>45721</v>
      </c>
    </row>
    <row r="329" spans="1:3" x14ac:dyDescent="0.25">
      <c r="A329" t="s">
        <v>5954</v>
      </c>
      <c r="B329" t="s">
        <v>6962</v>
      </c>
      <c r="C329" s="1">
        <v>45699</v>
      </c>
    </row>
    <row r="330" spans="1:3" x14ac:dyDescent="0.25">
      <c r="A330" t="s">
        <v>5955</v>
      </c>
      <c r="B330" t="s">
        <v>6962</v>
      </c>
      <c r="C330" s="1">
        <v>45706</v>
      </c>
    </row>
    <row r="331" spans="1:3" x14ac:dyDescent="0.25">
      <c r="A331" t="s">
        <v>5956</v>
      </c>
      <c r="B331" t="s">
        <v>6962</v>
      </c>
      <c r="C331" s="1">
        <v>45738</v>
      </c>
    </row>
    <row r="332" spans="1:3" x14ac:dyDescent="0.25">
      <c r="A332" t="s">
        <v>5957</v>
      </c>
      <c r="B332" t="s">
        <v>6962</v>
      </c>
      <c r="C332" s="1">
        <v>45726</v>
      </c>
    </row>
    <row r="333" spans="1:3" x14ac:dyDescent="0.25">
      <c r="A333" t="s">
        <v>5958</v>
      </c>
      <c r="B333" t="s">
        <v>6962</v>
      </c>
      <c r="C333" s="1">
        <v>45720</v>
      </c>
    </row>
    <row r="334" spans="1:3" x14ac:dyDescent="0.25">
      <c r="A334" t="s">
        <v>5959</v>
      </c>
      <c r="B334" t="s">
        <v>39</v>
      </c>
      <c r="C334" s="1"/>
    </row>
    <row r="335" spans="1:3" x14ac:dyDescent="0.25">
      <c r="A335" t="s">
        <v>5960</v>
      </c>
      <c r="B335" t="s">
        <v>6962</v>
      </c>
      <c r="C335" s="1">
        <v>45735</v>
      </c>
    </row>
    <row r="336" spans="1:3" x14ac:dyDescent="0.25">
      <c r="A336" t="s">
        <v>5961</v>
      </c>
      <c r="B336" t="s">
        <v>6962</v>
      </c>
      <c r="C336" s="1">
        <v>45740</v>
      </c>
    </row>
    <row r="337" spans="1:3" x14ac:dyDescent="0.25">
      <c r="A337" t="s">
        <v>5962</v>
      </c>
      <c r="B337" t="s">
        <v>6962</v>
      </c>
      <c r="C337" s="1">
        <v>45741</v>
      </c>
    </row>
    <row r="338" spans="1:3" x14ac:dyDescent="0.25">
      <c r="A338" t="s">
        <v>5963</v>
      </c>
      <c r="B338" t="s">
        <v>6962</v>
      </c>
      <c r="C338" s="1">
        <v>45770</v>
      </c>
    </row>
    <row r="339" spans="1:3" x14ac:dyDescent="0.25">
      <c r="A339" t="s">
        <v>5964</v>
      </c>
      <c r="B339" t="s">
        <v>6962</v>
      </c>
      <c r="C339" s="1">
        <v>45715</v>
      </c>
    </row>
    <row r="340" spans="1:3" x14ac:dyDescent="0.25">
      <c r="A340" t="s">
        <v>5965</v>
      </c>
      <c r="B340" t="s">
        <v>6962</v>
      </c>
      <c r="C340" s="1">
        <v>45726</v>
      </c>
    </row>
    <row r="341" spans="1:3" x14ac:dyDescent="0.25">
      <c r="A341" t="s">
        <v>5966</v>
      </c>
      <c r="B341" t="s">
        <v>6962</v>
      </c>
      <c r="C341" s="1">
        <v>45790</v>
      </c>
    </row>
    <row r="342" spans="1:3" x14ac:dyDescent="0.25">
      <c r="A342" t="s">
        <v>5967</v>
      </c>
      <c r="B342" t="s">
        <v>6962</v>
      </c>
      <c r="C342" s="1">
        <v>45762</v>
      </c>
    </row>
    <row r="343" spans="1:3" x14ac:dyDescent="0.25">
      <c r="A343" t="s">
        <v>5968</v>
      </c>
      <c r="B343" t="s">
        <v>6962</v>
      </c>
      <c r="C343" s="1">
        <v>45765</v>
      </c>
    </row>
    <row r="344" spans="1:3" x14ac:dyDescent="0.25">
      <c r="A344" t="s">
        <v>5969</v>
      </c>
      <c r="B344" t="s">
        <v>6962</v>
      </c>
      <c r="C344" s="1">
        <v>45750</v>
      </c>
    </row>
    <row r="345" spans="1:3" x14ac:dyDescent="0.25">
      <c r="A345" t="s">
        <v>5970</v>
      </c>
      <c r="B345" t="s">
        <v>6962</v>
      </c>
      <c r="C345" s="1">
        <v>45771</v>
      </c>
    </row>
    <row r="346" spans="1:3" x14ac:dyDescent="0.25">
      <c r="A346" t="s">
        <v>5970</v>
      </c>
      <c r="B346" t="s">
        <v>6962</v>
      </c>
      <c r="C346" s="1">
        <v>45740</v>
      </c>
    </row>
    <row r="347" spans="1:3" x14ac:dyDescent="0.25">
      <c r="A347" t="s">
        <v>5971</v>
      </c>
      <c r="B347" t="s">
        <v>39</v>
      </c>
      <c r="C347" s="1"/>
    </row>
    <row r="348" spans="1:3" x14ac:dyDescent="0.25">
      <c r="A348" t="s">
        <v>5972</v>
      </c>
      <c r="B348" t="s">
        <v>6963</v>
      </c>
      <c r="C348" s="1"/>
    </row>
    <row r="349" spans="1:3" x14ac:dyDescent="0.25">
      <c r="A349" t="s">
        <v>5973</v>
      </c>
      <c r="B349" t="s">
        <v>6962</v>
      </c>
      <c r="C349" s="1">
        <v>45730</v>
      </c>
    </row>
    <row r="350" spans="1:3" x14ac:dyDescent="0.25">
      <c r="A350" t="s">
        <v>5974</v>
      </c>
      <c r="B350" t="s">
        <v>6962</v>
      </c>
      <c r="C350" s="1">
        <v>45755</v>
      </c>
    </row>
    <row r="351" spans="1:3" x14ac:dyDescent="0.25">
      <c r="A351" t="s">
        <v>5975</v>
      </c>
      <c r="B351" t="s">
        <v>6962</v>
      </c>
      <c r="C351" s="1">
        <v>45721</v>
      </c>
    </row>
    <row r="352" spans="1:3" x14ac:dyDescent="0.25">
      <c r="A352" t="s">
        <v>5976</v>
      </c>
      <c r="B352" t="s">
        <v>6962</v>
      </c>
      <c r="C352" s="1">
        <v>45721</v>
      </c>
    </row>
    <row r="353" spans="1:3" x14ac:dyDescent="0.25">
      <c r="A353" t="s">
        <v>5977</v>
      </c>
      <c r="B353" t="s">
        <v>6962</v>
      </c>
      <c r="C353" s="1">
        <v>45727</v>
      </c>
    </row>
    <row r="354" spans="1:3" x14ac:dyDescent="0.25">
      <c r="A354" t="s">
        <v>5978</v>
      </c>
      <c r="B354" t="s">
        <v>6962</v>
      </c>
      <c r="C354" s="1">
        <v>45728</v>
      </c>
    </row>
    <row r="355" spans="1:3" x14ac:dyDescent="0.25">
      <c r="A355" t="s">
        <v>5979</v>
      </c>
      <c r="B355" t="s">
        <v>6962</v>
      </c>
      <c r="C355" s="1">
        <v>45720</v>
      </c>
    </row>
    <row r="356" spans="1:3" x14ac:dyDescent="0.25">
      <c r="A356" t="s">
        <v>5980</v>
      </c>
      <c r="B356" t="s">
        <v>6962</v>
      </c>
      <c r="C356" s="1">
        <v>45761</v>
      </c>
    </row>
    <row r="357" spans="1:3" x14ac:dyDescent="0.25">
      <c r="A357" t="s">
        <v>5981</v>
      </c>
      <c r="B357" t="s">
        <v>6962</v>
      </c>
      <c r="C357" s="1">
        <v>45719</v>
      </c>
    </row>
    <row r="358" spans="1:3" x14ac:dyDescent="0.25">
      <c r="A358" t="s">
        <v>5982</v>
      </c>
      <c r="B358" t="s">
        <v>6964</v>
      </c>
      <c r="C358" s="1">
        <v>45735</v>
      </c>
    </row>
    <row r="359" spans="1:3" x14ac:dyDescent="0.25">
      <c r="A359" t="s">
        <v>5983</v>
      </c>
      <c r="B359" t="s">
        <v>39</v>
      </c>
      <c r="C359" s="1"/>
    </row>
    <row r="360" spans="1:3" x14ac:dyDescent="0.25">
      <c r="A360" t="s">
        <v>5984</v>
      </c>
      <c r="B360" t="s">
        <v>6962</v>
      </c>
      <c r="C360" s="1">
        <v>45748</v>
      </c>
    </row>
    <row r="361" spans="1:3" x14ac:dyDescent="0.25">
      <c r="A361" t="s">
        <v>5985</v>
      </c>
      <c r="B361" t="s">
        <v>6962</v>
      </c>
      <c r="C361" s="1">
        <v>45708</v>
      </c>
    </row>
    <row r="362" spans="1:3" x14ac:dyDescent="0.25">
      <c r="A362" t="s">
        <v>5986</v>
      </c>
      <c r="B362" t="s">
        <v>6962</v>
      </c>
      <c r="C362" s="1">
        <v>45720</v>
      </c>
    </row>
    <row r="363" spans="1:3" x14ac:dyDescent="0.25">
      <c r="A363" t="s">
        <v>5987</v>
      </c>
      <c r="B363" t="s">
        <v>6962</v>
      </c>
      <c r="C363" s="1">
        <v>45734</v>
      </c>
    </row>
    <row r="364" spans="1:3" x14ac:dyDescent="0.25">
      <c r="A364" t="s">
        <v>5988</v>
      </c>
      <c r="B364" t="s">
        <v>6962</v>
      </c>
      <c r="C364" s="1">
        <v>45726</v>
      </c>
    </row>
    <row r="365" spans="1:3" x14ac:dyDescent="0.25">
      <c r="A365" t="s">
        <v>5989</v>
      </c>
      <c r="B365" t="s">
        <v>6962</v>
      </c>
      <c r="C365" s="1">
        <v>45707</v>
      </c>
    </row>
    <row r="366" spans="1:3" x14ac:dyDescent="0.25">
      <c r="A366" t="s">
        <v>5990</v>
      </c>
      <c r="B366" t="s">
        <v>6962</v>
      </c>
      <c r="C366" s="1">
        <v>45772</v>
      </c>
    </row>
    <row r="367" spans="1:3" x14ac:dyDescent="0.25">
      <c r="A367" t="s">
        <v>5991</v>
      </c>
      <c r="B367" t="s">
        <v>6962</v>
      </c>
      <c r="C367" s="1">
        <v>45712</v>
      </c>
    </row>
    <row r="368" spans="1:3" x14ac:dyDescent="0.25">
      <c r="A368" t="s">
        <v>5992</v>
      </c>
      <c r="B368" t="s">
        <v>6962</v>
      </c>
      <c r="C368" s="1">
        <v>45811</v>
      </c>
    </row>
    <row r="369" spans="1:3" x14ac:dyDescent="0.25">
      <c r="A369" t="s">
        <v>5993</v>
      </c>
      <c r="B369" t="s">
        <v>6962</v>
      </c>
      <c r="C369" s="1">
        <v>45766</v>
      </c>
    </row>
    <row r="370" spans="1:3" x14ac:dyDescent="0.25">
      <c r="A370" t="s">
        <v>5994</v>
      </c>
      <c r="B370" t="s">
        <v>6962</v>
      </c>
      <c r="C370" s="1">
        <v>45763</v>
      </c>
    </row>
    <row r="371" spans="1:3" x14ac:dyDescent="0.25">
      <c r="A371" t="s">
        <v>5995</v>
      </c>
      <c r="B371" t="s">
        <v>39</v>
      </c>
      <c r="C371" s="1"/>
    </row>
    <row r="372" spans="1:3" x14ac:dyDescent="0.25">
      <c r="A372" t="s">
        <v>5996</v>
      </c>
      <c r="B372" t="s">
        <v>6962</v>
      </c>
      <c r="C372" s="1">
        <v>45722</v>
      </c>
    </row>
    <row r="373" spans="1:3" x14ac:dyDescent="0.25">
      <c r="A373" t="s">
        <v>5997</v>
      </c>
      <c r="B373" t="s">
        <v>6964</v>
      </c>
      <c r="C373" s="1">
        <v>45826</v>
      </c>
    </row>
    <row r="374" spans="1:3" x14ac:dyDescent="0.25">
      <c r="A374" t="s">
        <v>5998</v>
      </c>
      <c r="B374" t="s">
        <v>6962</v>
      </c>
      <c r="C374" s="1">
        <v>45731</v>
      </c>
    </row>
    <row r="375" spans="1:3" x14ac:dyDescent="0.25">
      <c r="A375" t="s">
        <v>5999</v>
      </c>
      <c r="B375" t="s">
        <v>6962</v>
      </c>
      <c r="C375" s="1">
        <v>45726</v>
      </c>
    </row>
    <row r="376" spans="1:3" x14ac:dyDescent="0.25">
      <c r="A376" t="s">
        <v>6000</v>
      </c>
      <c r="B376" t="s">
        <v>6962</v>
      </c>
      <c r="C376" s="1">
        <v>45754</v>
      </c>
    </row>
    <row r="377" spans="1:3" x14ac:dyDescent="0.25">
      <c r="A377" t="s">
        <v>6001</v>
      </c>
      <c r="B377" t="s">
        <v>6962</v>
      </c>
      <c r="C377" s="1">
        <v>45702</v>
      </c>
    </row>
    <row r="378" spans="1:3" x14ac:dyDescent="0.25">
      <c r="A378" t="s">
        <v>6002</v>
      </c>
      <c r="B378" t="s">
        <v>6964</v>
      </c>
      <c r="C378" s="1">
        <v>45827</v>
      </c>
    </row>
    <row r="379" spans="1:3" x14ac:dyDescent="0.25">
      <c r="A379" t="s">
        <v>6003</v>
      </c>
      <c r="B379" t="s">
        <v>39</v>
      </c>
      <c r="C379" s="1"/>
    </row>
    <row r="380" spans="1:3" x14ac:dyDescent="0.25">
      <c r="A380" t="s">
        <v>6004</v>
      </c>
      <c r="B380" t="s">
        <v>6962</v>
      </c>
      <c r="C380" s="1">
        <v>45728</v>
      </c>
    </row>
    <row r="381" spans="1:3" x14ac:dyDescent="0.25">
      <c r="A381" t="s">
        <v>6005</v>
      </c>
      <c r="B381" t="s">
        <v>6962</v>
      </c>
      <c r="C381" s="1">
        <v>45705</v>
      </c>
    </row>
    <row r="382" spans="1:3" x14ac:dyDescent="0.25">
      <c r="A382" t="s">
        <v>6006</v>
      </c>
      <c r="B382" t="s">
        <v>6962</v>
      </c>
      <c r="C382" s="1">
        <v>45754</v>
      </c>
    </row>
    <row r="383" spans="1:3" x14ac:dyDescent="0.25">
      <c r="A383" t="s">
        <v>6007</v>
      </c>
      <c r="B383" t="s">
        <v>6962</v>
      </c>
      <c r="C383" s="1">
        <v>45757</v>
      </c>
    </row>
    <row r="384" spans="1:3" x14ac:dyDescent="0.25">
      <c r="A384" t="s">
        <v>6008</v>
      </c>
      <c r="B384" t="s">
        <v>39</v>
      </c>
      <c r="C384" s="1"/>
    </row>
    <row r="385" spans="1:3" x14ac:dyDescent="0.25">
      <c r="A385" t="s">
        <v>6009</v>
      </c>
      <c r="B385" t="s">
        <v>39</v>
      </c>
      <c r="C385" s="1"/>
    </row>
    <row r="386" spans="1:3" x14ac:dyDescent="0.25">
      <c r="A386" t="s">
        <v>6010</v>
      </c>
      <c r="B386" t="s">
        <v>6962</v>
      </c>
      <c r="C386" s="1">
        <v>45750</v>
      </c>
    </row>
    <row r="387" spans="1:3" x14ac:dyDescent="0.25">
      <c r="A387" t="s">
        <v>6011</v>
      </c>
      <c r="B387" t="s">
        <v>39</v>
      </c>
      <c r="C387" s="1"/>
    </row>
    <row r="388" spans="1:3" x14ac:dyDescent="0.25">
      <c r="A388" t="s">
        <v>6012</v>
      </c>
      <c r="B388" t="s">
        <v>39</v>
      </c>
      <c r="C388" s="1"/>
    </row>
    <row r="389" spans="1:3" x14ac:dyDescent="0.25">
      <c r="A389" t="s">
        <v>6013</v>
      </c>
      <c r="B389" t="s">
        <v>6962</v>
      </c>
      <c r="C389" s="1">
        <v>45738</v>
      </c>
    </row>
    <row r="390" spans="1:3" x14ac:dyDescent="0.25">
      <c r="A390" t="s">
        <v>6014</v>
      </c>
      <c r="B390" t="s">
        <v>6963</v>
      </c>
      <c r="C390" s="1"/>
    </row>
    <row r="391" spans="1:3" x14ac:dyDescent="0.25">
      <c r="A391" t="s">
        <v>6015</v>
      </c>
      <c r="B391" t="s">
        <v>6962</v>
      </c>
      <c r="C391" s="1">
        <v>45770</v>
      </c>
    </row>
    <row r="392" spans="1:3" x14ac:dyDescent="0.25">
      <c r="A392" t="s">
        <v>6016</v>
      </c>
      <c r="B392" t="s">
        <v>6962</v>
      </c>
      <c r="C392" s="1">
        <v>45731</v>
      </c>
    </row>
    <row r="393" spans="1:3" x14ac:dyDescent="0.25">
      <c r="A393" t="s">
        <v>6017</v>
      </c>
      <c r="B393" t="s">
        <v>39</v>
      </c>
      <c r="C393" s="1"/>
    </row>
    <row r="394" spans="1:3" x14ac:dyDescent="0.25">
      <c r="A394" t="s">
        <v>6018</v>
      </c>
      <c r="B394" t="s">
        <v>39</v>
      </c>
      <c r="C394" s="1"/>
    </row>
    <row r="395" spans="1:3" x14ac:dyDescent="0.25">
      <c r="A395" t="s">
        <v>6019</v>
      </c>
      <c r="B395" t="s">
        <v>6962</v>
      </c>
      <c r="C395" s="1">
        <v>45904</v>
      </c>
    </row>
    <row r="396" spans="1:3" x14ac:dyDescent="0.25">
      <c r="A396" t="s">
        <v>6020</v>
      </c>
      <c r="B396" t="s">
        <v>6962</v>
      </c>
      <c r="C396" s="1">
        <v>45701</v>
      </c>
    </row>
    <row r="397" spans="1:3" x14ac:dyDescent="0.25">
      <c r="A397" t="s">
        <v>6021</v>
      </c>
      <c r="B397" t="s">
        <v>6963</v>
      </c>
      <c r="C397" s="1"/>
    </row>
    <row r="398" spans="1:3" x14ac:dyDescent="0.25">
      <c r="A398" t="s">
        <v>6022</v>
      </c>
      <c r="B398" t="s">
        <v>6962</v>
      </c>
      <c r="C398" s="1">
        <v>45699</v>
      </c>
    </row>
    <row r="399" spans="1:3" x14ac:dyDescent="0.25">
      <c r="A399" t="s">
        <v>6023</v>
      </c>
      <c r="B399" t="s">
        <v>6962</v>
      </c>
      <c r="C399" s="1">
        <v>45724</v>
      </c>
    </row>
    <row r="400" spans="1:3" x14ac:dyDescent="0.25">
      <c r="A400" t="s">
        <v>6024</v>
      </c>
      <c r="B400" t="s">
        <v>39</v>
      </c>
      <c r="C400" s="1"/>
    </row>
    <row r="401" spans="1:3" x14ac:dyDescent="0.25">
      <c r="A401" t="s">
        <v>6025</v>
      </c>
      <c r="B401" t="s">
        <v>6962</v>
      </c>
      <c r="C401" s="1">
        <v>45743</v>
      </c>
    </row>
    <row r="402" spans="1:3" x14ac:dyDescent="0.25">
      <c r="A402" t="s">
        <v>6026</v>
      </c>
      <c r="B402" t="s">
        <v>6962</v>
      </c>
      <c r="C402" s="1">
        <v>45717</v>
      </c>
    </row>
    <row r="403" spans="1:3" x14ac:dyDescent="0.25">
      <c r="A403" t="s">
        <v>6027</v>
      </c>
      <c r="B403" t="s">
        <v>6962</v>
      </c>
      <c r="C403" s="1">
        <v>45712</v>
      </c>
    </row>
    <row r="404" spans="1:3" x14ac:dyDescent="0.25">
      <c r="A404" t="s">
        <v>6028</v>
      </c>
      <c r="B404" t="s">
        <v>6962</v>
      </c>
      <c r="C404" s="1">
        <v>45743</v>
      </c>
    </row>
    <row r="405" spans="1:3" x14ac:dyDescent="0.25">
      <c r="A405" t="s">
        <v>6029</v>
      </c>
      <c r="B405" t="s">
        <v>6962</v>
      </c>
      <c r="C405" s="1">
        <v>45743</v>
      </c>
    </row>
    <row r="406" spans="1:3" x14ac:dyDescent="0.25">
      <c r="A406" t="s">
        <v>6030</v>
      </c>
      <c r="B406" t="s">
        <v>39</v>
      </c>
      <c r="C406" s="1"/>
    </row>
    <row r="407" spans="1:3" x14ac:dyDescent="0.25">
      <c r="A407" t="s">
        <v>6031</v>
      </c>
      <c r="B407" t="s">
        <v>6962</v>
      </c>
      <c r="C407" s="1">
        <v>45748</v>
      </c>
    </row>
    <row r="408" spans="1:3" x14ac:dyDescent="0.25">
      <c r="A408" t="s">
        <v>6032</v>
      </c>
      <c r="B408" t="s">
        <v>6962</v>
      </c>
      <c r="C408" s="1">
        <v>45759</v>
      </c>
    </row>
    <row r="409" spans="1:3" x14ac:dyDescent="0.25">
      <c r="A409" t="s">
        <v>6033</v>
      </c>
      <c r="B409" t="s">
        <v>6962</v>
      </c>
      <c r="C409" s="1">
        <v>45808</v>
      </c>
    </row>
    <row r="410" spans="1:3" x14ac:dyDescent="0.25">
      <c r="A410" t="s">
        <v>6022</v>
      </c>
      <c r="B410" t="s">
        <v>39</v>
      </c>
      <c r="C410" s="1"/>
    </row>
    <row r="411" spans="1:3" x14ac:dyDescent="0.25">
      <c r="A411" t="s">
        <v>6034</v>
      </c>
      <c r="B411" t="s">
        <v>6962</v>
      </c>
      <c r="C411" s="1">
        <v>45742</v>
      </c>
    </row>
    <row r="412" spans="1:3" x14ac:dyDescent="0.25">
      <c r="A412" t="s">
        <v>6035</v>
      </c>
      <c r="B412" t="s">
        <v>6962</v>
      </c>
      <c r="C412" s="1">
        <v>45762</v>
      </c>
    </row>
    <row r="413" spans="1:3" x14ac:dyDescent="0.25">
      <c r="A413" t="s">
        <v>6036</v>
      </c>
      <c r="B413" t="s">
        <v>6962</v>
      </c>
      <c r="C413" s="1">
        <v>45762</v>
      </c>
    </row>
    <row r="414" spans="1:3" x14ac:dyDescent="0.25">
      <c r="A414" t="s">
        <v>6037</v>
      </c>
      <c r="B414" t="s">
        <v>6962</v>
      </c>
      <c r="C414" s="1">
        <v>45770</v>
      </c>
    </row>
    <row r="415" spans="1:3" x14ac:dyDescent="0.25">
      <c r="A415" t="s">
        <v>6038</v>
      </c>
      <c r="B415" t="s">
        <v>39</v>
      </c>
      <c r="C415" s="1"/>
    </row>
    <row r="416" spans="1:3" x14ac:dyDescent="0.25">
      <c r="A416" t="s">
        <v>6039</v>
      </c>
      <c r="B416" t="s">
        <v>6962</v>
      </c>
      <c r="C416" s="1">
        <v>45761</v>
      </c>
    </row>
    <row r="417" spans="1:3" x14ac:dyDescent="0.25">
      <c r="A417" t="s">
        <v>6040</v>
      </c>
      <c r="B417" t="s">
        <v>6962</v>
      </c>
      <c r="C417" s="1">
        <v>45727</v>
      </c>
    </row>
    <row r="418" spans="1:3" x14ac:dyDescent="0.25">
      <c r="A418" t="s">
        <v>6041</v>
      </c>
      <c r="B418" t="s">
        <v>6962</v>
      </c>
      <c r="C418" s="1">
        <v>45723</v>
      </c>
    </row>
    <row r="419" spans="1:3" x14ac:dyDescent="0.25">
      <c r="A419" t="s">
        <v>6042</v>
      </c>
      <c r="B419" t="s">
        <v>6962</v>
      </c>
      <c r="C419" s="1">
        <v>45828</v>
      </c>
    </row>
    <row r="420" spans="1:3" x14ac:dyDescent="0.25">
      <c r="A420" t="s">
        <v>6043</v>
      </c>
      <c r="B420" t="s">
        <v>6962</v>
      </c>
      <c r="C420" s="1">
        <v>45719</v>
      </c>
    </row>
    <row r="421" spans="1:3" x14ac:dyDescent="0.25">
      <c r="A421" t="s">
        <v>6044</v>
      </c>
      <c r="B421" t="s">
        <v>6962</v>
      </c>
      <c r="C421" s="1">
        <v>45705</v>
      </c>
    </row>
    <row r="422" spans="1:3" x14ac:dyDescent="0.25">
      <c r="A422" t="s">
        <v>6045</v>
      </c>
      <c r="B422" t="s">
        <v>39</v>
      </c>
      <c r="C422" s="1"/>
    </row>
    <row r="423" spans="1:3" x14ac:dyDescent="0.25">
      <c r="A423" t="s">
        <v>6046</v>
      </c>
      <c r="B423" t="s">
        <v>6963</v>
      </c>
      <c r="C423" s="1"/>
    </row>
    <row r="424" spans="1:3" x14ac:dyDescent="0.25">
      <c r="A424" t="s">
        <v>6047</v>
      </c>
      <c r="B424" t="s">
        <v>6962</v>
      </c>
      <c r="C424" s="1">
        <v>45719</v>
      </c>
    </row>
    <row r="425" spans="1:3" x14ac:dyDescent="0.25">
      <c r="A425" t="s">
        <v>6048</v>
      </c>
      <c r="B425" t="s">
        <v>6962</v>
      </c>
      <c r="C425" s="1">
        <v>45831</v>
      </c>
    </row>
    <row r="426" spans="1:3" x14ac:dyDescent="0.25">
      <c r="A426" t="s">
        <v>6049</v>
      </c>
      <c r="B426" t="s">
        <v>6962</v>
      </c>
      <c r="C426" s="1">
        <v>45705</v>
      </c>
    </row>
    <row r="427" spans="1:3" x14ac:dyDescent="0.25">
      <c r="A427" t="s">
        <v>6050</v>
      </c>
      <c r="B427" t="s">
        <v>6963</v>
      </c>
      <c r="C427" s="1"/>
    </row>
    <row r="428" spans="1:3" x14ac:dyDescent="0.25">
      <c r="A428" t="s">
        <v>6051</v>
      </c>
      <c r="B428" t="s">
        <v>6962</v>
      </c>
      <c r="C428" s="1">
        <v>45742</v>
      </c>
    </row>
    <row r="429" spans="1:3" x14ac:dyDescent="0.25">
      <c r="A429" t="s">
        <v>6052</v>
      </c>
      <c r="B429" t="s">
        <v>6962</v>
      </c>
      <c r="C429" s="1">
        <v>45726</v>
      </c>
    </row>
    <row r="430" spans="1:3" x14ac:dyDescent="0.25">
      <c r="A430" t="s">
        <v>6053</v>
      </c>
      <c r="B430" t="s">
        <v>6962</v>
      </c>
      <c r="C430" s="1">
        <v>45761</v>
      </c>
    </row>
    <row r="431" spans="1:3" x14ac:dyDescent="0.25">
      <c r="A431" t="s">
        <v>6054</v>
      </c>
      <c r="B431" t="s">
        <v>6962</v>
      </c>
      <c r="C431" s="1">
        <v>45723</v>
      </c>
    </row>
    <row r="432" spans="1:3" x14ac:dyDescent="0.25">
      <c r="A432" t="s">
        <v>6055</v>
      </c>
      <c r="B432" t="s">
        <v>39</v>
      </c>
      <c r="C432" s="1"/>
    </row>
    <row r="433" spans="1:3" x14ac:dyDescent="0.25">
      <c r="A433" t="s">
        <v>6056</v>
      </c>
      <c r="B433" t="s">
        <v>6962</v>
      </c>
      <c r="C433" s="1">
        <v>45733</v>
      </c>
    </row>
    <row r="434" spans="1:3" x14ac:dyDescent="0.25">
      <c r="A434" t="s">
        <v>6057</v>
      </c>
      <c r="B434" t="s">
        <v>6962</v>
      </c>
      <c r="C434" s="1">
        <v>45741</v>
      </c>
    </row>
    <row r="435" spans="1:3" x14ac:dyDescent="0.25">
      <c r="A435" t="s">
        <v>6058</v>
      </c>
      <c r="B435" t="s">
        <v>6963</v>
      </c>
      <c r="C435" s="1"/>
    </row>
    <row r="436" spans="1:3" x14ac:dyDescent="0.25">
      <c r="A436" t="s">
        <v>6059</v>
      </c>
      <c r="B436" t="s">
        <v>6962</v>
      </c>
      <c r="C436" s="1">
        <v>45726</v>
      </c>
    </row>
    <row r="437" spans="1:3" x14ac:dyDescent="0.25">
      <c r="A437" t="s">
        <v>6060</v>
      </c>
      <c r="B437" t="s">
        <v>6964</v>
      </c>
      <c r="C437" s="1">
        <v>45776</v>
      </c>
    </row>
    <row r="438" spans="1:3" x14ac:dyDescent="0.25">
      <c r="A438" t="s">
        <v>6061</v>
      </c>
      <c r="B438" t="s">
        <v>6963</v>
      </c>
      <c r="C438" s="1"/>
    </row>
    <row r="439" spans="1:3" x14ac:dyDescent="0.25">
      <c r="A439" t="s">
        <v>6061</v>
      </c>
      <c r="B439" t="s">
        <v>6962</v>
      </c>
      <c r="C439" s="1">
        <v>45740</v>
      </c>
    </row>
    <row r="440" spans="1:3" x14ac:dyDescent="0.25">
      <c r="A440" t="s">
        <v>6061</v>
      </c>
      <c r="B440" t="s">
        <v>6962</v>
      </c>
      <c r="C440" s="1">
        <v>45706</v>
      </c>
    </row>
    <row r="441" spans="1:3" x14ac:dyDescent="0.25">
      <c r="A441" t="s">
        <v>6061</v>
      </c>
      <c r="B441" t="s">
        <v>6963</v>
      </c>
      <c r="C441" s="1"/>
    </row>
    <row r="442" spans="1:3" x14ac:dyDescent="0.25">
      <c r="A442" t="s">
        <v>6062</v>
      </c>
      <c r="B442" t="s">
        <v>6962</v>
      </c>
      <c r="C442" s="1"/>
    </row>
    <row r="443" spans="1:3" x14ac:dyDescent="0.25">
      <c r="A443" t="s">
        <v>6063</v>
      </c>
      <c r="B443" t="s">
        <v>6962</v>
      </c>
      <c r="C443" s="1">
        <v>45727</v>
      </c>
    </row>
    <row r="444" spans="1:3" x14ac:dyDescent="0.25">
      <c r="A444" t="s">
        <v>6064</v>
      </c>
      <c r="B444" t="s">
        <v>6962</v>
      </c>
      <c r="C444" s="1">
        <v>45702</v>
      </c>
    </row>
    <row r="445" spans="1:3" x14ac:dyDescent="0.25">
      <c r="A445" t="s">
        <v>6065</v>
      </c>
      <c r="B445" t="s">
        <v>6962</v>
      </c>
      <c r="C445" s="1">
        <v>45763</v>
      </c>
    </row>
    <row r="446" spans="1:3" x14ac:dyDescent="0.25">
      <c r="A446" t="s">
        <v>6066</v>
      </c>
      <c r="B446" t="s">
        <v>6962</v>
      </c>
      <c r="C446" s="1">
        <v>45737</v>
      </c>
    </row>
    <row r="447" spans="1:3" x14ac:dyDescent="0.25">
      <c r="A447" t="s">
        <v>6067</v>
      </c>
      <c r="B447" t="s">
        <v>6962</v>
      </c>
      <c r="C447" s="1">
        <v>45785</v>
      </c>
    </row>
    <row r="448" spans="1:3" x14ac:dyDescent="0.25">
      <c r="A448" t="s">
        <v>6068</v>
      </c>
      <c r="B448" t="s">
        <v>6962</v>
      </c>
      <c r="C448" s="1">
        <v>45720</v>
      </c>
    </row>
    <row r="449" spans="1:3" x14ac:dyDescent="0.25">
      <c r="A449" t="s">
        <v>6069</v>
      </c>
      <c r="B449" t="s">
        <v>6963</v>
      </c>
      <c r="C449" s="1">
        <v>45745</v>
      </c>
    </row>
    <row r="450" spans="1:3" x14ac:dyDescent="0.25">
      <c r="A450" t="s">
        <v>6070</v>
      </c>
      <c r="B450" t="s">
        <v>6962</v>
      </c>
      <c r="C450" s="1">
        <v>45743</v>
      </c>
    </row>
    <row r="451" spans="1:3" x14ac:dyDescent="0.25">
      <c r="A451" t="s">
        <v>6071</v>
      </c>
      <c r="B451" t="s">
        <v>6962</v>
      </c>
      <c r="C451" s="1">
        <v>45719</v>
      </c>
    </row>
    <row r="452" spans="1:3" x14ac:dyDescent="0.25">
      <c r="A452" t="s">
        <v>6072</v>
      </c>
      <c r="B452" t="s">
        <v>6963</v>
      </c>
      <c r="C452" s="1"/>
    </row>
    <row r="453" spans="1:3" x14ac:dyDescent="0.25">
      <c r="A453" t="s">
        <v>6073</v>
      </c>
      <c r="B453" t="s">
        <v>6963</v>
      </c>
      <c r="C453" s="1"/>
    </row>
    <row r="454" spans="1:3" x14ac:dyDescent="0.25">
      <c r="A454" t="s">
        <v>6074</v>
      </c>
      <c r="B454" t="s">
        <v>6962</v>
      </c>
      <c r="C454" s="1">
        <v>45727</v>
      </c>
    </row>
    <row r="455" spans="1:3" x14ac:dyDescent="0.25">
      <c r="A455" t="s">
        <v>6075</v>
      </c>
      <c r="B455" t="s">
        <v>6963</v>
      </c>
      <c r="C455" s="1"/>
    </row>
    <row r="456" spans="1:3" x14ac:dyDescent="0.25">
      <c r="A456" t="s">
        <v>6076</v>
      </c>
      <c r="B456" t="s">
        <v>6963</v>
      </c>
      <c r="C456" s="1"/>
    </row>
    <row r="457" spans="1:3" x14ac:dyDescent="0.25">
      <c r="A457" t="s">
        <v>6077</v>
      </c>
      <c r="B457" t="s">
        <v>39</v>
      </c>
      <c r="C457" s="1"/>
    </row>
    <row r="458" spans="1:3" x14ac:dyDescent="0.25">
      <c r="A458" t="s">
        <v>6078</v>
      </c>
      <c r="B458" t="s">
        <v>6962</v>
      </c>
      <c r="C458" s="1">
        <v>45832</v>
      </c>
    </row>
    <row r="459" spans="1:3" x14ac:dyDescent="0.25">
      <c r="A459" t="s">
        <v>6079</v>
      </c>
      <c r="B459" t="s">
        <v>39</v>
      </c>
      <c r="C459" s="1"/>
    </row>
    <row r="460" spans="1:3" x14ac:dyDescent="0.25">
      <c r="A460" t="s">
        <v>6080</v>
      </c>
      <c r="B460" t="s">
        <v>39</v>
      </c>
      <c r="C460" s="1"/>
    </row>
    <row r="461" spans="1:3" x14ac:dyDescent="0.25">
      <c r="A461" t="s">
        <v>6081</v>
      </c>
      <c r="B461" t="s">
        <v>6962</v>
      </c>
      <c r="C461" s="1">
        <v>45782</v>
      </c>
    </row>
    <row r="462" spans="1:3" x14ac:dyDescent="0.25">
      <c r="A462" t="s">
        <v>6082</v>
      </c>
      <c r="B462" t="s">
        <v>6963</v>
      </c>
      <c r="C462" s="1"/>
    </row>
    <row r="463" spans="1:3" x14ac:dyDescent="0.25">
      <c r="A463" t="s">
        <v>6083</v>
      </c>
      <c r="B463" t="s">
        <v>6962</v>
      </c>
      <c r="C463" s="1">
        <v>45743</v>
      </c>
    </row>
    <row r="464" spans="1:3" x14ac:dyDescent="0.25">
      <c r="A464" t="s">
        <v>6084</v>
      </c>
      <c r="B464" t="s">
        <v>6963</v>
      </c>
      <c r="C464" s="1"/>
    </row>
    <row r="465" spans="1:3" x14ac:dyDescent="0.25">
      <c r="A465" t="s">
        <v>6085</v>
      </c>
      <c r="B465" t="s">
        <v>6964</v>
      </c>
      <c r="C465" s="1">
        <v>45789</v>
      </c>
    </row>
    <row r="466" spans="1:3" x14ac:dyDescent="0.25">
      <c r="A466" t="s">
        <v>6086</v>
      </c>
      <c r="B466" t="s">
        <v>6962</v>
      </c>
      <c r="C466" s="1">
        <v>45741</v>
      </c>
    </row>
    <row r="467" spans="1:3" x14ac:dyDescent="0.25">
      <c r="A467" t="s">
        <v>6087</v>
      </c>
      <c r="B467" t="s">
        <v>6962</v>
      </c>
      <c r="C467" s="1">
        <v>45709</v>
      </c>
    </row>
    <row r="468" spans="1:3" x14ac:dyDescent="0.25">
      <c r="A468" t="s">
        <v>6088</v>
      </c>
      <c r="B468" t="s">
        <v>6962</v>
      </c>
      <c r="C468" s="1">
        <v>45741</v>
      </c>
    </row>
    <row r="469" spans="1:3" x14ac:dyDescent="0.25">
      <c r="A469" t="s">
        <v>6089</v>
      </c>
      <c r="B469" t="s">
        <v>6962</v>
      </c>
      <c r="C469" s="1">
        <v>45761</v>
      </c>
    </row>
    <row r="470" spans="1:3" x14ac:dyDescent="0.25">
      <c r="A470" t="s">
        <v>6090</v>
      </c>
      <c r="B470" t="s">
        <v>39</v>
      </c>
      <c r="C470" s="1"/>
    </row>
    <row r="471" spans="1:3" x14ac:dyDescent="0.25">
      <c r="A471" t="s">
        <v>6091</v>
      </c>
      <c r="B471" t="s">
        <v>6962</v>
      </c>
      <c r="C471" s="1">
        <v>45749</v>
      </c>
    </row>
    <row r="472" spans="1:3" x14ac:dyDescent="0.25">
      <c r="A472" t="s">
        <v>6092</v>
      </c>
      <c r="B472" t="s">
        <v>6962</v>
      </c>
      <c r="C472" s="1">
        <v>45765</v>
      </c>
    </row>
    <row r="473" spans="1:3" x14ac:dyDescent="0.25">
      <c r="A473" t="s">
        <v>6093</v>
      </c>
      <c r="B473" t="s">
        <v>6963</v>
      </c>
      <c r="C473" s="1"/>
    </row>
    <row r="474" spans="1:3" x14ac:dyDescent="0.25">
      <c r="A474" t="s">
        <v>6094</v>
      </c>
      <c r="B474" t="s">
        <v>6962</v>
      </c>
      <c r="C474" s="1">
        <v>45721</v>
      </c>
    </row>
    <row r="475" spans="1:3" x14ac:dyDescent="0.25">
      <c r="A475" t="s">
        <v>6095</v>
      </c>
      <c r="B475" t="s">
        <v>6962</v>
      </c>
      <c r="C475" s="1">
        <v>45755</v>
      </c>
    </row>
    <row r="476" spans="1:3" x14ac:dyDescent="0.25">
      <c r="A476" t="s">
        <v>6096</v>
      </c>
      <c r="B476" t="s">
        <v>39</v>
      </c>
      <c r="C476" s="1"/>
    </row>
    <row r="477" spans="1:3" x14ac:dyDescent="0.25">
      <c r="A477" t="s">
        <v>6097</v>
      </c>
      <c r="B477" t="s">
        <v>6962</v>
      </c>
      <c r="C477" s="1">
        <v>45706</v>
      </c>
    </row>
    <row r="478" spans="1:3" x14ac:dyDescent="0.25">
      <c r="A478" t="s">
        <v>6098</v>
      </c>
      <c r="B478" t="s">
        <v>6962</v>
      </c>
      <c r="C478" s="1">
        <v>45735</v>
      </c>
    </row>
    <row r="479" spans="1:3" x14ac:dyDescent="0.25">
      <c r="A479" t="s">
        <v>6099</v>
      </c>
      <c r="B479" t="s">
        <v>39</v>
      </c>
      <c r="C479" s="1"/>
    </row>
    <row r="480" spans="1:3" x14ac:dyDescent="0.25">
      <c r="A480" t="s">
        <v>6100</v>
      </c>
      <c r="B480" t="s">
        <v>6962</v>
      </c>
      <c r="C480" s="1">
        <v>45721</v>
      </c>
    </row>
    <row r="481" spans="1:3" x14ac:dyDescent="0.25">
      <c r="A481" t="s">
        <v>6101</v>
      </c>
      <c r="B481" t="s">
        <v>6962</v>
      </c>
      <c r="C481" s="1">
        <v>45738</v>
      </c>
    </row>
    <row r="482" spans="1:3" x14ac:dyDescent="0.25">
      <c r="A482" t="s">
        <v>6102</v>
      </c>
      <c r="B482" t="s">
        <v>6962</v>
      </c>
      <c r="C482" s="1">
        <v>45740</v>
      </c>
    </row>
    <row r="483" spans="1:3" x14ac:dyDescent="0.25">
      <c r="A483" t="s">
        <v>6103</v>
      </c>
      <c r="B483" t="s">
        <v>6962</v>
      </c>
      <c r="C483" s="1">
        <v>45771</v>
      </c>
    </row>
    <row r="484" spans="1:3" x14ac:dyDescent="0.25">
      <c r="A484" t="s">
        <v>6104</v>
      </c>
      <c r="B484" t="s">
        <v>6962</v>
      </c>
      <c r="C484" s="1">
        <v>45727</v>
      </c>
    </row>
    <row r="485" spans="1:3" x14ac:dyDescent="0.25">
      <c r="A485" t="s">
        <v>6105</v>
      </c>
      <c r="B485" t="s">
        <v>6962</v>
      </c>
      <c r="C485" s="1">
        <v>45723</v>
      </c>
    </row>
    <row r="486" spans="1:3" x14ac:dyDescent="0.25">
      <c r="A486" t="s">
        <v>6106</v>
      </c>
      <c r="B486" t="s">
        <v>6962</v>
      </c>
      <c r="C486" s="1">
        <v>45727</v>
      </c>
    </row>
    <row r="487" spans="1:3" x14ac:dyDescent="0.25">
      <c r="A487" t="s">
        <v>6107</v>
      </c>
      <c r="B487" t="s">
        <v>6962</v>
      </c>
      <c r="C487" s="1">
        <v>45726</v>
      </c>
    </row>
    <row r="488" spans="1:3" x14ac:dyDescent="0.25">
      <c r="A488" t="s">
        <v>6108</v>
      </c>
      <c r="B488" t="s">
        <v>39</v>
      </c>
      <c r="C488" s="1"/>
    </row>
    <row r="489" spans="1:3" x14ac:dyDescent="0.25">
      <c r="A489" t="s">
        <v>6109</v>
      </c>
      <c r="B489" t="s">
        <v>6962</v>
      </c>
      <c r="C489" s="1">
        <v>45771</v>
      </c>
    </row>
    <row r="490" spans="1:3" x14ac:dyDescent="0.25">
      <c r="A490" t="s">
        <v>6110</v>
      </c>
      <c r="B490" t="s">
        <v>6962</v>
      </c>
      <c r="C490" s="1">
        <v>45743</v>
      </c>
    </row>
    <row r="491" spans="1:3" x14ac:dyDescent="0.25">
      <c r="A491" t="s">
        <v>6111</v>
      </c>
      <c r="B491" t="s">
        <v>6962</v>
      </c>
      <c r="C491" s="1">
        <v>45789</v>
      </c>
    </row>
    <row r="492" spans="1:3" x14ac:dyDescent="0.25">
      <c r="A492" t="s">
        <v>6112</v>
      </c>
      <c r="B492" t="s">
        <v>6962</v>
      </c>
      <c r="C492" s="1">
        <v>45726</v>
      </c>
    </row>
    <row r="493" spans="1:3" x14ac:dyDescent="0.25">
      <c r="A493" t="s">
        <v>6113</v>
      </c>
      <c r="B493" t="s">
        <v>6962</v>
      </c>
      <c r="C493" s="1">
        <v>45762</v>
      </c>
    </row>
    <row r="494" spans="1:3" x14ac:dyDescent="0.25">
      <c r="A494" t="s">
        <v>6114</v>
      </c>
      <c r="B494" t="s">
        <v>6963</v>
      </c>
      <c r="C494" s="1"/>
    </row>
    <row r="495" spans="1:3" x14ac:dyDescent="0.25">
      <c r="A495" t="s">
        <v>6115</v>
      </c>
      <c r="B495" t="s">
        <v>6962</v>
      </c>
      <c r="C495" s="1">
        <v>45729</v>
      </c>
    </row>
    <row r="496" spans="1:3" x14ac:dyDescent="0.25">
      <c r="A496" t="s">
        <v>6116</v>
      </c>
      <c r="B496" t="s">
        <v>6962</v>
      </c>
      <c r="C496" s="1">
        <v>45790</v>
      </c>
    </row>
    <row r="497" spans="1:3" x14ac:dyDescent="0.25">
      <c r="A497" t="s">
        <v>6117</v>
      </c>
      <c r="B497" t="s">
        <v>6962</v>
      </c>
      <c r="C497" s="1">
        <v>45770</v>
      </c>
    </row>
    <row r="498" spans="1:3" x14ac:dyDescent="0.25">
      <c r="A498" t="s">
        <v>6118</v>
      </c>
      <c r="B498" t="s">
        <v>6962</v>
      </c>
      <c r="C498" s="1"/>
    </row>
    <row r="499" spans="1:3" x14ac:dyDescent="0.25">
      <c r="A499" t="s">
        <v>6119</v>
      </c>
      <c r="B499" t="s">
        <v>6962</v>
      </c>
      <c r="C499" s="1">
        <v>45721</v>
      </c>
    </row>
    <row r="500" spans="1:3" x14ac:dyDescent="0.25">
      <c r="A500" t="s">
        <v>6120</v>
      </c>
      <c r="B500" t="s">
        <v>6962</v>
      </c>
      <c r="C500" s="1">
        <v>45731</v>
      </c>
    </row>
    <row r="501" spans="1:3" x14ac:dyDescent="0.25">
      <c r="A501" t="s">
        <v>6121</v>
      </c>
      <c r="B501" t="s">
        <v>6964</v>
      </c>
      <c r="C501" s="1">
        <v>45731</v>
      </c>
    </row>
    <row r="502" spans="1:3" x14ac:dyDescent="0.25">
      <c r="A502" t="s">
        <v>6122</v>
      </c>
      <c r="B502" t="s">
        <v>6962</v>
      </c>
      <c r="C502" s="1">
        <v>45717</v>
      </c>
    </row>
    <row r="503" spans="1:3" x14ac:dyDescent="0.25">
      <c r="A503" t="s">
        <v>6123</v>
      </c>
      <c r="B503" t="s">
        <v>6963</v>
      </c>
      <c r="C503" s="1"/>
    </row>
    <row r="504" spans="1:3" x14ac:dyDescent="0.25">
      <c r="A504" t="s">
        <v>6123</v>
      </c>
      <c r="B504" t="s">
        <v>6962</v>
      </c>
      <c r="C504" s="1">
        <v>45705</v>
      </c>
    </row>
    <row r="505" spans="1:3" x14ac:dyDescent="0.25">
      <c r="A505" t="s">
        <v>6123</v>
      </c>
      <c r="B505" t="s">
        <v>6962</v>
      </c>
      <c r="C505" s="1">
        <v>45761</v>
      </c>
    </row>
    <row r="506" spans="1:3" x14ac:dyDescent="0.25">
      <c r="A506" t="s">
        <v>6123</v>
      </c>
      <c r="B506" t="s">
        <v>6962</v>
      </c>
      <c r="C506" s="1">
        <v>45717</v>
      </c>
    </row>
    <row r="507" spans="1:3" x14ac:dyDescent="0.25">
      <c r="A507" t="s">
        <v>6123</v>
      </c>
      <c r="B507" t="s">
        <v>6962</v>
      </c>
      <c r="C507" s="1">
        <v>45715</v>
      </c>
    </row>
    <row r="508" spans="1:3" x14ac:dyDescent="0.25">
      <c r="A508" t="s">
        <v>5720</v>
      </c>
      <c r="B508" t="s">
        <v>6963</v>
      </c>
      <c r="C508" s="1"/>
    </row>
    <row r="509" spans="1:3" x14ac:dyDescent="0.25">
      <c r="A509" t="s">
        <v>5720</v>
      </c>
      <c r="B509" t="s">
        <v>6962</v>
      </c>
      <c r="C509" s="1">
        <v>45777</v>
      </c>
    </row>
    <row r="510" spans="1:3" x14ac:dyDescent="0.25">
      <c r="A510" t="s">
        <v>6124</v>
      </c>
      <c r="B510" t="s">
        <v>6962</v>
      </c>
      <c r="C510" s="1">
        <v>45777</v>
      </c>
    </row>
    <row r="511" spans="1:3" x14ac:dyDescent="0.25">
      <c r="A511" t="s">
        <v>6125</v>
      </c>
      <c r="B511" t="s">
        <v>6962</v>
      </c>
      <c r="C511" s="1">
        <v>45758</v>
      </c>
    </row>
    <row r="512" spans="1:3" x14ac:dyDescent="0.25">
      <c r="A512" t="s">
        <v>6126</v>
      </c>
      <c r="B512" t="s">
        <v>39</v>
      </c>
      <c r="C512" s="1"/>
    </row>
    <row r="513" spans="1:3" x14ac:dyDescent="0.25">
      <c r="A513" t="s">
        <v>6127</v>
      </c>
      <c r="B513" t="s">
        <v>6962</v>
      </c>
      <c r="C513" s="1">
        <v>45735</v>
      </c>
    </row>
    <row r="514" spans="1:3" x14ac:dyDescent="0.25">
      <c r="A514" t="s">
        <v>6128</v>
      </c>
      <c r="B514" t="s">
        <v>6962</v>
      </c>
      <c r="C514" s="1">
        <v>45744</v>
      </c>
    </row>
    <row r="515" spans="1:3" x14ac:dyDescent="0.25">
      <c r="A515" t="s">
        <v>6129</v>
      </c>
      <c r="B515" t="s">
        <v>6964</v>
      </c>
      <c r="C515" s="1">
        <v>45727</v>
      </c>
    </row>
    <row r="516" spans="1:3" x14ac:dyDescent="0.25">
      <c r="A516" t="s">
        <v>6130</v>
      </c>
      <c r="B516" t="s">
        <v>6964</v>
      </c>
      <c r="C516" s="1">
        <v>45740</v>
      </c>
    </row>
    <row r="517" spans="1:3" x14ac:dyDescent="0.25">
      <c r="A517" t="s">
        <v>6131</v>
      </c>
      <c r="B517" t="s">
        <v>6962</v>
      </c>
      <c r="C517" s="1">
        <v>45715</v>
      </c>
    </row>
    <row r="518" spans="1:3" x14ac:dyDescent="0.25">
      <c r="A518" t="s">
        <v>6132</v>
      </c>
      <c r="B518" t="s">
        <v>6962</v>
      </c>
      <c r="C518" s="1">
        <v>45717</v>
      </c>
    </row>
    <row r="519" spans="1:3" x14ac:dyDescent="0.25">
      <c r="A519" t="s">
        <v>6133</v>
      </c>
      <c r="B519" t="s">
        <v>6962</v>
      </c>
      <c r="C519" s="1">
        <v>45720</v>
      </c>
    </row>
    <row r="520" spans="1:3" x14ac:dyDescent="0.25">
      <c r="A520" t="s">
        <v>6134</v>
      </c>
      <c r="B520" t="s">
        <v>6962</v>
      </c>
      <c r="C520" s="1">
        <v>45720</v>
      </c>
    </row>
    <row r="521" spans="1:3" x14ac:dyDescent="0.25">
      <c r="A521" t="s">
        <v>6135</v>
      </c>
      <c r="B521" t="s">
        <v>6962</v>
      </c>
      <c r="C521" s="1">
        <v>45771</v>
      </c>
    </row>
    <row r="522" spans="1:3" x14ac:dyDescent="0.25">
      <c r="A522" t="s">
        <v>6136</v>
      </c>
      <c r="B522" t="s">
        <v>6962</v>
      </c>
      <c r="C522" s="1">
        <v>45761</v>
      </c>
    </row>
    <row r="523" spans="1:3" x14ac:dyDescent="0.25">
      <c r="A523" t="s">
        <v>6137</v>
      </c>
      <c r="B523" t="s">
        <v>6962</v>
      </c>
      <c r="C523" s="1">
        <v>45769</v>
      </c>
    </row>
    <row r="524" spans="1:3" x14ac:dyDescent="0.25">
      <c r="A524" t="s">
        <v>6138</v>
      </c>
      <c r="B524" t="s">
        <v>39</v>
      </c>
      <c r="C524" s="1"/>
    </row>
    <row r="525" spans="1:3" x14ac:dyDescent="0.25">
      <c r="A525" t="s">
        <v>6139</v>
      </c>
      <c r="B525" t="s">
        <v>6962</v>
      </c>
      <c r="C525" s="1">
        <v>45771</v>
      </c>
    </row>
    <row r="526" spans="1:3" x14ac:dyDescent="0.25">
      <c r="A526" t="s">
        <v>6140</v>
      </c>
      <c r="B526" t="s">
        <v>6962</v>
      </c>
      <c r="C526" s="1">
        <v>45736</v>
      </c>
    </row>
    <row r="527" spans="1:3" x14ac:dyDescent="0.25">
      <c r="A527" t="s">
        <v>6141</v>
      </c>
      <c r="B527" t="s">
        <v>6962</v>
      </c>
      <c r="C527" s="1">
        <v>45765</v>
      </c>
    </row>
    <row r="528" spans="1:3" x14ac:dyDescent="0.25">
      <c r="A528" t="s">
        <v>6142</v>
      </c>
      <c r="B528" t="s">
        <v>6962</v>
      </c>
      <c r="C528" s="1">
        <v>45771</v>
      </c>
    </row>
    <row r="529" spans="1:3" x14ac:dyDescent="0.25">
      <c r="A529" t="s">
        <v>6143</v>
      </c>
      <c r="B529" t="s">
        <v>6962</v>
      </c>
      <c r="C529" s="1">
        <v>45764</v>
      </c>
    </row>
    <row r="530" spans="1:3" x14ac:dyDescent="0.25">
      <c r="A530" t="s">
        <v>6144</v>
      </c>
      <c r="B530" t="s">
        <v>6962</v>
      </c>
      <c r="C530" s="1">
        <v>45726</v>
      </c>
    </row>
    <row r="531" spans="1:3" x14ac:dyDescent="0.25">
      <c r="A531" t="s">
        <v>6145</v>
      </c>
      <c r="B531" t="s">
        <v>6963</v>
      </c>
      <c r="C531" s="1"/>
    </row>
    <row r="532" spans="1:3" x14ac:dyDescent="0.25">
      <c r="A532" t="s">
        <v>6146</v>
      </c>
      <c r="B532" t="s">
        <v>6962</v>
      </c>
      <c r="C532" s="1">
        <v>45721</v>
      </c>
    </row>
    <row r="533" spans="1:3" x14ac:dyDescent="0.25">
      <c r="A533" t="s">
        <v>6147</v>
      </c>
      <c r="B533" t="s">
        <v>39</v>
      </c>
      <c r="C533" s="1"/>
    </row>
    <row r="534" spans="1:3" x14ac:dyDescent="0.25">
      <c r="A534" t="s">
        <v>6148</v>
      </c>
      <c r="B534" t="s">
        <v>6962</v>
      </c>
      <c r="C534" s="1">
        <v>45740</v>
      </c>
    </row>
    <row r="535" spans="1:3" x14ac:dyDescent="0.25">
      <c r="A535" t="s">
        <v>6149</v>
      </c>
      <c r="B535" t="s">
        <v>6962</v>
      </c>
      <c r="C535" s="1">
        <v>45741</v>
      </c>
    </row>
    <row r="536" spans="1:3" x14ac:dyDescent="0.25">
      <c r="A536" t="s">
        <v>6150</v>
      </c>
      <c r="B536" t="s">
        <v>6963</v>
      </c>
      <c r="C536" s="1"/>
    </row>
    <row r="537" spans="1:3" x14ac:dyDescent="0.25">
      <c r="A537" t="s">
        <v>6151</v>
      </c>
      <c r="B537" t="s">
        <v>6962</v>
      </c>
      <c r="C537" s="1">
        <v>45731</v>
      </c>
    </row>
    <row r="538" spans="1:3" x14ac:dyDescent="0.25">
      <c r="A538" t="s">
        <v>5716</v>
      </c>
      <c r="B538" t="s">
        <v>39</v>
      </c>
      <c r="C538" s="1"/>
    </row>
    <row r="539" spans="1:3" x14ac:dyDescent="0.25">
      <c r="A539" t="s">
        <v>6152</v>
      </c>
      <c r="B539" t="s">
        <v>6962</v>
      </c>
      <c r="C539" s="1">
        <v>45744</v>
      </c>
    </row>
    <row r="540" spans="1:3" x14ac:dyDescent="0.25">
      <c r="A540" t="s">
        <v>6153</v>
      </c>
      <c r="B540" t="s">
        <v>39</v>
      </c>
      <c r="C540" s="1"/>
    </row>
    <row r="541" spans="1:3" x14ac:dyDescent="0.25">
      <c r="A541" t="s">
        <v>6154</v>
      </c>
      <c r="B541" t="s">
        <v>6962</v>
      </c>
      <c r="C541" s="1">
        <v>45723</v>
      </c>
    </row>
    <row r="542" spans="1:3" x14ac:dyDescent="0.25">
      <c r="A542" t="s">
        <v>6155</v>
      </c>
      <c r="B542" t="s">
        <v>6963</v>
      </c>
      <c r="C542" s="1"/>
    </row>
    <row r="543" spans="1:3" x14ac:dyDescent="0.25">
      <c r="A543" t="s">
        <v>6156</v>
      </c>
      <c r="B543" t="s">
        <v>6962</v>
      </c>
      <c r="C543" s="1">
        <v>45785</v>
      </c>
    </row>
    <row r="544" spans="1:3" x14ac:dyDescent="0.25">
      <c r="A544" t="s">
        <v>6157</v>
      </c>
      <c r="B544" t="s">
        <v>6962</v>
      </c>
      <c r="C544" s="1">
        <v>45721</v>
      </c>
    </row>
    <row r="545" spans="1:3" x14ac:dyDescent="0.25">
      <c r="A545" t="s">
        <v>6158</v>
      </c>
      <c r="B545" t="s">
        <v>6962</v>
      </c>
      <c r="C545" s="1">
        <v>45716</v>
      </c>
    </row>
    <row r="546" spans="1:3" x14ac:dyDescent="0.25">
      <c r="A546" t="s">
        <v>6159</v>
      </c>
      <c r="B546" t="s">
        <v>6962</v>
      </c>
      <c r="C546" s="1">
        <v>45784</v>
      </c>
    </row>
    <row r="547" spans="1:3" x14ac:dyDescent="0.25">
      <c r="A547" t="s">
        <v>6160</v>
      </c>
      <c r="B547" t="s">
        <v>6962</v>
      </c>
      <c r="C547" s="1">
        <v>45769</v>
      </c>
    </row>
    <row r="548" spans="1:3" x14ac:dyDescent="0.25">
      <c r="A548" t="s">
        <v>6161</v>
      </c>
      <c r="B548" t="s">
        <v>6962</v>
      </c>
      <c r="C548" s="1">
        <v>45769</v>
      </c>
    </row>
    <row r="549" spans="1:3" x14ac:dyDescent="0.25">
      <c r="A549" t="s">
        <v>6162</v>
      </c>
      <c r="B549" t="s">
        <v>6962</v>
      </c>
      <c r="C549" s="1">
        <v>45740</v>
      </c>
    </row>
    <row r="550" spans="1:3" x14ac:dyDescent="0.25">
      <c r="A550" t="s">
        <v>6163</v>
      </c>
      <c r="B550" t="s">
        <v>6962</v>
      </c>
      <c r="C550" s="1">
        <v>45723</v>
      </c>
    </row>
    <row r="551" spans="1:3" x14ac:dyDescent="0.25">
      <c r="A551" t="s">
        <v>6164</v>
      </c>
      <c r="B551" t="s">
        <v>39</v>
      </c>
      <c r="C551" s="1"/>
    </row>
    <row r="552" spans="1:3" x14ac:dyDescent="0.25">
      <c r="A552" t="s">
        <v>6165</v>
      </c>
      <c r="B552" t="s">
        <v>6962</v>
      </c>
      <c r="C552" s="1">
        <v>45729</v>
      </c>
    </row>
    <row r="553" spans="1:3" x14ac:dyDescent="0.25">
      <c r="A553" t="s">
        <v>6166</v>
      </c>
      <c r="B553" t="s">
        <v>6962</v>
      </c>
      <c r="C553" s="1">
        <v>45728</v>
      </c>
    </row>
    <row r="554" spans="1:3" x14ac:dyDescent="0.25">
      <c r="A554" t="s">
        <v>6167</v>
      </c>
      <c r="B554" t="s">
        <v>6962</v>
      </c>
      <c r="C554" s="1">
        <v>45731</v>
      </c>
    </row>
    <row r="555" spans="1:3" x14ac:dyDescent="0.25">
      <c r="A555" t="s">
        <v>6168</v>
      </c>
      <c r="B555" t="s">
        <v>6962</v>
      </c>
      <c r="C555" s="1">
        <v>45745</v>
      </c>
    </row>
    <row r="556" spans="1:3" x14ac:dyDescent="0.25">
      <c r="A556" t="s">
        <v>6169</v>
      </c>
      <c r="B556" t="s">
        <v>6962</v>
      </c>
      <c r="C556" s="1">
        <v>45728</v>
      </c>
    </row>
    <row r="557" spans="1:3" x14ac:dyDescent="0.25">
      <c r="A557" t="s">
        <v>6170</v>
      </c>
      <c r="B557" t="s">
        <v>6962</v>
      </c>
      <c r="C557" s="1">
        <v>45765</v>
      </c>
    </row>
    <row r="558" spans="1:3" x14ac:dyDescent="0.25">
      <c r="A558" t="s">
        <v>6171</v>
      </c>
      <c r="B558" t="s">
        <v>6962</v>
      </c>
      <c r="C558" s="1">
        <v>45727</v>
      </c>
    </row>
    <row r="559" spans="1:3" x14ac:dyDescent="0.25">
      <c r="A559" t="s">
        <v>6172</v>
      </c>
      <c r="B559" t="s">
        <v>39</v>
      </c>
      <c r="C559" s="1"/>
    </row>
    <row r="560" spans="1:3" x14ac:dyDescent="0.25">
      <c r="A560" t="s">
        <v>6173</v>
      </c>
      <c r="B560" t="s">
        <v>6962</v>
      </c>
      <c r="C560" s="1">
        <v>45806</v>
      </c>
    </row>
    <row r="561" spans="1:3" x14ac:dyDescent="0.25">
      <c r="A561" t="s">
        <v>6174</v>
      </c>
      <c r="B561" t="s">
        <v>6963</v>
      </c>
      <c r="C561" s="1"/>
    </row>
    <row r="562" spans="1:3" x14ac:dyDescent="0.25">
      <c r="A562" t="s">
        <v>6175</v>
      </c>
      <c r="B562" t="s">
        <v>6963</v>
      </c>
      <c r="C562" s="1"/>
    </row>
    <row r="563" spans="1:3" x14ac:dyDescent="0.25">
      <c r="A563" t="s">
        <v>6176</v>
      </c>
      <c r="B563" t="s">
        <v>6963</v>
      </c>
      <c r="C563" s="1"/>
    </row>
    <row r="564" spans="1:3" x14ac:dyDescent="0.25">
      <c r="A564" t="s">
        <v>6177</v>
      </c>
      <c r="B564" t="s">
        <v>39</v>
      </c>
      <c r="C564" s="1"/>
    </row>
    <row r="565" spans="1:3" x14ac:dyDescent="0.25">
      <c r="A565" t="s">
        <v>6178</v>
      </c>
      <c r="B565" t="s">
        <v>6963</v>
      </c>
      <c r="C565" s="1"/>
    </row>
    <row r="566" spans="1:3" x14ac:dyDescent="0.25">
      <c r="A566" t="s">
        <v>6179</v>
      </c>
      <c r="B566" t="s">
        <v>6962</v>
      </c>
      <c r="C566" s="1">
        <v>45749</v>
      </c>
    </row>
    <row r="567" spans="1:3" x14ac:dyDescent="0.25">
      <c r="A567" t="s">
        <v>6180</v>
      </c>
      <c r="B567" t="s">
        <v>6962</v>
      </c>
      <c r="C567" s="1">
        <v>45721</v>
      </c>
    </row>
    <row r="568" spans="1:3" x14ac:dyDescent="0.25">
      <c r="A568" t="s">
        <v>6181</v>
      </c>
      <c r="B568" t="s">
        <v>6962</v>
      </c>
      <c r="C568" s="1">
        <v>45719</v>
      </c>
    </row>
    <row r="569" spans="1:3" x14ac:dyDescent="0.25">
      <c r="A569" t="s">
        <v>6182</v>
      </c>
      <c r="B569" t="s">
        <v>6962</v>
      </c>
      <c r="C569" s="1">
        <v>45756</v>
      </c>
    </row>
    <row r="570" spans="1:3" x14ac:dyDescent="0.25">
      <c r="A570" t="s">
        <v>6183</v>
      </c>
      <c r="B570" t="s">
        <v>6962</v>
      </c>
      <c r="C570" s="1">
        <v>45768</v>
      </c>
    </row>
    <row r="571" spans="1:3" x14ac:dyDescent="0.25">
      <c r="A571" t="s">
        <v>6184</v>
      </c>
      <c r="B571" t="s">
        <v>6962</v>
      </c>
      <c r="C571" s="1">
        <v>45728</v>
      </c>
    </row>
    <row r="572" spans="1:3" x14ac:dyDescent="0.25">
      <c r="A572" t="s">
        <v>6185</v>
      </c>
      <c r="B572" t="s">
        <v>39</v>
      </c>
      <c r="C572" s="1"/>
    </row>
    <row r="573" spans="1:3" x14ac:dyDescent="0.25">
      <c r="A573" t="s">
        <v>6186</v>
      </c>
      <c r="B573" t="s">
        <v>6962</v>
      </c>
      <c r="C573" s="1">
        <v>45741</v>
      </c>
    </row>
    <row r="574" spans="1:3" x14ac:dyDescent="0.25">
      <c r="A574" t="s">
        <v>6187</v>
      </c>
      <c r="B574" t="s">
        <v>6962</v>
      </c>
      <c r="C574" s="1">
        <v>45736</v>
      </c>
    </row>
    <row r="575" spans="1:3" x14ac:dyDescent="0.25">
      <c r="A575" t="s">
        <v>6188</v>
      </c>
      <c r="B575" t="s">
        <v>6962</v>
      </c>
      <c r="C575" s="1">
        <v>45770</v>
      </c>
    </row>
    <row r="576" spans="1:3" x14ac:dyDescent="0.25">
      <c r="A576" t="s">
        <v>6189</v>
      </c>
      <c r="B576" t="s">
        <v>6962</v>
      </c>
      <c r="C576" s="1">
        <v>45740</v>
      </c>
    </row>
    <row r="577" spans="1:3" x14ac:dyDescent="0.25">
      <c r="A577" t="s">
        <v>6190</v>
      </c>
      <c r="B577" t="s">
        <v>6962</v>
      </c>
      <c r="C577" s="1">
        <v>45723</v>
      </c>
    </row>
    <row r="578" spans="1:3" x14ac:dyDescent="0.25">
      <c r="A578" t="s">
        <v>6134</v>
      </c>
      <c r="B578" t="s">
        <v>6962</v>
      </c>
      <c r="C578" s="1">
        <v>45721</v>
      </c>
    </row>
    <row r="579" spans="1:3" x14ac:dyDescent="0.25">
      <c r="A579" t="s">
        <v>6134</v>
      </c>
      <c r="B579" t="s">
        <v>6963</v>
      </c>
      <c r="C579" s="1"/>
    </row>
    <row r="580" spans="1:3" x14ac:dyDescent="0.25">
      <c r="A580" t="s">
        <v>6191</v>
      </c>
      <c r="B580" t="s">
        <v>6962</v>
      </c>
      <c r="C580" s="1">
        <v>45721</v>
      </c>
    </row>
    <row r="581" spans="1:3" x14ac:dyDescent="0.25">
      <c r="A581" t="s">
        <v>6191</v>
      </c>
      <c r="B581" t="s">
        <v>6963</v>
      </c>
      <c r="C581" s="1"/>
    </row>
    <row r="582" spans="1:3" x14ac:dyDescent="0.25">
      <c r="A582" t="s">
        <v>6192</v>
      </c>
      <c r="B582" t="s">
        <v>6962</v>
      </c>
      <c r="C582" s="1">
        <v>45721</v>
      </c>
    </row>
    <row r="583" spans="1:3" x14ac:dyDescent="0.25">
      <c r="A583" t="s">
        <v>6192</v>
      </c>
      <c r="B583" t="s">
        <v>6963</v>
      </c>
      <c r="C583" s="1"/>
    </row>
    <row r="584" spans="1:3" x14ac:dyDescent="0.25">
      <c r="A584" t="s">
        <v>6193</v>
      </c>
      <c r="B584" t="s">
        <v>6962</v>
      </c>
      <c r="C584" s="1">
        <v>45737</v>
      </c>
    </row>
    <row r="585" spans="1:3" x14ac:dyDescent="0.25">
      <c r="A585" t="s">
        <v>6194</v>
      </c>
      <c r="B585" t="s">
        <v>6962</v>
      </c>
      <c r="C585" s="1">
        <v>45712</v>
      </c>
    </row>
    <row r="586" spans="1:3" x14ac:dyDescent="0.25">
      <c r="A586" t="s">
        <v>6195</v>
      </c>
      <c r="B586" t="s">
        <v>6962</v>
      </c>
      <c r="C586" s="1">
        <v>45717</v>
      </c>
    </row>
    <row r="587" spans="1:3" x14ac:dyDescent="0.25">
      <c r="A587" t="s">
        <v>6196</v>
      </c>
      <c r="B587" t="s">
        <v>6962</v>
      </c>
      <c r="C587" s="1">
        <v>45721</v>
      </c>
    </row>
    <row r="588" spans="1:3" x14ac:dyDescent="0.25">
      <c r="A588" t="s">
        <v>6197</v>
      </c>
      <c r="B588" t="s">
        <v>39</v>
      </c>
      <c r="C588" s="1"/>
    </row>
    <row r="589" spans="1:3" x14ac:dyDescent="0.25">
      <c r="A589" t="s">
        <v>6198</v>
      </c>
      <c r="B589" t="s">
        <v>6963</v>
      </c>
      <c r="C589" s="1"/>
    </row>
    <row r="590" spans="1:3" x14ac:dyDescent="0.25">
      <c r="A590" t="s">
        <v>6199</v>
      </c>
      <c r="B590" t="s">
        <v>6962</v>
      </c>
      <c r="C590" s="1">
        <v>45722</v>
      </c>
    </row>
    <row r="591" spans="1:3" x14ac:dyDescent="0.25">
      <c r="A591" t="s">
        <v>6200</v>
      </c>
      <c r="B591" t="s">
        <v>6962</v>
      </c>
      <c r="C591" s="1">
        <v>45825</v>
      </c>
    </row>
    <row r="592" spans="1:3" x14ac:dyDescent="0.25">
      <c r="A592" t="s">
        <v>6201</v>
      </c>
      <c r="B592" t="s">
        <v>6962</v>
      </c>
      <c r="C592" s="1">
        <v>45742</v>
      </c>
    </row>
    <row r="593" spans="1:3" x14ac:dyDescent="0.25">
      <c r="A593" t="s">
        <v>6202</v>
      </c>
      <c r="B593" t="s">
        <v>6962</v>
      </c>
      <c r="C593" s="1">
        <v>45790</v>
      </c>
    </row>
    <row r="594" spans="1:3" x14ac:dyDescent="0.25">
      <c r="A594" t="s">
        <v>6203</v>
      </c>
      <c r="B594" t="s">
        <v>6962</v>
      </c>
      <c r="C594" s="1">
        <v>45735</v>
      </c>
    </row>
    <row r="595" spans="1:3" x14ac:dyDescent="0.25">
      <c r="A595" t="s">
        <v>6204</v>
      </c>
      <c r="B595" t="s">
        <v>6962</v>
      </c>
      <c r="C595" s="1">
        <v>45722</v>
      </c>
    </row>
    <row r="596" spans="1:3" x14ac:dyDescent="0.25">
      <c r="A596" t="s">
        <v>6205</v>
      </c>
      <c r="B596" t="s">
        <v>6963</v>
      </c>
      <c r="C596" s="1"/>
    </row>
    <row r="597" spans="1:3" x14ac:dyDescent="0.25">
      <c r="A597" t="s">
        <v>6206</v>
      </c>
      <c r="B597" t="s">
        <v>6962</v>
      </c>
      <c r="C597" s="1">
        <v>45722</v>
      </c>
    </row>
    <row r="598" spans="1:3" x14ac:dyDescent="0.25">
      <c r="A598" t="s">
        <v>6207</v>
      </c>
      <c r="B598" t="s">
        <v>6962</v>
      </c>
      <c r="C598" s="1">
        <v>45726</v>
      </c>
    </row>
    <row r="599" spans="1:3" x14ac:dyDescent="0.25">
      <c r="A599" t="s">
        <v>6208</v>
      </c>
      <c r="B599" t="s">
        <v>6962</v>
      </c>
      <c r="C599" s="1">
        <v>45719</v>
      </c>
    </row>
    <row r="600" spans="1:3" x14ac:dyDescent="0.25">
      <c r="A600" t="s">
        <v>6209</v>
      </c>
      <c r="B600" t="s">
        <v>6962</v>
      </c>
      <c r="C600" s="1">
        <v>45721</v>
      </c>
    </row>
    <row r="601" spans="1:3" x14ac:dyDescent="0.25">
      <c r="A601" t="s">
        <v>6210</v>
      </c>
      <c r="B601" t="s">
        <v>6962</v>
      </c>
      <c r="C601" s="1">
        <v>45737</v>
      </c>
    </row>
    <row r="602" spans="1:3" x14ac:dyDescent="0.25">
      <c r="A602" t="s">
        <v>6211</v>
      </c>
      <c r="B602" t="s">
        <v>6962</v>
      </c>
      <c r="C602" s="1">
        <v>45729</v>
      </c>
    </row>
    <row r="603" spans="1:3" x14ac:dyDescent="0.25">
      <c r="A603" t="s">
        <v>6212</v>
      </c>
      <c r="B603" t="s">
        <v>6962</v>
      </c>
      <c r="C603" s="1">
        <v>45808</v>
      </c>
    </row>
    <row r="604" spans="1:3" x14ac:dyDescent="0.25">
      <c r="A604" t="s">
        <v>6213</v>
      </c>
      <c r="B604" t="s">
        <v>6962</v>
      </c>
      <c r="C604" s="1">
        <v>45728</v>
      </c>
    </row>
    <row r="605" spans="1:3" x14ac:dyDescent="0.25">
      <c r="A605" t="s">
        <v>6214</v>
      </c>
      <c r="B605" t="s">
        <v>6962</v>
      </c>
      <c r="C605" s="1">
        <v>45734</v>
      </c>
    </row>
    <row r="606" spans="1:3" x14ac:dyDescent="0.25">
      <c r="A606" t="s">
        <v>6215</v>
      </c>
      <c r="B606" t="s">
        <v>6962</v>
      </c>
      <c r="C606" s="1">
        <v>45721</v>
      </c>
    </row>
    <row r="607" spans="1:3" x14ac:dyDescent="0.25">
      <c r="A607" t="s">
        <v>6216</v>
      </c>
      <c r="B607" t="s">
        <v>6962</v>
      </c>
      <c r="C607" s="1">
        <v>45735</v>
      </c>
    </row>
    <row r="608" spans="1:3" x14ac:dyDescent="0.25">
      <c r="A608" t="s">
        <v>6217</v>
      </c>
      <c r="B608" t="s">
        <v>6963</v>
      </c>
      <c r="C608" s="1"/>
    </row>
    <row r="609" spans="1:3" x14ac:dyDescent="0.25">
      <c r="A609" t="s">
        <v>6218</v>
      </c>
      <c r="B609" t="s">
        <v>6963</v>
      </c>
      <c r="C609" s="1"/>
    </row>
    <row r="610" spans="1:3" x14ac:dyDescent="0.25">
      <c r="A610" t="s">
        <v>6219</v>
      </c>
      <c r="B610" t="s">
        <v>6963</v>
      </c>
      <c r="C610" s="1"/>
    </row>
    <row r="611" spans="1:3" x14ac:dyDescent="0.25">
      <c r="A611" t="s">
        <v>6220</v>
      </c>
      <c r="B611" t="s">
        <v>6962</v>
      </c>
      <c r="C611" s="1">
        <v>45721</v>
      </c>
    </row>
    <row r="612" spans="1:3" x14ac:dyDescent="0.25">
      <c r="A612" t="s">
        <v>6221</v>
      </c>
      <c r="B612" t="s">
        <v>6962</v>
      </c>
      <c r="C612" s="1">
        <v>45720</v>
      </c>
    </row>
    <row r="613" spans="1:3" x14ac:dyDescent="0.25">
      <c r="A613" t="s">
        <v>6222</v>
      </c>
      <c r="B613" t="s">
        <v>6962</v>
      </c>
      <c r="C613" s="1">
        <v>45734</v>
      </c>
    </row>
    <row r="614" spans="1:3" x14ac:dyDescent="0.25">
      <c r="A614" t="s">
        <v>6223</v>
      </c>
      <c r="B614" t="s">
        <v>6962</v>
      </c>
      <c r="C614" s="1">
        <v>45761</v>
      </c>
    </row>
    <row r="615" spans="1:3" x14ac:dyDescent="0.25">
      <c r="A615" t="s">
        <v>6224</v>
      </c>
      <c r="B615" t="s">
        <v>6962</v>
      </c>
      <c r="C615" s="1">
        <v>45741</v>
      </c>
    </row>
    <row r="616" spans="1:3" x14ac:dyDescent="0.25">
      <c r="A616" t="s">
        <v>6225</v>
      </c>
      <c r="B616" t="s">
        <v>6962</v>
      </c>
      <c r="C616" s="1">
        <v>45729</v>
      </c>
    </row>
    <row r="617" spans="1:3" x14ac:dyDescent="0.25">
      <c r="A617" t="s">
        <v>6226</v>
      </c>
      <c r="B617" t="s">
        <v>39</v>
      </c>
      <c r="C617" s="1"/>
    </row>
    <row r="618" spans="1:3" x14ac:dyDescent="0.25">
      <c r="A618" t="s">
        <v>6227</v>
      </c>
      <c r="B618" t="s">
        <v>6962</v>
      </c>
      <c r="C618" s="1">
        <v>45721</v>
      </c>
    </row>
    <row r="619" spans="1:3" x14ac:dyDescent="0.25">
      <c r="A619" t="s">
        <v>6228</v>
      </c>
      <c r="B619" t="s">
        <v>6962</v>
      </c>
      <c r="C619" s="1">
        <v>45737</v>
      </c>
    </row>
    <row r="620" spans="1:3" x14ac:dyDescent="0.25">
      <c r="A620" t="s">
        <v>6229</v>
      </c>
      <c r="B620" t="s">
        <v>6963</v>
      </c>
      <c r="C620" s="1"/>
    </row>
    <row r="621" spans="1:3" x14ac:dyDescent="0.25">
      <c r="A621" t="s">
        <v>6230</v>
      </c>
      <c r="B621" t="s">
        <v>6962</v>
      </c>
      <c r="C621" s="1">
        <v>45730</v>
      </c>
    </row>
    <row r="622" spans="1:3" x14ac:dyDescent="0.25">
      <c r="A622" t="s">
        <v>6231</v>
      </c>
      <c r="B622" t="s">
        <v>6962</v>
      </c>
      <c r="C622" s="1">
        <v>45765</v>
      </c>
    </row>
    <row r="623" spans="1:3" x14ac:dyDescent="0.25">
      <c r="A623" t="s">
        <v>6232</v>
      </c>
      <c r="B623" t="s">
        <v>39</v>
      </c>
      <c r="C623" s="1"/>
    </row>
    <row r="624" spans="1:3" x14ac:dyDescent="0.25">
      <c r="A624" t="s">
        <v>6233</v>
      </c>
      <c r="B624" t="s">
        <v>6962</v>
      </c>
      <c r="C624" s="1">
        <v>45766</v>
      </c>
    </row>
    <row r="625" spans="1:3" x14ac:dyDescent="0.25">
      <c r="A625" t="s">
        <v>6234</v>
      </c>
      <c r="B625" t="s">
        <v>6962</v>
      </c>
      <c r="C625" s="1">
        <v>45722</v>
      </c>
    </row>
    <row r="626" spans="1:3" x14ac:dyDescent="0.25">
      <c r="A626" t="s">
        <v>6235</v>
      </c>
      <c r="B626" t="s">
        <v>6962</v>
      </c>
      <c r="C626" s="1">
        <v>45790</v>
      </c>
    </row>
    <row r="627" spans="1:3" x14ac:dyDescent="0.25">
      <c r="A627" t="s">
        <v>6236</v>
      </c>
      <c r="B627" t="s">
        <v>6962</v>
      </c>
      <c r="C627" s="1">
        <v>45742</v>
      </c>
    </row>
    <row r="628" spans="1:3" x14ac:dyDescent="0.25">
      <c r="A628" t="s">
        <v>6237</v>
      </c>
      <c r="B628" t="s">
        <v>6962</v>
      </c>
      <c r="C628" s="1">
        <v>45717</v>
      </c>
    </row>
    <row r="629" spans="1:3" x14ac:dyDescent="0.25">
      <c r="A629" t="s">
        <v>6238</v>
      </c>
      <c r="B629" t="s">
        <v>6962</v>
      </c>
      <c r="C629" s="1">
        <v>45742</v>
      </c>
    </row>
    <row r="630" spans="1:3" x14ac:dyDescent="0.25">
      <c r="A630" t="s">
        <v>6239</v>
      </c>
      <c r="B630" t="s">
        <v>39</v>
      </c>
      <c r="C630" s="1"/>
    </row>
    <row r="631" spans="1:3" x14ac:dyDescent="0.25">
      <c r="A631" t="s">
        <v>6240</v>
      </c>
      <c r="B631" t="s">
        <v>39</v>
      </c>
      <c r="C631" s="1"/>
    </row>
    <row r="632" spans="1:3" x14ac:dyDescent="0.25">
      <c r="A632" t="s">
        <v>6241</v>
      </c>
      <c r="B632" t="s">
        <v>6963</v>
      </c>
      <c r="C632" s="1"/>
    </row>
    <row r="633" spans="1:3" x14ac:dyDescent="0.25">
      <c r="A633" t="s">
        <v>6242</v>
      </c>
      <c r="B633" t="s">
        <v>6964</v>
      </c>
      <c r="C633" s="1">
        <v>45743</v>
      </c>
    </row>
    <row r="634" spans="1:3" x14ac:dyDescent="0.25">
      <c r="A634" t="s">
        <v>6243</v>
      </c>
      <c r="B634" t="s">
        <v>6962</v>
      </c>
      <c r="C634" s="1">
        <v>45730</v>
      </c>
    </row>
    <row r="635" spans="1:3" x14ac:dyDescent="0.25">
      <c r="A635" t="s">
        <v>6244</v>
      </c>
      <c r="B635" t="s">
        <v>6962</v>
      </c>
      <c r="C635" s="1">
        <v>45726</v>
      </c>
    </row>
    <row r="636" spans="1:3" x14ac:dyDescent="0.25">
      <c r="A636" t="s">
        <v>6245</v>
      </c>
      <c r="B636" t="s">
        <v>6962</v>
      </c>
      <c r="C636" s="1">
        <v>45734</v>
      </c>
    </row>
    <row r="637" spans="1:3" x14ac:dyDescent="0.25">
      <c r="A637" t="s">
        <v>6246</v>
      </c>
      <c r="B637" t="s">
        <v>6962</v>
      </c>
      <c r="C637" s="1">
        <v>45722</v>
      </c>
    </row>
    <row r="638" spans="1:3" x14ac:dyDescent="0.25">
      <c r="A638" t="s">
        <v>6247</v>
      </c>
      <c r="B638" t="s">
        <v>6962</v>
      </c>
      <c r="C638" s="1">
        <v>45727</v>
      </c>
    </row>
    <row r="639" spans="1:3" x14ac:dyDescent="0.25">
      <c r="A639" t="s">
        <v>6248</v>
      </c>
      <c r="B639" t="s">
        <v>6962</v>
      </c>
      <c r="C639" s="1">
        <v>45750</v>
      </c>
    </row>
    <row r="640" spans="1:3" x14ac:dyDescent="0.25">
      <c r="A640" t="s">
        <v>6249</v>
      </c>
      <c r="B640" t="s">
        <v>6962</v>
      </c>
      <c r="C640" s="1">
        <v>45742</v>
      </c>
    </row>
    <row r="641" spans="1:3" x14ac:dyDescent="0.25">
      <c r="A641" t="s">
        <v>6250</v>
      </c>
      <c r="B641" t="s">
        <v>6962</v>
      </c>
      <c r="C641" s="1">
        <v>45719</v>
      </c>
    </row>
    <row r="642" spans="1:3" x14ac:dyDescent="0.25">
      <c r="A642" t="s">
        <v>6251</v>
      </c>
      <c r="B642" t="s">
        <v>6962</v>
      </c>
      <c r="C642" s="1">
        <v>45745</v>
      </c>
    </row>
    <row r="643" spans="1:3" x14ac:dyDescent="0.25">
      <c r="A643" t="s">
        <v>6252</v>
      </c>
      <c r="B643" t="s">
        <v>6962</v>
      </c>
      <c r="C643" s="1">
        <v>45721</v>
      </c>
    </row>
    <row r="644" spans="1:3" x14ac:dyDescent="0.25">
      <c r="A644" t="s">
        <v>6253</v>
      </c>
      <c r="B644" t="s">
        <v>6962</v>
      </c>
      <c r="C644" s="1">
        <v>45717</v>
      </c>
    </row>
    <row r="645" spans="1:3" x14ac:dyDescent="0.25">
      <c r="A645" t="s">
        <v>6254</v>
      </c>
      <c r="B645" t="s">
        <v>6962</v>
      </c>
      <c r="C645" s="1">
        <v>45729</v>
      </c>
    </row>
    <row r="646" spans="1:3" x14ac:dyDescent="0.25">
      <c r="A646" t="s">
        <v>6255</v>
      </c>
      <c r="B646" t="s">
        <v>6962</v>
      </c>
      <c r="C646" s="1">
        <v>45727</v>
      </c>
    </row>
    <row r="647" spans="1:3" x14ac:dyDescent="0.25">
      <c r="A647" t="s">
        <v>6256</v>
      </c>
      <c r="B647" t="s">
        <v>6962</v>
      </c>
      <c r="C647" s="1">
        <v>45747</v>
      </c>
    </row>
    <row r="648" spans="1:3" x14ac:dyDescent="0.25">
      <c r="A648" t="s">
        <v>6257</v>
      </c>
      <c r="B648" t="s">
        <v>6962</v>
      </c>
      <c r="C648" s="1">
        <v>45720</v>
      </c>
    </row>
    <row r="649" spans="1:3" x14ac:dyDescent="0.25">
      <c r="A649" t="s">
        <v>6258</v>
      </c>
      <c r="B649" t="s">
        <v>6962</v>
      </c>
      <c r="C649" s="1">
        <v>45771</v>
      </c>
    </row>
    <row r="650" spans="1:3" x14ac:dyDescent="0.25">
      <c r="A650" t="s">
        <v>6259</v>
      </c>
      <c r="B650" t="s">
        <v>6963</v>
      </c>
      <c r="C650" s="1"/>
    </row>
    <row r="651" spans="1:3" x14ac:dyDescent="0.25">
      <c r="A651" t="s">
        <v>6260</v>
      </c>
      <c r="B651" t="s">
        <v>6962</v>
      </c>
      <c r="C651" s="1">
        <v>45727</v>
      </c>
    </row>
    <row r="652" spans="1:3" x14ac:dyDescent="0.25">
      <c r="A652" t="s">
        <v>6261</v>
      </c>
      <c r="B652" t="s">
        <v>6962</v>
      </c>
      <c r="C652" s="1">
        <v>45821</v>
      </c>
    </row>
    <row r="653" spans="1:3" x14ac:dyDescent="0.25">
      <c r="A653" t="s">
        <v>6262</v>
      </c>
      <c r="B653" t="s">
        <v>6963</v>
      </c>
      <c r="C653" s="1"/>
    </row>
    <row r="654" spans="1:3" x14ac:dyDescent="0.25">
      <c r="A654" t="s">
        <v>6263</v>
      </c>
      <c r="B654" t="s">
        <v>6962</v>
      </c>
      <c r="C654" s="1">
        <v>45731</v>
      </c>
    </row>
    <row r="655" spans="1:3" x14ac:dyDescent="0.25">
      <c r="A655" t="s">
        <v>6264</v>
      </c>
      <c r="B655" t="s">
        <v>6962</v>
      </c>
      <c r="C655" s="1">
        <v>45722</v>
      </c>
    </row>
    <row r="656" spans="1:3" x14ac:dyDescent="0.25">
      <c r="A656" t="s">
        <v>6265</v>
      </c>
      <c r="B656" t="s">
        <v>6962</v>
      </c>
      <c r="C656" s="1">
        <v>45775</v>
      </c>
    </row>
    <row r="657" spans="1:3" x14ac:dyDescent="0.25">
      <c r="A657" t="s">
        <v>6266</v>
      </c>
      <c r="B657" t="s">
        <v>39</v>
      </c>
      <c r="C657" s="1"/>
    </row>
    <row r="658" spans="1:3" x14ac:dyDescent="0.25">
      <c r="A658" t="s">
        <v>6267</v>
      </c>
      <c r="B658" t="s">
        <v>6962</v>
      </c>
      <c r="C658" s="1">
        <v>45820</v>
      </c>
    </row>
    <row r="659" spans="1:3" x14ac:dyDescent="0.25">
      <c r="A659" t="s">
        <v>6268</v>
      </c>
      <c r="B659" t="s">
        <v>6963</v>
      </c>
      <c r="C659" s="1"/>
    </row>
    <row r="660" spans="1:3" x14ac:dyDescent="0.25">
      <c r="A660" t="s">
        <v>6269</v>
      </c>
      <c r="B660" t="s">
        <v>6962</v>
      </c>
      <c r="C660" s="1">
        <v>45729</v>
      </c>
    </row>
    <row r="661" spans="1:3" x14ac:dyDescent="0.25">
      <c r="A661" t="s">
        <v>6270</v>
      </c>
      <c r="B661" t="s">
        <v>6962</v>
      </c>
      <c r="C661" s="1">
        <v>45735</v>
      </c>
    </row>
    <row r="662" spans="1:3" x14ac:dyDescent="0.25">
      <c r="A662" t="s">
        <v>6271</v>
      </c>
      <c r="B662" t="s">
        <v>6962</v>
      </c>
      <c r="C662" s="1">
        <v>45727</v>
      </c>
    </row>
    <row r="663" spans="1:3" x14ac:dyDescent="0.25">
      <c r="A663" t="s">
        <v>6272</v>
      </c>
      <c r="B663" t="s">
        <v>39</v>
      </c>
      <c r="C663" s="1"/>
    </row>
    <row r="664" spans="1:3" x14ac:dyDescent="0.25">
      <c r="A664" t="s">
        <v>6273</v>
      </c>
      <c r="B664" t="s">
        <v>6962</v>
      </c>
      <c r="C664" s="1">
        <v>45761</v>
      </c>
    </row>
    <row r="665" spans="1:3" x14ac:dyDescent="0.25">
      <c r="A665" t="s">
        <v>6274</v>
      </c>
      <c r="B665" t="s">
        <v>6962</v>
      </c>
      <c r="C665" s="1">
        <v>45759</v>
      </c>
    </row>
    <row r="666" spans="1:3" x14ac:dyDescent="0.25">
      <c r="A666" t="s">
        <v>6275</v>
      </c>
      <c r="B666" t="s">
        <v>39</v>
      </c>
      <c r="C666" s="1"/>
    </row>
    <row r="667" spans="1:3" x14ac:dyDescent="0.25">
      <c r="A667" t="s">
        <v>6276</v>
      </c>
      <c r="B667" t="s">
        <v>6962</v>
      </c>
      <c r="C667" s="1">
        <v>45777</v>
      </c>
    </row>
    <row r="668" spans="1:3" x14ac:dyDescent="0.25">
      <c r="A668" t="s">
        <v>6277</v>
      </c>
      <c r="B668" t="s">
        <v>6962</v>
      </c>
      <c r="C668" s="1">
        <v>45832</v>
      </c>
    </row>
    <row r="669" spans="1:3" x14ac:dyDescent="0.25">
      <c r="A669" t="s">
        <v>6278</v>
      </c>
      <c r="B669" t="s">
        <v>6962</v>
      </c>
      <c r="C669" s="1">
        <v>45810</v>
      </c>
    </row>
    <row r="670" spans="1:3" x14ac:dyDescent="0.25">
      <c r="A670" t="s">
        <v>6279</v>
      </c>
      <c r="B670" t="s">
        <v>6962</v>
      </c>
      <c r="C670" s="1">
        <v>45741</v>
      </c>
    </row>
    <row r="671" spans="1:3" x14ac:dyDescent="0.25">
      <c r="A671" t="s">
        <v>6280</v>
      </c>
      <c r="B671" t="s">
        <v>6963</v>
      </c>
      <c r="C671" s="1">
        <v>45745</v>
      </c>
    </row>
    <row r="672" spans="1:3" x14ac:dyDescent="0.25">
      <c r="A672" t="s">
        <v>6281</v>
      </c>
      <c r="B672" t="s">
        <v>6962</v>
      </c>
      <c r="C672" s="1">
        <v>45733</v>
      </c>
    </row>
    <row r="673" spans="1:3" x14ac:dyDescent="0.25">
      <c r="A673" t="s">
        <v>6282</v>
      </c>
      <c r="B673" t="s">
        <v>6962</v>
      </c>
      <c r="C673" s="1">
        <v>45717</v>
      </c>
    </row>
    <row r="674" spans="1:3" x14ac:dyDescent="0.25">
      <c r="A674" t="s">
        <v>6283</v>
      </c>
      <c r="B674" t="s">
        <v>6962</v>
      </c>
      <c r="C674" s="1">
        <v>45734</v>
      </c>
    </row>
    <row r="675" spans="1:3" x14ac:dyDescent="0.25">
      <c r="A675" t="s">
        <v>6284</v>
      </c>
      <c r="B675" t="s">
        <v>6962</v>
      </c>
      <c r="C675" s="1">
        <v>45717</v>
      </c>
    </row>
    <row r="676" spans="1:3" x14ac:dyDescent="0.25">
      <c r="A676" t="s">
        <v>6285</v>
      </c>
      <c r="B676" t="s">
        <v>6962</v>
      </c>
      <c r="C676" s="1">
        <v>45734</v>
      </c>
    </row>
    <row r="677" spans="1:3" x14ac:dyDescent="0.25">
      <c r="A677" t="s">
        <v>6286</v>
      </c>
      <c r="B677" t="s">
        <v>39</v>
      </c>
      <c r="C677" s="1"/>
    </row>
    <row r="678" spans="1:3" x14ac:dyDescent="0.25">
      <c r="A678" t="s">
        <v>6287</v>
      </c>
      <c r="B678" t="s">
        <v>6962</v>
      </c>
      <c r="C678" s="1">
        <v>45733</v>
      </c>
    </row>
    <row r="679" spans="1:3" x14ac:dyDescent="0.25">
      <c r="A679" t="s">
        <v>6288</v>
      </c>
      <c r="B679" t="s">
        <v>6962</v>
      </c>
      <c r="C679" s="1">
        <v>45719</v>
      </c>
    </row>
    <row r="680" spans="1:3" x14ac:dyDescent="0.25">
      <c r="A680" t="s">
        <v>6289</v>
      </c>
      <c r="B680" t="s">
        <v>6963</v>
      </c>
      <c r="C680" s="1"/>
    </row>
    <row r="681" spans="1:3" x14ac:dyDescent="0.25">
      <c r="A681" t="s">
        <v>6290</v>
      </c>
      <c r="B681" t="s">
        <v>6963</v>
      </c>
      <c r="C681" s="1"/>
    </row>
    <row r="682" spans="1:3" x14ac:dyDescent="0.25">
      <c r="A682" t="s">
        <v>6291</v>
      </c>
      <c r="B682" t="s">
        <v>39</v>
      </c>
      <c r="C682" s="1"/>
    </row>
    <row r="683" spans="1:3" x14ac:dyDescent="0.25">
      <c r="A683" t="s">
        <v>6292</v>
      </c>
      <c r="B683" t="s">
        <v>6963</v>
      </c>
      <c r="C683" s="1"/>
    </row>
    <row r="684" spans="1:3" x14ac:dyDescent="0.25">
      <c r="A684" t="s">
        <v>6293</v>
      </c>
      <c r="B684" t="s">
        <v>6962</v>
      </c>
      <c r="C684" s="1">
        <v>45731</v>
      </c>
    </row>
    <row r="685" spans="1:3" x14ac:dyDescent="0.25">
      <c r="A685" t="s">
        <v>6294</v>
      </c>
      <c r="B685" t="s">
        <v>6963</v>
      </c>
      <c r="C685" s="1"/>
    </row>
    <row r="686" spans="1:3" x14ac:dyDescent="0.25">
      <c r="A686" t="s">
        <v>6295</v>
      </c>
      <c r="B686" t="s">
        <v>6962</v>
      </c>
      <c r="C686" s="1">
        <v>45719</v>
      </c>
    </row>
    <row r="687" spans="1:3" x14ac:dyDescent="0.25">
      <c r="A687" t="s">
        <v>6296</v>
      </c>
      <c r="B687" t="s">
        <v>6963</v>
      </c>
      <c r="C687" s="1"/>
    </row>
    <row r="688" spans="1:3" x14ac:dyDescent="0.25">
      <c r="A688" t="s">
        <v>6297</v>
      </c>
      <c r="B688" t="s">
        <v>6962</v>
      </c>
      <c r="C688" s="1">
        <v>45733</v>
      </c>
    </row>
    <row r="689" spans="1:3" x14ac:dyDescent="0.25">
      <c r="A689" t="s">
        <v>6298</v>
      </c>
      <c r="B689" t="s">
        <v>6962</v>
      </c>
      <c r="C689" s="1">
        <v>45715</v>
      </c>
    </row>
    <row r="690" spans="1:3" x14ac:dyDescent="0.25">
      <c r="A690" t="s">
        <v>6299</v>
      </c>
      <c r="B690" t="s">
        <v>6962</v>
      </c>
      <c r="C690" s="1">
        <v>45719</v>
      </c>
    </row>
    <row r="691" spans="1:3" x14ac:dyDescent="0.25">
      <c r="A691" t="s">
        <v>6300</v>
      </c>
      <c r="B691" t="s">
        <v>6962</v>
      </c>
      <c r="C691" s="1">
        <v>45807</v>
      </c>
    </row>
    <row r="692" spans="1:3" x14ac:dyDescent="0.25">
      <c r="A692" t="s">
        <v>6301</v>
      </c>
      <c r="B692" t="s">
        <v>6963</v>
      </c>
      <c r="C692" s="1"/>
    </row>
    <row r="693" spans="1:3" x14ac:dyDescent="0.25">
      <c r="A693" t="s">
        <v>6302</v>
      </c>
      <c r="B693" t="s">
        <v>6962</v>
      </c>
      <c r="C693" s="1">
        <v>45733</v>
      </c>
    </row>
    <row r="694" spans="1:3" x14ac:dyDescent="0.25">
      <c r="A694" t="s">
        <v>6303</v>
      </c>
      <c r="B694" t="s">
        <v>6962</v>
      </c>
      <c r="C694" s="1">
        <v>45721</v>
      </c>
    </row>
    <row r="695" spans="1:3" x14ac:dyDescent="0.25">
      <c r="A695" t="s">
        <v>6304</v>
      </c>
      <c r="B695" t="s">
        <v>39</v>
      </c>
      <c r="C695" s="1"/>
    </row>
    <row r="696" spans="1:3" x14ac:dyDescent="0.25">
      <c r="A696" t="s">
        <v>6305</v>
      </c>
      <c r="B696" t="s">
        <v>6962</v>
      </c>
      <c r="C696" s="1">
        <v>45730</v>
      </c>
    </row>
    <row r="697" spans="1:3" x14ac:dyDescent="0.25">
      <c r="A697" t="s">
        <v>6306</v>
      </c>
      <c r="B697" t="s">
        <v>6962</v>
      </c>
      <c r="C697" s="1">
        <v>45735</v>
      </c>
    </row>
    <row r="698" spans="1:3" x14ac:dyDescent="0.25">
      <c r="A698" t="s">
        <v>6307</v>
      </c>
      <c r="B698" t="s">
        <v>6962</v>
      </c>
      <c r="C698" s="1">
        <v>45717</v>
      </c>
    </row>
    <row r="699" spans="1:3" x14ac:dyDescent="0.25">
      <c r="A699" t="s">
        <v>6308</v>
      </c>
      <c r="B699" t="s">
        <v>6963</v>
      </c>
      <c r="C699" s="1"/>
    </row>
    <row r="700" spans="1:3" x14ac:dyDescent="0.25">
      <c r="A700" t="s">
        <v>6309</v>
      </c>
      <c r="B700" t="s">
        <v>39</v>
      </c>
      <c r="C700" s="1"/>
    </row>
    <row r="701" spans="1:3" x14ac:dyDescent="0.25">
      <c r="A701" t="s">
        <v>6310</v>
      </c>
      <c r="B701" t="s">
        <v>6962</v>
      </c>
      <c r="C701" s="1">
        <v>45798</v>
      </c>
    </row>
    <row r="702" spans="1:3" x14ac:dyDescent="0.25">
      <c r="A702" t="s">
        <v>6200</v>
      </c>
      <c r="B702" t="s">
        <v>6962</v>
      </c>
      <c r="C702" s="1">
        <v>45798</v>
      </c>
    </row>
    <row r="703" spans="1:3" x14ac:dyDescent="0.25">
      <c r="A703" t="s">
        <v>6184</v>
      </c>
      <c r="B703" t="s">
        <v>6963</v>
      </c>
      <c r="C703" s="1"/>
    </row>
    <row r="704" spans="1:3" x14ac:dyDescent="0.25">
      <c r="A704" t="s">
        <v>6184</v>
      </c>
      <c r="B704" t="s">
        <v>6963</v>
      </c>
      <c r="C704" s="1"/>
    </row>
    <row r="705" spans="1:3" x14ac:dyDescent="0.25">
      <c r="A705" t="s">
        <v>6184</v>
      </c>
      <c r="B705" t="s">
        <v>6962</v>
      </c>
      <c r="C705" s="1">
        <v>45727</v>
      </c>
    </row>
    <row r="706" spans="1:3" x14ac:dyDescent="0.25">
      <c r="A706" t="s">
        <v>6184</v>
      </c>
      <c r="B706" t="s">
        <v>6962</v>
      </c>
      <c r="C706" s="1">
        <v>45749</v>
      </c>
    </row>
    <row r="707" spans="1:3" x14ac:dyDescent="0.25">
      <c r="A707" t="s">
        <v>6311</v>
      </c>
      <c r="B707" t="s">
        <v>6962</v>
      </c>
      <c r="C707" s="1">
        <v>45722</v>
      </c>
    </row>
    <row r="708" spans="1:3" x14ac:dyDescent="0.25">
      <c r="A708" t="s">
        <v>6312</v>
      </c>
      <c r="B708" t="s">
        <v>6962</v>
      </c>
      <c r="C708" s="1">
        <v>45724</v>
      </c>
    </row>
    <row r="709" spans="1:3" x14ac:dyDescent="0.25">
      <c r="A709" t="s">
        <v>6313</v>
      </c>
      <c r="B709" t="s">
        <v>6962</v>
      </c>
      <c r="C709" s="1">
        <v>45766</v>
      </c>
    </row>
    <row r="710" spans="1:3" x14ac:dyDescent="0.25">
      <c r="A710" t="s">
        <v>6314</v>
      </c>
      <c r="B710" t="s">
        <v>6962</v>
      </c>
      <c r="C710" s="1">
        <v>45719</v>
      </c>
    </row>
    <row r="711" spans="1:3" x14ac:dyDescent="0.25">
      <c r="A711" t="s">
        <v>6315</v>
      </c>
      <c r="B711" t="s">
        <v>6963</v>
      </c>
      <c r="C711" s="1"/>
    </row>
    <row r="712" spans="1:3" x14ac:dyDescent="0.25">
      <c r="A712" t="s">
        <v>6316</v>
      </c>
      <c r="B712" t="s">
        <v>6963</v>
      </c>
      <c r="C712" s="1"/>
    </row>
    <row r="713" spans="1:3" x14ac:dyDescent="0.25">
      <c r="A713" t="s">
        <v>6317</v>
      </c>
      <c r="B713" t="s">
        <v>6962</v>
      </c>
      <c r="C713" s="1">
        <v>45738</v>
      </c>
    </row>
    <row r="714" spans="1:3" x14ac:dyDescent="0.25">
      <c r="A714" t="s">
        <v>6318</v>
      </c>
      <c r="B714" t="s">
        <v>6962</v>
      </c>
      <c r="C714" s="1">
        <v>45769</v>
      </c>
    </row>
    <row r="715" spans="1:3" x14ac:dyDescent="0.25">
      <c r="A715" t="s">
        <v>6319</v>
      </c>
      <c r="B715" t="s">
        <v>6962</v>
      </c>
      <c r="C715" s="1">
        <v>45771</v>
      </c>
    </row>
    <row r="716" spans="1:3" x14ac:dyDescent="0.25">
      <c r="A716" t="s">
        <v>6320</v>
      </c>
      <c r="B716" t="s">
        <v>39</v>
      </c>
      <c r="C716" s="1"/>
    </row>
    <row r="717" spans="1:3" x14ac:dyDescent="0.25">
      <c r="A717" t="s">
        <v>6321</v>
      </c>
      <c r="B717" t="s">
        <v>6962</v>
      </c>
      <c r="C717" s="1">
        <v>45726</v>
      </c>
    </row>
    <row r="718" spans="1:3" x14ac:dyDescent="0.25">
      <c r="A718" t="s">
        <v>6322</v>
      </c>
      <c r="B718" t="s">
        <v>6963</v>
      </c>
      <c r="C718" s="1"/>
    </row>
    <row r="719" spans="1:3" x14ac:dyDescent="0.25">
      <c r="A719" t="s">
        <v>6323</v>
      </c>
      <c r="B719" t="s">
        <v>6962</v>
      </c>
      <c r="C719" s="1">
        <v>45728</v>
      </c>
    </row>
    <row r="720" spans="1:3" x14ac:dyDescent="0.25">
      <c r="A720" t="s">
        <v>6324</v>
      </c>
      <c r="B720" t="s">
        <v>6963</v>
      </c>
      <c r="C720" s="1"/>
    </row>
    <row r="721" spans="1:3" x14ac:dyDescent="0.25">
      <c r="A721" t="s">
        <v>6325</v>
      </c>
      <c r="B721" t="s">
        <v>39</v>
      </c>
      <c r="C721" s="1"/>
    </row>
    <row r="722" spans="1:3" x14ac:dyDescent="0.25">
      <c r="A722" t="s">
        <v>6326</v>
      </c>
      <c r="B722" t="s">
        <v>6962</v>
      </c>
      <c r="C722" s="1">
        <v>45726</v>
      </c>
    </row>
    <row r="723" spans="1:3" x14ac:dyDescent="0.25">
      <c r="A723" t="s">
        <v>6327</v>
      </c>
      <c r="B723" t="s">
        <v>6962</v>
      </c>
      <c r="C723" s="1">
        <v>45729</v>
      </c>
    </row>
    <row r="724" spans="1:3" x14ac:dyDescent="0.25">
      <c r="A724" t="s">
        <v>6328</v>
      </c>
      <c r="B724" t="s">
        <v>6963</v>
      </c>
      <c r="C724" s="1"/>
    </row>
    <row r="725" spans="1:3" x14ac:dyDescent="0.25">
      <c r="A725" t="s">
        <v>6329</v>
      </c>
      <c r="B725" t="s">
        <v>39</v>
      </c>
      <c r="C725" s="1"/>
    </row>
    <row r="726" spans="1:3" x14ac:dyDescent="0.25">
      <c r="A726" t="s">
        <v>6330</v>
      </c>
      <c r="B726" t="s">
        <v>6962</v>
      </c>
      <c r="C726" s="1">
        <v>45807</v>
      </c>
    </row>
    <row r="727" spans="1:3" x14ac:dyDescent="0.25">
      <c r="A727" t="s">
        <v>6331</v>
      </c>
      <c r="B727" t="s">
        <v>6962</v>
      </c>
      <c r="C727" s="1">
        <v>45729</v>
      </c>
    </row>
    <row r="728" spans="1:3" x14ac:dyDescent="0.25">
      <c r="A728" t="s">
        <v>6332</v>
      </c>
      <c r="B728" t="s">
        <v>6962</v>
      </c>
      <c r="C728" s="1">
        <v>45807</v>
      </c>
    </row>
    <row r="729" spans="1:3" x14ac:dyDescent="0.25">
      <c r="A729" t="s">
        <v>6333</v>
      </c>
      <c r="B729" t="s">
        <v>6962</v>
      </c>
      <c r="C729" s="1">
        <v>45724</v>
      </c>
    </row>
    <row r="730" spans="1:3" x14ac:dyDescent="0.25">
      <c r="A730" t="s">
        <v>6334</v>
      </c>
      <c r="B730" t="s">
        <v>6963</v>
      </c>
      <c r="C730" s="1"/>
    </row>
    <row r="731" spans="1:3" x14ac:dyDescent="0.25">
      <c r="A731" t="s">
        <v>6335</v>
      </c>
      <c r="B731" t="s">
        <v>6963</v>
      </c>
      <c r="C731" s="1"/>
    </row>
    <row r="732" spans="1:3" x14ac:dyDescent="0.25">
      <c r="A732" t="s">
        <v>6336</v>
      </c>
      <c r="B732" t="s">
        <v>6962</v>
      </c>
      <c r="C732" s="1">
        <v>45785</v>
      </c>
    </row>
    <row r="733" spans="1:3" x14ac:dyDescent="0.25">
      <c r="A733" t="s">
        <v>6337</v>
      </c>
      <c r="B733" t="s">
        <v>6962</v>
      </c>
      <c r="C733" s="1">
        <v>45825</v>
      </c>
    </row>
    <row r="734" spans="1:3" x14ac:dyDescent="0.25">
      <c r="A734" t="s">
        <v>6338</v>
      </c>
      <c r="B734" t="s">
        <v>6962</v>
      </c>
      <c r="C734" s="1">
        <v>45727</v>
      </c>
    </row>
    <row r="735" spans="1:3" x14ac:dyDescent="0.25">
      <c r="A735" t="s">
        <v>6339</v>
      </c>
      <c r="B735" t="s">
        <v>6962</v>
      </c>
      <c r="C735" s="1">
        <v>45722</v>
      </c>
    </row>
    <row r="736" spans="1:3" x14ac:dyDescent="0.25">
      <c r="A736" t="s">
        <v>6340</v>
      </c>
      <c r="B736" t="s">
        <v>6962</v>
      </c>
      <c r="C736" s="1">
        <v>45724</v>
      </c>
    </row>
    <row r="737" spans="1:3" x14ac:dyDescent="0.25">
      <c r="A737" t="s">
        <v>6341</v>
      </c>
      <c r="B737" t="s">
        <v>6962</v>
      </c>
      <c r="C737" s="1">
        <v>45731</v>
      </c>
    </row>
    <row r="738" spans="1:3" x14ac:dyDescent="0.25">
      <c r="A738" t="s">
        <v>6342</v>
      </c>
      <c r="B738" t="s">
        <v>39</v>
      </c>
      <c r="C738" s="1"/>
    </row>
    <row r="739" spans="1:3" x14ac:dyDescent="0.25">
      <c r="A739" t="s">
        <v>6343</v>
      </c>
      <c r="B739" t="s">
        <v>6963</v>
      </c>
      <c r="C739" s="1"/>
    </row>
    <row r="740" spans="1:3" x14ac:dyDescent="0.25">
      <c r="A740" t="s">
        <v>6344</v>
      </c>
      <c r="B740" t="s">
        <v>6963</v>
      </c>
      <c r="C740" s="1"/>
    </row>
    <row r="741" spans="1:3" x14ac:dyDescent="0.25">
      <c r="A741" t="s">
        <v>6345</v>
      </c>
      <c r="B741" t="s">
        <v>6962</v>
      </c>
      <c r="C741" s="1">
        <v>45733</v>
      </c>
    </row>
    <row r="742" spans="1:3" x14ac:dyDescent="0.25">
      <c r="A742" t="s">
        <v>6346</v>
      </c>
      <c r="B742" t="s">
        <v>6962</v>
      </c>
      <c r="C742" s="1">
        <v>45721</v>
      </c>
    </row>
    <row r="743" spans="1:3" x14ac:dyDescent="0.25">
      <c r="A743" t="s">
        <v>6347</v>
      </c>
      <c r="B743" t="s">
        <v>39</v>
      </c>
      <c r="C743" s="1"/>
    </row>
    <row r="744" spans="1:3" x14ac:dyDescent="0.25">
      <c r="A744" t="s">
        <v>6348</v>
      </c>
      <c r="B744" t="s">
        <v>6962</v>
      </c>
      <c r="C744" s="1">
        <v>45749</v>
      </c>
    </row>
    <row r="745" spans="1:3" x14ac:dyDescent="0.25">
      <c r="A745" t="s">
        <v>6349</v>
      </c>
      <c r="B745" t="s">
        <v>6962</v>
      </c>
      <c r="C745" s="1">
        <v>45721</v>
      </c>
    </row>
    <row r="746" spans="1:3" x14ac:dyDescent="0.25">
      <c r="A746" t="s">
        <v>6350</v>
      </c>
      <c r="B746" t="s">
        <v>6962</v>
      </c>
      <c r="C746" s="1">
        <v>45727</v>
      </c>
    </row>
    <row r="747" spans="1:3" x14ac:dyDescent="0.25">
      <c r="A747" t="s">
        <v>6301</v>
      </c>
      <c r="B747" t="s">
        <v>6963</v>
      </c>
      <c r="C747" s="1"/>
    </row>
    <row r="748" spans="1:3" x14ac:dyDescent="0.25">
      <c r="A748" t="s">
        <v>6351</v>
      </c>
      <c r="B748" t="s">
        <v>6962</v>
      </c>
      <c r="C748" s="1">
        <v>45717</v>
      </c>
    </row>
    <row r="749" spans="1:3" x14ac:dyDescent="0.25">
      <c r="A749" t="s">
        <v>6256</v>
      </c>
      <c r="B749" t="s">
        <v>6962</v>
      </c>
      <c r="C749" s="1">
        <v>45747</v>
      </c>
    </row>
    <row r="750" spans="1:3" x14ac:dyDescent="0.25">
      <c r="A750" t="s">
        <v>6256</v>
      </c>
      <c r="B750" t="s">
        <v>6963</v>
      </c>
      <c r="C750" s="1"/>
    </row>
    <row r="751" spans="1:3" x14ac:dyDescent="0.25">
      <c r="A751" t="s">
        <v>6256</v>
      </c>
      <c r="B751" t="s">
        <v>6962</v>
      </c>
      <c r="C751" s="1">
        <v>45726</v>
      </c>
    </row>
    <row r="752" spans="1:3" x14ac:dyDescent="0.25">
      <c r="A752" t="s">
        <v>6352</v>
      </c>
      <c r="B752" t="s">
        <v>6962</v>
      </c>
      <c r="C752" s="1">
        <v>45740</v>
      </c>
    </row>
    <row r="753" spans="1:3" x14ac:dyDescent="0.25">
      <c r="A753" t="s">
        <v>6353</v>
      </c>
      <c r="B753" t="s">
        <v>6963</v>
      </c>
      <c r="C753" s="1"/>
    </row>
    <row r="754" spans="1:3" x14ac:dyDescent="0.25">
      <c r="A754" t="s">
        <v>6354</v>
      </c>
      <c r="B754" t="s">
        <v>6962</v>
      </c>
      <c r="C754" s="1">
        <v>45733</v>
      </c>
    </row>
    <row r="755" spans="1:3" x14ac:dyDescent="0.25">
      <c r="A755" t="s">
        <v>6355</v>
      </c>
      <c r="B755" t="s">
        <v>6962</v>
      </c>
      <c r="C755" s="1">
        <v>45764</v>
      </c>
    </row>
    <row r="756" spans="1:3" x14ac:dyDescent="0.25">
      <c r="A756" t="s">
        <v>6356</v>
      </c>
      <c r="B756" t="s">
        <v>6962</v>
      </c>
      <c r="C756" s="1">
        <v>45743</v>
      </c>
    </row>
    <row r="757" spans="1:3" x14ac:dyDescent="0.25">
      <c r="A757" t="s">
        <v>6357</v>
      </c>
      <c r="B757" t="s">
        <v>6962</v>
      </c>
      <c r="C757" s="1">
        <v>45755</v>
      </c>
    </row>
    <row r="758" spans="1:3" x14ac:dyDescent="0.25">
      <c r="A758" t="s">
        <v>6358</v>
      </c>
      <c r="B758" t="s">
        <v>6962</v>
      </c>
      <c r="C758" s="1">
        <v>45790</v>
      </c>
    </row>
    <row r="759" spans="1:3" x14ac:dyDescent="0.25">
      <c r="A759" t="s">
        <v>6359</v>
      </c>
      <c r="B759" t="s">
        <v>6962</v>
      </c>
      <c r="C759" s="1">
        <v>45785</v>
      </c>
    </row>
    <row r="760" spans="1:3" x14ac:dyDescent="0.25">
      <c r="A760" t="s">
        <v>6360</v>
      </c>
      <c r="B760" t="s">
        <v>6962</v>
      </c>
      <c r="C760" s="1">
        <v>45792</v>
      </c>
    </row>
    <row r="761" spans="1:3" x14ac:dyDescent="0.25">
      <c r="A761" t="s">
        <v>6361</v>
      </c>
      <c r="B761" t="s">
        <v>6962</v>
      </c>
      <c r="C761" s="1">
        <v>45792</v>
      </c>
    </row>
    <row r="762" spans="1:3" x14ac:dyDescent="0.25">
      <c r="A762" t="s">
        <v>6362</v>
      </c>
      <c r="B762" t="s">
        <v>6963</v>
      </c>
      <c r="C762" s="1"/>
    </row>
    <row r="763" spans="1:3" x14ac:dyDescent="0.25">
      <c r="A763" t="s">
        <v>6363</v>
      </c>
      <c r="B763" t="s">
        <v>6962</v>
      </c>
      <c r="C763" s="1">
        <v>45790</v>
      </c>
    </row>
    <row r="764" spans="1:3" x14ac:dyDescent="0.25">
      <c r="A764" t="s">
        <v>6364</v>
      </c>
      <c r="B764" t="s">
        <v>6962</v>
      </c>
      <c r="C764" s="1">
        <v>45793</v>
      </c>
    </row>
    <row r="765" spans="1:3" x14ac:dyDescent="0.25">
      <c r="A765" t="s">
        <v>6365</v>
      </c>
      <c r="B765" t="s">
        <v>6962</v>
      </c>
      <c r="C765" s="1">
        <v>45727</v>
      </c>
    </row>
    <row r="766" spans="1:3" x14ac:dyDescent="0.25">
      <c r="A766" t="s">
        <v>6366</v>
      </c>
      <c r="B766" t="s">
        <v>6963</v>
      </c>
      <c r="C766" s="1"/>
    </row>
    <row r="767" spans="1:3" x14ac:dyDescent="0.25">
      <c r="A767" t="s">
        <v>6367</v>
      </c>
      <c r="B767" t="s">
        <v>6962</v>
      </c>
      <c r="C767" s="1">
        <v>45724</v>
      </c>
    </row>
    <row r="768" spans="1:3" x14ac:dyDescent="0.25">
      <c r="A768" t="s">
        <v>6368</v>
      </c>
      <c r="B768" t="s">
        <v>6962</v>
      </c>
      <c r="C768" s="1">
        <v>45822</v>
      </c>
    </row>
    <row r="769" spans="1:3" x14ac:dyDescent="0.25">
      <c r="A769" t="s">
        <v>6369</v>
      </c>
      <c r="B769" t="s">
        <v>6962</v>
      </c>
      <c r="C769" s="1">
        <v>45741</v>
      </c>
    </row>
    <row r="770" spans="1:3" x14ac:dyDescent="0.25">
      <c r="A770" t="s">
        <v>6370</v>
      </c>
      <c r="B770" t="s">
        <v>39</v>
      </c>
      <c r="C770" s="1"/>
    </row>
    <row r="771" spans="1:3" x14ac:dyDescent="0.25">
      <c r="A771" t="s">
        <v>6371</v>
      </c>
      <c r="B771" t="s">
        <v>6962</v>
      </c>
      <c r="C771" s="1">
        <v>45734</v>
      </c>
    </row>
    <row r="772" spans="1:3" x14ac:dyDescent="0.25">
      <c r="A772" t="s">
        <v>6372</v>
      </c>
      <c r="B772" t="s">
        <v>6962</v>
      </c>
      <c r="C772" s="1">
        <v>45723</v>
      </c>
    </row>
    <row r="773" spans="1:3" x14ac:dyDescent="0.25">
      <c r="A773" t="s">
        <v>6373</v>
      </c>
      <c r="B773" t="s">
        <v>6963</v>
      </c>
      <c r="C773" s="1"/>
    </row>
    <row r="774" spans="1:3" x14ac:dyDescent="0.25">
      <c r="A774" t="s">
        <v>6374</v>
      </c>
      <c r="B774" t="s">
        <v>6962</v>
      </c>
      <c r="C774" s="1">
        <v>45744</v>
      </c>
    </row>
    <row r="775" spans="1:3" x14ac:dyDescent="0.25">
      <c r="A775" t="s">
        <v>6375</v>
      </c>
      <c r="B775" t="s">
        <v>39</v>
      </c>
      <c r="C775" s="1"/>
    </row>
    <row r="776" spans="1:3" x14ac:dyDescent="0.25">
      <c r="A776" t="s">
        <v>6376</v>
      </c>
      <c r="B776" t="s">
        <v>6962</v>
      </c>
      <c r="C776" s="1">
        <v>45785</v>
      </c>
    </row>
    <row r="777" spans="1:3" x14ac:dyDescent="0.25">
      <c r="A777" t="s">
        <v>6377</v>
      </c>
      <c r="B777" t="s">
        <v>6963</v>
      </c>
      <c r="C777" s="1"/>
    </row>
    <row r="778" spans="1:3" x14ac:dyDescent="0.25">
      <c r="A778" t="s">
        <v>6378</v>
      </c>
      <c r="B778" t="s">
        <v>6963</v>
      </c>
      <c r="C778" s="1"/>
    </row>
    <row r="779" spans="1:3" x14ac:dyDescent="0.25">
      <c r="A779" t="s">
        <v>6379</v>
      </c>
      <c r="B779" t="s">
        <v>6963</v>
      </c>
      <c r="C779" s="1"/>
    </row>
    <row r="780" spans="1:3" x14ac:dyDescent="0.25">
      <c r="A780" t="s">
        <v>6380</v>
      </c>
      <c r="B780" t="s">
        <v>6962</v>
      </c>
      <c r="C780" s="1">
        <v>45771</v>
      </c>
    </row>
    <row r="781" spans="1:3" x14ac:dyDescent="0.25">
      <c r="A781" t="s">
        <v>6381</v>
      </c>
      <c r="B781" t="s">
        <v>39</v>
      </c>
      <c r="C781" s="1"/>
    </row>
    <row r="782" spans="1:3" x14ac:dyDescent="0.25">
      <c r="A782" t="s">
        <v>6382</v>
      </c>
      <c r="B782" t="s">
        <v>6962</v>
      </c>
      <c r="C782" s="1">
        <v>45742</v>
      </c>
    </row>
    <row r="783" spans="1:3" x14ac:dyDescent="0.25">
      <c r="A783" t="s">
        <v>6383</v>
      </c>
      <c r="B783" t="s">
        <v>6962</v>
      </c>
      <c r="C783" s="1">
        <v>45776</v>
      </c>
    </row>
    <row r="784" spans="1:3" x14ac:dyDescent="0.25">
      <c r="A784" t="s">
        <v>6384</v>
      </c>
      <c r="B784" t="s">
        <v>6963</v>
      </c>
      <c r="C784" s="1"/>
    </row>
    <row r="785" spans="1:3" x14ac:dyDescent="0.25">
      <c r="A785" t="s">
        <v>6385</v>
      </c>
      <c r="B785" t="s">
        <v>39</v>
      </c>
      <c r="C785" s="1"/>
    </row>
    <row r="786" spans="1:3" x14ac:dyDescent="0.25">
      <c r="A786" t="s">
        <v>6386</v>
      </c>
      <c r="B786" t="s">
        <v>6962</v>
      </c>
      <c r="C786" s="1">
        <v>45731</v>
      </c>
    </row>
    <row r="787" spans="1:3" x14ac:dyDescent="0.25">
      <c r="A787" t="s">
        <v>6387</v>
      </c>
      <c r="B787" t="s">
        <v>6962</v>
      </c>
      <c r="C787" s="1">
        <v>45717</v>
      </c>
    </row>
    <row r="788" spans="1:3" x14ac:dyDescent="0.25">
      <c r="A788" t="s">
        <v>6388</v>
      </c>
      <c r="B788" t="s">
        <v>6963</v>
      </c>
      <c r="C788" s="1"/>
    </row>
    <row r="789" spans="1:3" x14ac:dyDescent="0.25">
      <c r="A789" t="s">
        <v>6389</v>
      </c>
      <c r="B789" t="s">
        <v>6962</v>
      </c>
      <c r="C789" s="1">
        <v>45726</v>
      </c>
    </row>
    <row r="790" spans="1:3" x14ac:dyDescent="0.25">
      <c r="A790" t="s">
        <v>6390</v>
      </c>
      <c r="B790" t="s">
        <v>6962</v>
      </c>
      <c r="C790" s="1">
        <v>45726</v>
      </c>
    </row>
    <row r="791" spans="1:3" x14ac:dyDescent="0.25">
      <c r="A791" t="s">
        <v>6391</v>
      </c>
      <c r="B791" t="s">
        <v>6962</v>
      </c>
      <c r="C791" s="1">
        <v>45735</v>
      </c>
    </row>
    <row r="792" spans="1:3" x14ac:dyDescent="0.25">
      <c r="A792" t="s">
        <v>6392</v>
      </c>
      <c r="B792" t="s">
        <v>6963</v>
      </c>
      <c r="C792" s="1"/>
    </row>
    <row r="793" spans="1:3" x14ac:dyDescent="0.25">
      <c r="A793" t="s">
        <v>6393</v>
      </c>
      <c r="B793" t="s">
        <v>6962</v>
      </c>
      <c r="C793" s="1">
        <v>45743</v>
      </c>
    </row>
    <row r="794" spans="1:3" x14ac:dyDescent="0.25">
      <c r="A794" t="s">
        <v>6394</v>
      </c>
      <c r="B794" t="s">
        <v>6962</v>
      </c>
      <c r="C794" s="1">
        <v>45744</v>
      </c>
    </row>
    <row r="795" spans="1:3" x14ac:dyDescent="0.25">
      <c r="A795" t="s">
        <v>6395</v>
      </c>
      <c r="B795" t="s">
        <v>6962</v>
      </c>
      <c r="C795" s="1">
        <v>45773</v>
      </c>
    </row>
    <row r="796" spans="1:3" x14ac:dyDescent="0.25">
      <c r="A796" t="s">
        <v>6396</v>
      </c>
      <c r="B796" t="s">
        <v>6962</v>
      </c>
      <c r="C796" s="1">
        <v>45813</v>
      </c>
    </row>
    <row r="797" spans="1:3" x14ac:dyDescent="0.25">
      <c r="A797" t="s">
        <v>6397</v>
      </c>
      <c r="B797" t="s">
        <v>6963</v>
      </c>
      <c r="C797" s="1"/>
    </row>
    <row r="798" spans="1:3" x14ac:dyDescent="0.25">
      <c r="A798" t="s">
        <v>6398</v>
      </c>
      <c r="B798" t="s">
        <v>6962</v>
      </c>
      <c r="C798" s="1">
        <v>45724</v>
      </c>
    </row>
    <row r="799" spans="1:3" x14ac:dyDescent="0.25">
      <c r="A799" t="s">
        <v>6399</v>
      </c>
      <c r="B799" t="s">
        <v>6962</v>
      </c>
      <c r="C799" s="1">
        <v>45771</v>
      </c>
    </row>
    <row r="800" spans="1:3" x14ac:dyDescent="0.25">
      <c r="A800" t="s">
        <v>6400</v>
      </c>
      <c r="B800" t="s">
        <v>6962</v>
      </c>
      <c r="C800" s="1">
        <v>45737</v>
      </c>
    </row>
    <row r="801" spans="1:3" x14ac:dyDescent="0.25">
      <c r="A801" t="s">
        <v>6401</v>
      </c>
      <c r="B801" t="s">
        <v>6963</v>
      </c>
      <c r="C801" s="1"/>
    </row>
    <row r="802" spans="1:3" x14ac:dyDescent="0.25">
      <c r="A802" t="s">
        <v>6402</v>
      </c>
      <c r="B802" t="s">
        <v>6962</v>
      </c>
      <c r="C802" s="1">
        <v>45727</v>
      </c>
    </row>
    <row r="803" spans="1:3" x14ac:dyDescent="0.25">
      <c r="A803" t="s">
        <v>6403</v>
      </c>
      <c r="B803" t="s">
        <v>6962</v>
      </c>
      <c r="C803" s="1">
        <v>45745</v>
      </c>
    </row>
    <row r="804" spans="1:3" x14ac:dyDescent="0.25">
      <c r="A804" t="s">
        <v>6404</v>
      </c>
      <c r="B804" t="s">
        <v>6962</v>
      </c>
      <c r="C804" s="1">
        <v>45726</v>
      </c>
    </row>
    <row r="805" spans="1:3" x14ac:dyDescent="0.25">
      <c r="A805" t="s">
        <v>6405</v>
      </c>
      <c r="B805" t="s">
        <v>6963</v>
      </c>
      <c r="C805" s="1"/>
    </row>
    <row r="806" spans="1:3" x14ac:dyDescent="0.25">
      <c r="A806" t="s">
        <v>6406</v>
      </c>
      <c r="B806" t="s">
        <v>6962</v>
      </c>
      <c r="C806" s="1">
        <v>45728</v>
      </c>
    </row>
    <row r="807" spans="1:3" x14ac:dyDescent="0.25">
      <c r="A807" t="s">
        <v>6407</v>
      </c>
      <c r="B807" t="s">
        <v>6962</v>
      </c>
      <c r="C807" s="1">
        <v>45749</v>
      </c>
    </row>
    <row r="808" spans="1:3" x14ac:dyDescent="0.25">
      <c r="A808" t="s">
        <v>6408</v>
      </c>
      <c r="B808" t="s">
        <v>6962</v>
      </c>
      <c r="C808" s="1">
        <v>45782</v>
      </c>
    </row>
    <row r="809" spans="1:3" x14ac:dyDescent="0.25">
      <c r="A809" t="s">
        <v>6409</v>
      </c>
      <c r="B809" t="s">
        <v>6962</v>
      </c>
      <c r="C809" s="1">
        <v>45735</v>
      </c>
    </row>
    <row r="810" spans="1:3" x14ac:dyDescent="0.25">
      <c r="A810" t="s">
        <v>6410</v>
      </c>
      <c r="B810" t="s">
        <v>6962</v>
      </c>
      <c r="C810" s="1">
        <v>45759</v>
      </c>
    </row>
    <row r="811" spans="1:3" x14ac:dyDescent="0.25">
      <c r="A811" t="s">
        <v>6411</v>
      </c>
      <c r="B811" t="s">
        <v>6962</v>
      </c>
      <c r="C811" s="1">
        <v>45740</v>
      </c>
    </row>
    <row r="812" spans="1:3" x14ac:dyDescent="0.25">
      <c r="A812" t="s">
        <v>6412</v>
      </c>
      <c r="B812" t="s">
        <v>6963</v>
      </c>
      <c r="C812" s="1"/>
    </row>
    <row r="813" spans="1:3" x14ac:dyDescent="0.25">
      <c r="A813" t="s">
        <v>6413</v>
      </c>
      <c r="B813" t="s">
        <v>6962</v>
      </c>
      <c r="C813" s="1">
        <v>45772</v>
      </c>
    </row>
    <row r="814" spans="1:3" x14ac:dyDescent="0.25">
      <c r="A814" t="s">
        <v>6414</v>
      </c>
      <c r="B814" t="s">
        <v>6962</v>
      </c>
      <c r="C814" s="1">
        <v>45724</v>
      </c>
    </row>
    <row r="815" spans="1:3" x14ac:dyDescent="0.25">
      <c r="A815" t="s">
        <v>6415</v>
      </c>
      <c r="B815" t="s">
        <v>6962</v>
      </c>
      <c r="C815" s="1">
        <v>45764</v>
      </c>
    </row>
    <row r="816" spans="1:3" x14ac:dyDescent="0.25">
      <c r="A816" t="s">
        <v>6416</v>
      </c>
      <c r="B816" t="s">
        <v>6962</v>
      </c>
      <c r="C816" s="1">
        <v>45734</v>
      </c>
    </row>
    <row r="817" spans="1:3" x14ac:dyDescent="0.25">
      <c r="A817" t="s">
        <v>6417</v>
      </c>
      <c r="B817" t="s">
        <v>6962</v>
      </c>
      <c r="C817" s="1">
        <v>45745</v>
      </c>
    </row>
    <row r="818" spans="1:3" x14ac:dyDescent="0.25">
      <c r="A818" t="s">
        <v>6418</v>
      </c>
      <c r="B818" t="s">
        <v>6962</v>
      </c>
      <c r="C818" s="1">
        <v>45737</v>
      </c>
    </row>
    <row r="819" spans="1:3" x14ac:dyDescent="0.25">
      <c r="A819" t="s">
        <v>6419</v>
      </c>
      <c r="B819" t="s">
        <v>6962</v>
      </c>
      <c r="C819" s="1">
        <v>45727</v>
      </c>
    </row>
    <row r="820" spans="1:3" x14ac:dyDescent="0.25">
      <c r="A820" t="s">
        <v>6420</v>
      </c>
      <c r="B820" t="s">
        <v>6962</v>
      </c>
      <c r="C820" s="1">
        <v>45757</v>
      </c>
    </row>
    <row r="821" spans="1:3" x14ac:dyDescent="0.25">
      <c r="A821" t="s">
        <v>6421</v>
      </c>
      <c r="B821" t="s">
        <v>6962</v>
      </c>
      <c r="C821" s="1">
        <v>45729</v>
      </c>
    </row>
    <row r="822" spans="1:3" x14ac:dyDescent="0.25">
      <c r="A822" t="s">
        <v>6422</v>
      </c>
      <c r="B822" t="s">
        <v>6963</v>
      </c>
      <c r="C822" s="1"/>
    </row>
    <row r="823" spans="1:3" x14ac:dyDescent="0.25">
      <c r="A823" t="s">
        <v>6423</v>
      </c>
      <c r="B823" t="s">
        <v>6962</v>
      </c>
      <c r="C823" s="1">
        <v>45747</v>
      </c>
    </row>
    <row r="824" spans="1:3" x14ac:dyDescent="0.25">
      <c r="A824" t="s">
        <v>6424</v>
      </c>
      <c r="B824" t="s">
        <v>6962</v>
      </c>
      <c r="C824" s="1">
        <v>45743</v>
      </c>
    </row>
    <row r="825" spans="1:3" x14ac:dyDescent="0.25">
      <c r="A825" t="s">
        <v>6425</v>
      </c>
      <c r="B825" t="s">
        <v>6962</v>
      </c>
      <c r="C825" s="1">
        <v>45791</v>
      </c>
    </row>
    <row r="826" spans="1:3" x14ac:dyDescent="0.25">
      <c r="A826" t="s">
        <v>6426</v>
      </c>
      <c r="B826" t="s">
        <v>6963</v>
      </c>
      <c r="C826" s="1"/>
    </row>
    <row r="827" spans="1:3" x14ac:dyDescent="0.25">
      <c r="A827" t="s">
        <v>6427</v>
      </c>
      <c r="B827" t="s">
        <v>6962</v>
      </c>
      <c r="C827" s="1">
        <v>45745</v>
      </c>
    </row>
    <row r="828" spans="1:3" x14ac:dyDescent="0.25">
      <c r="A828" t="s">
        <v>6428</v>
      </c>
      <c r="B828" t="s">
        <v>6962</v>
      </c>
      <c r="C828" s="1">
        <v>45747</v>
      </c>
    </row>
    <row r="829" spans="1:3" x14ac:dyDescent="0.25">
      <c r="A829" t="s">
        <v>6429</v>
      </c>
      <c r="B829" t="s">
        <v>6962</v>
      </c>
      <c r="C829" s="1">
        <v>45763</v>
      </c>
    </row>
    <row r="830" spans="1:3" x14ac:dyDescent="0.25">
      <c r="A830" t="s">
        <v>6430</v>
      </c>
      <c r="B830" t="s">
        <v>6962</v>
      </c>
      <c r="C830" s="1">
        <v>45729</v>
      </c>
    </row>
    <row r="831" spans="1:3" x14ac:dyDescent="0.25">
      <c r="A831" t="s">
        <v>6431</v>
      </c>
      <c r="B831" t="s">
        <v>6962</v>
      </c>
      <c r="C831" s="1">
        <v>45777</v>
      </c>
    </row>
    <row r="832" spans="1:3" x14ac:dyDescent="0.25">
      <c r="A832" t="s">
        <v>6432</v>
      </c>
      <c r="B832" t="s">
        <v>6962</v>
      </c>
      <c r="C832" s="1">
        <v>45776</v>
      </c>
    </row>
    <row r="833" spans="1:3" x14ac:dyDescent="0.25">
      <c r="A833" t="s">
        <v>6433</v>
      </c>
      <c r="B833" t="s">
        <v>6962</v>
      </c>
      <c r="C833" s="1">
        <v>45731</v>
      </c>
    </row>
    <row r="834" spans="1:3" x14ac:dyDescent="0.25">
      <c r="A834" t="s">
        <v>6434</v>
      </c>
      <c r="B834" t="s">
        <v>6962</v>
      </c>
      <c r="C834" s="1">
        <v>45720</v>
      </c>
    </row>
    <row r="835" spans="1:3" x14ac:dyDescent="0.25">
      <c r="A835" t="s">
        <v>6435</v>
      </c>
      <c r="B835" t="s">
        <v>6962</v>
      </c>
      <c r="C835" s="1">
        <v>45789</v>
      </c>
    </row>
    <row r="836" spans="1:3" x14ac:dyDescent="0.25">
      <c r="A836" t="s">
        <v>6436</v>
      </c>
      <c r="B836" t="s">
        <v>6962</v>
      </c>
      <c r="C836" s="1">
        <v>45737</v>
      </c>
    </row>
    <row r="837" spans="1:3" x14ac:dyDescent="0.25">
      <c r="A837" t="s">
        <v>6437</v>
      </c>
      <c r="B837" t="s">
        <v>39</v>
      </c>
      <c r="C837" s="1"/>
    </row>
    <row r="838" spans="1:3" x14ac:dyDescent="0.25">
      <c r="A838" t="s">
        <v>6438</v>
      </c>
      <c r="B838" t="s">
        <v>6963</v>
      </c>
      <c r="C838" s="1"/>
    </row>
    <row r="839" spans="1:3" x14ac:dyDescent="0.25">
      <c r="A839" t="s">
        <v>6439</v>
      </c>
      <c r="B839" t="s">
        <v>6963</v>
      </c>
      <c r="C839" s="1"/>
    </row>
    <row r="840" spans="1:3" x14ac:dyDescent="0.25">
      <c r="A840" t="s">
        <v>6440</v>
      </c>
      <c r="B840" t="s">
        <v>6962</v>
      </c>
      <c r="C840" s="1">
        <v>45724</v>
      </c>
    </row>
    <row r="841" spans="1:3" x14ac:dyDescent="0.25">
      <c r="A841" t="s">
        <v>6441</v>
      </c>
      <c r="B841" t="s">
        <v>6962</v>
      </c>
      <c r="C841" s="1">
        <v>45724</v>
      </c>
    </row>
    <row r="842" spans="1:3" x14ac:dyDescent="0.25">
      <c r="A842" t="s">
        <v>6442</v>
      </c>
      <c r="B842" t="s">
        <v>6962</v>
      </c>
      <c r="C842" s="1">
        <v>45737</v>
      </c>
    </row>
    <row r="843" spans="1:3" x14ac:dyDescent="0.25">
      <c r="A843" t="s">
        <v>6443</v>
      </c>
      <c r="B843" t="s">
        <v>6963</v>
      </c>
      <c r="C843" s="1"/>
    </row>
    <row r="844" spans="1:3" x14ac:dyDescent="0.25">
      <c r="A844" t="s">
        <v>6444</v>
      </c>
      <c r="B844" t="s">
        <v>6962</v>
      </c>
      <c r="C844" s="1">
        <v>45724</v>
      </c>
    </row>
    <row r="845" spans="1:3" x14ac:dyDescent="0.25">
      <c r="A845" t="s">
        <v>6445</v>
      </c>
      <c r="B845" t="s">
        <v>6962</v>
      </c>
      <c r="C845" s="1">
        <v>45773</v>
      </c>
    </row>
    <row r="846" spans="1:3" x14ac:dyDescent="0.25">
      <c r="A846" t="s">
        <v>6446</v>
      </c>
      <c r="B846" t="s">
        <v>6962</v>
      </c>
      <c r="C846" s="1">
        <v>45775</v>
      </c>
    </row>
    <row r="847" spans="1:3" x14ac:dyDescent="0.25">
      <c r="A847" t="s">
        <v>6447</v>
      </c>
      <c r="B847" t="s">
        <v>6962</v>
      </c>
      <c r="C847" s="1">
        <v>45822</v>
      </c>
    </row>
    <row r="848" spans="1:3" x14ac:dyDescent="0.25">
      <c r="A848" t="s">
        <v>6234</v>
      </c>
      <c r="B848" t="s">
        <v>6962</v>
      </c>
      <c r="C848" s="1">
        <v>45785</v>
      </c>
    </row>
    <row r="849" spans="1:3" x14ac:dyDescent="0.25">
      <c r="A849" t="s">
        <v>6388</v>
      </c>
      <c r="B849" t="s">
        <v>6962</v>
      </c>
      <c r="C849" s="1">
        <v>45727</v>
      </c>
    </row>
    <row r="850" spans="1:3" x14ac:dyDescent="0.25">
      <c r="A850" t="s">
        <v>6388</v>
      </c>
      <c r="B850" t="s">
        <v>6963</v>
      </c>
      <c r="C850" s="1"/>
    </row>
    <row r="851" spans="1:3" x14ac:dyDescent="0.25">
      <c r="A851" t="s">
        <v>6388</v>
      </c>
      <c r="B851" t="s">
        <v>6962</v>
      </c>
      <c r="C851" s="1">
        <v>45728</v>
      </c>
    </row>
    <row r="852" spans="1:3" x14ac:dyDescent="0.25">
      <c r="A852" t="s">
        <v>6388</v>
      </c>
      <c r="B852" t="s">
        <v>6963</v>
      </c>
      <c r="C852" s="1"/>
    </row>
    <row r="853" spans="1:3" x14ac:dyDescent="0.25">
      <c r="A853" t="s">
        <v>6432</v>
      </c>
      <c r="B853" t="s">
        <v>6963</v>
      </c>
      <c r="C853" s="1"/>
    </row>
    <row r="854" spans="1:3" x14ac:dyDescent="0.25">
      <c r="A854" t="s">
        <v>6408</v>
      </c>
      <c r="B854" t="s">
        <v>6962</v>
      </c>
      <c r="C854" s="1">
        <v>45740</v>
      </c>
    </row>
    <row r="855" spans="1:3" x14ac:dyDescent="0.25">
      <c r="A855" t="s">
        <v>6448</v>
      </c>
      <c r="B855" t="s">
        <v>6962</v>
      </c>
      <c r="C855" s="1">
        <v>45742</v>
      </c>
    </row>
    <row r="856" spans="1:3" x14ac:dyDescent="0.25">
      <c r="A856" t="s">
        <v>6449</v>
      </c>
      <c r="B856" t="s">
        <v>6962</v>
      </c>
      <c r="C856" s="1">
        <v>45737</v>
      </c>
    </row>
    <row r="857" spans="1:3" x14ac:dyDescent="0.25">
      <c r="A857" t="s">
        <v>6450</v>
      </c>
      <c r="B857" t="s">
        <v>6962</v>
      </c>
      <c r="C857" s="1">
        <v>45728</v>
      </c>
    </row>
    <row r="858" spans="1:3" x14ac:dyDescent="0.25">
      <c r="A858" t="s">
        <v>6451</v>
      </c>
      <c r="B858" t="s">
        <v>6962</v>
      </c>
      <c r="C858" s="1">
        <v>45733</v>
      </c>
    </row>
    <row r="859" spans="1:3" x14ac:dyDescent="0.25">
      <c r="A859" t="s">
        <v>6452</v>
      </c>
      <c r="B859" t="s">
        <v>6962</v>
      </c>
      <c r="C859" s="1">
        <v>45728</v>
      </c>
    </row>
    <row r="860" spans="1:3" x14ac:dyDescent="0.25">
      <c r="A860" t="s">
        <v>6453</v>
      </c>
      <c r="B860" t="s">
        <v>39</v>
      </c>
      <c r="C860" s="1"/>
    </row>
    <row r="861" spans="1:3" x14ac:dyDescent="0.25">
      <c r="A861" t="s">
        <v>6454</v>
      </c>
      <c r="B861" t="s">
        <v>6962</v>
      </c>
      <c r="C861" s="1">
        <v>45724</v>
      </c>
    </row>
    <row r="862" spans="1:3" x14ac:dyDescent="0.25">
      <c r="A862" t="s">
        <v>6455</v>
      </c>
      <c r="B862" t="s">
        <v>6962</v>
      </c>
      <c r="C862" s="1">
        <v>45730</v>
      </c>
    </row>
    <row r="863" spans="1:3" x14ac:dyDescent="0.25">
      <c r="A863" t="s">
        <v>6456</v>
      </c>
      <c r="B863" t="s">
        <v>6962</v>
      </c>
      <c r="C863" s="1">
        <v>45734</v>
      </c>
    </row>
    <row r="864" spans="1:3" x14ac:dyDescent="0.25">
      <c r="A864" t="s">
        <v>6457</v>
      </c>
      <c r="B864" t="s">
        <v>6964</v>
      </c>
      <c r="C864" s="1">
        <v>45744</v>
      </c>
    </row>
    <row r="865" spans="1:3" x14ac:dyDescent="0.25">
      <c r="A865" t="s">
        <v>6458</v>
      </c>
      <c r="B865" t="s">
        <v>6962</v>
      </c>
      <c r="C865" s="1">
        <v>45731</v>
      </c>
    </row>
    <row r="866" spans="1:3" x14ac:dyDescent="0.25">
      <c r="A866" t="s">
        <v>6459</v>
      </c>
      <c r="B866" t="s">
        <v>6963</v>
      </c>
      <c r="C866" s="1"/>
    </row>
    <row r="867" spans="1:3" x14ac:dyDescent="0.25">
      <c r="A867" t="s">
        <v>6460</v>
      </c>
      <c r="B867" t="s">
        <v>6962</v>
      </c>
      <c r="C867" s="1">
        <v>45820</v>
      </c>
    </row>
    <row r="868" spans="1:3" x14ac:dyDescent="0.25">
      <c r="A868" t="s">
        <v>6461</v>
      </c>
      <c r="B868" t="s">
        <v>6962</v>
      </c>
      <c r="C868" s="1">
        <v>45748</v>
      </c>
    </row>
    <row r="869" spans="1:3" x14ac:dyDescent="0.25">
      <c r="A869" t="s">
        <v>6462</v>
      </c>
      <c r="B869" t="s">
        <v>6962</v>
      </c>
      <c r="C869" s="1">
        <v>45736</v>
      </c>
    </row>
    <row r="870" spans="1:3" x14ac:dyDescent="0.25">
      <c r="A870" t="s">
        <v>6463</v>
      </c>
      <c r="B870" t="s">
        <v>6962</v>
      </c>
      <c r="C870" s="1">
        <v>45742</v>
      </c>
    </row>
    <row r="871" spans="1:3" x14ac:dyDescent="0.25">
      <c r="A871" t="s">
        <v>6464</v>
      </c>
      <c r="B871" t="s">
        <v>6962</v>
      </c>
      <c r="C871" s="1">
        <v>45733</v>
      </c>
    </row>
    <row r="872" spans="1:3" x14ac:dyDescent="0.25">
      <c r="A872" t="s">
        <v>6465</v>
      </c>
      <c r="B872" t="s">
        <v>6962</v>
      </c>
      <c r="C872" s="1">
        <v>45722</v>
      </c>
    </row>
    <row r="873" spans="1:3" x14ac:dyDescent="0.25">
      <c r="A873" t="s">
        <v>6466</v>
      </c>
      <c r="B873" t="s">
        <v>6962</v>
      </c>
      <c r="C873" s="1">
        <v>45736</v>
      </c>
    </row>
    <row r="874" spans="1:3" x14ac:dyDescent="0.25">
      <c r="A874" t="s">
        <v>6467</v>
      </c>
      <c r="B874" t="s">
        <v>6962</v>
      </c>
      <c r="C874" s="1">
        <v>45737</v>
      </c>
    </row>
    <row r="875" spans="1:3" x14ac:dyDescent="0.25">
      <c r="A875" t="s">
        <v>6468</v>
      </c>
      <c r="B875" t="s">
        <v>39</v>
      </c>
      <c r="C875" s="1"/>
    </row>
    <row r="876" spans="1:3" x14ac:dyDescent="0.25">
      <c r="A876" t="s">
        <v>6469</v>
      </c>
      <c r="B876" t="s">
        <v>6962</v>
      </c>
      <c r="C876" s="1">
        <v>45729</v>
      </c>
    </row>
    <row r="877" spans="1:3" x14ac:dyDescent="0.25">
      <c r="A877" t="s">
        <v>6470</v>
      </c>
      <c r="B877" t="s">
        <v>6962</v>
      </c>
      <c r="C877" s="1">
        <v>45723</v>
      </c>
    </row>
    <row r="878" spans="1:3" x14ac:dyDescent="0.25">
      <c r="A878" t="s">
        <v>6471</v>
      </c>
      <c r="B878" t="s">
        <v>6962</v>
      </c>
      <c r="C878" s="1">
        <v>45721</v>
      </c>
    </row>
    <row r="879" spans="1:3" x14ac:dyDescent="0.25">
      <c r="A879" t="s">
        <v>6472</v>
      </c>
      <c r="B879" t="s">
        <v>6962</v>
      </c>
      <c r="C879" s="1">
        <v>45726</v>
      </c>
    </row>
    <row r="880" spans="1:3" x14ac:dyDescent="0.25">
      <c r="A880" t="s">
        <v>6473</v>
      </c>
      <c r="B880" t="s">
        <v>6963</v>
      </c>
      <c r="C880" s="1"/>
    </row>
    <row r="881" spans="1:3" x14ac:dyDescent="0.25">
      <c r="A881" t="s">
        <v>6474</v>
      </c>
      <c r="B881" t="s">
        <v>6962</v>
      </c>
      <c r="C881" s="1">
        <v>45776</v>
      </c>
    </row>
    <row r="882" spans="1:3" x14ac:dyDescent="0.25">
      <c r="A882" t="s">
        <v>6475</v>
      </c>
      <c r="B882" t="s">
        <v>6962</v>
      </c>
      <c r="C882" s="1">
        <v>45741</v>
      </c>
    </row>
    <row r="883" spans="1:3" x14ac:dyDescent="0.25">
      <c r="A883" t="s">
        <v>6476</v>
      </c>
      <c r="B883" t="s">
        <v>6962</v>
      </c>
      <c r="C883" s="1">
        <v>45724</v>
      </c>
    </row>
    <row r="884" spans="1:3" x14ac:dyDescent="0.25">
      <c r="A884" t="s">
        <v>6477</v>
      </c>
      <c r="B884" t="s">
        <v>6962</v>
      </c>
      <c r="C884" s="1">
        <v>45764</v>
      </c>
    </row>
    <row r="885" spans="1:3" x14ac:dyDescent="0.25">
      <c r="A885" t="s">
        <v>6478</v>
      </c>
      <c r="B885" t="s">
        <v>6963</v>
      </c>
      <c r="C885" s="1"/>
    </row>
    <row r="886" spans="1:3" x14ac:dyDescent="0.25">
      <c r="A886" t="s">
        <v>6479</v>
      </c>
      <c r="B886" t="s">
        <v>6962</v>
      </c>
      <c r="C886" s="1">
        <v>45759</v>
      </c>
    </row>
    <row r="887" spans="1:3" x14ac:dyDescent="0.25">
      <c r="A887" t="s">
        <v>6480</v>
      </c>
      <c r="B887" t="s">
        <v>6963</v>
      </c>
      <c r="C887" s="1"/>
    </row>
    <row r="888" spans="1:3" x14ac:dyDescent="0.25">
      <c r="A888" t="s">
        <v>6481</v>
      </c>
      <c r="B888" t="s">
        <v>6962</v>
      </c>
      <c r="C888" s="1">
        <v>45740</v>
      </c>
    </row>
    <row r="889" spans="1:3" x14ac:dyDescent="0.25">
      <c r="A889" t="s">
        <v>6482</v>
      </c>
      <c r="B889" t="s">
        <v>6963</v>
      </c>
      <c r="C889" s="1"/>
    </row>
    <row r="890" spans="1:3" x14ac:dyDescent="0.25">
      <c r="A890" t="s">
        <v>6483</v>
      </c>
      <c r="B890" t="s">
        <v>6962</v>
      </c>
      <c r="C890" s="1">
        <v>45754</v>
      </c>
    </row>
    <row r="891" spans="1:3" x14ac:dyDescent="0.25">
      <c r="A891" t="s">
        <v>6484</v>
      </c>
      <c r="B891" t="s">
        <v>6962</v>
      </c>
      <c r="C891" s="1">
        <v>45750</v>
      </c>
    </row>
    <row r="892" spans="1:3" x14ac:dyDescent="0.25">
      <c r="A892" t="s">
        <v>6485</v>
      </c>
      <c r="B892" t="s">
        <v>6962</v>
      </c>
      <c r="C892" s="1">
        <v>45726</v>
      </c>
    </row>
    <row r="893" spans="1:3" x14ac:dyDescent="0.25">
      <c r="A893" t="s">
        <v>6485</v>
      </c>
      <c r="B893" t="s">
        <v>6962</v>
      </c>
      <c r="C893" s="1">
        <v>45726</v>
      </c>
    </row>
    <row r="894" spans="1:3" x14ac:dyDescent="0.25">
      <c r="A894" t="s">
        <v>6486</v>
      </c>
      <c r="B894" t="s">
        <v>6963</v>
      </c>
      <c r="C894" s="1"/>
    </row>
    <row r="895" spans="1:3" x14ac:dyDescent="0.25">
      <c r="A895" t="s">
        <v>6487</v>
      </c>
      <c r="B895" t="s">
        <v>6962</v>
      </c>
      <c r="C895" s="1">
        <v>45729</v>
      </c>
    </row>
    <row r="896" spans="1:3" x14ac:dyDescent="0.25">
      <c r="A896" t="s">
        <v>6488</v>
      </c>
      <c r="B896" t="s">
        <v>6962</v>
      </c>
      <c r="C896" s="1">
        <v>45731</v>
      </c>
    </row>
    <row r="897" spans="1:3" x14ac:dyDescent="0.25">
      <c r="A897" t="s">
        <v>6489</v>
      </c>
      <c r="B897" t="s">
        <v>6963</v>
      </c>
      <c r="C897" s="1"/>
    </row>
    <row r="898" spans="1:3" x14ac:dyDescent="0.25">
      <c r="A898" t="s">
        <v>6490</v>
      </c>
      <c r="B898" t="s">
        <v>6963</v>
      </c>
      <c r="C898" s="1"/>
    </row>
    <row r="899" spans="1:3" x14ac:dyDescent="0.25">
      <c r="A899" t="s">
        <v>6491</v>
      </c>
      <c r="B899" t="s">
        <v>6962</v>
      </c>
      <c r="C899" s="1">
        <v>45785</v>
      </c>
    </row>
    <row r="900" spans="1:3" x14ac:dyDescent="0.25">
      <c r="A900" t="s">
        <v>6492</v>
      </c>
      <c r="B900" t="s">
        <v>39</v>
      </c>
      <c r="C900" s="1"/>
    </row>
    <row r="901" spans="1:3" x14ac:dyDescent="0.25">
      <c r="A901" t="s">
        <v>6493</v>
      </c>
      <c r="B901" t="s">
        <v>6962</v>
      </c>
      <c r="C901" s="1">
        <v>45821</v>
      </c>
    </row>
    <row r="902" spans="1:3" x14ac:dyDescent="0.25">
      <c r="A902" t="s">
        <v>6494</v>
      </c>
      <c r="B902" t="s">
        <v>39</v>
      </c>
      <c r="C902" s="1"/>
    </row>
    <row r="903" spans="1:3" x14ac:dyDescent="0.25">
      <c r="A903" t="s">
        <v>6495</v>
      </c>
      <c r="B903" t="s">
        <v>6962</v>
      </c>
      <c r="C903" s="1">
        <v>45771</v>
      </c>
    </row>
    <row r="904" spans="1:3" x14ac:dyDescent="0.25">
      <c r="A904" t="s">
        <v>6496</v>
      </c>
      <c r="B904" t="s">
        <v>6963</v>
      </c>
      <c r="C904" s="1"/>
    </row>
    <row r="905" spans="1:3" x14ac:dyDescent="0.25">
      <c r="A905" t="s">
        <v>6497</v>
      </c>
      <c r="B905" t="s">
        <v>6962</v>
      </c>
      <c r="C905" s="1">
        <v>45722</v>
      </c>
    </row>
    <row r="906" spans="1:3" x14ac:dyDescent="0.25">
      <c r="A906" t="s">
        <v>6498</v>
      </c>
      <c r="B906" t="s">
        <v>6962</v>
      </c>
      <c r="C906" s="1">
        <v>45785</v>
      </c>
    </row>
    <row r="907" spans="1:3" x14ac:dyDescent="0.25">
      <c r="A907" t="s">
        <v>6499</v>
      </c>
      <c r="B907" t="s">
        <v>6962</v>
      </c>
      <c r="C907" s="1">
        <v>45724</v>
      </c>
    </row>
    <row r="908" spans="1:3" x14ac:dyDescent="0.25">
      <c r="A908" t="s">
        <v>6500</v>
      </c>
      <c r="B908" t="s">
        <v>6962</v>
      </c>
      <c r="C908" s="1">
        <v>45737</v>
      </c>
    </row>
    <row r="909" spans="1:3" x14ac:dyDescent="0.25">
      <c r="A909" t="s">
        <v>6501</v>
      </c>
      <c r="B909" t="s">
        <v>6962</v>
      </c>
      <c r="C909" s="1">
        <v>45738</v>
      </c>
    </row>
    <row r="910" spans="1:3" x14ac:dyDescent="0.25">
      <c r="A910" t="s">
        <v>6502</v>
      </c>
      <c r="B910" t="s">
        <v>6962</v>
      </c>
      <c r="C910" s="1">
        <v>45722</v>
      </c>
    </row>
    <row r="911" spans="1:3" x14ac:dyDescent="0.25">
      <c r="A911" t="s">
        <v>6503</v>
      </c>
      <c r="B911" t="s">
        <v>6963</v>
      </c>
      <c r="C911" s="1"/>
    </row>
    <row r="912" spans="1:3" x14ac:dyDescent="0.25">
      <c r="A912" t="s">
        <v>6504</v>
      </c>
      <c r="B912" t="s">
        <v>6963</v>
      </c>
      <c r="C912" s="1"/>
    </row>
    <row r="913" spans="1:3" x14ac:dyDescent="0.25">
      <c r="A913" t="s">
        <v>6505</v>
      </c>
      <c r="B913" t="s">
        <v>6962</v>
      </c>
      <c r="C913" s="1">
        <v>45755</v>
      </c>
    </row>
    <row r="914" spans="1:3" x14ac:dyDescent="0.25">
      <c r="A914" t="s">
        <v>6506</v>
      </c>
      <c r="B914" t="s">
        <v>6962</v>
      </c>
      <c r="C914" s="1">
        <v>45744</v>
      </c>
    </row>
    <row r="915" spans="1:3" x14ac:dyDescent="0.25">
      <c r="A915" t="s">
        <v>6507</v>
      </c>
      <c r="B915" t="s">
        <v>6962</v>
      </c>
      <c r="C915" s="1">
        <v>45738</v>
      </c>
    </row>
    <row r="916" spans="1:3" x14ac:dyDescent="0.25">
      <c r="A916" t="s">
        <v>6508</v>
      </c>
      <c r="B916" t="s">
        <v>6962</v>
      </c>
      <c r="C916" s="1">
        <v>45729</v>
      </c>
    </row>
    <row r="917" spans="1:3" x14ac:dyDescent="0.25">
      <c r="A917" t="s">
        <v>6509</v>
      </c>
      <c r="B917" t="s">
        <v>6963</v>
      </c>
      <c r="C917" s="1"/>
    </row>
    <row r="918" spans="1:3" x14ac:dyDescent="0.25">
      <c r="A918" t="s">
        <v>6510</v>
      </c>
      <c r="B918" t="s">
        <v>6962</v>
      </c>
      <c r="C918" s="1">
        <v>45737</v>
      </c>
    </row>
    <row r="919" spans="1:3" x14ac:dyDescent="0.25">
      <c r="A919" t="s">
        <v>6511</v>
      </c>
      <c r="B919" t="s">
        <v>39</v>
      </c>
      <c r="C919" s="1"/>
    </row>
    <row r="920" spans="1:3" x14ac:dyDescent="0.25">
      <c r="A920" t="s">
        <v>6512</v>
      </c>
      <c r="B920" t="s">
        <v>6962</v>
      </c>
      <c r="C920" s="1">
        <v>45731</v>
      </c>
    </row>
    <row r="921" spans="1:3" x14ac:dyDescent="0.25">
      <c r="A921" t="s">
        <v>6513</v>
      </c>
      <c r="B921" t="s">
        <v>6963</v>
      </c>
      <c r="C921" s="1"/>
    </row>
    <row r="922" spans="1:3" x14ac:dyDescent="0.25">
      <c r="A922" t="s">
        <v>6514</v>
      </c>
      <c r="B922" t="s">
        <v>6962</v>
      </c>
      <c r="C922" s="1">
        <v>45735</v>
      </c>
    </row>
    <row r="923" spans="1:3" x14ac:dyDescent="0.25">
      <c r="A923" t="s">
        <v>6515</v>
      </c>
      <c r="B923" t="s">
        <v>6962</v>
      </c>
      <c r="C923" s="1">
        <v>45733</v>
      </c>
    </row>
    <row r="924" spans="1:3" x14ac:dyDescent="0.25">
      <c r="A924" t="s">
        <v>6516</v>
      </c>
      <c r="B924" t="s">
        <v>6962</v>
      </c>
      <c r="C924" s="1">
        <v>45744</v>
      </c>
    </row>
    <row r="925" spans="1:3" x14ac:dyDescent="0.25">
      <c r="A925" t="s">
        <v>6517</v>
      </c>
      <c r="B925" t="s">
        <v>6962</v>
      </c>
      <c r="C925" s="1">
        <v>45792</v>
      </c>
    </row>
    <row r="926" spans="1:3" x14ac:dyDescent="0.25">
      <c r="A926" t="s">
        <v>6518</v>
      </c>
      <c r="B926" t="s">
        <v>6962</v>
      </c>
      <c r="C926" s="1">
        <v>45771</v>
      </c>
    </row>
    <row r="927" spans="1:3" x14ac:dyDescent="0.25">
      <c r="A927" t="s">
        <v>6519</v>
      </c>
      <c r="B927" t="s">
        <v>6962</v>
      </c>
      <c r="C927" s="1">
        <v>45745</v>
      </c>
    </row>
    <row r="928" spans="1:3" x14ac:dyDescent="0.25">
      <c r="A928" t="s">
        <v>6520</v>
      </c>
      <c r="B928" t="s">
        <v>6962</v>
      </c>
      <c r="C928" s="1">
        <v>45746</v>
      </c>
    </row>
    <row r="929" spans="1:3" x14ac:dyDescent="0.25">
      <c r="A929" t="s">
        <v>6521</v>
      </c>
      <c r="B929" t="s">
        <v>6962</v>
      </c>
      <c r="C929" s="1">
        <v>45729</v>
      </c>
    </row>
    <row r="930" spans="1:3" x14ac:dyDescent="0.25">
      <c r="A930" t="s">
        <v>6522</v>
      </c>
      <c r="B930" t="s">
        <v>6962</v>
      </c>
      <c r="C930" s="1">
        <v>45727</v>
      </c>
    </row>
    <row r="931" spans="1:3" x14ac:dyDescent="0.25">
      <c r="A931" t="s">
        <v>6523</v>
      </c>
      <c r="B931" t="s">
        <v>6962</v>
      </c>
      <c r="C931" s="1">
        <v>45727</v>
      </c>
    </row>
    <row r="932" spans="1:3" x14ac:dyDescent="0.25">
      <c r="A932" t="s">
        <v>6524</v>
      </c>
      <c r="B932" t="s">
        <v>6962</v>
      </c>
      <c r="C932" s="1">
        <v>45771</v>
      </c>
    </row>
    <row r="933" spans="1:3" x14ac:dyDescent="0.25">
      <c r="A933" t="s">
        <v>6525</v>
      </c>
      <c r="B933" t="s">
        <v>6962</v>
      </c>
      <c r="C933" s="1">
        <v>45831</v>
      </c>
    </row>
    <row r="934" spans="1:3" x14ac:dyDescent="0.25">
      <c r="A934" t="s">
        <v>6526</v>
      </c>
      <c r="B934" t="s">
        <v>6962</v>
      </c>
      <c r="C934" s="1">
        <v>45729</v>
      </c>
    </row>
    <row r="935" spans="1:3" x14ac:dyDescent="0.25">
      <c r="A935" t="s">
        <v>6513</v>
      </c>
      <c r="B935" t="s">
        <v>6962</v>
      </c>
      <c r="C935" s="1">
        <v>45733</v>
      </c>
    </row>
    <row r="936" spans="1:3" x14ac:dyDescent="0.25">
      <c r="A936" t="s">
        <v>6513</v>
      </c>
      <c r="B936" t="s">
        <v>6963</v>
      </c>
      <c r="C936" s="1"/>
    </row>
    <row r="937" spans="1:3" x14ac:dyDescent="0.25">
      <c r="A937" t="s">
        <v>6513</v>
      </c>
      <c r="B937" t="s">
        <v>6963</v>
      </c>
      <c r="C937" s="1"/>
    </row>
    <row r="938" spans="1:3" x14ac:dyDescent="0.25">
      <c r="A938" t="s">
        <v>6513</v>
      </c>
      <c r="B938" t="s">
        <v>6962</v>
      </c>
      <c r="C938" s="1">
        <v>45741</v>
      </c>
    </row>
    <row r="939" spans="1:3" x14ac:dyDescent="0.25">
      <c r="A939" t="s">
        <v>6527</v>
      </c>
      <c r="B939" t="s">
        <v>6964</v>
      </c>
      <c r="C939" s="1">
        <v>45831</v>
      </c>
    </row>
    <row r="940" spans="1:3" x14ac:dyDescent="0.25">
      <c r="A940" t="s">
        <v>6528</v>
      </c>
      <c r="B940" t="s">
        <v>6962</v>
      </c>
      <c r="C940" s="1">
        <v>45755</v>
      </c>
    </row>
    <row r="941" spans="1:3" x14ac:dyDescent="0.25">
      <c r="A941" t="s">
        <v>6529</v>
      </c>
      <c r="B941" t="s">
        <v>6962</v>
      </c>
      <c r="C941" s="1"/>
    </row>
    <row r="942" spans="1:3" x14ac:dyDescent="0.25">
      <c r="A942" t="s">
        <v>6530</v>
      </c>
      <c r="B942" t="s">
        <v>6963</v>
      </c>
      <c r="C942" s="1"/>
    </row>
    <row r="943" spans="1:3" x14ac:dyDescent="0.25">
      <c r="A943" t="s">
        <v>6531</v>
      </c>
      <c r="B943" t="s">
        <v>6963</v>
      </c>
      <c r="C943" s="1">
        <v>45745</v>
      </c>
    </row>
    <row r="944" spans="1:3" x14ac:dyDescent="0.25">
      <c r="A944" t="s">
        <v>6532</v>
      </c>
      <c r="B944" t="s">
        <v>6962</v>
      </c>
      <c r="C944" s="1">
        <v>45749</v>
      </c>
    </row>
    <row r="945" spans="1:3" x14ac:dyDescent="0.25">
      <c r="A945" t="s">
        <v>6533</v>
      </c>
      <c r="B945" t="s">
        <v>6962</v>
      </c>
      <c r="C945" s="1">
        <v>45746</v>
      </c>
    </row>
    <row r="946" spans="1:3" x14ac:dyDescent="0.25">
      <c r="A946" t="s">
        <v>6534</v>
      </c>
      <c r="B946" t="s">
        <v>6962</v>
      </c>
      <c r="C946" s="1">
        <v>45738</v>
      </c>
    </row>
    <row r="947" spans="1:3" x14ac:dyDescent="0.25">
      <c r="A947" t="s">
        <v>6535</v>
      </c>
      <c r="B947" t="s">
        <v>6962</v>
      </c>
      <c r="C947" s="1">
        <v>45761</v>
      </c>
    </row>
    <row r="948" spans="1:3" x14ac:dyDescent="0.25">
      <c r="A948" t="s">
        <v>6536</v>
      </c>
      <c r="B948" t="s">
        <v>6962</v>
      </c>
      <c r="C948" s="1">
        <v>45733</v>
      </c>
    </row>
    <row r="949" spans="1:3" x14ac:dyDescent="0.25">
      <c r="A949" t="s">
        <v>6537</v>
      </c>
      <c r="B949" t="s">
        <v>6963</v>
      </c>
      <c r="C949" s="1"/>
    </row>
    <row r="950" spans="1:3" x14ac:dyDescent="0.25">
      <c r="A950" t="s">
        <v>6538</v>
      </c>
      <c r="B950" t="s">
        <v>6964</v>
      </c>
      <c r="C950" s="1">
        <v>45832</v>
      </c>
    </row>
    <row r="951" spans="1:3" x14ac:dyDescent="0.25">
      <c r="A951" t="s">
        <v>6539</v>
      </c>
      <c r="B951" t="s">
        <v>6962</v>
      </c>
      <c r="C951" s="1">
        <v>45770</v>
      </c>
    </row>
    <row r="952" spans="1:3" x14ac:dyDescent="0.25">
      <c r="A952" t="s">
        <v>6540</v>
      </c>
      <c r="B952" t="s">
        <v>6963</v>
      </c>
      <c r="C952" s="1"/>
    </row>
    <row r="953" spans="1:3" x14ac:dyDescent="0.25">
      <c r="A953" t="s">
        <v>6541</v>
      </c>
      <c r="B953" t="s">
        <v>6963</v>
      </c>
      <c r="C953" s="1"/>
    </row>
    <row r="954" spans="1:3" x14ac:dyDescent="0.25">
      <c r="A954" t="s">
        <v>6542</v>
      </c>
      <c r="B954" t="s">
        <v>6962</v>
      </c>
      <c r="C954" s="1">
        <v>45728</v>
      </c>
    </row>
    <row r="955" spans="1:3" x14ac:dyDescent="0.25">
      <c r="A955" t="s">
        <v>6543</v>
      </c>
      <c r="B955" t="s">
        <v>6962</v>
      </c>
      <c r="C955" s="1">
        <v>45736</v>
      </c>
    </row>
    <row r="956" spans="1:3" x14ac:dyDescent="0.25">
      <c r="A956" t="s">
        <v>6544</v>
      </c>
      <c r="B956" t="s">
        <v>6964</v>
      </c>
      <c r="C956" s="1"/>
    </row>
    <row r="957" spans="1:3" x14ac:dyDescent="0.25">
      <c r="A957" t="s">
        <v>6545</v>
      </c>
      <c r="B957" t="s">
        <v>6962</v>
      </c>
      <c r="C957" s="1">
        <v>45772</v>
      </c>
    </row>
    <row r="958" spans="1:3" x14ac:dyDescent="0.25">
      <c r="A958" t="s">
        <v>6546</v>
      </c>
      <c r="B958" t="s">
        <v>6962</v>
      </c>
      <c r="C958" s="1">
        <v>45742</v>
      </c>
    </row>
    <row r="959" spans="1:3" x14ac:dyDescent="0.25">
      <c r="A959" t="s">
        <v>6547</v>
      </c>
      <c r="B959" t="s">
        <v>6962</v>
      </c>
      <c r="C959" s="1">
        <v>45731</v>
      </c>
    </row>
    <row r="960" spans="1:3" x14ac:dyDescent="0.25">
      <c r="A960" t="s">
        <v>6548</v>
      </c>
      <c r="B960" t="s">
        <v>6962</v>
      </c>
      <c r="C960" s="1">
        <v>45772</v>
      </c>
    </row>
    <row r="961" spans="1:3" x14ac:dyDescent="0.25">
      <c r="A961" t="s">
        <v>6549</v>
      </c>
      <c r="B961" t="s">
        <v>6962</v>
      </c>
      <c r="C961" s="1">
        <v>45728</v>
      </c>
    </row>
    <row r="962" spans="1:3" x14ac:dyDescent="0.25">
      <c r="A962" t="s">
        <v>6538</v>
      </c>
      <c r="B962" t="s">
        <v>6962</v>
      </c>
      <c r="C962" s="1">
        <v>45787</v>
      </c>
    </row>
    <row r="963" spans="1:3" x14ac:dyDescent="0.25">
      <c r="A963" t="s">
        <v>6538</v>
      </c>
      <c r="B963" t="s">
        <v>6962</v>
      </c>
      <c r="C963" s="1">
        <v>45737</v>
      </c>
    </row>
    <row r="964" spans="1:3" x14ac:dyDescent="0.25">
      <c r="A964" t="s">
        <v>6538</v>
      </c>
      <c r="B964" t="s">
        <v>6962</v>
      </c>
      <c r="C964" s="1">
        <v>45752</v>
      </c>
    </row>
    <row r="965" spans="1:3" x14ac:dyDescent="0.25">
      <c r="A965" t="s">
        <v>6550</v>
      </c>
      <c r="B965" t="s">
        <v>6962</v>
      </c>
      <c r="C965" s="1">
        <v>45748</v>
      </c>
    </row>
    <row r="966" spans="1:3" x14ac:dyDescent="0.25">
      <c r="A966" t="s">
        <v>6551</v>
      </c>
      <c r="B966" t="s">
        <v>6962</v>
      </c>
      <c r="C966" s="1">
        <v>45758</v>
      </c>
    </row>
    <row r="967" spans="1:3" x14ac:dyDescent="0.25">
      <c r="A967" t="s">
        <v>6552</v>
      </c>
      <c r="B967" t="s">
        <v>6963</v>
      </c>
      <c r="C967" s="1"/>
    </row>
    <row r="968" spans="1:3" x14ac:dyDescent="0.25">
      <c r="A968" t="s">
        <v>6553</v>
      </c>
      <c r="B968" t="s">
        <v>6962</v>
      </c>
      <c r="C968" s="1">
        <v>45735</v>
      </c>
    </row>
    <row r="969" spans="1:3" x14ac:dyDescent="0.25">
      <c r="A969" t="s">
        <v>6554</v>
      </c>
      <c r="B969" t="s">
        <v>6962</v>
      </c>
      <c r="C969" s="1">
        <v>45733</v>
      </c>
    </row>
    <row r="970" spans="1:3" x14ac:dyDescent="0.25">
      <c r="A970" t="s">
        <v>6555</v>
      </c>
      <c r="B970" t="s">
        <v>6963</v>
      </c>
      <c r="C970" s="1"/>
    </row>
    <row r="971" spans="1:3" x14ac:dyDescent="0.25">
      <c r="A971" t="s">
        <v>6556</v>
      </c>
      <c r="B971" t="s">
        <v>6963</v>
      </c>
      <c r="C971" s="1"/>
    </row>
    <row r="972" spans="1:3" x14ac:dyDescent="0.25">
      <c r="A972" t="s">
        <v>6557</v>
      </c>
      <c r="B972" t="s">
        <v>6963</v>
      </c>
      <c r="C972" s="1"/>
    </row>
    <row r="973" spans="1:3" x14ac:dyDescent="0.25">
      <c r="A973" t="s">
        <v>6558</v>
      </c>
      <c r="B973" t="s">
        <v>6962</v>
      </c>
      <c r="C973" s="1">
        <v>45731</v>
      </c>
    </row>
    <row r="974" spans="1:3" x14ac:dyDescent="0.25">
      <c r="A974" t="s">
        <v>6559</v>
      </c>
      <c r="B974" t="s">
        <v>6962</v>
      </c>
      <c r="C974" s="1">
        <v>45755</v>
      </c>
    </row>
    <row r="975" spans="1:3" x14ac:dyDescent="0.25">
      <c r="A975" t="s">
        <v>6560</v>
      </c>
      <c r="B975" t="s">
        <v>6963</v>
      </c>
      <c r="C975" s="1"/>
    </row>
    <row r="976" spans="1:3" x14ac:dyDescent="0.25">
      <c r="A976" t="s">
        <v>6561</v>
      </c>
      <c r="B976" t="s">
        <v>6962</v>
      </c>
      <c r="C976" s="1">
        <v>45778</v>
      </c>
    </row>
    <row r="977" spans="1:3" x14ac:dyDescent="0.25">
      <c r="A977" t="s">
        <v>6562</v>
      </c>
      <c r="B977" t="s">
        <v>6962</v>
      </c>
      <c r="C977" s="1">
        <v>45762</v>
      </c>
    </row>
    <row r="978" spans="1:3" x14ac:dyDescent="0.25">
      <c r="A978" t="s">
        <v>6563</v>
      </c>
      <c r="B978" t="s">
        <v>6962</v>
      </c>
      <c r="C978" s="1">
        <v>45730</v>
      </c>
    </row>
    <row r="979" spans="1:3" x14ac:dyDescent="0.25">
      <c r="A979" t="s">
        <v>6564</v>
      </c>
      <c r="B979" t="s">
        <v>6962</v>
      </c>
      <c r="C979" s="1">
        <v>45729</v>
      </c>
    </row>
    <row r="980" spans="1:3" x14ac:dyDescent="0.25">
      <c r="A980" t="s">
        <v>6565</v>
      </c>
      <c r="B980" t="s">
        <v>6963</v>
      </c>
      <c r="C980" s="1"/>
    </row>
    <row r="981" spans="1:3" x14ac:dyDescent="0.25">
      <c r="A981" t="s">
        <v>6566</v>
      </c>
      <c r="B981" t="s">
        <v>6962</v>
      </c>
      <c r="C981" s="1">
        <v>45763</v>
      </c>
    </row>
    <row r="982" spans="1:3" x14ac:dyDescent="0.25">
      <c r="A982" t="s">
        <v>6567</v>
      </c>
      <c r="B982" t="s">
        <v>6962</v>
      </c>
      <c r="C982" s="1">
        <v>45752</v>
      </c>
    </row>
    <row r="983" spans="1:3" x14ac:dyDescent="0.25">
      <c r="A983" t="s">
        <v>6568</v>
      </c>
      <c r="B983" t="s">
        <v>6962</v>
      </c>
      <c r="C983" s="1">
        <v>45784</v>
      </c>
    </row>
    <row r="984" spans="1:3" x14ac:dyDescent="0.25">
      <c r="A984" t="s">
        <v>6569</v>
      </c>
      <c r="B984" t="s">
        <v>39</v>
      </c>
      <c r="C984" s="1"/>
    </row>
    <row r="985" spans="1:3" x14ac:dyDescent="0.25">
      <c r="A985" t="s">
        <v>6570</v>
      </c>
      <c r="B985" t="s">
        <v>6963</v>
      </c>
      <c r="C985" s="1"/>
    </row>
    <row r="986" spans="1:3" x14ac:dyDescent="0.25">
      <c r="A986" t="s">
        <v>6571</v>
      </c>
      <c r="B986" t="s">
        <v>6963</v>
      </c>
      <c r="C986" s="1"/>
    </row>
    <row r="987" spans="1:3" x14ac:dyDescent="0.25">
      <c r="A987" t="s">
        <v>6563</v>
      </c>
      <c r="B987" t="s">
        <v>6962</v>
      </c>
      <c r="C987" s="1">
        <v>45730</v>
      </c>
    </row>
    <row r="988" spans="1:3" x14ac:dyDescent="0.25">
      <c r="A988" t="s">
        <v>6572</v>
      </c>
      <c r="B988" t="s">
        <v>39</v>
      </c>
      <c r="C988" s="1"/>
    </row>
    <row r="989" spans="1:3" x14ac:dyDescent="0.25">
      <c r="A989" t="s">
        <v>6573</v>
      </c>
      <c r="B989" t="s">
        <v>6963</v>
      </c>
      <c r="C989" s="1"/>
    </row>
    <row r="990" spans="1:3" x14ac:dyDescent="0.25">
      <c r="A990" t="s">
        <v>6574</v>
      </c>
      <c r="B990" t="s">
        <v>6962</v>
      </c>
      <c r="C990" s="1">
        <v>45798</v>
      </c>
    </row>
    <row r="991" spans="1:3" x14ac:dyDescent="0.25">
      <c r="A991" t="s">
        <v>6575</v>
      </c>
      <c r="B991" t="s">
        <v>6963</v>
      </c>
      <c r="C991" s="1"/>
    </row>
    <row r="992" spans="1:3" x14ac:dyDescent="0.25">
      <c r="A992" t="s">
        <v>6576</v>
      </c>
      <c r="B992" t="s">
        <v>6962</v>
      </c>
      <c r="C992" s="1">
        <v>45750</v>
      </c>
    </row>
    <row r="993" spans="1:3" x14ac:dyDescent="0.25">
      <c r="A993" t="s">
        <v>6577</v>
      </c>
      <c r="B993" t="s">
        <v>6962</v>
      </c>
      <c r="C993" s="1">
        <v>45749</v>
      </c>
    </row>
    <row r="994" spans="1:3" x14ac:dyDescent="0.25">
      <c r="A994" t="s">
        <v>6578</v>
      </c>
      <c r="B994" t="s">
        <v>39</v>
      </c>
      <c r="C994" s="1"/>
    </row>
    <row r="995" spans="1:3" x14ac:dyDescent="0.25">
      <c r="A995" t="s">
        <v>6579</v>
      </c>
      <c r="B995" t="s">
        <v>6962</v>
      </c>
      <c r="C995" s="1">
        <v>45768</v>
      </c>
    </row>
    <row r="996" spans="1:3" x14ac:dyDescent="0.25">
      <c r="A996" t="s">
        <v>6580</v>
      </c>
      <c r="B996" t="s">
        <v>39</v>
      </c>
      <c r="C996" s="1"/>
    </row>
    <row r="997" spans="1:3" x14ac:dyDescent="0.25">
      <c r="A997" t="s">
        <v>6581</v>
      </c>
      <c r="B997" t="s">
        <v>6962</v>
      </c>
      <c r="C997" s="1">
        <v>45735</v>
      </c>
    </row>
    <row r="998" spans="1:3" x14ac:dyDescent="0.25">
      <c r="A998" t="s">
        <v>6582</v>
      </c>
      <c r="B998" t="s">
        <v>6962</v>
      </c>
      <c r="C998" s="1">
        <v>45733</v>
      </c>
    </row>
    <row r="999" spans="1:3" x14ac:dyDescent="0.25">
      <c r="A999" t="s">
        <v>6583</v>
      </c>
      <c r="B999" t="s">
        <v>6962</v>
      </c>
      <c r="C999" s="1">
        <v>45735</v>
      </c>
    </row>
    <row r="1000" spans="1:3" x14ac:dyDescent="0.25">
      <c r="A1000" t="s">
        <v>6584</v>
      </c>
      <c r="B1000" t="s">
        <v>6962</v>
      </c>
      <c r="C1000" s="1">
        <v>45735</v>
      </c>
    </row>
    <row r="1001" spans="1:3" x14ac:dyDescent="0.25">
      <c r="A1001" t="s">
        <v>6585</v>
      </c>
      <c r="B1001" t="s">
        <v>6963</v>
      </c>
      <c r="C1001" s="1"/>
    </row>
    <row r="1002" spans="1:3" x14ac:dyDescent="0.25">
      <c r="A1002" t="s">
        <v>6586</v>
      </c>
      <c r="B1002" t="s">
        <v>6962</v>
      </c>
      <c r="C1002" s="1">
        <v>45761</v>
      </c>
    </row>
    <row r="1003" spans="1:3" x14ac:dyDescent="0.25">
      <c r="A1003" t="s">
        <v>6587</v>
      </c>
      <c r="B1003" t="s">
        <v>6963</v>
      </c>
      <c r="C1003" s="1"/>
    </row>
    <row r="1004" spans="1:3" x14ac:dyDescent="0.25">
      <c r="A1004" t="s">
        <v>6588</v>
      </c>
      <c r="B1004" t="s">
        <v>6962</v>
      </c>
      <c r="C1004" s="1">
        <v>45733</v>
      </c>
    </row>
    <row r="1005" spans="1:3" x14ac:dyDescent="0.25">
      <c r="A1005" t="s">
        <v>6589</v>
      </c>
      <c r="B1005" t="s">
        <v>6962</v>
      </c>
      <c r="C1005" s="1">
        <v>45734</v>
      </c>
    </row>
    <row r="1006" spans="1:3" x14ac:dyDescent="0.25">
      <c r="A1006" t="s">
        <v>6590</v>
      </c>
      <c r="B1006" t="s">
        <v>6962</v>
      </c>
      <c r="C1006" s="1">
        <v>45733</v>
      </c>
    </row>
    <row r="1007" spans="1:3" x14ac:dyDescent="0.25">
      <c r="A1007" t="s">
        <v>6591</v>
      </c>
      <c r="B1007" t="s">
        <v>6962</v>
      </c>
      <c r="C1007" s="1">
        <v>45822</v>
      </c>
    </row>
    <row r="1008" spans="1:3" x14ac:dyDescent="0.25">
      <c r="A1008" t="s">
        <v>6592</v>
      </c>
      <c r="B1008" t="s">
        <v>6963</v>
      </c>
      <c r="C1008" s="1"/>
    </row>
    <row r="1009" spans="1:3" x14ac:dyDescent="0.25">
      <c r="A1009" t="s">
        <v>6593</v>
      </c>
      <c r="B1009" t="s">
        <v>6962</v>
      </c>
      <c r="C1009" s="1">
        <v>45761</v>
      </c>
    </row>
    <row r="1010" spans="1:3" x14ac:dyDescent="0.25">
      <c r="A1010" t="s">
        <v>6594</v>
      </c>
      <c r="B1010" t="s">
        <v>6962</v>
      </c>
      <c r="C1010" s="1">
        <v>45825</v>
      </c>
    </row>
    <row r="1011" spans="1:3" x14ac:dyDescent="0.25">
      <c r="A1011" t="s">
        <v>6595</v>
      </c>
      <c r="B1011" t="s">
        <v>6962</v>
      </c>
      <c r="C1011" s="1">
        <v>45769</v>
      </c>
    </row>
    <row r="1012" spans="1:3" x14ac:dyDescent="0.25">
      <c r="A1012" t="s">
        <v>6596</v>
      </c>
      <c r="B1012" t="s">
        <v>6962</v>
      </c>
      <c r="C1012" s="1">
        <v>45810</v>
      </c>
    </row>
    <row r="1013" spans="1:3" x14ac:dyDescent="0.25">
      <c r="A1013" t="s">
        <v>6597</v>
      </c>
      <c r="B1013" t="s">
        <v>6962</v>
      </c>
      <c r="C1013" s="1">
        <v>45785</v>
      </c>
    </row>
    <row r="1014" spans="1:3" x14ac:dyDescent="0.25">
      <c r="A1014" t="s">
        <v>6598</v>
      </c>
      <c r="B1014" t="s">
        <v>6962</v>
      </c>
      <c r="C1014" s="1">
        <v>45743</v>
      </c>
    </row>
    <row r="1015" spans="1:3" x14ac:dyDescent="0.25">
      <c r="A1015" t="s">
        <v>6599</v>
      </c>
      <c r="B1015" t="s">
        <v>6962</v>
      </c>
      <c r="C1015" s="1">
        <v>45783</v>
      </c>
    </row>
    <row r="1016" spans="1:3" x14ac:dyDescent="0.25">
      <c r="A1016" t="s">
        <v>6600</v>
      </c>
      <c r="B1016" t="s">
        <v>6962</v>
      </c>
      <c r="C1016" s="1">
        <v>45738</v>
      </c>
    </row>
    <row r="1017" spans="1:3" x14ac:dyDescent="0.25">
      <c r="A1017" t="s">
        <v>6601</v>
      </c>
      <c r="B1017" t="s">
        <v>6962</v>
      </c>
      <c r="C1017" s="1">
        <v>45826</v>
      </c>
    </row>
    <row r="1018" spans="1:3" x14ac:dyDescent="0.25">
      <c r="A1018" t="s">
        <v>6602</v>
      </c>
      <c r="B1018" t="s">
        <v>6962</v>
      </c>
      <c r="C1018" s="1">
        <v>45742</v>
      </c>
    </row>
    <row r="1019" spans="1:3" x14ac:dyDescent="0.25">
      <c r="A1019" t="s">
        <v>6603</v>
      </c>
      <c r="B1019" t="s">
        <v>6962</v>
      </c>
      <c r="C1019" s="1">
        <v>45744</v>
      </c>
    </row>
    <row r="1020" spans="1:3" x14ac:dyDescent="0.25">
      <c r="A1020" t="s">
        <v>6592</v>
      </c>
      <c r="B1020" t="s">
        <v>6963</v>
      </c>
      <c r="C1020" s="1"/>
    </row>
    <row r="1021" spans="1:3" x14ac:dyDescent="0.25">
      <c r="A1021" t="s">
        <v>6592</v>
      </c>
      <c r="B1021" t="s">
        <v>6962</v>
      </c>
      <c r="C1021" s="1">
        <v>45741</v>
      </c>
    </row>
    <row r="1022" spans="1:3" x14ac:dyDescent="0.25">
      <c r="A1022" t="s">
        <v>6592</v>
      </c>
      <c r="B1022" t="s">
        <v>6963</v>
      </c>
      <c r="C1022" s="1"/>
    </row>
    <row r="1023" spans="1:3" x14ac:dyDescent="0.25">
      <c r="A1023" t="s">
        <v>6592</v>
      </c>
      <c r="B1023" t="s">
        <v>6963</v>
      </c>
      <c r="C1023" s="1"/>
    </row>
    <row r="1024" spans="1:3" x14ac:dyDescent="0.25">
      <c r="A1024" t="s">
        <v>6604</v>
      </c>
      <c r="B1024" t="s">
        <v>39</v>
      </c>
      <c r="C1024" s="1"/>
    </row>
    <row r="1025" spans="1:3" x14ac:dyDescent="0.25">
      <c r="A1025" t="s">
        <v>6605</v>
      </c>
      <c r="B1025" t="s">
        <v>6963</v>
      </c>
      <c r="C1025" s="1"/>
    </row>
    <row r="1026" spans="1:3" x14ac:dyDescent="0.25">
      <c r="A1026" t="s">
        <v>6606</v>
      </c>
      <c r="B1026" t="s">
        <v>6963</v>
      </c>
      <c r="C1026" s="1"/>
    </row>
    <row r="1027" spans="1:3" x14ac:dyDescent="0.25">
      <c r="A1027" t="s">
        <v>6607</v>
      </c>
      <c r="B1027" t="s">
        <v>6963</v>
      </c>
      <c r="C1027" s="1"/>
    </row>
    <row r="1028" spans="1:3" x14ac:dyDescent="0.25">
      <c r="A1028" t="s">
        <v>6608</v>
      </c>
      <c r="B1028" t="s">
        <v>39</v>
      </c>
      <c r="C1028" s="1"/>
    </row>
    <row r="1029" spans="1:3" x14ac:dyDescent="0.25">
      <c r="A1029" t="s">
        <v>6609</v>
      </c>
      <c r="B1029" t="s">
        <v>6963</v>
      </c>
      <c r="C1029" s="1"/>
    </row>
    <row r="1030" spans="1:3" x14ac:dyDescent="0.25">
      <c r="A1030" t="s">
        <v>6610</v>
      </c>
      <c r="B1030" t="s">
        <v>6962</v>
      </c>
      <c r="C1030" s="1">
        <v>45750</v>
      </c>
    </row>
    <row r="1031" spans="1:3" x14ac:dyDescent="0.25">
      <c r="A1031" t="s">
        <v>6611</v>
      </c>
      <c r="B1031" t="s">
        <v>6962</v>
      </c>
      <c r="C1031" s="1">
        <v>45768</v>
      </c>
    </row>
    <row r="1032" spans="1:3" x14ac:dyDescent="0.25">
      <c r="A1032" t="s">
        <v>6612</v>
      </c>
      <c r="B1032" t="s">
        <v>6962</v>
      </c>
      <c r="C1032" s="1">
        <v>45776</v>
      </c>
    </row>
    <row r="1033" spans="1:3" x14ac:dyDescent="0.25">
      <c r="A1033" t="s">
        <v>6613</v>
      </c>
      <c r="B1033" t="s">
        <v>6962</v>
      </c>
      <c r="C1033" s="1">
        <v>45734</v>
      </c>
    </row>
    <row r="1034" spans="1:3" x14ac:dyDescent="0.25">
      <c r="A1034" t="s">
        <v>6614</v>
      </c>
      <c r="B1034" t="s">
        <v>6962</v>
      </c>
      <c r="C1034" s="1">
        <v>45770</v>
      </c>
    </row>
    <row r="1035" spans="1:3" x14ac:dyDescent="0.25">
      <c r="A1035" t="s">
        <v>6615</v>
      </c>
      <c r="B1035" t="s">
        <v>39</v>
      </c>
      <c r="C1035" s="1"/>
    </row>
    <row r="1036" spans="1:3" x14ac:dyDescent="0.25">
      <c r="A1036" t="s">
        <v>6616</v>
      </c>
      <c r="B1036" t="s">
        <v>6962</v>
      </c>
      <c r="C1036" s="1">
        <v>45832</v>
      </c>
    </row>
    <row r="1037" spans="1:3" x14ac:dyDescent="0.25">
      <c r="A1037" t="s">
        <v>6617</v>
      </c>
      <c r="B1037" t="s">
        <v>39</v>
      </c>
      <c r="C1037" s="1"/>
    </row>
    <row r="1038" spans="1:3" x14ac:dyDescent="0.25">
      <c r="A1038" t="s">
        <v>6618</v>
      </c>
      <c r="B1038" t="s">
        <v>6962</v>
      </c>
      <c r="C1038" s="1">
        <v>45785</v>
      </c>
    </row>
    <row r="1039" spans="1:3" x14ac:dyDescent="0.25">
      <c r="A1039" t="s">
        <v>6619</v>
      </c>
      <c r="B1039" t="s">
        <v>6962</v>
      </c>
      <c r="C1039" s="1">
        <v>45737</v>
      </c>
    </row>
    <row r="1040" spans="1:3" x14ac:dyDescent="0.25">
      <c r="A1040" t="s">
        <v>6620</v>
      </c>
      <c r="B1040" t="s">
        <v>6963</v>
      </c>
      <c r="C1040" s="1"/>
    </row>
    <row r="1041" spans="1:3" x14ac:dyDescent="0.25">
      <c r="A1041" t="s">
        <v>6621</v>
      </c>
      <c r="B1041" t="s">
        <v>6962</v>
      </c>
      <c r="C1041" s="1">
        <v>45743</v>
      </c>
    </row>
    <row r="1042" spans="1:3" x14ac:dyDescent="0.25">
      <c r="A1042" t="s">
        <v>6622</v>
      </c>
      <c r="B1042" t="s">
        <v>6963</v>
      </c>
      <c r="C1042" s="1"/>
    </row>
    <row r="1043" spans="1:3" x14ac:dyDescent="0.25">
      <c r="A1043" t="s">
        <v>6623</v>
      </c>
      <c r="B1043" t="s">
        <v>6962</v>
      </c>
      <c r="C1043" s="1">
        <v>45737</v>
      </c>
    </row>
    <row r="1044" spans="1:3" x14ac:dyDescent="0.25">
      <c r="A1044" t="s">
        <v>6624</v>
      </c>
      <c r="B1044" t="s">
        <v>6962</v>
      </c>
      <c r="C1044" s="1">
        <v>45737</v>
      </c>
    </row>
    <row r="1045" spans="1:3" x14ac:dyDescent="0.25">
      <c r="A1045" t="s">
        <v>6625</v>
      </c>
      <c r="B1045" t="s">
        <v>39</v>
      </c>
      <c r="C1045" s="1"/>
    </row>
    <row r="1046" spans="1:3" x14ac:dyDescent="0.25">
      <c r="A1046" t="s">
        <v>6626</v>
      </c>
      <c r="B1046" t="s">
        <v>6963</v>
      </c>
      <c r="C1046" s="1"/>
    </row>
    <row r="1047" spans="1:3" x14ac:dyDescent="0.25">
      <c r="A1047" t="s">
        <v>6627</v>
      </c>
      <c r="B1047" t="s">
        <v>6962</v>
      </c>
      <c r="C1047" s="1">
        <v>45735</v>
      </c>
    </row>
    <row r="1048" spans="1:3" x14ac:dyDescent="0.25">
      <c r="A1048" t="s">
        <v>6628</v>
      </c>
      <c r="B1048" t="s">
        <v>6962</v>
      </c>
      <c r="C1048" s="1">
        <v>45791</v>
      </c>
    </row>
    <row r="1049" spans="1:3" x14ac:dyDescent="0.25">
      <c r="A1049" t="s">
        <v>6629</v>
      </c>
      <c r="B1049" t="s">
        <v>6962</v>
      </c>
      <c r="C1049" s="1">
        <v>45740</v>
      </c>
    </row>
    <row r="1050" spans="1:3" x14ac:dyDescent="0.25">
      <c r="A1050" t="s">
        <v>6630</v>
      </c>
      <c r="B1050" t="s">
        <v>6962</v>
      </c>
      <c r="C1050" s="1">
        <v>45749</v>
      </c>
    </row>
    <row r="1051" spans="1:3" x14ac:dyDescent="0.25">
      <c r="A1051" t="s">
        <v>6631</v>
      </c>
      <c r="B1051" t="s">
        <v>6962</v>
      </c>
      <c r="C1051" s="1">
        <v>45828</v>
      </c>
    </row>
    <row r="1052" spans="1:3" x14ac:dyDescent="0.25">
      <c r="A1052" t="s">
        <v>6632</v>
      </c>
      <c r="B1052" t="s">
        <v>6962</v>
      </c>
      <c r="C1052" s="1">
        <v>45778</v>
      </c>
    </row>
    <row r="1053" spans="1:3" x14ac:dyDescent="0.25">
      <c r="A1053" t="s">
        <v>6633</v>
      </c>
      <c r="B1053" t="s">
        <v>6962</v>
      </c>
      <c r="C1053" s="1">
        <v>45790</v>
      </c>
    </row>
    <row r="1054" spans="1:3" x14ac:dyDescent="0.25">
      <c r="A1054" t="s">
        <v>6634</v>
      </c>
      <c r="B1054" t="s">
        <v>6962</v>
      </c>
      <c r="C1054" s="1">
        <v>45741</v>
      </c>
    </row>
    <row r="1055" spans="1:3" x14ac:dyDescent="0.25">
      <c r="A1055" t="s">
        <v>6635</v>
      </c>
      <c r="B1055" t="s">
        <v>39</v>
      </c>
      <c r="C1055" s="1"/>
    </row>
    <row r="1056" spans="1:3" x14ac:dyDescent="0.25">
      <c r="A1056" t="s">
        <v>6636</v>
      </c>
      <c r="B1056" t="s">
        <v>6962</v>
      </c>
      <c r="C1056" s="1">
        <v>45748</v>
      </c>
    </row>
    <row r="1057" spans="1:3" x14ac:dyDescent="0.25">
      <c r="A1057" t="s">
        <v>6637</v>
      </c>
      <c r="B1057" t="s">
        <v>39</v>
      </c>
      <c r="C1057" s="1"/>
    </row>
    <row r="1058" spans="1:3" x14ac:dyDescent="0.25">
      <c r="A1058" t="s">
        <v>6638</v>
      </c>
      <c r="B1058" t="s">
        <v>39</v>
      </c>
      <c r="C1058" s="1"/>
    </row>
    <row r="1059" spans="1:3" x14ac:dyDescent="0.25">
      <c r="A1059" t="s">
        <v>6639</v>
      </c>
      <c r="B1059" t="s">
        <v>6962</v>
      </c>
      <c r="C1059" s="1">
        <v>45737</v>
      </c>
    </row>
    <row r="1060" spans="1:3" x14ac:dyDescent="0.25">
      <c r="A1060" t="s">
        <v>6640</v>
      </c>
      <c r="B1060" t="s">
        <v>6962</v>
      </c>
      <c r="C1060" s="1">
        <v>45750</v>
      </c>
    </row>
    <row r="1061" spans="1:3" x14ac:dyDescent="0.25">
      <c r="A1061" t="s">
        <v>6617</v>
      </c>
      <c r="B1061" t="s">
        <v>6962</v>
      </c>
      <c r="C1061" s="1">
        <v>45741</v>
      </c>
    </row>
    <row r="1062" spans="1:3" x14ac:dyDescent="0.25">
      <c r="A1062" t="s">
        <v>6617</v>
      </c>
      <c r="B1062" t="s">
        <v>6962</v>
      </c>
      <c r="C1062" s="1">
        <v>45735</v>
      </c>
    </row>
    <row r="1063" spans="1:3" x14ac:dyDescent="0.25">
      <c r="A1063" t="s">
        <v>6619</v>
      </c>
      <c r="B1063" t="s">
        <v>6962</v>
      </c>
      <c r="C1063" s="1">
        <v>45831</v>
      </c>
    </row>
    <row r="1064" spans="1:3" x14ac:dyDescent="0.25">
      <c r="A1064" t="s">
        <v>6635</v>
      </c>
      <c r="B1064" t="s">
        <v>39</v>
      </c>
      <c r="C1064" s="1"/>
    </row>
    <row r="1065" spans="1:3" x14ac:dyDescent="0.25">
      <c r="A1065" t="s">
        <v>6641</v>
      </c>
      <c r="B1065" t="s">
        <v>6962</v>
      </c>
      <c r="C1065" s="1">
        <v>45738</v>
      </c>
    </row>
    <row r="1066" spans="1:3" x14ac:dyDescent="0.25">
      <c r="A1066" t="s">
        <v>6642</v>
      </c>
      <c r="B1066" t="s">
        <v>6962</v>
      </c>
      <c r="C1066" s="1">
        <v>45737</v>
      </c>
    </row>
    <row r="1067" spans="1:3" x14ac:dyDescent="0.25">
      <c r="A1067" t="s">
        <v>6643</v>
      </c>
      <c r="B1067" t="s">
        <v>6962</v>
      </c>
      <c r="C1067" s="1">
        <v>45738</v>
      </c>
    </row>
    <row r="1068" spans="1:3" x14ac:dyDescent="0.25">
      <c r="A1068" t="s">
        <v>6644</v>
      </c>
      <c r="B1068" t="s">
        <v>6962</v>
      </c>
      <c r="C1068" s="1">
        <v>45744</v>
      </c>
    </row>
    <row r="1069" spans="1:3" x14ac:dyDescent="0.25">
      <c r="A1069" t="s">
        <v>6645</v>
      </c>
      <c r="B1069" t="s">
        <v>6962</v>
      </c>
      <c r="C1069" s="1">
        <v>45738</v>
      </c>
    </row>
    <row r="1070" spans="1:3" x14ac:dyDescent="0.25">
      <c r="A1070" t="s">
        <v>6646</v>
      </c>
      <c r="B1070" t="s">
        <v>6962</v>
      </c>
      <c r="C1070" s="1">
        <v>45737</v>
      </c>
    </row>
    <row r="1071" spans="1:3" x14ac:dyDescent="0.25">
      <c r="A1071" t="s">
        <v>6647</v>
      </c>
      <c r="B1071" t="s">
        <v>39</v>
      </c>
      <c r="C1071" s="1"/>
    </row>
    <row r="1072" spans="1:3" x14ac:dyDescent="0.25">
      <c r="A1072" t="s">
        <v>6648</v>
      </c>
      <c r="B1072" t="s">
        <v>6962</v>
      </c>
      <c r="C1072" s="1">
        <v>45749</v>
      </c>
    </row>
    <row r="1073" spans="1:3" x14ac:dyDescent="0.25">
      <c r="A1073" t="s">
        <v>6649</v>
      </c>
      <c r="B1073" t="s">
        <v>6962</v>
      </c>
      <c r="C1073" s="1">
        <v>45780</v>
      </c>
    </row>
    <row r="1074" spans="1:3" x14ac:dyDescent="0.25">
      <c r="A1074" t="s">
        <v>6650</v>
      </c>
      <c r="B1074" t="s">
        <v>6962</v>
      </c>
      <c r="C1074" s="1"/>
    </row>
    <row r="1075" spans="1:3" x14ac:dyDescent="0.25">
      <c r="A1075" t="s">
        <v>6651</v>
      </c>
      <c r="B1075" t="s">
        <v>6962</v>
      </c>
      <c r="C1075" s="1">
        <v>45785</v>
      </c>
    </row>
    <row r="1076" spans="1:3" x14ac:dyDescent="0.25">
      <c r="A1076" t="s">
        <v>6652</v>
      </c>
      <c r="B1076" t="s">
        <v>6962</v>
      </c>
      <c r="C1076" s="1">
        <v>45764</v>
      </c>
    </row>
    <row r="1077" spans="1:3" x14ac:dyDescent="0.25">
      <c r="A1077" t="s">
        <v>6653</v>
      </c>
      <c r="B1077" t="s">
        <v>6962</v>
      </c>
      <c r="C1077" s="1">
        <v>45742</v>
      </c>
    </row>
    <row r="1078" spans="1:3" x14ac:dyDescent="0.25">
      <c r="A1078" t="s">
        <v>6654</v>
      </c>
      <c r="B1078" t="s">
        <v>6962</v>
      </c>
      <c r="C1078" s="1">
        <v>45738</v>
      </c>
    </row>
    <row r="1079" spans="1:3" x14ac:dyDescent="0.25">
      <c r="A1079" t="s">
        <v>6655</v>
      </c>
      <c r="B1079" t="s">
        <v>6962</v>
      </c>
      <c r="C1079" s="1">
        <v>45772</v>
      </c>
    </row>
    <row r="1080" spans="1:3" x14ac:dyDescent="0.25">
      <c r="A1080" t="s">
        <v>6656</v>
      </c>
      <c r="B1080" t="s">
        <v>39</v>
      </c>
      <c r="C1080" s="1"/>
    </row>
    <row r="1081" spans="1:3" x14ac:dyDescent="0.25">
      <c r="A1081" t="s">
        <v>6657</v>
      </c>
      <c r="B1081" t="s">
        <v>6962</v>
      </c>
      <c r="C1081" s="1">
        <v>45869</v>
      </c>
    </row>
    <row r="1082" spans="1:3" x14ac:dyDescent="0.25">
      <c r="A1082" t="s">
        <v>6658</v>
      </c>
      <c r="B1082" t="s">
        <v>6962</v>
      </c>
      <c r="C1082" s="1">
        <v>45735</v>
      </c>
    </row>
    <row r="1083" spans="1:3" x14ac:dyDescent="0.25">
      <c r="A1083" t="s">
        <v>6659</v>
      </c>
      <c r="B1083" t="s">
        <v>6962</v>
      </c>
      <c r="C1083" s="1">
        <v>45782</v>
      </c>
    </row>
    <row r="1084" spans="1:3" x14ac:dyDescent="0.25">
      <c r="A1084" t="s">
        <v>6660</v>
      </c>
      <c r="B1084" t="s">
        <v>6962</v>
      </c>
      <c r="C1084" s="1">
        <v>45771</v>
      </c>
    </row>
    <row r="1085" spans="1:3" x14ac:dyDescent="0.25">
      <c r="A1085" t="s">
        <v>6661</v>
      </c>
      <c r="B1085" t="s">
        <v>6962</v>
      </c>
      <c r="C1085" s="1">
        <v>45741</v>
      </c>
    </row>
    <row r="1086" spans="1:3" x14ac:dyDescent="0.25">
      <c r="A1086" t="s">
        <v>6662</v>
      </c>
      <c r="B1086" t="s">
        <v>6962</v>
      </c>
      <c r="C1086" s="1">
        <v>45740</v>
      </c>
    </row>
    <row r="1087" spans="1:3" x14ac:dyDescent="0.25">
      <c r="A1087" t="s">
        <v>6663</v>
      </c>
      <c r="B1087" t="s">
        <v>6962</v>
      </c>
      <c r="C1087" s="1">
        <v>45735</v>
      </c>
    </row>
    <row r="1088" spans="1:3" x14ac:dyDescent="0.25">
      <c r="A1088" t="s">
        <v>6663</v>
      </c>
      <c r="B1088" t="s">
        <v>6962</v>
      </c>
      <c r="C1088" s="1">
        <v>45735</v>
      </c>
    </row>
    <row r="1089" spans="1:3" x14ac:dyDescent="0.25">
      <c r="A1089" t="s">
        <v>6664</v>
      </c>
      <c r="B1089" t="s">
        <v>6962</v>
      </c>
      <c r="C1089" s="1">
        <v>45735</v>
      </c>
    </row>
    <row r="1090" spans="1:3" x14ac:dyDescent="0.25">
      <c r="A1090" t="s">
        <v>6665</v>
      </c>
      <c r="B1090" t="s">
        <v>6962</v>
      </c>
      <c r="C1090" s="1">
        <v>45829</v>
      </c>
    </row>
    <row r="1091" spans="1:3" x14ac:dyDescent="0.25">
      <c r="A1091" t="s">
        <v>6666</v>
      </c>
      <c r="B1091" t="s">
        <v>6963</v>
      </c>
      <c r="C1091" s="1"/>
    </row>
    <row r="1092" spans="1:3" x14ac:dyDescent="0.25">
      <c r="A1092" t="s">
        <v>6667</v>
      </c>
      <c r="B1092" t="s">
        <v>39</v>
      </c>
      <c r="C1092" s="1"/>
    </row>
    <row r="1093" spans="1:3" x14ac:dyDescent="0.25">
      <c r="A1093" t="s">
        <v>6668</v>
      </c>
      <c r="B1093" t="s">
        <v>6962</v>
      </c>
      <c r="C1093" s="1">
        <v>45771</v>
      </c>
    </row>
    <row r="1094" spans="1:3" x14ac:dyDescent="0.25">
      <c r="A1094" t="s">
        <v>6669</v>
      </c>
      <c r="B1094" t="s">
        <v>6962</v>
      </c>
      <c r="C1094" s="1">
        <v>45764</v>
      </c>
    </row>
    <row r="1095" spans="1:3" x14ac:dyDescent="0.25">
      <c r="A1095" t="s">
        <v>6670</v>
      </c>
      <c r="B1095" t="s">
        <v>6962</v>
      </c>
      <c r="C1095" s="1">
        <v>45736</v>
      </c>
    </row>
    <row r="1096" spans="1:3" x14ac:dyDescent="0.25">
      <c r="A1096" t="s">
        <v>6671</v>
      </c>
      <c r="B1096" t="s">
        <v>6962</v>
      </c>
      <c r="C1096" s="1">
        <v>45794</v>
      </c>
    </row>
    <row r="1097" spans="1:3" x14ac:dyDescent="0.25">
      <c r="A1097" t="s">
        <v>6672</v>
      </c>
      <c r="B1097" t="s">
        <v>6963</v>
      </c>
      <c r="C1097" s="1"/>
    </row>
    <row r="1098" spans="1:3" x14ac:dyDescent="0.25">
      <c r="A1098" t="s">
        <v>6673</v>
      </c>
      <c r="B1098" t="s">
        <v>6962</v>
      </c>
      <c r="C1098" s="1">
        <v>45744</v>
      </c>
    </row>
    <row r="1099" spans="1:3" x14ac:dyDescent="0.25">
      <c r="A1099" t="s">
        <v>6674</v>
      </c>
      <c r="B1099" t="s">
        <v>6962</v>
      </c>
      <c r="C1099" s="1">
        <v>45743</v>
      </c>
    </row>
    <row r="1100" spans="1:3" x14ac:dyDescent="0.25">
      <c r="A1100" t="s">
        <v>6675</v>
      </c>
      <c r="B1100" t="s">
        <v>6962</v>
      </c>
      <c r="C1100" s="1">
        <v>45736</v>
      </c>
    </row>
    <row r="1101" spans="1:3" x14ac:dyDescent="0.25">
      <c r="A1101" t="s">
        <v>6676</v>
      </c>
      <c r="B1101" t="s">
        <v>6962</v>
      </c>
      <c r="C1101" s="1">
        <v>45738</v>
      </c>
    </row>
    <row r="1102" spans="1:3" x14ac:dyDescent="0.25">
      <c r="A1102" t="s">
        <v>6677</v>
      </c>
      <c r="B1102" t="s">
        <v>6962</v>
      </c>
      <c r="C1102" s="1">
        <v>45750</v>
      </c>
    </row>
    <row r="1103" spans="1:3" x14ac:dyDescent="0.25">
      <c r="A1103" t="s">
        <v>6678</v>
      </c>
      <c r="B1103" t="s">
        <v>6963</v>
      </c>
      <c r="C1103" s="1"/>
    </row>
    <row r="1104" spans="1:3" x14ac:dyDescent="0.25">
      <c r="A1104" t="s">
        <v>6679</v>
      </c>
      <c r="B1104" t="s">
        <v>6962</v>
      </c>
      <c r="C1104" s="1">
        <v>45741</v>
      </c>
    </row>
    <row r="1105" spans="1:3" x14ac:dyDescent="0.25">
      <c r="A1105" t="s">
        <v>6680</v>
      </c>
      <c r="B1105" t="s">
        <v>6962</v>
      </c>
      <c r="C1105" s="1">
        <v>45769</v>
      </c>
    </row>
    <row r="1106" spans="1:3" x14ac:dyDescent="0.25">
      <c r="A1106" t="s">
        <v>6681</v>
      </c>
      <c r="B1106" t="s">
        <v>6962</v>
      </c>
      <c r="C1106" s="1">
        <v>45762</v>
      </c>
    </row>
    <row r="1107" spans="1:3" x14ac:dyDescent="0.25">
      <c r="A1107" t="s">
        <v>6682</v>
      </c>
      <c r="B1107" t="s">
        <v>6962</v>
      </c>
      <c r="C1107" s="1">
        <v>45743</v>
      </c>
    </row>
    <row r="1108" spans="1:3" x14ac:dyDescent="0.25">
      <c r="A1108" t="s">
        <v>6683</v>
      </c>
      <c r="B1108" t="s">
        <v>6962</v>
      </c>
      <c r="C1108" s="1">
        <v>45755</v>
      </c>
    </row>
    <row r="1109" spans="1:3" x14ac:dyDescent="0.25">
      <c r="A1109" t="s">
        <v>6682</v>
      </c>
      <c r="B1109" t="s">
        <v>6962</v>
      </c>
      <c r="C1109" s="1">
        <v>45740</v>
      </c>
    </row>
    <row r="1110" spans="1:3" x14ac:dyDescent="0.25">
      <c r="A1110" t="s">
        <v>6682</v>
      </c>
      <c r="B1110" t="s">
        <v>6962</v>
      </c>
      <c r="C1110" s="1">
        <v>45746</v>
      </c>
    </row>
    <row r="1111" spans="1:3" x14ac:dyDescent="0.25">
      <c r="A1111" t="s">
        <v>6682</v>
      </c>
      <c r="B1111" t="s">
        <v>6962</v>
      </c>
      <c r="C1111" s="1">
        <v>45751</v>
      </c>
    </row>
    <row r="1112" spans="1:3" x14ac:dyDescent="0.25">
      <c r="A1112" t="s">
        <v>6682</v>
      </c>
      <c r="B1112" t="s">
        <v>6962</v>
      </c>
      <c r="C1112" s="1">
        <v>45757</v>
      </c>
    </row>
    <row r="1113" spans="1:3" x14ac:dyDescent="0.25">
      <c r="A1113" t="s">
        <v>6684</v>
      </c>
      <c r="B1113" t="s">
        <v>6962</v>
      </c>
      <c r="C1113" s="1">
        <v>45758</v>
      </c>
    </row>
    <row r="1114" spans="1:3" x14ac:dyDescent="0.25">
      <c r="A1114" t="s">
        <v>6685</v>
      </c>
      <c r="B1114" t="s">
        <v>6962</v>
      </c>
      <c r="C1114" s="1">
        <v>45758</v>
      </c>
    </row>
    <row r="1115" spans="1:3" x14ac:dyDescent="0.25">
      <c r="A1115" t="s">
        <v>6686</v>
      </c>
      <c r="B1115" t="s">
        <v>6962</v>
      </c>
      <c r="C1115" s="1">
        <v>45745</v>
      </c>
    </row>
    <row r="1116" spans="1:3" x14ac:dyDescent="0.25">
      <c r="A1116" t="s">
        <v>6687</v>
      </c>
      <c r="B1116" t="s">
        <v>6962</v>
      </c>
      <c r="C1116" s="1">
        <v>45756</v>
      </c>
    </row>
    <row r="1117" spans="1:3" x14ac:dyDescent="0.25">
      <c r="A1117" t="s">
        <v>6688</v>
      </c>
      <c r="B1117" t="s">
        <v>6962</v>
      </c>
      <c r="C1117" s="1">
        <v>45745</v>
      </c>
    </row>
    <row r="1118" spans="1:3" x14ac:dyDescent="0.25">
      <c r="A1118" t="s">
        <v>6689</v>
      </c>
      <c r="B1118" t="s">
        <v>6962</v>
      </c>
      <c r="C1118" s="1">
        <v>45750</v>
      </c>
    </row>
    <row r="1119" spans="1:3" x14ac:dyDescent="0.25">
      <c r="A1119" t="s">
        <v>6690</v>
      </c>
      <c r="B1119" t="s">
        <v>6962</v>
      </c>
      <c r="C1119" s="1">
        <v>45780</v>
      </c>
    </row>
    <row r="1120" spans="1:3" x14ac:dyDescent="0.25">
      <c r="A1120" t="s">
        <v>6691</v>
      </c>
      <c r="B1120" t="s">
        <v>6962</v>
      </c>
      <c r="C1120" s="1">
        <v>45776</v>
      </c>
    </row>
    <row r="1121" spans="1:3" x14ac:dyDescent="0.25">
      <c r="A1121" t="s">
        <v>6692</v>
      </c>
      <c r="B1121" t="s">
        <v>39</v>
      </c>
      <c r="C1121" s="1"/>
    </row>
    <row r="1122" spans="1:3" x14ac:dyDescent="0.25">
      <c r="A1122" t="s">
        <v>6693</v>
      </c>
      <c r="B1122" t="s">
        <v>6962</v>
      </c>
      <c r="C1122" s="1">
        <v>45737</v>
      </c>
    </row>
    <row r="1123" spans="1:3" x14ac:dyDescent="0.25">
      <c r="A1123" t="s">
        <v>6694</v>
      </c>
      <c r="B1123" t="s">
        <v>6962</v>
      </c>
      <c r="C1123" s="1">
        <v>45738</v>
      </c>
    </row>
    <row r="1124" spans="1:3" x14ac:dyDescent="0.25">
      <c r="A1124" t="s">
        <v>6650</v>
      </c>
      <c r="B1124" t="s">
        <v>6962</v>
      </c>
      <c r="C1124" s="1"/>
    </row>
    <row r="1125" spans="1:3" x14ac:dyDescent="0.25">
      <c r="A1125" t="s">
        <v>6695</v>
      </c>
      <c r="B1125" t="s">
        <v>39</v>
      </c>
      <c r="C1125" s="1"/>
    </row>
    <row r="1126" spans="1:3" x14ac:dyDescent="0.25">
      <c r="A1126" t="s">
        <v>6696</v>
      </c>
      <c r="B1126" t="s">
        <v>6962</v>
      </c>
      <c r="C1126" s="1">
        <v>45745</v>
      </c>
    </row>
    <row r="1127" spans="1:3" x14ac:dyDescent="0.25">
      <c r="A1127" t="s">
        <v>6697</v>
      </c>
      <c r="B1127" t="s">
        <v>6962</v>
      </c>
      <c r="C1127" s="1">
        <v>45746</v>
      </c>
    </row>
    <row r="1128" spans="1:3" x14ac:dyDescent="0.25">
      <c r="A1128" t="s">
        <v>6698</v>
      </c>
      <c r="B1128" t="s">
        <v>6962</v>
      </c>
      <c r="C1128" s="1">
        <v>45799</v>
      </c>
    </row>
    <row r="1129" spans="1:3" x14ac:dyDescent="0.25">
      <c r="A1129" t="s">
        <v>6699</v>
      </c>
      <c r="B1129" t="s">
        <v>6962</v>
      </c>
      <c r="C1129" s="1">
        <v>45740</v>
      </c>
    </row>
    <row r="1130" spans="1:3" x14ac:dyDescent="0.25">
      <c r="A1130" t="s">
        <v>6700</v>
      </c>
      <c r="B1130" t="s">
        <v>6962</v>
      </c>
      <c r="C1130" s="1">
        <v>45794</v>
      </c>
    </row>
    <row r="1131" spans="1:3" x14ac:dyDescent="0.25">
      <c r="A1131" t="s">
        <v>6701</v>
      </c>
      <c r="B1131" t="s">
        <v>6962</v>
      </c>
      <c r="C1131" s="1">
        <v>45757</v>
      </c>
    </row>
    <row r="1132" spans="1:3" x14ac:dyDescent="0.25">
      <c r="A1132" t="s">
        <v>6702</v>
      </c>
      <c r="B1132" t="s">
        <v>6962</v>
      </c>
      <c r="C1132" s="1">
        <v>45757</v>
      </c>
    </row>
    <row r="1133" spans="1:3" x14ac:dyDescent="0.25">
      <c r="A1133" t="s">
        <v>6703</v>
      </c>
      <c r="B1133" t="s">
        <v>6962</v>
      </c>
      <c r="C1133" s="1">
        <v>45740</v>
      </c>
    </row>
    <row r="1134" spans="1:3" x14ac:dyDescent="0.25">
      <c r="A1134" t="s">
        <v>6704</v>
      </c>
      <c r="B1134" t="s">
        <v>6962</v>
      </c>
      <c r="C1134" s="1">
        <v>45751</v>
      </c>
    </row>
    <row r="1135" spans="1:3" x14ac:dyDescent="0.25">
      <c r="A1135" t="s">
        <v>6705</v>
      </c>
      <c r="B1135" t="s">
        <v>6962</v>
      </c>
      <c r="C1135" s="1">
        <v>45751</v>
      </c>
    </row>
    <row r="1136" spans="1:3" x14ac:dyDescent="0.25">
      <c r="A1136" t="s">
        <v>6706</v>
      </c>
      <c r="B1136" t="s">
        <v>6962</v>
      </c>
      <c r="C1136" s="1">
        <v>45794</v>
      </c>
    </row>
    <row r="1137" spans="1:3" x14ac:dyDescent="0.25">
      <c r="A1137" t="s">
        <v>6702</v>
      </c>
      <c r="B1137" t="s">
        <v>6962</v>
      </c>
      <c r="C1137" s="1">
        <v>45757</v>
      </c>
    </row>
    <row r="1138" spans="1:3" x14ac:dyDescent="0.25">
      <c r="A1138" t="s">
        <v>6707</v>
      </c>
      <c r="B1138" t="s">
        <v>39</v>
      </c>
      <c r="C1138" s="1"/>
    </row>
    <row r="1139" spans="1:3" x14ac:dyDescent="0.25">
      <c r="A1139" t="s">
        <v>6708</v>
      </c>
      <c r="B1139" t="s">
        <v>6962</v>
      </c>
      <c r="C1139" s="1">
        <v>45744</v>
      </c>
    </row>
    <row r="1140" spans="1:3" x14ac:dyDescent="0.25">
      <c r="A1140" t="s">
        <v>6709</v>
      </c>
      <c r="B1140" t="s">
        <v>6962</v>
      </c>
      <c r="C1140" s="1">
        <v>45785</v>
      </c>
    </row>
    <row r="1141" spans="1:3" x14ac:dyDescent="0.25">
      <c r="A1141" t="s">
        <v>6710</v>
      </c>
      <c r="B1141" t="s">
        <v>6962</v>
      </c>
      <c r="C1141" s="1">
        <v>45749</v>
      </c>
    </row>
    <row r="1142" spans="1:3" x14ac:dyDescent="0.25">
      <c r="A1142" t="s">
        <v>6711</v>
      </c>
      <c r="B1142" t="s">
        <v>6962</v>
      </c>
      <c r="C1142" s="1">
        <v>45768</v>
      </c>
    </row>
    <row r="1143" spans="1:3" x14ac:dyDescent="0.25">
      <c r="A1143" t="s">
        <v>6712</v>
      </c>
      <c r="B1143" t="s">
        <v>6962</v>
      </c>
      <c r="C1143" s="1">
        <v>45758</v>
      </c>
    </row>
    <row r="1144" spans="1:3" x14ac:dyDescent="0.25">
      <c r="A1144" t="s">
        <v>6713</v>
      </c>
      <c r="B1144" t="s">
        <v>39</v>
      </c>
      <c r="C1144" s="1"/>
    </row>
    <row r="1145" spans="1:3" x14ac:dyDescent="0.25">
      <c r="A1145" t="s">
        <v>6714</v>
      </c>
      <c r="B1145" t="s">
        <v>6962</v>
      </c>
      <c r="C1145" s="1">
        <v>45743</v>
      </c>
    </row>
    <row r="1146" spans="1:3" x14ac:dyDescent="0.25">
      <c r="A1146" t="s">
        <v>6715</v>
      </c>
      <c r="B1146" t="s">
        <v>6962</v>
      </c>
      <c r="C1146" s="1">
        <v>45743</v>
      </c>
    </row>
    <row r="1147" spans="1:3" x14ac:dyDescent="0.25">
      <c r="A1147" t="s">
        <v>6716</v>
      </c>
      <c r="B1147" t="s">
        <v>6962</v>
      </c>
      <c r="C1147" s="1">
        <v>45752</v>
      </c>
    </row>
    <row r="1148" spans="1:3" x14ac:dyDescent="0.25">
      <c r="A1148" t="s">
        <v>6717</v>
      </c>
      <c r="B1148" t="s">
        <v>6963</v>
      </c>
      <c r="C1148" s="1"/>
    </row>
    <row r="1149" spans="1:3" x14ac:dyDescent="0.25">
      <c r="A1149" t="s">
        <v>6718</v>
      </c>
      <c r="B1149" t="s">
        <v>6962</v>
      </c>
      <c r="C1149" s="1">
        <v>45743</v>
      </c>
    </row>
    <row r="1150" spans="1:3" x14ac:dyDescent="0.25">
      <c r="A1150" t="s">
        <v>6719</v>
      </c>
      <c r="B1150" t="s">
        <v>6962</v>
      </c>
      <c r="C1150" s="1">
        <v>45748</v>
      </c>
    </row>
    <row r="1151" spans="1:3" x14ac:dyDescent="0.25">
      <c r="A1151" t="s">
        <v>6720</v>
      </c>
      <c r="B1151" t="s">
        <v>6962</v>
      </c>
      <c r="C1151" s="1">
        <v>45741</v>
      </c>
    </row>
    <row r="1152" spans="1:3" x14ac:dyDescent="0.25">
      <c r="A1152" t="s">
        <v>6721</v>
      </c>
      <c r="B1152" t="s">
        <v>6962</v>
      </c>
      <c r="C1152" s="1">
        <v>45820</v>
      </c>
    </row>
    <row r="1153" spans="1:3" x14ac:dyDescent="0.25">
      <c r="A1153" t="s">
        <v>6722</v>
      </c>
      <c r="B1153" t="s">
        <v>6962</v>
      </c>
      <c r="C1153" s="1">
        <v>45755</v>
      </c>
    </row>
    <row r="1154" spans="1:3" x14ac:dyDescent="0.25">
      <c r="A1154" t="s">
        <v>6723</v>
      </c>
      <c r="B1154" t="s">
        <v>6962</v>
      </c>
      <c r="C1154" s="1">
        <v>45750</v>
      </c>
    </row>
    <row r="1155" spans="1:3" x14ac:dyDescent="0.25">
      <c r="A1155" t="s">
        <v>6710</v>
      </c>
      <c r="B1155" t="s">
        <v>6962</v>
      </c>
      <c r="C1155" s="1">
        <v>45749</v>
      </c>
    </row>
    <row r="1156" spans="1:3" x14ac:dyDescent="0.25">
      <c r="A1156" t="s">
        <v>6566</v>
      </c>
      <c r="B1156" t="s">
        <v>6962</v>
      </c>
      <c r="C1156" s="1">
        <v>45763</v>
      </c>
    </row>
    <row r="1157" spans="1:3" x14ac:dyDescent="0.25">
      <c r="A1157" t="s">
        <v>6724</v>
      </c>
      <c r="B1157" t="s">
        <v>6962</v>
      </c>
      <c r="C1157" s="1">
        <v>45787</v>
      </c>
    </row>
    <row r="1158" spans="1:3" x14ac:dyDescent="0.25">
      <c r="A1158" t="s">
        <v>6725</v>
      </c>
      <c r="B1158" t="s">
        <v>6962</v>
      </c>
      <c r="C1158" s="1">
        <v>45750</v>
      </c>
    </row>
    <row r="1159" spans="1:3" x14ac:dyDescent="0.25">
      <c r="A1159" t="s">
        <v>6726</v>
      </c>
      <c r="B1159" t="s">
        <v>6962</v>
      </c>
      <c r="C1159" s="1">
        <v>45791</v>
      </c>
    </row>
    <row r="1160" spans="1:3" x14ac:dyDescent="0.25">
      <c r="A1160" t="s">
        <v>6727</v>
      </c>
      <c r="B1160" t="s">
        <v>6962</v>
      </c>
      <c r="C1160" s="1">
        <v>45798</v>
      </c>
    </row>
    <row r="1161" spans="1:3" x14ac:dyDescent="0.25">
      <c r="A1161" t="s">
        <v>6728</v>
      </c>
      <c r="B1161" t="s">
        <v>6962</v>
      </c>
      <c r="C1161" s="1">
        <v>45744</v>
      </c>
    </row>
    <row r="1162" spans="1:3" x14ac:dyDescent="0.25">
      <c r="A1162" t="s">
        <v>6729</v>
      </c>
      <c r="B1162" t="s">
        <v>6963</v>
      </c>
      <c r="C1162" s="1"/>
    </row>
    <row r="1163" spans="1:3" x14ac:dyDescent="0.25">
      <c r="A1163" t="s">
        <v>6730</v>
      </c>
      <c r="B1163" t="s">
        <v>39</v>
      </c>
      <c r="C1163" s="1"/>
    </row>
    <row r="1164" spans="1:3" x14ac:dyDescent="0.25">
      <c r="A1164" t="s">
        <v>6731</v>
      </c>
      <c r="B1164" t="s">
        <v>6962</v>
      </c>
      <c r="C1164" s="1">
        <v>45763</v>
      </c>
    </row>
    <row r="1165" spans="1:3" x14ac:dyDescent="0.25">
      <c r="A1165" t="s">
        <v>6732</v>
      </c>
      <c r="B1165" t="s">
        <v>6962</v>
      </c>
      <c r="C1165" s="1">
        <v>45749</v>
      </c>
    </row>
    <row r="1166" spans="1:3" x14ac:dyDescent="0.25">
      <c r="A1166" t="s">
        <v>6733</v>
      </c>
      <c r="B1166" t="s">
        <v>6963</v>
      </c>
      <c r="C1166" s="1"/>
    </row>
    <row r="1167" spans="1:3" x14ac:dyDescent="0.25">
      <c r="A1167" t="s">
        <v>6734</v>
      </c>
      <c r="B1167" t="s">
        <v>6962</v>
      </c>
      <c r="C1167" s="1">
        <v>45786</v>
      </c>
    </row>
    <row r="1168" spans="1:3" x14ac:dyDescent="0.25">
      <c r="A1168" t="s">
        <v>6735</v>
      </c>
      <c r="B1168" t="s">
        <v>6963</v>
      </c>
      <c r="C1168" s="1"/>
    </row>
    <row r="1169" spans="1:3" x14ac:dyDescent="0.25">
      <c r="A1169" t="s">
        <v>6736</v>
      </c>
      <c r="B1169" t="s">
        <v>6962</v>
      </c>
      <c r="C1169" s="1">
        <v>45750</v>
      </c>
    </row>
    <row r="1170" spans="1:3" x14ac:dyDescent="0.25">
      <c r="A1170" t="s">
        <v>6737</v>
      </c>
      <c r="B1170" t="s">
        <v>6963</v>
      </c>
      <c r="C1170" s="1"/>
    </row>
    <row r="1171" spans="1:3" x14ac:dyDescent="0.25">
      <c r="A1171" t="s">
        <v>6738</v>
      </c>
      <c r="B1171" t="s">
        <v>6963</v>
      </c>
      <c r="C1171" s="1"/>
    </row>
    <row r="1172" spans="1:3" x14ac:dyDescent="0.25">
      <c r="A1172" t="s">
        <v>6739</v>
      </c>
      <c r="B1172" t="s">
        <v>6962</v>
      </c>
      <c r="C1172" s="1">
        <v>45743</v>
      </c>
    </row>
    <row r="1173" spans="1:3" x14ac:dyDescent="0.25">
      <c r="A1173" t="s">
        <v>6740</v>
      </c>
      <c r="B1173" t="s">
        <v>6962</v>
      </c>
      <c r="C1173" s="1">
        <v>45786</v>
      </c>
    </row>
    <row r="1174" spans="1:3" x14ac:dyDescent="0.25">
      <c r="A1174" t="s">
        <v>6741</v>
      </c>
      <c r="B1174" t="s">
        <v>6962</v>
      </c>
      <c r="C1174" s="1">
        <v>45764</v>
      </c>
    </row>
    <row r="1175" spans="1:3" x14ac:dyDescent="0.25">
      <c r="A1175" t="s">
        <v>6742</v>
      </c>
      <c r="B1175" t="s">
        <v>6962</v>
      </c>
      <c r="C1175" s="1">
        <v>45745</v>
      </c>
    </row>
    <row r="1176" spans="1:3" x14ac:dyDescent="0.25">
      <c r="A1176" t="s">
        <v>6743</v>
      </c>
      <c r="B1176" t="s">
        <v>6962</v>
      </c>
      <c r="C1176" s="1">
        <v>45750</v>
      </c>
    </row>
    <row r="1177" spans="1:3" x14ac:dyDescent="0.25">
      <c r="A1177" t="s">
        <v>6744</v>
      </c>
      <c r="B1177" t="s">
        <v>6962</v>
      </c>
      <c r="C1177" s="1">
        <v>45743</v>
      </c>
    </row>
    <row r="1178" spans="1:3" x14ac:dyDescent="0.25">
      <c r="A1178" t="s">
        <v>6742</v>
      </c>
      <c r="B1178" t="s">
        <v>6962</v>
      </c>
      <c r="C1178" s="1">
        <v>45797</v>
      </c>
    </row>
    <row r="1179" spans="1:3" x14ac:dyDescent="0.25">
      <c r="A1179" t="s">
        <v>6745</v>
      </c>
      <c r="B1179" t="s">
        <v>6962</v>
      </c>
      <c r="C1179" s="1">
        <v>45742</v>
      </c>
    </row>
    <row r="1180" spans="1:3" x14ac:dyDescent="0.25">
      <c r="A1180" t="s">
        <v>6746</v>
      </c>
      <c r="B1180" t="s">
        <v>39</v>
      </c>
      <c r="C1180" s="1"/>
    </row>
    <row r="1181" spans="1:3" x14ac:dyDescent="0.25">
      <c r="A1181" t="s">
        <v>6747</v>
      </c>
      <c r="B1181" t="s">
        <v>6962</v>
      </c>
      <c r="C1181" s="1">
        <v>45761</v>
      </c>
    </row>
    <row r="1182" spans="1:3" x14ac:dyDescent="0.25">
      <c r="A1182" t="s">
        <v>6748</v>
      </c>
      <c r="B1182" t="s">
        <v>6962</v>
      </c>
      <c r="C1182" s="1">
        <v>45758</v>
      </c>
    </row>
    <row r="1183" spans="1:3" x14ac:dyDescent="0.25">
      <c r="A1183" t="s">
        <v>6749</v>
      </c>
      <c r="B1183" t="s">
        <v>6962</v>
      </c>
      <c r="C1183" s="1">
        <v>45744</v>
      </c>
    </row>
    <row r="1184" spans="1:3" x14ac:dyDescent="0.25">
      <c r="A1184" t="s">
        <v>6750</v>
      </c>
      <c r="B1184" t="s">
        <v>6962</v>
      </c>
      <c r="C1184" s="1">
        <v>45756</v>
      </c>
    </row>
    <row r="1185" spans="1:3" x14ac:dyDescent="0.25">
      <c r="A1185" t="s">
        <v>6751</v>
      </c>
      <c r="B1185" t="s">
        <v>6962</v>
      </c>
      <c r="C1185" s="1">
        <v>45750</v>
      </c>
    </row>
    <row r="1186" spans="1:3" x14ac:dyDescent="0.25">
      <c r="A1186" t="s">
        <v>6752</v>
      </c>
      <c r="B1186" t="s">
        <v>6962</v>
      </c>
      <c r="C1186" s="1">
        <v>45744</v>
      </c>
    </row>
    <row r="1187" spans="1:3" x14ac:dyDescent="0.25">
      <c r="A1187" t="s">
        <v>6753</v>
      </c>
      <c r="B1187" t="s">
        <v>6962</v>
      </c>
      <c r="C1187" s="1">
        <v>45746</v>
      </c>
    </row>
    <row r="1188" spans="1:3" x14ac:dyDescent="0.25">
      <c r="A1188" t="s">
        <v>6754</v>
      </c>
      <c r="B1188" t="s">
        <v>6962</v>
      </c>
      <c r="C1188" s="1">
        <v>45811</v>
      </c>
    </row>
    <row r="1189" spans="1:3" x14ac:dyDescent="0.25">
      <c r="A1189" t="s">
        <v>6755</v>
      </c>
      <c r="B1189" t="s">
        <v>6962</v>
      </c>
      <c r="C1189" s="1">
        <v>45746</v>
      </c>
    </row>
    <row r="1190" spans="1:3" x14ac:dyDescent="0.25">
      <c r="A1190" t="s">
        <v>6756</v>
      </c>
      <c r="B1190" t="s">
        <v>39</v>
      </c>
      <c r="C1190" s="1"/>
    </row>
    <row r="1191" spans="1:3" x14ac:dyDescent="0.25">
      <c r="A1191" t="s">
        <v>6757</v>
      </c>
      <c r="B1191" t="s">
        <v>6962</v>
      </c>
      <c r="C1191" s="1">
        <v>45744</v>
      </c>
    </row>
    <row r="1192" spans="1:3" x14ac:dyDescent="0.25">
      <c r="A1192" t="s">
        <v>6758</v>
      </c>
      <c r="B1192" t="s">
        <v>6962</v>
      </c>
      <c r="C1192" s="1">
        <v>45754</v>
      </c>
    </row>
    <row r="1193" spans="1:3" x14ac:dyDescent="0.25">
      <c r="A1193" t="s">
        <v>6759</v>
      </c>
      <c r="B1193" t="s">
        <v>6962</v>
      </c>
      <c r="C1193" s="1">
        <v>45746</v>
      </c>
    </row>
    <row r="1194" spans="1:3" x14ac:dyDescent="0.25">
      <c r="A1194" t="s">
        <v>6760</v>
      </c>
      <c r="B1194" t="s">
        <v>6962</v>
      </c>
      <c r="C1194" s="1">
        <v>45782</v>
      </c>
    </row>
    <row r="1195" spans="1:3" x14ac:dyDescent="0.25">
      <c r="A1195" t="s">
        <v>6761</v>
      </c>
      <c r="B1195" t="s">
        <v>6962</v>
      </c>
      <c r="C1195" s="1">
        <v>45801</v>
      </c>
    </row>
    <row r="1196" spans="1:3" x14ac:dyDescent="0.25">
      <c r="A1196" t="s">
        <v>6762</v>
      </c>
      <c r="B1196" t="s">
        <v>6962</v>
      </c>
      <c r="C1196" s="1">
        <v>45776</v>
      </c>
    </row>
    <row r="1197" spans="1:3" x14ac:dyDescent="0.25">
      <c r="A1197" t="s">
        <v>6763</v>
      </c>
      <c r="B1197" t="s">
        <v>6962</v>
      </c>
      <c r="C1197" s="1">
        <v>45812</v>
      </c>
    </row>
    <row r="1198" spans="1:3" x14ac:dyDescent="0.25">
      <c r="A1198" t="s">
        <v>6764</v>
      </c>
      <c r="B1198" t="s">
        <v>6963</v>
      </c>
      <c r="C1198" s="1">
        <v>45850</v>
      </c>
    </row>
    <row r="1199" spans="1:3" x14ac:dyDescent="0.25">
      <c r="A1199" t="s">
        <v>6765</v>
      </c>
      <c r="B1199" t="s">
        <v>6962</v>
      </c>
      <c r="C1199" s="1">
        <v>45759</v>
      </c>
    </row>
    <row r="1200" spans="1:3" x14ac:dyDescent="0.25">
      <c r="A1200" t="s">
        <v>6766</v>
      </c>
      <c r="B1200" t="s">
        <v>6963</v>
      </c>
      <c r="C1200" s="1"/>
    </row>
    <row r="1201" spans="1:3" x14ac:dyDescent="0.25">
      <c r="A1201" t="s">
        <v>6767</v>
      </c>
      <c r="B1201" t="s">
        <v>6962</v>
      </c>
      <c r="C1201" s="1">
        <v>45746</v>
      </c>
    </row>
    <row r="1202" spans="1:3" x14ac:dyDescent="0.25">
      <c r="A1202" t="s">
        <v>6768</v>
      </c>
      <c r="B1202" t="s">
        <v>6962</v>
      </c>
      <c r="C1202" s="1">
        <v>45799</v>
      </c>
    </row>
    <row r="1203" spans="1:3" x14ac:dyDescent="0.25">
      <c r="A1203" t="s">
        <v>6769</v>
      </c>
      <c r="B1203" t="s">
        <v>6964</v>
      </c>
      <c r="C1203" s="1">
        <v>45812</v>
      </c>
    </row>
    <row r="1204" spans="1:3" x14ac:dyDescent="0.25">
      <c r="A1204" t="s">
        <v>6770</v>
      </c>
      <c r="B1204" t="s">
        <v>39</v>
      </c>
      <c r="C1204" s="1"/>
    </row>
    <row r="1205" spans="1:3" x14ac:dyDescent="0.25">
      <c r="A1205" t="s">
        <v>6771</v>
      </c>
      <c r="B1205" t="s">
        <v>6962</v>
      </c>
      <c r="C1205" s="1">
        <v>45746</v>
      </c>
    </row>
    <row r="1206" spans="1:3" x14ac:dyDescent="0.25">
      <c r="A1206" t="s">
        <v>6772</v>
      </c>
      <c r="B1206" t="s">
        <v>6963</v>
      </c>
      <c r="C1206" s="1"/>
    </row>
    <row r="1207" spans="1:3" x14ac:dyDescent="0.25">
      <c r="A1207" t="s">
        <v>6773</v>
      </c>
      <c r="B1207" t="s">
        <v>6962</v>
      </c>
      <c r="C1207" s="1">
        <v>45785</v>
      </c>
    </row>
    <row r="1208" spans="1:3" x14ac:dyDescent="0.25">
      <c r="A1208" t="s">
        <v>6774</v>
      </c>
      <c r="B1208" t="s">
        <v>6963</v>
      </c>
      <c r="C1208" s="1"/>
    </row>
    <row r="1209" spans="1:3" x14ac:dyDescent="0.25">
      <c r="A1209" t="s">
        <v>6775</v>
      </c>
      <c r="B1209" t="s">
        <v>6963</v>
      </c>
      <c r="C1209" s="1"/>
    </row>
    <row r="1210" spans="1:3" x14ac:dyDescent="0.25">
      <c r="A1210" t="s">
        <v>6776</v>
      </c>
      <c r="B1210" t="s">
        <v>6962</v>
      </c>
      <c r="C1210" s="1">
        <v>45750</v>
      </c>
    </row>
    <row r="1211" spans="1:3" x14ac:dyDescent="0.25">
      <c r="A1211" t="s">
        <v>6777</v>
      </c>
      <c r="B1211" t="s">
        <v>6962</v>
      </c>
      <c r="C1211" s="1">
        <v>45814</v>
      </c>
    </row>
    <row r="1212" spans="1:3" x14ac:dyDescent="0.25">
      <c r="A1212" t="s">
        <v>6778</v>
      </c>
      <c r="B1212" t="s">
        <v>6962</v>
      </c>
      <c r="C1212" s="1">
        <v>45749</v>
      </c>
    </row>
    <row r="1213" spans="1:3" x14ac:dyDescent="0.25">
      <c r="A1213" t="s">
        <v>6779</v>
      </c>
      <c r="B1213" t="s">
        <v>6962</v>
      </c>
      <c r="C1213" s="1">
        <v>45777</v>
      </c>
    </row>
    <row r="1214" spans="1:3" x14ac:dyDescent="0.25">
      <c r="A1214" t="s">
        <v>6780</v>
      </c>
      <c r="B1214" t="s">
        <v>6962</v>
      </c>
      <c r="C1214" s="1"/>
    </row>
    <row r="1215" spans="1:3" x14ac:dyDescent="0.25">
      <c r="A1215" t="s">
        <v>6781</v>
      </c>
      <c r="B1215" t="s">
        <v>6962</v>
      </c>
      <c r="C1215" s="1">
        <v>45749</v>
      </c>
    </row>
    <row r="1216" spans="1:3" x14ac:dyDescent="0.25">
      <c r="A1216" t="s">
        <v>6782</v>
      </c>
      <c r="B1216" t="s">
        <v>6962</v>
      </c>
      <c r="C1216" s="1">
        <v>45745</v>
      </c>
    </row>
    <row r="1217" spans="1:3" x14ac:dyDescent="0.25">
      <c r="A1217" t="s">
        <v>6783</v>
      </c>
      <c r="B1217" t="s">
        <v>6962</v>
      </c>
      <c r="C1217" s="1">
        <v>45756</v>
      </c>
    </row>
    <row r="1218" spans="1:3" x14ac:dyDescent="0.25">
      <c r="A1218" t="s">
        <v>6784</v>
      </c>
      <c r="B1218" t="s">
        <v>6962</v>
      </c>
      <c r="C1218" s="1">
        <v>45756</v>
      </c>
    </row>
    <row r="1219" spans="1:3" x14ac:dyDescent="0.25">
      <c r="A1219" t="s">
        <v>6785</v>
      </c>
      <c r="B1219" t="s">
        <v>6962</v>
      </c>
      <c r="C1219" s="1">
        <v>45745</v>
      </c>
    </row>
    <row r="1220" spans="1:3" x14ac:dyDescent="0.25">
      <c r="A1220" t="s">
        <v>6786</v>
      </c>
      <c r="B1220" t="s">
        <v>6962</v>
      </c>
      <c r="C1220" s="1">
        <v>45754</v>
      </c>
    </row>
    <row r="1221" spans="1:3" x14ac:dyDescent="0.25">
      <c r="A1221" t="s">
        <v>6787</v>
      </c>
      <c r="B1221" t="s">
        <v>6962</v>
      </c>
      <c r="C1221" s="1">
        <v>45749</v>
      </c>
    </row>
    <row r="1222" spans="1:3" x14ac:dyDescent="0.25">
      <c r="A1222" t="s">
        <v>6788</v>
      </c>
      <c r="B1222" t="s">
        <v>6962</v>
      </c>
      <c r="C1222" s="1">
        <v>45757</v>
      </c>
    </row>
    <row r="1223" spans="1:3" x14ac:dyDescent="0.25">
      <c r="A1223" t="s">
        <v>6789</v>
      </c>
      <c r="B1223" t="s">
        <v>39</v>
      </c>
      <c r="C1223" s="1"/>
    </row>
    <row r="1224" spans="1:3" x14ac:dyDescent="0.25">
      <c r="A1224" t="s">
        <v>6790</v>
      </c>
      <c r="B1224" t="s">
        <v>39</v>
      </c>
      <c r="C1224" s="1"/>
    </row>
    <row r="1225" spans="1:3" x14ac:dyDescent="0.25">
      <c r="A1225" t="s">
        <v>6791</v>
      </c>
      <c r="B1225" t="s">
        <v>6962</v>
      </c>
      <c r="C1225" s="1">
        <v>45775</v>
      </c>
    </row>
    <row r="1226" spans="1:3" x14ac:dyDescent="0.25">
      <c r="A1226" t="s">
        <v>6792</v>
      </c>
      <c r="B1226" t="s">
        <v>6962</v>
      </c>
      <c r="C1226" s="1">
        <v>45786</v>
      </c>
    </row>
    <row r="1227" spans="1:3" x14ac:dyDescent="0.25">
      <c r="A1227" t="s">
        <v>6793</v>
      </c>
      <c r="B1227" t="s">
        <v>6962</v>
      </c>
      <c r="C1227" s="1">
        <v>45804</v>
      </c>
    </row>
    <row r="1228" spans="1:3" x14ac:dyDescent="0.25">
      <c r="A1228" t="s">
        <v>6794</v>
      </c>
      <c r="B1228" t="s">
        <v>6962</v>
      </c>
      <c r="C1228" s="1">
        <v>45762</v>
      </c>
    </row>
    <row r="1229" spans="1:3" x14ac:dyDescent="0.25">
      <c r="A1229" t="s">
        <v>6782</v>
      </c>
      <c r="B1229" t="s">
        <v>6962</v>
      </c>
      <c r="C1229" s="1">
        <v>45786</v>
      </c>
    </row>
    <row r="1230" spans="1:3" x14ac:dyDescent="0.25">
      <c r="A1230" t="s">
        <v>6795</v>
      </c>
      <c r="B1230" t="s">
        <v>6962</v>
      </c>
      <c r="C1230" s="1">
        <v>45749</v>
      </c>
    </row>
    <row r="1231" spans="1:3" x14ac:dyDescent="0.25">
      <c r="A1231" t="s">
        <v>6784</v>
      </c>
      <c r="B1231" t="s">
        <v>6962</v>
      </c>
      <c r="C1231" s="1">
        <v>45749</v>
      </c>
    </row>
    <row r="1232" spans="1:3" x14ac:dyDescent="0.25">
      <c r="A1232" t="s">
        <v>6784</v>
      </c>
      <c r="B1232" t="s">
        <v>6962</v>
      </c>
      <c r="C1232" s="1">
        <v>45748</v>
      </c>
    </row>
    <row r="1233" spans="1:3" x14ac:dyDescent="0.25">
      <c r="A1233" t="s">
        <v>6784</v>
      </c>
      <c r="B1233" t="s">
        <v>6962</v>
      </c>
      <c r="C1233" s="1">
        <v>45810</v>
      </c>
    </row>
    <row r="1234" spans="1:3" x14ac:dyDescent="0.25">
      <c r="A1234" t="s">
        <v>6785</v>
      </c>
      <c r="B1234" t="s">
        <v>6962</v>
      </c>
      <c r="C1234" s="1">
        <v>45745</v>
      </c>
    </row>
    <row r="1235" spans="1:3" x14ac:dyDescent="0.25">
      <c r="A1235" t="s">
        <v>6785</v>
      </c>
      <c r="B1235" t="s">
        <v>6962</v>
      </c>
      <c r="C1235" s="1">
        <v>45745</v>
      </c>
    </row>
    <row r="1236" spans="1:3" x14ac:dyDescent="0.25">
      <c r="A1236" t="s">
        <v>6785</v>
      </c>
      <c r="B1236" t="s">
        <v>6963</v>
      </c>
      <c r="C1236" s="1"/>
    </row>
    <row r="1237" spans="1:3" x14ac:dyDescent="0.25">
      <c r="A1237" t="s">
        <v>6785</v>
      </c>
      <c r="B1237" t="s">
        <v>6962</v>
      </c>
      <c r="C1237" s="1">
        <v>45745</v>
      </c>
    </row>
    <row r="1238" spans="1:3" x14ac:dyDescent="0.25">
      <c r="A1238" t="s">
        <v>6787</v>
      </c>
      <c r="B1238" t="s">
        <v>6962</v>
      </c>
      <c r="C1238" s="1">
        <v>45749</v>
      </c>
    </row>
    <row r="1239" spans="1:3" x14ac:dyDescent="0.25">
      <c r="A1239" t="s">
        <v>6796</v>
      </c>
      <c r="B1239" t="s">
        <v>6962</v>
      </c>
      <c r="C1239" s="1">
        <v>45814</v>
      </c>
    </row>
    <row r="1240" spans="1:3" x14ac:dyDescent="0.25">
      <c r="A1240" t="s">
        <v>6797</v>
      </c>
      <c r="B1240" t="s">
        <v>39</v>
      </c>
      <c r="C1240" s="1"/>
    </row>
    <row r="1241" spans="1:3" x14ac:dyDescent="0.25">
      <c r="A1241" t="s">
        <v>6798</v>
      </c>
      <c r="B1241" t="s">
        <v>6962</v>
      </c>
      <c r="C1241" s="1">
        <v>45745</v>
      </c>
    </row>
    <row r="1242" spans="1:3" x14ac:dyDescent="0.25">
      <c r="A1242" t="s">
        <v>6799</v>
      </c>
      <c r="B1242" t="s">
        <v>6962</v>
      </c>
      <c r="C1242" s="1">
        <v>45749</v>
      </c>
    </row>
    <row r="1243" spans="1:3" x14ac:dyDescent="0.25">
      <c r="A1243" t="s">
        <v>6800</v>
      </c>
      <c r="B1243" t="s">
        <v>6962</v>
      </c>
      <c r="C1243" s="1">
        <v>45751</v>
      </c>
    </row>
    <row r="1244" spans="1:3" x14ac:dyDescent="0.25">
      <c r="A1244" t="s">
        <v>6801</v>
      </c>
      <c r="B1244" t="s">
        <v>6962</v>
      </c>
      <c r="C1244" s="1">
        <v>45745</v>
      </c>
    </row>
    <row r="1245" spans="1:3" x14ac:dyDescent="0.25">
      <c r="A1245" t="s">
        <v>6801</v>
      </c>
      <c r="B1245" t="s">
        <v>6962</v>
      </c>
      <c r="C1245" s="1">
        <v>45799</v>
      </c>
    </row>
    <row r="1246" spans="1:3" x14ac:dyDescent="0.25">
      <c r="A1246" t="s">
        <v>6798</v>
      </c>
      <c r="B1246" t="s">
        <v>6962</v>
      </c>
      <c r="C1246" s="1">
        <v>45786</v>
      </c>
    </row>
    <row r="1247" spans="1:3" x14ac:dyDescent="0.25">
      <c r="A1247" t="s">
        <v>6797</v>
      </c>
      <c r="B1247" t="s">
        <v>39</v>
      </c>
      <c r="C1247" s="1"/>
    </row>
    <row r="1248" spans="1:3" x14ac:dyDescent="0.25">
      <c r="A1248" t="s">
        <v>6802</v>
      </c>
      <c r="B1248" t="s">
        <v>6962</v>
      </c>
      <c r="C1248" s="1">
        <v>45756</v>
      </c>
    </row>
    <row r="1249" spans="1:3" x14ac:dyDescent="0.25">
      <c r="A1249" t="s">
        <v>6803</v>
      </c>
      <c r="B1249" t="s">
        <v>6962</v>
      </c>
      <c r="C1249" s="1">
        <v>45759</v>
      </c>
    </row>
    <row r="1250" spans="1:3" x14ac:dyDescent="0.25">
      <c r="A1250" t="s">
        <v>6804</v>
      </c>
      <c r="B1250" t="s">
        <v>6962</v>
      </c>
      <c r="C1250" s="1">
        <v>45757</v>
      </c>
    </row>
    <row r="1251" spans="1:3" x14ac:dyDescent="0.25">
      <c r="A1251" t="s">
        <v>6805</v>
      </c>
      <c r="B1251" t="s">
        <v>6962</v>
      </c>
      <c r="C1251" s="1">
        <v>45754</v>
      </c>
    </row>
    <row r="1252" spans="1:3" x14ac:dyDescent="0.25">
      <c r="A1252" t="s">
        <v>6806</v>
      </c>
      <c r="B1252" t="s">
        <v>6962</v>
      </c>
      <c r="C1252" s="1">
        <v>45750</v>
      </c>
    </row>
    <row r="1253" spans="1:3" x14ac:dyDescent="0.25">
      <c r="A1253" t="s">
        <v>6807</v>
      </c>
      <c r="B1253" t="s">
        <v>6962</v>
      </c>
      <c r="C1253" s="1">
        <v>45749</v>
      </c>
    </row>
    <row r="1254" spans="1:3" x14ac:dyDescent="0.25">
      <c r="A1254" t="s">
        <v>6808</v>
      </c>
      <c r="B1254" t="s">
        <v>39</v>
      </c>
      <c r="C1254" s="1"/>
    </row>
    <row r="1255" spans="1:3" x14ac:dyDescent="0.25">
      <c r="A1255" t="s">
        <v>6809</v>
      </c>
      <c r="B1255" t="s">
        <v>6962</v>
      </c>
      <c r="C1255" s="1">
        <v>45749</v>
      </c>
    </row>
    <row r="1256" spans="1:3" x14ac:dyDescent="0.25">
      <c r="A1256" t="s">
        <v>6810</v>
      </c>
      <c r="B1256" t="s">
        <v>6962</v>
      </c>
      <c r="C1256" s="1">
        <v>45818</v>
      </c>
    </row>
    <row r="1257" spans="1:3" x14ac:dyDescent="0.25">
      <c r="A1257" t="s">
        <v>6811</v>
      </c>
      <c r="B1257" t="s">
        <v>6962</v>
      </c>
      <c r="C1257" s="1">
        <v>45773</v>
      </c>
    </row>
    <row r="1258" spans="1:3" x14ac:dyDescent="0.25">
      <c r="A1258" t="s">
        <v>3235</v>
      </c>
      <c r="B1258" t="s">
        <v>6962</v>
      </c>
      <c r="C1258" s="1">
        <v>45749</v>
      </c>
    </row>
    <row r="1259" spans="1:3" x14ac:dyDescent="0.25">
      <c r="A1259" t="s">
        <v>2483</v>
      </c>
      <c r="B1259" t="s">
        <v>6962</v>
      </c>
      <c r="C1259" s="1">
        <v>45749</v>
      </c>
    </row>
    <row r="1260" spans="1:3" x14ac:dyDescent="0.25">
      <c r="A1260" t="s">
        <v>6812</v>
      </c>
      <c r="B1260" t="s">
        <v>6962</v>
      </c>
      <c r="C1260" s="1">
        <v>45750</v>
      </c>
    </row>
    <row r="1261" spans="1:3" x14ac:dyDescent="0.25">
      <c r="A1261" t="s">
        <v>6813</v>
      </c>
      <c r="B1261" t="s">
        <v>6962</v>
      </c>
      <c r="C1261" s="1">
        <v>45768</v>
      </c>
    </row>
    <row r="1262" spans="1:3" x14ac:dyDescent="0.25">
      <c r="A1262" t="s">
        <v>6814</v>
      </c>
      <c r="B1262" t="s">
        <v>6962</v>
      </c>
      <c r="C1262" s="1">
        <v>45751</v>
      </c>
    </row>
    <row r="1263" spans="1:3" x14ac:dyDescent="0.25">
      <c r="A1263" t="s">
        <v>2486</v>
      </c>
      <c r="B1263" t="s">
        <v>6962</v>
      </c>
      <c r="C1263" s="1">
        <v>45771</v>
      </c>
    </row>
    <row r="1264" spans="1:3" x14ac:dyDescent="0.25">
      <c r="A1264" t="s">
        <v>3242</v>
      </c>
      <c r="B1264" t="s">
        <v>6962</v>
      </c>
      <c r="C1264" s="1">
        <v>45758</v>
      </c>
    </row>
    <row r="1265" spans="1:3" x14ac:dyDescent="0.25">
      <c r="A1265" t="s">
        <v>3241</v>
      </c>
      <c r="B1265" t="s">
        <v>6962</v>
      </c>
      <c r="C1265" s="1">
        <v>45769</v>
      </c>
    </row>
    <row r="1266" spans="1:3" x14ac:dyDescent="0.25">
      <c r="A1266" t="s">
        <v>2485</v>
      </c>
      <c r="B1266" t="s">
        <v>6962</v>
      </c>
      <c r="C1266" s="1">
        <v>45768</v>
      </c>
    </row>
    <row r="1267" spans="1:3" x14ac:dyDescent="0.25">
      <c r="A1267" t="s">
        <v>2484</v>
      </c>
      <c r="B1267" t="s">
        <v>6962</v>
      </c>
      <c r="C1267" s="1">
        <v>45785</v>
      </c>
    </row>
    <row r="1268" spans="1:3" x14ac:dyDescent="0.25">
      <c r="A1268" t="s">
        <v>3240</v>
      </c>
      <c r="B1268" t="s">
        <v>6962</v>
      </c>
      <c r="C1268" s="1">
        <v>45757</v>
      </c>
    </row>
    <row r="1269" spans="1:3" x14ac:dyDescent="0.25">
      <c r="A1269" t="s">
        <v>3239</v>
      </c>
      <c r="B1269" t="s">
        <v>6962</v>
      </c>
      <c r="C1269" s="1">
        <v>45756</v>
      </c>
    </row>
    <row r="1270" spans="1:3" x14ac:dyDescent="0.25">
      <c r="A1270" t="s">
        <v>3237</v>
      </c>
      <c r="B1270" t="s">
        <v>6962</v>
      </c>
      <c r="C1270" s="1">
        <v>45794</v>
      </c>
    </row>
    <row r="1271" spans="1:3" x14ac:dyDescent="0.25">
      <c r="A1271" t="s">
        <v>2482</v>
      </c>
      <c r="B1271" t="s">
        <v>6962</v>
      </c>
      <c r="C1271" s="1">
        <v>45794</v>
      </c>
    </row>
    <row r="1272" spans="1:3" x14ac:dyDescent="0.25">
      <c r="A1272" t="s">
        <v>2481</v>
      </c>
      <c r="B1272" t="s">
        <v>6963</v>
      </c>
      <c r="C1272" s="1"/>
    </row>
    <row r="1273" spans="1:3" x14ac:dyDescent="0.25">
      <c r="A1273" t="s">
        <v>6815</v>
      </c>
      <c r="B1273" t="s">
        <v>39</v>
      </c>
      <c r="C1273" s="1"/>
    </row>
    <row r="1274" spans="1:3" x14ac:dyDescent="0.25">
      <c r="A1274" t="s">
        <v>3236</v>
      </c>
      <c r="B1274" t="s">
        <v>6962</v>
      </c>
      <c r="C1274" s="1">
        <v>45765</v>
      </c>
    </row>
    <row r="1275" spans="1:3" x14ac:dyDescent="0.25">
      <c r="A1275" t="s">
        <v>2480</v>
      </c>
      <c r="B1275" t="s">
        <v>6963</v>
      </c>
      <c r="C1275" s="1"/>
    </row>
    <row r="1276" spans="1:3" x14ac:dyDescent="0.25">
      <c r="A1276" t="s">
        <v>3234</v>
      </c>
      <c r="B1276" t="s">
        <v>6962</v>
      </c>
      <c r="C1276" s="1">
        <v>45754</v>
      </c>
    </row>
    <row r="1277" spans="1:3" x14ac:dyDescent="0.25">
      <c r="A1277" t="s">
        <v>6816</v>
      </c>
      <c r="B1277" t="s">
        <v>6962</v>
      </c>
      <c r="C1277" s="1">
        <v>45804</v>
      </c>
    </row>
    <row r="1278" spans="1:3" x14ac:dyDescent="0.25">
      <c r="A1278" t="s">
        <v>6817</v>
      </c>
      <c r="B1278" t="s">
        <v>6962</v>
      </c>
      <c r="C1278" s="1">
        <v>45827</v>
      </c>
    </row>
    <row r="1279" spans="1:3" x14ac:dyDescent="0.25">
      <c r="A1279" t="s">
        <v>6818</v>
      </c>
      <c r="B1279" t="s">
        <v>6962</v>
      </c>
      <c r="C1279" s="1">
        <v>45789</v>
      </c>
    </row>
    <row r="1280" spans="1:3" x14ac:dyDescent="0.25">
      <c r="A1280" t="s">
        <v>6819</v>
      </c>
      <c r="B1280" t="s">
        <v>6962</v>
      </c>
      <c r="C1280" s="1">
        <v>45785</v>
      </c>
    </row>
    <row r="1281" spans="1:3" x14ac:dyDescent="0.25">
      <c r="A1281" t="s">
        <v>6820</v>
      </c>
      <c r="B1281" t="s">
        <v>6962</v>
      </c>
      <c r="C1281" s="1">
        <v>45775</v>
      </c>
    </row>
    <row r="1282" spans="1:3" x14ac:dyDescent="0.25">
      <c r="A1282" t="s">
        <v>6821</v>
      </c>
      <c r="B1282" t="s">
        <v>6962</v>
      </c>
      <c r="C1282" s="1">
        <v>45755</v>
      </c>
    </row>
    <row r="1283" spans="1:3" x14ac:dyDescent="0.25">
      <c r="A1283" t="s">
        <v>6822</v>
      </c>
      <c r="B1283" t="s">
        <v>6962</v>
      </c>
      <c r="C1283" s="1">
        <v>45765</v>
      </c>
    </row>
    <row r="1284" spans="1:3" x14ac:dyDescent="0.25">
      <c r="A1284" t="s">
        <v>6823</v>
      </c>
      <c r="B1284" t="s">
        <v>6963</v>
      </c>
      <c r="C1284" s="1"/>
    </row>
    <row r="1285" spans="1:3" x14ac:dyDescent="0.25">
      <c r="A1285" t="s">
        <v>6824</v>
      </c>
      <c r="B1285" t="s">
        <v>6962</v>
      </c>
      <c r="C1285" s="1">
        <v>45754</v>
      </c>
    </row>
    <row r="1286" spans="1:3" x14ac:dyDescent="0.25">
      <c r="A1286" t="s">
        <v>6825</v>
      </c>
      <c r="B1286" t="s">
        <v>6963</v>
      </c>
      <c r="C1286" s="1"/>
    </row>
    <row r="1287" spans="1:3" x14ac:dyDescent="0.25">
      <c r="A1287" t="s">
        <v>6826</v>
      </c>
      <c r="B1287" t="s">
        <v>6962</v>
      </c>
      <c r="C1287" s="1">
        <v>45751</v>
      </c>
    </row>
    <row r="1288" spans="1:3" x14ac:dyDescent="0.25">
      <c r="A1288" t="s">
        <v>6827</v>
      </c>
      <c r="B1288" t="s">
        <v>6962</v>
      </c>
      <c r="C1288" s="1">
        <v>45797</v>
      </c>
    </row>
    <row r="1289" spans="1:3" x14ac:dyDescent="0.25">
      <c r="A1289" t="s">
        <v>6828</v>
      </c>
      <c r="B1289" t="s">
        <v>6963</v>
      </c>
      <c r="C1289" s="1"/>
    </row>
    <row r="1290" spans="1:3" x14ac:dyDescent="0.25">
      <c r="A1290" t="s">
        <v>6829</v>
      </c>
      <c r="B1290" t="s">
        <v>6962</v>
      </c>
      <c r="C1290" s="1">
        <v>45764</v>
      </c>
    </row>
    <row r="1291" spans="1:3" x14ac:dyDescent="0.25">
      <c r="A1291" t="s">
        <v>6830</v>
      </c>
      <c r="B1291" t="s">
        <v>6962</v>
      </c>
      <c r="C1291" s="1">
        <v>45765</v>
      </c>
    </row>
    <row r="1292" spans="1:3" x14ac:dyDescent="0.25">
      <c r="A1292" t="s">
        <v>6831</v>
      </c>
      <c r="B1292" t="s">
        <v>6962</v>
      </c>
      <c r="C1292" s="1">
        <v>45754</v>
      </c>
    </row>
    <row r="1293" spans="1:3" x14ac:dyDescent="0.25">
      <c r="A1293" t="s">
        <v>6832</v>
      </c>
      <c r="B1293" t="s">
        <v>6962</v>
      </c>
      <c r="C1293" s="1">
        <v>45752</v>
      </c>
    </row>
    <row r="1294" spans="1:3" x14ac:dyDescent="0.25">
      <c r="A1294" t="s">
        <v>6833</v>
      </c>
      <c r="B1294" t="s">
        <v>6962</v>
      </c>
      <c r="C1294" s="1">
        <v>45813</v>
      </c>
    </row>
    <row r="1295" spans="1:3" x14ac:dyDescent="0.25">
      <c r="A1295" t="s">
        <v>6834</v>
      </c>
      <c r="B1295" t="s">
        <v>6962</v>
      </c>
      <c r="C1295" s="1">
        <v>45759</v>
      </c>
    </row>
    <row r="1296" spans="1:3" x14ac:dyDescent="0.25">
      <c r="A1296" t="s">
        <v>6835</v>
      </c>
      <c r="B1296" t="s">
        <v>6962</v>
      </c>
      <c r="C1296" s="1">
        <v>45751</v>
      </c>
    </row>
    <row r="1297" spans="1:3" x14ac:dyDescent="0.25">
      <c r="A1297" t="s">
        <v>6836</v>
      </c>
      <c r="B1297" t="s">
        <v>6962</v>
      </c>
      <c r="C1297" s="1">
        <v>45755</v>
      </c>
    </row>
    <row r="1298" spans="1:3" x14ac:dyDescent="0.25">
      <c r="A1298" t="s">
        <v>6836</v>
      </c>
      <c r="B1298" t="s">
        <v>6962</v>
      </c>
      <c r="C1298" s="1">
        <v>45827</v>
      </c>
    </row>
    <row r="1299" spans="1:3" x14ac:dyDescent="0.25">
      <c r="A1299" t="s">
        <v>3244</v>
      </c>
      <c r="B1299" t="s">
        <v>6962</v>
      </c>
      <c r="C1299" s="1">
        <v>45768</v>
      </c>
    </row>
    <row r="1300" spans="1:3" x14ac:dyDescent="0.25">
      <c r="A1300" t="s">
        <v>3249</v>
      </c>
      <c r="B1300" t="s">
        <v>6962</v>
      </c>
      <c r="C1300" s="1">
        <v>45752</v>
      </c>
    </row>
    <row r="1301" spans="1:3" x14ac:dyDescent="0.25">
      <c r="A1301" t="s">
        <v>3248</v>
      </c>
      <c r="B1301" t="s">
        <v>6962</v>
      </c>
      <c r="C1301" s="1">
        <v>45754</v>
      </c>
    </row>
    <row r="1302" spans="1:3" x14ac:dyDescent="0.25">
      <c r="A1302" t="s">
        <v>3247</v>
      </c>
      <c r="B1302" t="s">
        <v>6962</v>
      </c>
      <c r="C1302" s="1">
        <v>45755</v>
      </c>
    </row>
    <row r="1303" spans="1:3" x14ac:dyDescent="0.25">
      <c r="A1303" t="s">
        <v>3246</v>
      </c>
      <c r="B1303" t="s">
        <v>6962</v>
      </c>
      <c r="C1303" s="1">
        <v>45761</v>
      </c>
    </row>
    <row r="1304" spans="1:3" x14ac:dyDescent="0.25">
      <c r="A1304" t="s">
        <v>3245</v>
      </c>
      <c r="B1304" t="s">
        <v>6962</v>
      </c>
      <c r="C1304" s="1">
        <v>45786</v>
      </c>
    </row>
    <row r="1305" spans="1:3" x14ac:dyDescent="0.25">
      <c r="A1305" t="s">
        <v>3261</v>
      </c>
      <c r="B1305" t="s">
        <v>6962</v>
      </c>
      <c r="C1305" s="1">
        <v>45768</v>
      </c>
    </row>
    <row r="1306" spans="1:3" x14ac:dyDescent="0.25">
      <c r="A1306" t="s">
        <v>3254</v>
      </c>
      <c r="B1306" t="s">
        <v>6962</v>
      </c>
      <c r="C1306" s="1">
        <v>45770</v>
      </c>
    </row>
    <row r="1307" spans="1:3" x14ac:dyDescent="0.25">
      <c r="A1307" t="s">
        <v>3253</v>
      </c>
      <c r="B1307" t="s">
        <v>6962</v>
      </c>
      <c r="C1307" s="1">
        <v>45770</v>
      </c>
    </row>
    <row r="1308" spans="1:3" x14ac:dyDescent="0.25">
      <c r="A1308" t="s">
        <v>3252</v>
      </c>
      <c r="B1308" t="s">
        <v>6962</v>
      </c>
      <c r="C1308" s="1">
        <v>45755</v>
      </c>
    </row>
    <row r="1309" spans="1:3" x14ac:dyDescent="0.25">
      <c r="A1309" t="s">
        <v>3251</v>
      </c>
      <c r="B1309" t="s">
        <v>6962</v>
      </c>
      <c r="C1309" s="1">
        <v>45786</v>
      </c>
    </row>
    <row r="1310" spans="1:3" x14ac:dyDescent="0.25">
      <c r="A1310" t="s">
        <v>3250</v>
      </c>
      <c r="B1310" t="s">
        <v>6962</v>
      </c>
      <c r="C1310" s="1">
        <v>45808</v>
      </c>
    </row>
    <row r="1311" spans="1:3" x14ac:dyDescent="0.25">
      <c r="A1311" t="s">
        <v>3258</v>
      </c>
      <c r="B1311" t="s">
        <v>6962</v>
      </c>
      <c r="C1311" s="1">
        <v>45785</v>
      </c>
    </row>
    <row r="1312" spans="1:3" x14ac:dyDescent="0.25">
      <c r="A1312" t="s">
        <v>3259</v>
      </c>
      <c r="B1312" t="s">
        <v>6962</v>
      </c>
      <c r="C1312" s="1">
        <v>45757</v>
      </c>
    </row>
    <row r="1313" spans="1:3" x14ac:dyDescent="0.25">
      <c r="A1313" t="s">
        <v>2488</v>
      </c>
      <c r="B1313" t="s">
        <v>39</v>
      </c>
      <c r="C1313" s="1"/>
    </row>
    <row r="1314" spans="1:3" x14ac:dyDescent="0.25">
      <c r="A1314" t="s">
        <v>3257</v>
      </c>
      <c r="B1314" t="s">
        <v>6962</v>
      </c>
      <c r="C1314" s="1">
        <v>45756</v>
      </c>
    </row>
    <row r="1315" spans="1:3" x14ac:dyDescent="0.25">
      <c r="A1315" t="s">
        <v>3256</v>
      </c>
      <c r="B1315" t="s">
        <v>6962</v>
      </c>
      <c r="C1315" s="1">
        <v>45755</v>
      </c>
    </row>
    <row r="1316" spans="1:3" x14ac:dyDescent="0.25">
      <c r="A1316" t="s">
        <v>3255</v>
      </c>
      <c r="B1316" t="s">
        <v>39</v>
      </c>
      <c r="C1316" s="1"/>
    </row>
    <row r="1317" spans="1:3" x14ac:dyDescent="0.25">
      <c r="A1317" t="s">
        <v>2487</v>
      </c>
      <c r="B1317" t="s">
        <v>6962</v>
      </c>
      <c r="C1317" s="1">
        <v>45813</v>
      </c>
    </row>
    <row r="1318" spans="1:3" x14ac:dyDescent="0.25">
      <c r="A1318" t="s">
        <v>3262</v>
      </c>
      <c r="B1318" t="s">
        <v>6962</v>
      </c>
      <c r="C1318" s="1">
        <v>45755</v>
      </c>
    </row>
    <row r="1319" spans="1:3" x14ac:dyDescent="0.25">
      <c r="A1319" t="s">
        <v>3260</v>
      </c>
      <c r="B1319" t="s">
        <v>6962</v>
      </c>
      <c r="C1319" s="1">
        <v>45755</v>
      </c>
    </row>
    <row r="1320" spans="1:3" x14ac:dyDescent="0.25">
      <c r="A1320" t="s">
        <v>6837</v>
      </c>
      <c r="B1320" t="s">
        <v>39</v>
      </c>
      <c r="C1320" s="1"/>
    </row>
    <row r="1321" spans="1:3" x14ac:dyDescent="0.25">
      <c r="A1321" t="s">
        <v>3262</v>
      </c>
      <c r="B1321" t="s">
        <v>6962</v>
      </c>
      <c r="C1321" s="1">
        <v>45780</v>
      </c>
    </row>
    <row r="1322" spans="1:3" x14ac:dyDescent="0.25">
      <c r="A1322" t="s">
        <v>3262</v>
      </c>
      <c r="B1322" t="s">
        <v>6962</v>
      </c>
      <c r="C1322" s="1"/>
    </row>
    <row r="1323" spans="1:3" x14ac:dyDescent="0.25">
      <c r="A1323" t="s">
        <v>3283</v>
      </c>
      <c r="B1323" t="s">
        <v>6962</v>
      </c>
      <c r="C1323" s="1">
        <v>45758</v>
      </c>
    </row>
    <row r="1324" spans="1:3" x14ac:dyDescent="0.25">
      <c r="A1324" t="s">
        <v>3281</v>
      </c>
      <c r="B1324" t="s">
        <v>6962</v>
      </c>
      <c r="C1324" s="1">
        <v>45761</v>
      </c>
    </row>
    <row r="1325" spans="1:3" x14ac:dyDescent="0.25">
      <c r="A1325" t="s">
        <v>3280</v>
      </c>
      <c r="B1325" t="s">
        <v>6962</v>
      </c>
      <c r="C1325" s="1">
        <v>45757</v>
      </c>
    </row>
    <row r="1326" spans="1:3" x14ac:dyDescent="0.25">
      <c r="A1326" t="s">
        <v>3279</v>
      </c>
      <c r="B1326" t="s">
        <v>6962</v>
      </c>
      <c r="C1326" s="1">
        <v>45759</v>
      </c>
    </row>
    <row r="1327" spans="1:3" x14ac:dyDescent="0.25">
      <c r="A1327" t="s">
        <v>3278</v>
      </c>
      <c r="B1327" t="s">
        <v>6962</v>
      </c>
      <c r="C1327" s="1">
        <v>45757</v>
      </c>
    </row>
    <row r="1328" spans="1:3" x14ac:dyDescent="0.25">
      <c r="A1328" t="s">
        <v>3277</v>
      </c>
      <c r="B1328" t="s">
        <v>6962</v>
      </c>
      <c r="C1328" s="1">
        <v>45766</v>
      </c>
    </row>
    <row r="1329" spans="1:3" x14ac:dyDescent="0.25">
      <c r="A1329" t="s">
        <v>3276</v>
      </c>
      <c r="B1329" t="s">
        <v>6962</v>
      </c>
      <c r="C1329" s="1">
        <v>45775</v>
      </c>
    </row>
    <row r="1330" spans="1:3" x14ac:dyDescent="0.25">
      <c r="A1330" t="s">
        <v>3275</v>
      </c>
      <c r="B1330" t="s">
        <v>6963</v>
      </c>
      <c r="C1330" s="1"/>
    </row>
    <row r="1331" spans="1:3" x14ac:dyDescent="0.25">
      <c r="A1331" t="s">
        <v>3274</v>
      </c>
      <c r="B1331" t="s">
        <v>6962</v>
      </c>
      <c r="C1331" s="1">
        <v>45765</v>
      </c>
    </row>
    <row r="1332" spans="1:3" x14ac:dyDescent="0.25">
      <c r="A1332" t="s">
        <v>3273</v>
      </c>
      <c r="B1332" t="s">
        <v>39</v>
      </c>
      <c r="C1332" s="1"/>
    </row>
    <row r="1333" spans="1:3" x14ac:dyDescent="0.25">
      <c r="A1333" t="s">
        <v>3272</v>
      </c>
      <c r="B1333" t="s">
        <v>6962</v>
      </c>
      <c r="C1333" s="1">
        <v>45789</v>
      </c>
    </row>
    <row r="1334" spans="1:3" x14ac:dyDescent="0.25">
      <c r="A1334" t="s">
        <v>3271</v>
      </c>
      <c r="B1334" t="s">
        <v>6962</v>
      </c>
      <c r="C1334" s="1">
        <v>45758</v>
      </c>
    </row>
    <row r="1335" spans="1:3" x14ac:dyDescent="0.25">
      <c r="A1335" t="s">
        <v>3270</v>
      </c>
      <c r="B1335" t="s">
        <v>6962</v>
      </c>
      <c r="C1335" s="1">
        <v>45827</v>
      </c>
    </row>
    <row r="1336" spans="1:3" x14ac:dyDescent="0.25">
      <c r="A1336" t="s">
        <v>3269</v>
      </c>
      <c r="B1336" t="s">
        <v>39</v>
      </c>
      <c r="C1336" s="1"/>
    </row>
    <row r="1337" spans="1:3" x14ac:dyDescent="0.25">
      <c r="A1337" t="s">
        <v>3268</v>
      </c>
      <c r="B1337" t="s">
        <v>6962</v>
      </c>
      <c r="C1337" s="1">
        <v>45761</v>
      </c>
    </row>
    <row r="1338" spans="1:3" x14ac:dyDescent="0.25">
      <c r="A1338" t="s">
        <v>3267</v>
      </c>
      <c r="B1338" t="s">
        <v>6962</v>
      </c>
      <c r="C1338" s="1">
        <v>45769</v>
      </c>
    </row>
    <row r="1339" spans="1:3" x14ac:dyDescent="0.25">
      <c r="A1339" t="s">
        <v>3266</v>
      </c>
      <c r="B1339" t="s">
        <v>6962</v>
      </c>
      <c r="C1339" s="1">
        <v>45779</v>
      </c>
    </row>
    <row r="1340" spans="1:3" x14ac:dyDescent="0.25">
      <c r="A1340" t="s">
        <v>3265</v>
      </c>
      <c r="B1340" t="s">
        <v>6962</v>
      </c>
      <c r="C1340" s="1">
        <v>45756</v>
      </c>
    </row>
    <row r="1341" spans="1:3" x14ac:dyDescent="0.25">
      <c r="A1341" t="s">
        <v>3264</v>
      </c>
      <c r="B1341" t="s">
        <v>6962</v>
      </c>
      <c r="C1341" s="1">
        <v>45761</v>
      </c>
    </row>
    <row r="1342" spans="1:3" x14ac:dyDescent="0.25">
      <c r="A1342" t="s">
        <v>3263</v>
      </c>
      <c r="B1342" t="s">
        <v>6962</v>
      </c>
      <c r="C1342" s="1">
        <v>45786</v>
      </c>
    </row>
    <row r="1343" spans="1:3" x14ac:dyDescent="0.25">
      <c r="A1343" t="s">
        <v>2490</v>
      </c>
      <c r="B1343" t="s">
        <v>39</v>
      </c>
      <c r="C1343" s="1"/>
    </row>
    <row r="1344" spans="1:3" x14ac:dyDescent="0.25">
      <c r="A1344" t="s">
        <v>2489</v>
      </c>
      <c r="B1344" t="s">
        <v>6962</v>
      </c>
      <c r="C1344" s="1">
        <v>45820</v>
      </c>
    </row>
    <row r="1345" spans="1:3" x14ac:dyDescent="0.25">
      <c r="A1345" t="s">
        <v>3290</v>
      </c>
      <c r="B1345" t="s">
        <v>6962</v>
      </c>
      <c r="C1345" s="1">
        <v>45757</v>
      </c>
    </row>
    <row r="1346" spans="1:3" x14ac:dyDescent="0.25">
      <c r="A1346" t="s">
        <v>3299</v>
      </c>
      <c r="B1346" t="s">
        <v>6962</v>
      </c>
      <c r="C1346" s="1">
        <v>45786</v>
      </c>
    </row>
    <row r="1347" spans="1:3" x14ac:dyDescent="0.25">
      <c r="A1347" t="s">
        <v>3298</v>
      </c>
      <c r="B1347" t="s">
        <v>6962</v>
      </c>
      <c r="C1347" s="1">
        <v>45766</v>
      </c>
    </row>
    <row r="1348" spans="1:3" x14ac:dyDescent="0.25">
      <c r="A1348" t="s">
        <v>3297</v>
      </c>
      <c r="B1348" t="s">
        <v>6962</v>
      </c>
      <c r="C1348" s="1">
        <v>45793</v>
      </c>
    </row>
    <row r="1349" spans="1:3" x14ac:dyDescent="0.25">
      <c r="A1349" t="s">
        <v>3296</v>
      </c>
      <c r="B1349" t="s">
        <v>6962</v>
      </c>
      <c r="C1349" s="1">
        <v>45758</v>
      </c>
    </row>
    <row r="1350" spans="1:3" x14ac:dyDescent="0.25">
      <c r="A1350" t="s">
        <v>3295</v>
      </c>
      <c r="B1350" t="s">
        <v>6962</v>
      </c>
      <c r="C1350" s="1">
        <v>45812</v>
      </c>
    </row>
    <row r="1351" spans="1:3" x14ac:dyDescent="0.25">
      <c r="A1351" t="s">
        <v>3294</v>
      </c>
      <c r="B1351" t="s">
        <v>39</v>
      </c>
      <c r="C1351" s="1"/>
    </row>
    <row r="1352" spans="1:3" x14ac:dyDescent="0.25">
      <c r="A1352" t="s">
        <v>3293</v>
      </c>
      <c r="B1352" t="s">
        <v>6962</v>
      </c>
      <c r="C1352" s="1">
        <v>45772</v>
      </c>
    </row>
    <row r="1353" spans="1:3" x14ac:dyDescent="0.25">
      <c r="A1353" t="s">
        <v>3292</v>
      </c>
      <c r="B1353" t="s">
        <v>6962</v>
      </c>
      <c r="C1353" s="1">
        <v>45797</v>
      </c>
    </row>
    <row r="1354" spans="1:3" x14ac:dyDescent="0.25">
      <c r="A1354" t="s">
        <v>3291</v>
      </c>
      <c r="B1354" t="s">
        <v>6962</v>
      </c>
      <c r="C1354" s="1">
        <v>45759</v>
      </c>
    </row>
    <row r="1355" spans="1:3" x14ac:dyDescent="0.25">
      <c r="A1355" t="s">
        <v>3289</v>
      </c>
      <c r="B1355" t="s">
        <v>6962</v>
      </c>
      <c r="C1355" s="1">
        <v>45775</v>
      </c>
    </row>
    <row r="1356" spans="1:3" x14ac:dyDescent="0.25">
      <c r="A1356" t="s">
        <v>3288</v>
      </c>
      <c r="B1356" t="s">
        <v>6962</v>
      </c>
      <c r="C1356" s="1">
        <v>45757</v>
      </c>
    </row>
    <row r="1357" spans="1:3" x14ac:dyDescent="0.25">
      <c r="A1357" t="s">
        <v>3287</v>
      </c>
      <c r="B1357" t="s">
        <v>6962</v>
      </c>
      <c r="C1357" s="1">
        <v>45768</v>
      </c>
    </row>
    <row r="1358" spans="1:3" x14ac:dyDescent="0.25">
      <c r="A1358" t="s">
        <v>3286</v>
      </c>
      <c r="B1358" t="s">
        <v>6962</v>
      </c>
      <c r="C1358" s="1">
        <v>45758</v>
      </c>
    </row>
    <row r="1359" spans="1:3" x14ac:dyDescent="0.25">
      <c r="A1359" t="s">
        <v>3285</v>
      </c>
      <c r="B1359" t="s">
        <v>6962</v>
      </c>
      <c r="C1359" s="1">
        <v>45782</v>
      </c>
    </row>
    <row r="1360" spans="1:3" x14ac:dyDescent="0.25">
      <c r="A1360" t="s">
        <v>3284</v>
      </c>
      <c r="B1360" t="s">
        <v>6962</v>
      </c>
      <c r="C1360" s="1">
        <v>45757</v>
      </c>
    </row>
    <row r="1361" spans="1:3" x14ac:dyDescent="0.25">
      <c r="A1361" t="s">
        <v>3282</v>
      </c>
      <c r="B1361" t="s">
        <v>6963</v>
      </c>
      <c r="C1361" s="1"/>
    </row>
    <row r="1362" spans="1:3" x14ac:dyDescent="0.25">
      <c r="A1362" t="s">
        <v>2491</v>
      </c>
      <c r="B1362" t="s">
        <v>6962</v>
      </c>
      <c r="C1362" s="1">
        <v>45786</v>
      </c>
    </row>
    <row r="1363" spans="1:3" x14ac:dyDescent="0.25">
      <c r="A1363" t="s">
        <v>3313</v>
      </c>
      <c r="B1363" t="s">
        <v>6962</v>
      </c>
      <c r="C1363" s="1">
        <v>45759</v>
      </c>
    </row>
    <row r="1364" spans="1:3" x14ac:dyDescent="0.25">
      <c r="A1364" t="s">
        <v>3314</v>
      </c>
      <c r="B1364" t="s">
        <v>6962</v>
      </c>
      <c r="C1364" s="1">
        <v>45762</v>
      </c>
    </row>
    <row r="1365" spans="1:3" x14ac:dyDescent="0.25">
      <c r="A1365" t="s">
        <v>3314</v>
      </c>
      <c r="B1365" t="s">
        <v>6963</v>
      </c>
      <c r="C1365" s="1"/>
    </row>
    <row r="1366" spans="1:3" x14ac:dyDescent="0.25">
      <c r="A1366" t="s">
        <v>3314</v>
      </c>
      <c r="B1366" t="s">
        <v>6962</v>
      </c>
      <c r="C1366" s="1">
        <v>45762</v>
      </c>
    </row>
    <row r="1367" spans="1:3" x14ac:dyDescent="0.25">
      <c r="A1367" t="s">
        <v>3314</v>
      </c>
      <c r="B1367" t="s">
        <v>6963</v>
      </c>
      <c r="C1367" s="1"/>
    </row>
    <row r="1368" spans="1:3" x14ac:dyDescent="0.25">
      <c r="A1368" t="s">
        <v>3314</v>
      </c>
      <c r="B1368" t="s">
        <v>6963</v>
      </c>
      <c r="C1368" s="1"/>
    </row>
    <row r="1369" spans="1:3" x14ac:dyDescent="0.25">
      <c r="A1369" t="s">
        <v>3314</v>
      </c>
      <c r="B1369" t="s">
        <v>6963</v>
      </c>
      <c r="C1369" s="1"/>
    </row>
    <row r="1370" spans="1:3" x14ac:dyDescent="0.25">
      <c r="A1370" t="s">
        <v>3320</v>
      </c>
      <c r="B1370" t="s">
        <v>6962</v>
      </c>
      <c r="C1370" s="1">
        <v>45761</v>
      </c>
    </row>
    <row r="1371" spans="1:3" x14ac:dyDescent="0.25">
      <c r="A1371" t="s">
        <v>3319</v>
      </c>
      <c r="B1371" t="s">
        <v>6963</v>
      </c>
      <c r="C1371" s="1"/>
    </row>
    <row r="1372" spans="1:3" x14ac:dyDescent="0.25">
      <c r="A1372" t="s">
        <v>3318</v>
      </c>
      <c r="B1372" t="s">
        <v>6962</v>
      </c>
      <c r="C1372" s="1">
        <v>45786</v>
      </c>
    </row>
    <row r="1373" spans="1:3" x14ac:dyDescent="0.25">
      <c r="A1373" t="s">
        <v>3317</v>
      </c>
      <c r="B1373" t="s">
        <v>6962</v>
      </c>
      <c r="C1373" s="1">
        <v>45764</v>
      </c>
    </row>
    <row r="1374" spans="1:3" x14ac:dyDescent="0.25">
      <c r="A1374" t="s">
        <v>3083</v>
      </c>
      <c r="B1374" t="s">
        <v>6962</v>
      </c>
      <c r="C1374" s="1">
        <v>45768</v>
      </c>
    </row>
    <row r="1375" spans="1:3" x14ac:dyDescent="0.25">
      <c r="A1375" t="s">
        <v>3316</v>
      </c>
      <c r="B1375" t="s">
        <v>6962</v>
      </c>
      <c r="C1375" s="1">
        <v>45762</v>
      </c>
    </row>
    <row r="1376" spans="1:3" x14ac:dyDescent="0.25">
      <c r="A1376" t="s">
        <v>3315</v>
      </c>
      <c r="B1376" t="s">
        <v>6962</v>
      </c>
      <c r="C1376" s="1">
        <v>45770</v>
      </c>
    </row>
    <row r="1377" spans="1:3" x14ac:dyDescent="0.25">
      <c r="A1377" t="s">
        <v>3312</v>
      </c>
      <c r="B1377" t="s">
        <v>6962</v>
      </c>
      <c r="C1377" s="1">
        <v>45761</v>
      </c>
    </row>
    <row r="1378" spans="1:3" x14ac:dyDescent="0.25">
      <c r="A1378" t="s">
        <v>3311</v>
      </c>
      <c r="B1378" t="s">
        <v>6963</v>
      </c>
      <c r="C1378" s="1"/>
    </row>
    <row r="1379" spans="1:3" x14ac:dyDescent="0.25">
      <c r="A1379" t="s">
        <v>2493</v>
      </c>
      <c r="B1379" t="s">
        <v>6962</v>
      </c>
      <c r="C1379" s="1">
        <v>45786</v>
      </c>
    </row>
    <row r="1380" spans="1:3" x14ac:dyDescent="0.25">
      <c r="A1380" t="s">
        <v>3310</v>
      </c>
      <c r="B1380" t="s">
        <v>6962</v>
      </c>
      <c r="C1380" s="1">
        <v>45775</v>
      </c>
    </row>
    <row r="1381" spans="1:3" x14ac:dyDescent="0.25">
      <c r="A1381" t="s">
        <v>2492</v>
      </c>
      <c r="B1381" t="s">
        <v>6962</v>
      </c>
      <c r="C1381" s="1">
        <v>45822</v>
      </c>
    </row>
    <row r="1382" spans="1:3" x14ac:dyDescent="0.25">
      <c r="A1382" t="s">
        <v>6838</v>
      </c>
      <c r="B1382" t="s">
        <v>39</v>
      </c>
      <c r="C1382" s="1"/>
    </row>
    <row r="1383" spans="1:3" x14ac:dyDescent="0.25">
      <c r="A1383" t="s">
        <v>3308</v>
      </c>
      <c r="B1383" t="s">
        <v>6962</v>
      </c>
      <c r="C1383" s="1">
        <v>45772</v>
      </c>
    </row>
    <row r="1384" spans="1:3" x14ac:dyDescent="0.25">
      <c r="A1384" t="s">
        <v>3307</v>
      </c>
      <c r="B1384" t="s">
        <v>6962</v>
      </c>
      <c r="C1384" s="1">
        <v>45798</v>
      </c>
    </row>
    <row r="1385" spans="1:3" x14ac:dyDescent="0.25">
      <c r="A1385" t="s">
        <v>3306</v>
      </c>
      <c r="B1385" t="s">
        <v>6962</v>
      </c>
      <c r="C1385" s="1">
        <v>45770</v>
      </c>
    </row>
    <row r="1386" spans="1:3" x14ac:dyDescent="0.25">
      <c r="A1386" t="s">
        <v>3305</v>
      </c>
      <c r="B1386" t="s">
        <v>6962</v>
      </c>
      <c r="C1386" s="1">
        <v>45786</v>
      </c>
    </row>
    <row r="1387" spans="1:3" x14ac:dyDescent="0.25">
      <c r="A1387" t="s">
        <v>3304</v>
      </c>
      <c r="B1387" t="s">
        <v>6962</v>
      </c>
      <c r="C1387" s="1">
        <v>45762</v>
      </c>
    </row>
    <row r="1388" spans="1:3" x14ac:dyDescent="0.25">
      <c r="A1388" t="s">
        <v>3303</v>
      </c>
      <c r="B1388" t="s">
        <v>6962</v>
      </c>
      <c r="C1388" s="1">
        <v>45815</v>
      </c>
    </row>
    <row r="1389" spans="1:3" x14ac:dyDescent="0.25">
      <c r="A1389" t="s">
        <v>3302</v>
      </c>
      <c r="B1389" t="s">
        <v>6962</v>
      </c>
      <c r="C1389" s="1">
        <v>45785</v>
      </c>
    </row>
    <row r="1390" spans="1:3" x14ac:dyDescent="0.25">
      <c r="A1390" t="s">
        <v>3301</v>
      </c>
      <c r="B1390" t="s">
        <v>6962</v>
      </c>
      <c r="C1390" s="1">
        <v>45773</v>
      </c>
    </row>
    <row r="1391" spans="1:3" x14ac:dyDescent="0.25">
      <c r="A1391" t="s">
        <v>3300</v>
      </c>
      <c r="B1391" t="s">
        <v>6962</v>
      </c>
      <c r="C1391" s="1">
        <v>45762</v>
      </c>
    </row>
    <row r="1392" spans="1:3" x14ac:dyDescent="0.25">
      <c r="A1392" t="s">
        <v>6839</v>
      </c>
      <c r="B1392" t="s">
        <v>6962</v>
      </c>
      <c r="C1392" s="1">
        <v>45769</v>
      </c>
    </row>
    <row r="1393" spans="1:3" x14ac:dyDescent="0.25">
      <c r="A1393" t="s">
        <v>6839</v>
      </c>
      <c r="B1393" t="s">
        <v>39</v>
      </c>
      <c r="C1393" s="1"/>
    </row>
    <row r="1394" spans="1:3" x14ac:dyDescent="0.25">
      <c r="A1394" t="s">
        <v>3308</v>
      </c>
      <c r="B1394" t="s">
        <v>6963</v>
      </c>
      <c r="C1394" s="1"/>
    </row>
    <row r="1395" spans="1:3" x14ac:dyDescent="0.25">
      <c r="A1395" t="s">
        <v>3308</v>
      </c>
      <c r="B1395" t="s">
        <v>6962</v>
      </c>
      <c r="C1395" s="1">
        <v>45768</v>
      </c>
    </row>
    <row r="1396" spans="1:3" x14ac:dyDescent="0.25">
      <c r="A1396" t="s">
        <v>3308</v>
      </c>
      <c r="B1396" t="s">
        <v>6962</v>
      </c>
      <c r="C1396" s="1">
        <v>45812</v>
      </c>
    </row>
    <row r="1397" spans="1:3" x14ac:dyDescent="0.25">
      <c r="A1397" t="s">
        <v>3308</v>
      </c>
      <c r="B1397" t="s">
        <v>6962</v>
      </c>
      <c r="C1397" s="1">
        <v>45825</v>
      </c>
    </row>
    <row r="1398" spans="1:3" x14ac:dyDescent="0.25">
      <c r="A1398" t="s">
        <v>3308</v>
      </c>
      <c r="B1398" t="s">
        <v>6962</v>
      </c>
      <c r="C1398" s="1">
        <v>45825</v>
      </c>
    </row>
    <row r="1399" spans="1:3" x14ac:dyDescent="0.25">
      <c r="A1399" t="s">
        <v>3323</v>
      </c>
      <c r="B1399" t="s">
        <v>6962</v>
      </c>
      <c r="C1399" s="1">
        <v>45762</v>
      </c>
    </row>
    <row r="1400" spans="1:3" x14ac:dyDescent="0.25">
      <c r="A1400" t="s">
        <v>3323</v>
      </c>
      <c r="B1400" t="s">
        <v>6962</v>
      </c>
      <c r="C1400" s="1">
        <v>45780</v>
      </c>
    </row>
    <row r="1401" spans="1:3" x14ac:dyDescent="0.25">
      <c r="A1401" t="s">
        <v>3323</v>
      </c>
      <c r="B1401" t="s">
        <v>39</v>
      </c>
      <c r="C1401" s="1"/>
    </row>
    <row r="1402" spans="1:3" x14ac:dyDescent="0.25">
      <c r="A1402" t="s">
        <v>3083</v>
      </c>
      <c r="B1402" t="s">
        <v>6962</v>
      </c>
      <c r="C1402" s="1">
        <v>45768</v>
      </c>
    </row>
    <row r="1403" spans="1:3" x14ac:dyDescent="0.25">
      <c r="A1403" t="s">
        <v>2495</v>
      </c>
      <c r="B1403" t="s">
        <v>6962</v>
      </c>
      <c r="C1403" s="1">
        <v>45786</v>
      </c>
    </row>
    <row r="1404" spans="1:3" x14ac:dyDescent="0.25">
      <c r="A1404" t="s">
        <v>3330</v>
      </c>
      <c r="B1404" t="s">
        <v>6962</v>
      </c>
      <c r="C1404" s="1">
        <v>45761</v>
      </c>
    </row>
    <row r="1405" spans="1:3" x14ac:dyDescent="0.25">
      <c r="A1405" t="s">
        <v>3016</v>
      </c>
      <c r="B1405" t="s">
        <v>6962</v>
      </c>
      <c r="C1405" s="1">
        <v>45769</v>
      </c>
    </row>
    <row r="1406" spans="1:3" x14ac:dyDescent="0.25">
      <c r="A1406" t="s">
        <v>3328</v>
      </c>
      <c r="B1406" t="s">
        <v>6962</v>
      </c>
      <c r="C1406" s="1">
        <v>45770</v>
      </c>
    </row>
    <row r="1407" spans="1:3" x14ac:dyDescent="0.25">
      <c r="A1407" t="s">
        <v>3327</v>
      </c>
      <c r="B1407" t="s">
        <v>6963</v>
      </c>
      <c r="C1407" s="1"/>
    </row>
    <row r="1408" spans="1:3" x14ac:dyDescent="0.25">
      <c r="A1408" t="s">
        <v>3326</v>
      </c>
      <c r="B1408" t="s">
        <v>6962</v>
      </c>
      <c r="C1408" s="1">
        <v>45785</v>
      </c>
    </row>
    <row r="1409" spans="1:3" x14ac:dyDescent="0.25">
      <c r="A1409" t="s">
        <v>3325</v>
      </c>
      <c r="B1409" t="s">
        <v>6962</v>
      </c>
      <c r="C1409" s="1">
        <v>45768</v>
      </c>
    </row>
    <row r="1410" spans="1:3" x14ac:dyDescent="0.25">
      <c r="A1410" t="s">
        <v>3324</v>
      </c>
      <c r="B1410" t="s">
        <v>6962</v>
      </c>
      <c r="C1410" s="1">
        <v>45794</v>
      </c>
    </row>
    <row r="1411" spans="1:3" x14ac:dyDescent="0.25">
      <c r="A1411" t="s">
        <v>2498</v>
      </c>
      <c r="B1411" t="s">
        <v>6962</v>
      </c>
      <c r="C1411" s="1">
        <v>45771</v>
      </c>
    </row>
    <row r="1412" spans="1:3" x14ac:dyDescent="0.25">
      <c r="A1412" t="s">
        <v>3322</v>
      </c>
      <c r="B1412" t="s">
        <v>6962</v>
      </c>
      <c r="C1412" s="1">
        <v>45828</v>
      </c>
    </row>
    <row r="1413" spans="1:3" x14ac:dyDescent="0.25">
      <c r="A1413" t="s">
        <v>3321</v>
      </c>
      <c r="B1413" t="s">
        <v>6962</v>
      </c>
      <c r="C1413" s="1">
        <v>45831</v>
      </c>
    </row>
    <row r="1414" spans="1:3" x14ac:dyDescent="0.25">
      <c r="A1414" t="s">
        <v>2496</v>
      </c>
      <c r="B1414" t="s">
        <v>6962</v>
      </c>
      <c r="C1414" s="1">
        <v>45792</v>
      </c>
    </row>
    <row r="1415" spans="1:3" x14ac:dyDescent="0.25">
      <c r="A1415" t="s">
        <v>3331</v>
      </c>
      <c r="B1415" t="s">
        <v>6962</v>
      </c>
      <c r="C1415" s="1">
        <v>45762</v>
      </c>
    </row>
    <row r="1416" spans="1:3" x14ac:dyDescent="0.25">
      <c r="A1416" t="s">
        <v>3334</v>
      </c>
      <c r="B1416" t="s">
        <v>6962</v>
      </c>
      <c r="C1416" s="1">
        <v>45770</v>
      </c>
    </row>
    <row r="1417" spans="1:3" x14ac:dyDescent="0.25">
      <c r="A1417" t="s">
        <v>3333</v>
      </c>
      <c r="B1417" t="s">
        <v>6962</v>
      </c>
      <c r="C1417" s="1">
        <v>45789</v>
      </c>
    </row>
    <row r="1418" spans="1:3" x14ac:dyDescent="0.25">
      <c r="A1418" t="s">
        <v>3332</v>
      </c>
      <c r="B1418" t="s">
        <v>6962</v>
      </c>
      <c r="C1418" s="1">
        <v>45769</v>
      </c>
    </row>
    <row r="1419" spans="1:3" x14ac:dyDescent="0.25">
      <c r="A1419" t="s">
        <v>3336</v>
      </c>
      <c r="B1419" t="s">
        <v>6962</v>
      </c>
      <c r="C1419" s="1">
        <v>45766</v>
      </c>
    </row>
    <row r="1420" spans="1:3" x14ac:dyDescent="0.25">
      <c r="A1420" t="s">
        <v>3335</v>
      </c>
      <c r="B1420" t="s">
        <v>6962</v>
      </c>
      <c r="C1420" s="1">
        <v>45775</v>
      </c>
    </row>
    <row r="1421" spans="1:3" x14ac:dyDescent="0.25">
      <c r="A1421" t="s">
        <v>3335</v>
      </c>
      <c r="B1421" t="s">
        <v>6963</v>
      </c>
      <c r="C1421" s="1"/>
    </row>
    <row r="1422" spans="1:3" x14ac:dyDescent="0.25">
      <c r="A1422" t="s">
        <v>3342</v>
      </c>
      <c r="B1422" t="s">
        <v>6962</v>
      </c>
      <c r="C1422" s="1">
        <v>45770</v>
      </c>
    </row>
    <row r="1423" spans="1:3" x14ac:dyDescent="0.25">
      <c r="A1423" t="s">
        <v>3341</v>
      </c>
      <c r="B1423" t="s">
        <v>6962</v>
      </c>
      <c r="C1423" s="1">
        <v>45768</v>
      </c>
    </row>
    <row r="1424" spans="1:3" x14ac:dyDescent="0.25">
      <c r="A1424" t="s">
        <v>3340</v>
      </c>
      <c r="B1424" t="s">
        <v>6962</v>
      </c>
      <c r="C1424" s="1">
        <v>45828</v>
      </c>
    </row>
    <row r="1425" spans="1:3" x14ac:dyDescent="0.25">
      <c r="A1425" t="s">
        <v>3339</v>
      </c>
      <c r="B1425" t="s">
        <v>6962</v>
      </c>
      <c r="C1425" s="1">
        <v>45768</v>
      </c>
    </row>
    <row r="1426" spans="1:3" x14ac:dyDescent="0.25">
      <c r="A1426" t="s">
        <v>3338</v>
      </c>
      <c r="B1426" t="s">
        <v>6962</v>
      </c>
      <c r="C1426" s="1">
        <v>45775</v>
      </c>
    </row>
    <row r="1427" spans="1:3" x14ac:dyDescent="0.25">
      <c r="A1427" t="s">
        <v>3350</v>
      </c>
      <c r="B1427" t="s">
        <v>6962</v>
      </c>
      <c r="C1427" s="1"/>
    </row>
    <row r="1428" spans="1:3" x14ac:dyDescent="0.25">
      <c r="A1428" t="s">
        <v>3349</v>
      </c>
      <c r="B1428" t="s">
        <v>6962</v>
      </c>
      <c r="C1428" s="1">
        <v>45764</v>
      </c>
    </row>
    <row r="1429" spans="1:3" x14ac:dyDescent="0.25">
      <c r="A1429" t="s">
        <v>3344</v>
      </c>
      <c r="B1429" t="s">
        <v>6962</v>
      </c>
      <c r="C1429" s="1">
        <v>45765</v>
      </c>
    </row>
    <row r="1430" spans="1:3" x14ac:dyDescent="0.25">
      <c r="A1430" t="s">
        <v>3353</v>
      </c>
      <c r="B1430" t="s">
        <v>6962</v>
      </c>
      <c r="C1430" s="1">
        <v>45777</v>
      </c>
    </row>
    <row r="1431" spans="1:3" x14ac:dyDescent="0.25">
      <c r="A1431" t="s">
        <v>3348</v>
      </c>
      <c r="B1431" t="s">
        <v>6962</v>
      </c>
      <c r="C1431" s="1">
        <v>45768</v>
      </c>
    </row>
    <row r="1432" spans="1:3" x14ac:dyDescent="0.25">
      <c r="A1432" t="s">
        <v>3347</v>
      </c>
      <c r="B1432" t="s">
        <v>6962</v>
      </c>
      <c r="C1432" s="1">
        <v>45796</v>
      </c>
    </row>
    <row r="1433" spans="1:3" x14ac:dyDescent="0.25">
      <c r="A1433" t="s">
        <v>3346</v>
      </c>
      <c r="B1433" t="s">
        <v>6962</v>
      </c>
      <c r="C1433" s="1">
        <v>45768</v>
      </c>
    </row>
    <row r="1434" spans="1:3" x14ac:dyDescent="0.25">
      <c r="A1434" t="s">
        <v>3345</v>
      </c>
      <c r="B1434" t="s">
        <v>6962</v>
      </c>
      <c r="C1434" s="1">
        <v>45775</v>
      </c>
    </row>
    <row r="1435" spans="1:3" x14ac:dyDescent="0.25">
      <c r="A1435" t="s">
        <v>3343</v>
      </c>
      <c r="B1435" t="s">
        <v>6962</v>
      </c>
      <c r="C1435" s="1">
        <v>45766</v>
      </c>
    </row>
    <row r="1436" spans="1:3" x14ac:dyDescent="0.25">
      <c r="A1436" t="s">
        <v>3365</v>
      </c>
      <c r="B1436" t="s">
        <v>6963</v>
      </c>
      <c r="C1436" s="1"/>
    </row>
    <row r="1437" spans="1:3" x14ac:dyDescent="0.25">
      <c r="A1437" t="s">
        <v>3364</v>
      </c>
      <c r="B1437" t="s">
        <v>6962</v>
      </c>
      <c r="C1437" s="1">
        <v>45790</v>
      </c>
    </row>
    <row r="1438" spans="1:3" x14ac:dyDescent="0.25">
      <c r="A1438" t="s">
        <v>3363</v>
      </c>
      <c r="B1438" t="s">
        <v>6962</v>
      </c>
      <c r="C1438" s="1">
        <v>45764</v>
      </c>
    </row>
    <row r="1439" spans="1:3" x14ac:dyDescent="0.25">
      <c r="A1439" t="s">
        <v>3362</v>
      </c>
      <c r="B1439" t="s">
        <v>6962</v>
      </c>
      <c r="C1439" s="1">
        <v>45771</v>
      </c>
    </row>
    <row r="1440" spans="1:3" x14ac:dyDescent="0.25">
      <c r="A1440" t="s">
        <v>3361</v>
      </c>
      <c r="B1440" t="s">
        <v>6962</v>
      </c>
      <c r="C1440" s="1">
        <v>45768</v>
      </c>
    </row>
    <row r="1441" spans="1:3" x14ac:dyDescent="0.25">
      <c r="A1441" t="s">
        <v>3359</v>
      </c>
      <c r="B1441" t="s">
        <v>6962</v>
      </c>
      <c r="C1441" s="1">
        <v>45778</v>
      </c>
    </row>
    <row r="1442" spans="1:3" x14ac:dyDescent="0.25">
      <c r="A1442" t="s">
        <v>3086</v>
      </c>
      <c r="B1442" t="s">
        <v>6962</v>
      </c>
      <c r="C1442" s="1">
        <v>45768</v>
      </c>
    </row>
    <row r="1443" spans="1:3" x14ac:dyDescent="0.25">
      <c r="A1443" t="s">
        <v>3358</v>
      </c>
      <c r="B1443" t="s">
        <v>6963</v>
      </c>
      <c r="C1443" s="1"/>
    </row>
    <row r="1444" spans="1:3" x14ac:dyDescent="0.25">
      <c r="A1444" t="s">
        <v>3357</v>
      </c>
      <c r="B1444" t="s">
        <v>6962</v>
      </c>
      <c r="C1444" s="1">
        <v>45770</v>
      </c>
    </row>
    <row r="1445" spans="1:3" x14ac:dyDescent="0.25">
      <c r="A1445" t="s">
        <v>3356</v>
      </c>
      <c r="B1445" t="s">
        <v>6962</v>
      </c>
      <c r="C1445" s="1">
        <v>45765</v>
      </c>
    </row>
    <row r="1446" spans="1:3" x14ac:dyDescent="0.25">
      <c r="A1446" t="s">
        <v>3017</v>
      </c>
      <c r="B1446" t="s">
        <v>6962</v>
      </c>
      <c r="C1446" s="1">
        <v>45775</v>
      </c>
    </row>
    <row r="1447" spans="1:3" x14ac:dyDescent="0.25">
      <c r="A1447" t="s">
        <v>3086</v>
      </c>
      <c r="B1447" t="s">
        <v>6962</v>
      </c>
      <c r="C1447" s="1">
        <v>45768</v>
      </c>
    </row>
    <row r="1448" spans="1:3" x14ac:dyDescent="0.25">
      <c r="A1448" t="s">
        <v>3355</v>
      </c>
      <c r="B1448" t="s">
        <v>6963</v>
      </c>
      <c r="C1448" s="1"/>
    </row>
    <row r="1449" spans="1:3" x14ac:dyDescent="0.25">
      <c r="A1449" t="s">
        <v>3354</v>
      </c>
      <c r="B1449" t="s">
        <v>6962</v>
      </c>
      <c r="C1449" s="1">
        <v>45765</v>
      </c>
    </row>
    <row r="1450" spans="1:3" x14ac:dyDescent="0.25">
      <c r="A1450" t="s">
        <v>3368</v>
      </c>
      <c r="B1450" t="s">
        <v>6962</v>
      </c>
      <c r="C1450" s="1">
        <v>45768</v>
      </c>
    </row>
    <row r="1451" spans="1:3" x14ac:dyDescent="0.25">
      <c r="A1451" t="s">
        <v>3367</v>
      </c>
      <c r="B1451" t="s">
        <v>6962</v>
      </c>
      <c r="C1451" s="1">
        <v>45770</v>
      </c>
    </row>
    <row r="1452" spans="1:3" x14ac:dyDescent="0.25">
      <c r="A1452" t="s">
        <v>3366</v>
      </c>
      <c r="B1452" t="s">
        <v>6962</v>
      </c>
      <c r="C1452" s="1">
        <v>45787</v>
      </c>
    </row>
    <row r="1453" spans="1:3" x14ac:dyDescent="0.25">
      <c r="A1453" t="s">
        <v>2499</v>
      </c>
      <c r="B1453" t="s">
        <v>6962</v>
      </c>
      <c r="C1453" s="1">
        <v>45773</v>
      </c>
    </row>
    <row r="1454" spans="1:3" x14ac:dyDescent="0.25">
      <c r="A1454" t="s">
        <v>3363</v>
      </c>
      <c r="B1454" t="s">
        <v>6963</v>
      </c>
      <c r="C1454" s="1"/>
    </row>
    <row r="1455" spans="1:3" x14ac:dyDescent="0.25">
      <c r="A1455" t="s">
        <v>3363</v>
      </c>
      <c r="B1455" t="s">
        <v>6962</v>
      </c>
      <c r="C1455" s="1">
        <v>45797</v>
      </c>
    </row>
    <row r="1456" spans="1:3" x14ac:dyDescent="0.25">
      <c r="A1456" t="s">
        <v>6669</v>
      </c>
      <c r="B1456" t="s">
        <v>6962</v>
      </c>
      <c r="C1456" s="1">
        <v>45766</v>
      </c>
    </row>
    <row r="1457" spans="1:3" x14ac:dyDescent="0.25">
      <c r="A1457" t="s">
        <v>2500</v>
      </c>
      <c r="B1457" t="s">
        <v>6962</v>
      </c>
      <c r="C1457" s="1">
        <v>45786</v>
      </c>
    </row>
    <row r="1458" spans="1:3" x14ac:dyDescent="0.25">
      <c r="A1458" t="s">
        <v>3087</v>
      </c>
      <c r="B1458" t="s">
        <v>6962</v>
      </c>
      <c r="C1458" s="1">
        <v>45765</v>
      </c>
    </row>
    <row r="1459" spans="1:3" x14ac:dyDescent="0.25">
      <c r="A1459" t="s">
        <v>3374</v>
      </c>
      <c r="B1459" t="s">
        <v>6963</v>
      </c>
      <c r="C1459" s="1"/>
    </row>
    <row r="1460" spans="1:3" x14ac:dyDescent="0.25">
      <c r="A1460" t="s">
        <v>3373</v>
      </c>
      <c r="B1460" t="s">
        <v>6962</v>
      </c>
      <c r="C1460" s="1">
        <v>45766</v>
      </c>
    </row>
    <row r="1461" spans="1:3" x14ac:dyDescent="0.25">
      <c r="A1461" t="s">
        <v>2501</v>
      </c>
      <c r="B1461" t="s">
        <v>6962</v>
      </c>
      <c r="C1461" s="1">
        <v>45798</v>
      </c>
    </row>
    <row r="1462" spans="1:3" x14ac:dyDescent="0.25">
      <c r="A1462" t="s">
        <v>3372</v>
      </c>
      <c r="B1462" t="s">
        <v>6962</v>
      </c>
      <c r="C1462" s="1">
        <v>45776</v>
      </c>
    </row>
    <row r="1463" spans="1:3" x14ac:dyDescent="0.25">
      <c r="A1463" t="s">
        <v>3371</v>
      </c>
      <c r="B1463" t="s">
        <v>6962</v>
      </c>
      <c r="C1463" s="1">
        <v>45768</v>
      </c>
    </row>
    <row r="1464" spans="1:3" x14ac:dyDescent="0.25">
      <c r="A1464" t="s">
        <v>3370</v>
      </c>
      <c r="B1464" t="s">
        <v>6962</v>
      </c>
      <c r="C1464" s="1">
        <v>45773</v>
      </c>
    </row>
    <row r="1465" spans="1:3" x14ac:dyDescent="0.25">
      <c r="A1465" t="s">
        <v>3369</v>
      </c>
      <c r="B1465" t="s">
        <v>6962</v>
      </c>
      <c r="C1465" s="1">
        <v>45770</v>
      </c>
    </row>
    <row r="1466" spans="1:3" x14ac:dyDescent="0.25">
      <c r="A1466" t="s">
        <v>3087</v>
      </c>
      <c r="B1466" t="s">
        <v>6962</v>
      </c>
      <c r="C1466" s="1">
        <v>45765</v>
      </c>
    </row>
    <row r="1467" spans="1:3" x14ac:dyDescent="0.25">
      <c r="A1467" t="s">
        <v>2503</v>
      </c>
      <c r="B1467" t="s">
        <v>6962</v>
      </c>
      <c r="C1467" s="1">
        <v>45794</v>
      </c>
    </row>
    <row r="1468" spans="1:3" x14ac:dyDescent="0.25">
      <c r="A1468" t="s">
        <v>3376</v>
      </c>
      <c r="B1468" t="s">
        <v>6962</v>
      </c>
      <c r="C1468" s="1">
        <v>45785</v>
      </c>
    </row>
    <row r="1469" spans="1:3" x14ac:dyDescent="0.25">
      <c r="A1469" t="s">
        <v>2502</v>
      </c>
      <c r="B1469" t="s">
        <v>39</v>
      </c>
      <c r="C1469" s="1"/>
    </row>
    <row r="1470" spans="1:3" x14ac:dyDescent="0.25">
      <c r="A1470" t="s">
        <v>3375</v>
      </c>
      <c r="B1470" t="s">
        <v>6963</v>
      </c>
      <c r="C1470" s="1"/>
    </row>
    <row r="1471" spans="1:3" x14ac:dyDescent="0.25">
      <c r="A1471" t="s">
        <v>6840</v>
      </c>
      <c r="B1471" t="s">
        <v>6962</v>
      </c>
      <c r="C1471" s="1">
        <v>45801</v>
      </c>
    </row>
    <row r="1472" spans="1:3" x14ac:dyDescent="0.25">
      <c r="A1472" t="s">
        <v>3329</v>
      </c>
      <c r="B1472" t="s">
        <v>6962</v>
      </c>
      <c r="C1472" s="1">
        <v>45783</v>
      </c>
    </row>
    <row r="1473" spans="1:3" x14ac:dyDescent="0.25">
      <c r="A1473" t="s">
        <v>3375</v>
      </c>
      <c r="B1473" t="s">
        <v>6963</v>
      </c>
      <c r="C1473" s="1"/>
    </row>
    <row r="1474" spans="1:3" x14ac:dyDescent="0.25">
      <c r="A1474" t="s">
        <v>3375</v>
      </c>
      <c r="B1474" t="s">
        <v>6962</v>
      </c>
      <c r="C1474" s="1">
        <v>45770</v>
      </c>
    </row>
    <row r="1475" spans="1:3" x14ac:dyDescent="0.25">
      <c r="A1475" t="s">
        <v>3378</v>
      </c>
      <c r="B1475" t="s">
        <v>6962</v>
      </c>
      <c r="C1475" s="1">
        <v>45772</v>
      </c>
    </row>
    <row r="1476" spans="1:3" x14ac:dyDescent="0.25">
      <c r="A1476" t="s">
        <v>3382</v>
      </c>
      <c r="B1476" t="s">
        <v>6962</v>
      </c>
      <c r="C1476" s="1">
        <v>45768</v>
      </c>
    </row>
    <row r="1477" spans="1:3" x14ac:dyDescent="0.25">
      <c r="A1477" t="s">
        <v>3384</v>
      </c>
      <c r="B1477" t="s">
        <v>6962</v>
      </c>
      <c r="C1477" s="1">
        <v>45790</v>
      </c>
    </row>
    <row r="1478" spans="1:3" x14ac:dyDescent="0.25">
      <c r="A1478" t="s">
        <v>3383</v>
      </c>
      <c r="B1478" t="s">
        <v>6962</v>
      </c>
      <c r="C1478" s="1">
        <v>45770</v>
      </c>
    </row>
    <row r="1479" spans="1:3" x14ac:dyDescent="0.25">
      <c r="A1479" t="s">
        <v>3381</v>
      </c>
      <c r="B1479" t="s">
        <v>6962</v>
      </c>
      <c r="C1479" s="1">
        <v>45770</v>
      </c>
    </row>
    <row r="1480" spans="1:3" x14ac:dyDescent="0.25">
      <c r="A1480" t="s">
        <v>3380</v>
      </c>
      <c r="B1480" t="s">
        <v>6962</v>
      </c>
      <c r="C1480" s="1">
        <v>45868</v>
      </c>
    </row>
    <row r="1481" spans="1:3" x14ac:dyDescent="0.25">
      <c r="A1481" t="s">
        <v>3379</v>
      </c>
      <c r="B1481" t="s">
        <v>6962</v>
      </c>
      <c r="C1481" s="1">
        <v>45775</v>
      </c>
    </row>
    <row r="1482" spans="1:3" x14ac:dyDescent="0.25">
      <c r="A1482" t="s">
        <v>3385</v>
      </c>
      <c r="B1482" t="s">
        <v>6962</v>
      </c>
      <c r="C1482" s="1">
        <v>45770</v>
      </c>
    </row>
    <row r="1483" spans="1:3" x14ac:dyDescent="0.25">
      <c r="A1483" t="s">
        <v>3385</v>
      </c>
      <c r="B1483" t="s">
        <v>6962</v>
      </c>
      <c r="C1483" s="1">
        <v>45775</v>
      </c>
    </row>
    <row r="1484" spans="1:3" x14ac:dyDescent="0.25">
      <c r="A1484" t="s">
        <v>3383</v>
      </c>
      <c r="B1484" t="s">
        <v>6962</v>
      </c>
      <c r="C1484" s="1">
        <v>45790</v>
      </c>
    </row>
    <row r="1485" spans="1:3" x14ac:dyDescent="0.25">
      <c r="A1485" t="s">
        <v>3396</v>
      </c>
      <c r="B1485" t="s">
        <v>6962</v>
      </c>
      <c r="C1485" s="1">
        <v>45769</v>
      </c>
    </row>
    <row r="1486" spans="1:3" x14ac:dyDescent="0.25">
      <c r="A1486" t="s">
        <v>3395</v>
      </c>
      <c r="B1486" t="s">
        <v>6962</v>
      </c>
      <c r="C1486" s="1">
        <v>45791</v>
      </c>
    </row>
    <row r="1487" spans="1:3" x14ac:dyDescent="0.25">
      <c r="A1487" t="s">
        <v>3394</v>
      </c>
      <c r="B1487" t="s">
        <v>6962</v>
      </c>
      <c r="C1487" s="1">
        <v>45769</v>
      </c>
    </row>
    <row r="1488" spans="1:3" x14ac:dyDescent="0.25">
      <c r="A1488" t="s">
        <v>3393</v>
      </c>
      <c r="B1488" t="s">
        <v>6962</v>
      </c>
      <c r="C1488" s="1">
        <v>45797</v>
      </c>
    </row>
    <row r="1489" spans="1:3" x14ac:dyDescent="0.25">
      <c r="A1489" t="s">
        <v>3392</v>
      </c>
      <c r="B1489" t="s">
        <v>6962</v>
      </c>
      <c r="C1489" s="1">
        <v>45770</v>
      </c>
    </row>
    <row r="1490" spans="1:3" x14ac:dyDescent="0.25">
      <c r="A1490" t="s">
        <v>3391</v>
      </c>
      <c r="B1490" t="s">
        <v>6962</v>
      </c>
      <c r="C1490" s="1">
        <v>45771</v>
      </c>
    </row>
    <row r="1491" spans="1:3" x14ac:dyDescent="0.25">
      <c r="A1491" t="s">
        <v>3390</v>
      </c>
      <c r="B1491" t="s">
        <v>39</v>
      </c>
      <c r="C1491" s="1"/>
    </row>
    <row r="1492" spans="1:3" x14ac:dyDescent="0.25">
      <c r="A1492" t="s">
        <v>3389</v>
      </c>
      <c r="B1492" t="s">
        <v>6962</v>
      </c>
      <c r="C1492" s="1">
        <v>45797</v>
      </c>
    </row>
    <row r="1493" spans="1:3" x14ac:dyDescent="0.25">
      <c r="A1493" t="s">
        <v>3388</v>
      </c>
      <c r="B1493" t="s">
        <v>6962</v>
      </c>
      <c r="C1493" s="1">
        <v>45773</v>
      </c>
    </row>
    <row r="1494" spans="1:3" x14ac:dyDescent="0.25">
      <c r="A1494" t="s">
        <v>3387</v>
      </c>
      <c r="B1494" t="s">
        <v>6962</v>
      </c>
      <c r="C1494" s="1">
        <v>45799</v>
      </c>
    </row>
    <row r="1495" spans="1:3" x14ac:dyDescent="0.25">
      <c r="A1495" t="s">
        <v>3386</v>
      </c>
      <c r="B1495" t="s">
        <v>6962</v>
      </c>
      <c r="C1495" s="1">
        <v>45791</v>
      </c>
    </row>
    <row r="1496" spans="1:3" x14ac:dyDescent="0.25">
      <c r="A1496" t="s">
        <v>3397</v>
      </c>
      <c r="B1496" t="s">
        <v>6962</v>
      </c>
      <c r="C1496" s="1">
        <v>45772</v>
      </c>
    </row>
    <row r="1497" spans="1:3" x14ac:dyDescent="0.25">
      <c r="A1497" t="s">
        <v>2504</v>
      </c>
      <c r="B1497" t="s">
        <v>6962</v>
      </c>
      <c r="C1497" s="1">
        <v>45829</v>
      </c>
    </row>
    <row r="1498" spans="1:3" x14ac:dyDescent="0.25">
      <c r="A1498" t="s">
        <v>3400</v>
      </c>
      <c r="B1498" t="s">
        <v>6962</v>
      </c>
      <c r="C1498" s="1">
        <v>45770</v>
      </c>
    </row>
    <row r="1499" spans="1:3" x14ac:dyDescent="0.25">
      <c r="A1499" t="s">
        <v>2505</v>
      </c>
      <c r="B1499" t="s">
        <v>6962</v>
      </c>
      <c r="C1499" s="1">
        <v>45769</v>
      </c>
    </row>
    <row r="1500" spans="1:3" x14ac:dyDescent="0.25">
      <c r="A1500" t="s">
        <v>3399</v>
      </c>
      <c r="B1500" t="s">
        <v>6962</v>
      </c>
      <c r="C1500" s="1">
        <v>45771</v>
      </c>
    </row>
    <row r="1501" spans="1:3" x14ac:dyDescent="0.25">
      <c r="A1501" t="s">
        <v>3398</v>
      </c>
      <c r="B1501" t="s">
        <v>6962</v>
      </c>
      <c r="C1501" s="1">
        <v>45785</v>
      </c>
    </row>
    <row r="1502" spans="1:3" x14ac:dyDescent="0.25">
      <c r="A1502" t="s">
        <v>3401</v>
      </c>
      <c r="B1502" t="s">
        <v>6962</v>
      </c>
      <c r="C1502" s="1">
        <v>45772</v>
      </c>
    </row>
    <row r="1503" spans="1:3" x14ac:dyDescent="0.25">
      <c r="A1503" t="s">
        <v>3402</v>
      </c>
      <c r="B1503" t="s">
        <v>6962</v>
      </c>
      <c r="C1503" s="1">
        <v>45775</v>
      </c>
    </row>
    <row r="1504" spans="1:3" x14ac:dyDescent="0.25">
      <c r="A1504" t="s">
        <v>3403</v>
      </c>
      <c r="B1504" t="s">
        <v>6962</v>
      </c>
      <c r="C1504" s="1">
        <v>45772</v>
      </c>
    </row>
    <row r="1505" spans="1:3" x14ac:dyDescent="0.25">
      <c r="A1505" t="s">
        <v>3403</v>
      </c>
      <c r="B1505" t="s">
        <v>6962</v>
      </c>
      <c r="C1505" s="1">
        <v>45772</v>
      </c>
    </row>
    <row r="1506" spans="1:3" x14ac:dyDescent="0.25">
      <c r="A1506" t="s">
        <v>3403</v>
      </c>
      <c r="B1506" t="s">
        <v>6962</v>
      </c>
      <c r="C1506" s="1">
        <v>45776</v>
      </c>
    </row>
    <row r="1507" spans="1:3" x14ac:dyDescent="0.25">
      <c r="A1507" t="s">
        <v>3403</v>
      </c>
      <c r="B1507" t="s">
        <v>6962</v>
      </c>
      <c r="C1507" s="1">
        <v>45798</v>
      </c>
    </row>
    <row r="1508" spans="1:3" x14ac:dyDescent="0.25">
      <c r="A1508" t="s">
        <v>3403</v>
      </c>
      <c r="B1508" t="s">
        <v>6962</v>
      </c>
      <c r="C1508" s="1">
        <v>45813</v>
      </c>
    </row>
    <row r="1509" spans="1:3" x14ac:dyDescent="0.25">
      <c r="A1509" t="s">
        <v>2506</v>
      </c>
      <c r="B1509" t="s">
        <v>6962</v>
      </c>
      <c r="C1509" s="1">
        <v>45807</v>
      </c>
    </row>
    <row r="1510" spans="1:3" x14ac:dyDescent="0.25">
      <c r="A1510" t="s">
        <v>3405</v>
      </c>
      <c r="B1510" t="s">
        <v>6962</v>
      </c>
      <c r="C1510" s="1">
        <v>45789</v>
      </c>
    </row>
    <row r="1511" spans="1:3" x14ac:dyDescent="0.25">
      <c r="A1511" t="s">
        <v>3408</v>
      </c>
      <c r="B1511" t="s">
        <v>6962</v>
      </c>
      <c r="C1511" s="1">
        <v>45798</v>
      </c>
    </row>
    <row r="1512" spans="1:3" x14ac:dyDescent="0.25">
      <c r="A1512" t="s">
        <v>5145</v>
      </c>
      <c r="B1512" t="s">
        <v>6963</v>
      </c>
      <c r="C1512" s="1"/>
    </row>
    <row r="1513" spans="1:3" x14ac:dyDescent="0.25">
      <c r="A1513" t="s">
        <v>3407</v>
      </c>
      <c r="B1513" t="s">
        <v>6962</v>
      </c>
      <c r="C1513" s="1">
        <v>45789</v>
      </c>
    </row>
    <row r="1514" spans="1:3" x14ac:dyDescent="0.25">
      <c r="A1514" t="s">
        <v>3406</v>
      </c>
      <c r="B1514" t="s">
        <v>6962</v>
      </c>
      <c r="C1514" s="1">
        <v>45772</v>
      </c>
    </row>
    <row r="1515" spans="1:3" x14ac:dyDescent="0.25">
      <c r="A1515" t="s">
        <v>3328</v>
      </c>
      <c r="B1515" t="s">
        <v>6964</v>
      </c>
      <c r="C1515" s="1">
        <v>45832</v>
      </c>
    </row>
    <row r="1516" spans="1:3" x14ac:dyDescent="0.25">
      <c r="A1516" t="s">
        <v>3088</v>
      </c>
      <c r="B1516" t="s">
        <v>6962</v>
      </c>
      <c r="C1516" s="1">
        <v>45769</v>
      </c>
    </row>
    <row r="1517" spans="1:3" x14ac:dyDescent="0.25">
      <c r="A1517" t="s">
        <v>3409</v>
      </c>
      <c r="B1517" t="s">
        <v>39</v>
      </c>
      <c r="C1517" s="1"/>
    </row>
    <row r="1518" spans="1:3" x14ac:dyDescent="0.25">
      <c r="A1518" t="s">
        <v>3018</v>
      </c>
      <c r="B1518" t="s">
        <v>6962</v>
      </c>
      <c r="C1518" s="1">
        <v>45777</v>
      </c>
    </row>
    <row r="1519" spans="1:3" x14ac:dyDescent="0.25">
      <c r="A1519" t="s">
        <v>3410</v>
      </c>
      <c r="B1519" t="s">
        <v>6964</v>
      </c>
      <c r="C1519" s="1">
        <v>45785</v>
      </c>
    </row>
    <row r="1520" spans="1:3" x14ac:dyDescent="0.25">
      <c r="A1520" t="s">
        <v>3413</v>
      </c>
      <c r="B1520" t="s">
        <v>6962</v>
      </c>
      <c r="C1520" s="1">
        <v>45787</v>
      </c>
    </row>
    <row r="1521" spans="1:3" x14ac:dyDescent="0.25">
      <c r="A1521" t="s">
        <v>3412</v>
      </c>
      <c r="B1521" t="s">
        <v>6963</v>
      </c>
      <c r="C1521" s="1"/>
    </row>
    <row r="1522" spans="1:3" x14ac:dyDescent="0.25">
      <c r="A1522" t="s">
        <v>3411</v>
      </c>
      <c r="B1522" t="s">
        <v>6962</v>
      </c>
      <c r="C1522" s="1">
        <v>45785</v>
      </c>
    </row>
    <row r="1523" spans="1:3" x14ac:dyDescent="0.25">
      <c r="A1523" t="s">
        <v>6784</v>
      </c>
      <c r="B1523" t="s">
        <v>6962</v>
      </c>
      <c r="C1523" s="1">
        <v>45800</v>
      </c>
    </row>
    <row r="1524" spans="1:3" x14ac:dyDescent="0.25">
      <c r="A1524" t="s">
        <v>3416</v>
      </c>
      <c r="B1524" t="s">
        <v>6962</v>
      </c>
      <c r="C1524" s="1">
        <v>45773</v>
      </c>
    </row>
    <row r="1525" spans="1:3" x14ac:dyDescent="0.25">
      <c r="A1525" t="s">
        <v>3415</v>
      </c>
      <c r="B1525" t="s">
        <v>6962</v>
      </c>
      <c r="C1525" s="1">
        <v>45772</v>
      </c>
    </row>
    <row r="1526" spans="1:3" x14ac:dyDescent="0.25">
      <c r="A1526" t="s">
        <v>3418</v>
      </c>
      <c r="B1526" t="s">
        <v>6962</v>
      </c>
      <c r="C1526" s="1">
        <v>45776</v>
      </c>
    </row>
    <row r="1527" spans="1:3" x14ac:dyDescent="0.25">
      <c r="A1527" t="s">
        <v>2509</v>
      </c>
      <c r="B1527" t="s">
        <v>6962</v>
      </c>
      <c r="C1527" s="1">
        <v>45799</v>
      </c>
    </row>
    <row r="1528" spans="1:3" x14ac:dyDescent="0.25">
      <c r="A1528" t="s">
        <v>2508</v>
      </c>
      <c r="B1528" t="s">
        <v>6962</v>
      </c>
      <c r="C1528" s="1">
        <v>45819</v>
      </c>
    </row>
    <row r="1529" spans="1:3" x14ac:dyDescent="0.25">
      <c r="A1529" t="s">
        <v>2507</v>
      </c>
      <c r="B1529" t="s">
        <v>6962</v>
      </c>
      <c r="C1529" s="1">
        <v>45798</v>
      </c>
    </row>
    <row r="1530" spans="1:3" x14ac:dyDescent="0.25">
      <c r="A1530" t="s">
        <v>3423</v>
      </c>
      <c r="B1530" t="s">
        <v>6962</v>
      </c>
      <c r="C1530" s="1">
        <v>45775</v>
      </c>
    </row>
    <row r="1531" spans="1:3" x14ac:dyDescent="0.25">
      <c r="A1531" t="s">
        <v>3423</v>
      </c>
      <c r="B1531" t="s">
        <v>6962</v>
      </c>
      <c r="C1531" s="1">
        <v>45775</v>
      </c>
    </row>
    <row r="1532" spans="1:3" x14ac:dyDescent="0.25">
      <c r="A1532" t="s">
        <v>3090</v>
      </c>
      <c r="B1532" t="s">
        <v>6962</v>
      </c>
      <c r="C1532" s="1">
        <v>45785</v>
      </c>
    </row>
    <row r="1533" spans="1:3" x14ac:dyDescent="0.25">
      <c r="A1533" t="s">
        <v>3424</v>
      </c>
      <c r="B1533" t="s">
        <v>6962</v>
      </c>
      <c r="C1533" s="1">
        <v>45785</v>
      </c>
    </row>
    <row r="1534" spans="1:3" x14ac:dyDescent="0.25">
      <c r="A1534" t="s">
        <v>3422</v>
      </c>
      <c r="B1534" t="s">
        <v>6962</v>
      </c>
      <c r="C1534" s="1">
        <v>45792</v>
      </c>
    </row>
    <row r="1535" spans="1:3" x14ac:dyDescent="0.25">
      <c r="A1535" t="s">
        <v>2513</v>
      </c>
      <c r="B1535" t="s">
        <v>6962</v>
      </c>
      <c r="C1535" s="1">
        <v>45820</v>
      </c>
    </row>
    <row r="1536" spans="1:3" x14ac:dyDescent="0.25">
      <c r="A1536" t="s">
        <v>2512</v>
      </c>
      <c r="B1536" t="s">
        <v>6962</v>
      </c>
      <c r="C1536" s="1">
        <v>45801</v>
      </c>
    </row>
    <row r="1537" spans="1:3" x14ac:dyDescent="0.25">
      <c r="A1537" t="s">
        <v>3421</v>
      </c>
      <c r="B1537" t="s">
        <v>6962</v>
      </c>
      <c r="C1537" s="1">
        <v>45801</v>
      </c>
    </row>
    <row r="1538" spans="1:3" x14ac:dyDescent="0.25">
      <c r="A1538" t="s">
        <v>3420</v>
      </c>
      <c r="B1538" t="s">
        <v>6962</v>
      </c>
      <c r="C1538" s="1">
        <v>45832</v>
      </c>
    </row>
    <row r="1539" spans="1:3" x14ac:dyDescent="0.25">
      <c r="A1539" t="s">
        <v>2511</v>
      </c>
      <c r="B1539" t="s">
        <v>6962</v>
      </c>
      <c r="C1539" s="1">
        <v>45810</v>
      </c>
    </row>
    <row r="1540" spans="1:3" x14ac:dyDescent="0.25">
      <c r="A1540" t="s">
        <v>2510</v>
      </c>
      <c r="B1540" t="s">
        <v>6962</v>
      </c>
      <c r="C1540" s="1">
        <v>45790</v>
      </c>
    </row>
    <row r="1541" spans="1:3" x14ac:dyDescent="0.25">
      <c r="A1541" t="s">
        <v>3425</v>
      </c>
      <c r="B1541" t="s">
        <v>6962</v>
      </c>
      <c r="C1541" s="1">
        <v>45799</v>
      </c>
    </row>
    <row r="1542" spans="1:3" x14ac:dyDescent="0.25">
      <c r="A1542" t="s">
        <v>2517</v>
      </c>
      <c r="B1542" t="s">
        <v>6962</v>
      </c>
      <c r="C1542" s="1">
        <v>45799</v>
      </c>
    </row>
    <row r="1543" spans="1:3" x14ac:dyDescent="0.25">
      <c r="A1543" t="s">
        <v>2516</v>
      </c>
      <c r="B1543" t="s">
        <v>6962</v>
      </c>
      <c r="C1543" s="1">
        <v>45804</v>
      </c>
    </row>
    <row r="1544" spans="1:3" x14ac:dyDescent="0.25">
      <c r="A1544" t="s">
        <v>2515</v>
      </c>
      <c r="B1544" t="s">
        <v>6962</v>
      </c>
      <c r="C1544" s="1">
        <v>45792</v>
      </c>
    </row>
    <row r="1545" spans="1:3" x14ac:dyDescent="0.25">
      <c r="A1545" t="s">
        <v>3428</v>
      </c>
      <c r="B1545" t="s">
        <v>6962</v>
      </c>
      <c r="C1545" s="1">
        <v>45773</v>
      </c>
    </row>
    <row r="1546" spans="1:3" x14ac:dyDescent="0.25">
      <c r="A1546" t="s">
        <v>3430</v>
      </c>
      <c r="B1546" t="s">
        <v>6962</v>
      </c>
      <c r="C1546" s="1">
        <v>45811</v>
      </c>
    </row>
    <row r="1547" spans="1:3" x14ac:dyDescent="0.25">
      <c r="A1547" t="s">
        <v>3429</v>
      </c>
      <c r="B1547" t="s">
        <v>6962</v>
      </c>
      <c r="C1547" s="1">
        <v>45790</v>
      </c>
    </row>
    <row r="1548" spans="1:3" x14ac:dyDescent="0.25">
      <c r="A1548" t="s">
        <v>3427</v>
      </c>
      <c r="B1548" t="s">
        <v>6963</v>
      </c>
      <c r="C1548" s="1"/>
    </row>
    <row r="1549" spans="1:3" x14ac:dyDescent="0.25">
      <c r="A1549" t="s">
        <v>3426</v>
      </c>
      <c r="B1549" t="s">
        <v>6962</v>
      </c>
      <c r="C1549" s="1">
        <v>45779</v>
      </c>
    </row>
    <row r="1550" spans="1:3" x14ac:dyDescent="0.25">
      <c r="A1550" t="s">
        <v>3431</v>
      </c>
      <c r="B1550" t="s">
        <v>6962</v>
      </c>
      <c r="C1550" s="1">
        <v>45776</v>
      </c>
    </row>
    <row r="1551" spans="1:3" x14ac:dyDescent="0.25">
      <c r="A1551" t="s">
        <v>3090</v>
      </c>
      <c r="B1551" t="s">
        <v>6962</v>
      </c>
      <c r="C1551" s="1">
        <v>45785</v>
      </c>
    </row>
    <row r="1552" spans="1:3" x14ac:dyDescent="0.25">
      <c r="A1552" t="s">
        <v>3433</v>
      </c>
      <c r="B1552" t="s">
        <v>6962</v>
      </c>
      <c r="C1552" s="1">
        <v>45777</v>
      </c>
    </row>
    <row r="1553" spans="1:3" x14ac:dyDescent="0.25">
      <c r="A1553" t="s">
        <v>3432</v>
      </c>
      <c r="B1553" t="s">
        <v>6962</v>
      </c>
      <c r="C1553" s="1">
        <v>45824</v>
      </c>
    </row>
    <row r="1554" spans="1:3" x14ac:dyDescent="0.25">
      <c r="A1554" t="s">
        <v>3435</v>
      </c>
      <c r="B1554" t="s">
        <v>6962</v>
      </c>
      <c r="C1554" s="1">
        <v>45780</v>
      </c>
    </row>
    <row r="1555" spans="1:3" x14ac:dyDescent="0.25">
      <c r="A1555" t="s">
        <v>3434</v>
      </c>
      <c r="B1555" t="s">
        <v>6962</v>
      </c>
      <c r="C1555" s="1">
        <v>45776</v>
      </c>
    </row>
    <row r="1556" spans="1:3" x14ac:dyDescent="0.25">
      <c r="A1556" t="s">
        <v>3437</v>
      </c>
      <c r="B1556" t="s">
        <v>6962</v>
      </c>
      <c r="C1556" s="1">
        <v>45787</v>
      </c>
    </row>
    <row r="1557" spans="1:3" x14ac:dyDescent="0.25">
      <c r="A1557" t="s">
        <v>3451</v>
      </c>
      <c r="B1557" t="s">
        <v>6962</v>
      </c>
      <c r="C1557" s="1">
        <v>45778</v>
      </c>
    </row>
    <row r="1558" spans="1:3" x14ac:dyDescent="0.25">
      <c r="A1558" t="s">
        <v>3450</v>
      </c>
      <c r="B1558" t="s">
        <v>6962</v>
      </c>
      <c r="C1558" s="1">
        <v>45778</v>
      </c>
    </row>
    <row r="1559" spans="1:3" x14ac:dyDescent="0.25">
      <c r="A1559" t="s">
        <v>2518</v>
      </c>
      <c r="B1559" t="s">
        <v>39</v>
      </c>
      <c r="C1559" s="1"/>
    </row>
    <row r="1560" spans="1:3" x14ac:dyDescent="0.25">
      <c r="A1560" t="s">
        <v>3414</v>
      </c>
      <c r="B1560" t="s">
        <v>6962</v>
      </c>
      <c r="C1560" s="1">
        <v>45777</v>
      </c>
    </row>
    <row r="1561" spans="1:3" x14ac:dyDescent="0.25">
      <c r="A1561" t="s">
        <v>3449</v>
      </c>
      <c r="B1561" t="s">
        <v>6962</v>
      </c>
      <c r="C1561" s="1">
        <v>45787</v>
      </c>
    </row>
    <row r="1562" spans="1:3" x14ac:dyDescent="0.25">
      <c r="A1562" t="s">
        <v>3448</v>
      </c>
      <c r="B1562" t="s">
        <v>39</v>
      </c>
      <c r="C1562" s="1"/>
    </row>
    <row r="1563" spans="1:3" x14ac:dyDescent="0.25">
      <c r="A1563" t="s">
        <v>3447</v>
      </c>
      <c r="B1563" t="s">
        <v>6962</v>
      </c>
      <c r="C1563" s="1">
        <v>45789</v>
      </c>
    </row>
    <row r="1564" spans="1:3" x14ac:dyDescent="0.25">
      <c r="A1564" t="s">
        <v>3446</v>
      </c>
      <c r="B1564" t="s">
        <v>6962</v>
      </c>
      <c r="C1564" s="1">
        <v>45790</v>
      </c>
    </row>
    <row r="1565" spans="1:3" x14ac:dyDescent="0.25">
      <c r="A1565" t="s">
        <v>3445</v>
      </c>
      <c r="B1565" t="s">
        <v>6962</v>
      </c>
      <c r="C1565" s="1">
        <v>45830</v>
      </c>
    </row>
    <row r="1566" spans="1:3" x14ac:dyDescent="0.25">
      <c r="A1566" t="s">
        <v>3444</v>
      </c>
      <c r="B1566" t="s">
        <v>6962</v>
      </c>
      <c r="C1566" s="1">
        <v>45792</v>
      </c>
    </row>
    <row r="1567" spans="1:3" x14ac:dyDescent="0.25">
      <c r="A1567" t="s">
        <v>3442</v>
      </c>
      <c r="B1567" t="s">
        <v>6963</v>
      </c>
      <c r="C1567" s="1"/>
    </row>
    <row r="1568" spans="1:3" x14ac:dyDescent="0.25">
      <c r="A1568" t="s">
        <v>3441</v>
      </c>
      <c r="B1568" t="s">
        <v>6962</v>
      </c>
      <c r="C1568" s="1">
        <v>45787</v>
      </c>
    </row>
    <row r="1569" spans="1:3" x14ac:dyDescent="0.25">
      <c r="A1569" t="s">
        <v>3440</v>
      </c>
      <c r="B1569" t="s">
        <v>6962</v>
      </c>
      <c r="C1569" s="1">
        <v>45792</v>
      </c>
    </row>
    <row r="1570" spans="1:3" x14ac:dyDescent="0.25">
      <c r="A1570" t="s">
        <v>3439</v>
      </c>
      <c r="B1570" t="s">
        <v>6962</v>
      </c>
      <c r="C1570" s="1">
        <v>45792</v>
      </c>
    </row>
    <row r="1571" spans="1:3" x14ac:dyDescent="0.25">
      <c r="A1571" t="s">
        <v>3438</v>
      </c>
      <c r="B1571" t="s">
        <v>6962</v>
      </c>
      <c r="C1571" s="1">
        <v>45787</v>
      </c>
    </row>
    <row r="1572" spans="1:3" x14ac:dyDescent="0.25">
      <c r="A1572" t="s">
        <v>3436</v>
      </c>
      <c r="B1572" t="s">
        <v>6962</v>
      </c>
      <c r="C1572" s="1">
        <v>45827</v>
      </c>
    </row>
    <row r="1573" spans="1:3" x14ac:dyDescent="0.25">
      <c r="A1573" t="s">
        <v>3435</v>
      </c>
      <c r="B1573" t="s">
        <v>6962</v>
      </c>
      <c r="C1573" s="1">
        <v>45791</v>
      </c>
    </row>
    <row r="1574" spans="1:3" x14ac:dyDescent="0.25">
      <c r="A1574" t="s">
        <v>3454</v>
      </c>
      <c r="B1574" t="s">
        <v>6962</v>
      </c>
      <c r="C1574" s="1">
        <v>45779</v>
      </c>
    </row>
    <row r="1575" spans="1:3" x14ac:dyDescent="0.25">
      <c r="A1575" t="s">
        <v>3453</v>
      </c>
      <c r="B1575" t="s">
        <v>6962</v>
      </c>
      <c r="C1575" s="1">
        <v>45780</v>
      </c>
    </row>
    <row r="1576" spans="1:3" x14ac:dyDescent="0.25">
      <c r="A1576" t="s">
        <v>2521</v>
      </c>
      <c r="B1576" t="s">
        <v>6964</v>
      </c>
      <c r="C1576" s="1">
        <v>45813</v>
      </c>
    </row>
    <row r="1577" spans="1:3" x14ac:dyDescent="0.25">
      <c r="A1577" t="s">
        <v>3452</v>
      </c>
      <c r="B1577" t="s">
        <v>6962</v>
      </c>
      <c r="C1577" s="1">
        <v>45779</v>
      </c>
    </row>
    <row r="1578" spans="1:3" x14ac:dyDescent="0.25">
      <c r="A1578" t="s">
        <v>3455</v>
      </c>
      <c r="B1578" t="s">
        <v>6962</v>
      </c>
      <c r="C1578" s="1">
        <v>45785</v>
      </c>
    </row>
    <row r="1579" spans="1:3" x14ac:dyDescent="0.25">
      <c r="A1579" t="s">
        <v>6711</v>
      </c>
      <c r="B1579" t="s">
        <v>6962</v>
      </c>
      <c r="C1579" s="1">
        <v>45777</v>
      </c>
    </row>
    <row r="1580" spans="1:3" x14ac:dyDescent="0.25">
      <c r="A1580" t="s">
        <v>2524</v>
      </c>
      <c r="B1580" t="s">
        <v>6962</v>
      </c>
      <c r="C1580" s="1">
        <v>45820</v>
      </c>
    </row>
    <row r="1581" spans="1:3" x14ac:dyDescent="0.25">
      <c r="A1581" t="s">
        <v>3463</v>
      </c>
      <c r="B1581" t="s">
        <v>6962</v>
      </c>
      <c r="C1581" s="1">
        <v>45782</v>
      </c>
    </row>
    <row r="1582" spans="1:3" x14ac:dyDescent="0.25">
      <c r="A1582" t="s">
        <v>2523</v>
      </c>
      <c r="B1582" t="s">
        <v>6962</v>
      </c>
      <c r="C1582" s="1">
        <v>45801</v>
      </c>
    </row>
    <row r="1583" spans="1:3" x14ac:dyDescent="0.25">
      <c r="A1583" t="s">
        <v>2522</v>
      </c>
      <c r="B1583" t="s">
        <v>6962</v>
      </c>
      <c r="C1583" s="1">
        <v>45794</v>
      </c>
    </row>
    <row r="1584" spans="1:3" x14ac:dyDescent="0.25">
      <c r="A1584" t="s">
        <v>3462</v>
      </c>
      <c r="B1584" t="s">
        <v>6962</v>
      </c>
      <c r="C1584" s="1">
        <v>45780</v>
      </c>
    </row>
    <row r="1585" spans="1:3" x14ac:dyDescent="0.25">
      <c r="A1585" t="s">
        <v>3461</v>
      </c>
      <c r="B1585" t="s">
        <v>6962</v>
      </c>
      <c r="C1585" s="1">
        <v>45787</v>
      </c>
    </row>
    <row r="1586" spans="1:3" x14ac:dyDescent="0.25">
      <c r="A1586" t="s">
        <v>3460</v>
      </c>
      <c r="B1586" t="s">
        <v>6962</v>
      </c>
      <c r="C1586" s="1">
        <v>45790</v>
      </c>
    </row>
    <row r="1587" spans="1:3" x14ac:dyDescent="0.25">
      <c r="A1587" t="s">
        <v>3459</v>
      </c>
      <c r="B1587" t="s">
        <v>39</v>
      </c>
      <c r="C1587" s="1"/>
    </row>
    <row r="1588" spans="1:3" x14ac:dyDescent="0.25">
      <c r="A1588" t="s">
        <v>3458</v>
      </c>
      <c r="B1588" t="s">
        <v>6962</v>
      </c>
      <c r="C1588" s="1">
        <v>45779</v>
      </c>
    </row>
    <row r="1589" spans="1:3" x14ac:dyDescent="0.25">
      <c r="A1589" t="s">
        <v>3457</v>
      </c>
      <c r="B1589" t="s">
        <v>6962</v>
      </c>
      <c r="C1589" s="1">
        <v>45780</v>
      </c>
    </row>
    <row r="1590" spans="1:3" x14ac:dyDescent="0.25">
      <c r="A1590" t="s">
        <v>3456</v>
      </c>
      <c r="B1590" t="s">
        <v>6962</v>
      </c>
      <c r="C1590" s="1">
        <v>45794</v>
      </c>
    </row>
    <row r="1591" spans="1:3" x14ac:dyDescent="0.25">
      <c r="A1591" t="s">
        <v>3473</v>
      </c>
      <c r="B1591" t="s">
        <v>6962</v>
      </c>
      <c r="C1591" s="1">
        <v>45785</v>
      </c>
    </row>
    <row r="1592" spans="1:3" x14ac:dyDescent="0.25">
      <c r="A1592" t="s">
        <v>3472</v>
      </c>
      <c r="B1592" t="s">
        <v>6962</v>
      </c>
      <c r="C1592" s="1">
        <v>45797</v>
      </c>
    </row>
    <row r="1593" spans="1:3" x14ac:dyDescent="0.25">
      <c r="A1593" t="s">
        <v>3471</v>
      </c>
      <c r="B1593" t="s">
        <v>39</v>
      </c>
      <c r="C1593" s="1"/>
    </row>
    <row r="1594" spans="1:3" x14ac:dyDescent="0.25">
      <c r="A1594" t="s">
        <v>3470</v>
      </c>
      <c r="B1594" t="s">
        <v>39</v>
      </c>
      <c r="C1594" s="1"/>
    </row>
    <row r="1595" spans="1:3" x14ac:dyDescent="0.25">
      <c r="A1595" t="s">
        <v>3468</v>
      </c>
      <c r="B1595" t="s">
        <v>6962</v>
      </c>
      <c r="C1595" s="1">
        <v>45780</v>
      </c>
    </row>
    <row r="1596" spans="1:3" x14ac:dyDescent="0.25">
      <c r="A1596" t="s">
        <v>6841</v>
      </c>
      <c r="B1596" t="s">
        <v>39</v>
      </c>
      <c r="C1596" s="1"/>
    </row>
    <row r="1597" spans="1:3" x14ac:dyDescent="0.25">
      <c r="A1597" t="s">
        <v>3467</v>
      </c>
      <c r="B1597" t="s">
        <v>6962</v>
      </c>
      <c r="C1597" s="1">
        <v>45792</v>
      </c>
    </row>
    <row r="1598" spans="1:3" x14ac:dyDescent="0.25">
      <c r="A1598" t="s">
        <v>3089</v>
      </c>
      <c r="B1598" t="s">
        <v>6962</v>
      </c>
      <c r="C1598" s="1">
        <v>45783</v>
      </c>
    </row>
    <row r="1599" spans="1:3" x14ac:dyDescent="0.25">
      <c r="A1599" t="s">
        <v>3466</v>
      </c>
      <c r="B1599" t="s">
        <v>6962</v>
      </c>
      <c r="C1599" s="1">
        <v>45798</v>
      </c>
    </row>
    <row r="1600" spans="1:3" x14ac:dyDescent="0.25">
      <c r="A1600" t="s">
        <v>3465</v>
      </c>
      <c r="B1600" t="s">
        <v>6963</v>
      </c>
      <c r="C1600" s="1"/>
    </row>
    <row r="1601" spans="1:3" x14ac:dyDescent="0.25">
      <c r="A1601" t="s">
        <v>3464</v>
      </c>
      <c r="B1601" t="s">
        <v>6962</v>
      </c>
      <c r="C1601" s="1">
        <v>45790</v>
      </c>
    </row>
    <row r="1602" spans="1:3" x14ac:dyDescent="0.25">
      <c r="A1602" t="s">
        <v>2525</v>
      </c>
      <c r="B1602" t="s">
        <v>6962</v>
      </c>
      <c r="C1602" s="1">
        <v>45832</v>
      </c>
    </row>
    <row r="1603" spans="1:3" x14ac:dyDescent="0.25">
      <c r="A1603" t="s">
        <v>3089</v>
      </c>
      <c r="B1603" t="s">
        <v>6962</v>
      </c>
      <c r="C1603" s="1">
        <v>45783</v>
      </c>
    </row>
    <row r="1604" spans="1:3" x14ac:dyDescent="0.25">
      <c r="A1604" t="s">
        <v>3474</v>
      </c>
      <c r="B1604" t="s">
        <v>6962</v>
      </c>
      <c r="C1604" s="1">
        <v>45785</v>
      </c>
    </row>
    <row r="1605" spans="1:3" x14ac:dyDescent="0.25">
      <c r="A1605" t="s">
        <v>3480</v>
      </c>
      <c r="B1605" t="s">
        <v>39</v>
      </c>
      <c r="C1605" s="1"/>
    </row>
    <row r="1606" spans="1:3" x14ac:dyDescent="0.25">
      <c r="A1606" t="s">
        <v>3479</v>
      </c>
      <c r="B1606" t="s">
        <v>6962</v>
      </c>
      <c r="C1606" s="1">
        <v>45790</v>
      </c>
    </row>
    <row r="1607" spans="1:3" x14ac:dyDescent="0.25">
      <c r="A1607" t="s">
        <v>3478</v>
      </c>
      <c r="B1607" t="s">
        <v>6962</v>
      </c>
      <c r="C1607" s="1">
        <v>45784</v>
      </c>
    </row>
    <row r="1608" spans="1:3" x14ac:dyDescent="0.25">
      <c r="A1608" t="s">
        <v>3477</v>
      </c>
      <c r="B1608" t="s">
        <v>6962</v>
      </c>
      <c r="C1608" s="1">
        <v>45793</v>
      </c>
    </row>
    <row r="1609" spans="1:3" x14ac:dyDescent="0.25">
      <c r="A1609" t="s">
        <v>3476</v>
      </c>
      <c r="B1609" t="s">
        <v>6963</v>
      </c>
      <c r="C1609" s="1"/>
    </row>
    <row r="1610" spans="1:3" x14ac:dyDescent="0.25">
      <c r="A1610" t="s">
        <v>3475</v>
      </c>
      <c r="B1610" t="s">
        <v>6962</v>
      </c>
      <c r="C1610" s="1">
        <v>45798</v>
      </c>
    </row>
    <row r="1611" spans="1:3" x14ac:dyDescent="0.25">
      <c r="A1611" t="s">
        <v>6282</v>
      </c>
      <c r="B1611" t="s">
        <v>6962</v>
      </c>
      <c r="C1611" s="1">
        <v>45779</v>
      </c>
    </row>
    <row r="1612" spans="1:3" x14ac:dyDescent="0.25">
      <c r="A1612" t="s">
        <v>3495</v>
      </c>
      <c r="B1612" t="s">
        <v>6962</v>
      </c>
      <c r="C1612" s="1">
        <v>45828</v>
      </c>
    </row>
    <row r="1613" spans="1:3" x14ac:dyDescent="0.25">
      <c r="A1613" t="s">
        <v>3494</v>
      </c>
      <c r="B1613" t="s">
        <v>6962</v>
      </c>
      <c r="C1613" s="1">
        <v>45790</v>
      </c>
    </row>
    <row r="1614" spans="1:3" x14ac:dyDescent="0.25">
      <c r="A1614" t="s">
        <v>3493</v>
      </c>
      <c r="B1614" t="s">
        <v>6962</v>
      </c>
      <c r="C1614" s="1">
        <v>45785</v>
      </c>
    </row>
    <row r="1615" spans="1:3" x14ac:dyDescent="0.25">
      <c r="A1615" t="s">
        <v>3492</v>
      </c>
      <c r="B1615" t="s">
        <v>6962</v>
      </c>
      <c r="C1615" s="1">
        <v>45787</v>
      </c>
    </row>
    <row r="1616" spans="1:3" x14ac:dyDescent="0.25">
      <c r="A1616" t="s">
        <v>3491</v>
      </c>
      <c r="B1616" t="s">
        <v>6962</v>
      </c>
      <c r="C1616" s="1">
        <v>45805</v>
      </c>
    </row>
    <row r="1617" spans="1:3" x14ac:dyDescent="0.25">
      <c r="A1617" t="s">
        <v>2530</v>
      </c>
      <c r="B1617" t="s">
        <v>6962</v>
      </c>
      <c r="C1617" s="1">
        <v>45804</v>
      </c>
    </row>
    <row r="1618" spans="1:3" x14ac:dyDescent="0.25">
      <c r="A1618" t="s">
        <v>6842</v>
      </c>
      <c r="B1618" t="s">
        <v>6963</v>
      </c>
      <c r="C1618" s="1"/>
    </row>
    <row r="1619" spans="1:3" x14ac:dyDescent="0.25">
      <c r="A1619" t="s">
        <v>2529</v>
      </c>
      <c r="B1619" t="s">
        <v>6962</v>
      </c>
      <c r="C1619" s="1">
        <v>45792</v>
      </c>
    </row>
    <row r="1620" spans="1:3" x14ac:dyDescent="0.25">
      <c r="A1620" t="s">
        <v>3490</v>
      </c>
      <c r="B1620" t="s">
        <v>6962</v>
      </c>
      <c r="C1620" s="1">
        <v>45782</v>
      </c>
    </row>
    <row r="1621" spans="1:3" x14ac:dyDescent="0.25">
      <c r="A1621" t="s">
        <v>3489</v>
      </c>
      <c r="B1621" t="s">
        <v>6962</v>
      </c>
      <c r="C1621" s="1">
        <v>45790</v>
      </c>
    </row>
    <row r="1622" spans="1:3" x14ac:dyDescent="0.25">
      <c r="A1622" t="s">
        <v>3488</v>
      </c>
      <c r="B1622" t="s">
        <v>6962</v>
      </c>
      <c r="C1622" s="1">
        <v>45790</v>
      </c>
    </row>
    <row r="1623" spans="1:3" x14ac:dyDescent="0.25">
      <c r="A1623" t="s">
        <v>3487</v>
      </c>
      <c r="B1623" t="s">
        <v>6963</v>
      </c>
      <c r="C1623" s="1"/>
    </row>
    <row r="1624" spans="1:3" x14ac:dyDescent="0.25">
      <c r="A1624" t="s">
        <v>3486</v>
      </c>
      <c r="B1624" t="s">
        <v>6962</v>
      </c>
      <c r="C1624" s="1">
        <v>45791</v>
      </c>
    </row>
    <row r="1625" spans="1:3" x14ac:dyDescent="0.25">
      <c r="A1625" t="s">
        <v>3485</v>
      </c>
      <c r="B1625" t="s">
        <v>6962</v>
      </c>
      <c r="C1625" s="1">
        <v>45791</v>
      </c>
    </row>
    <row r="1626" spans="1:3" x14ac:dyDescent="0.25">
      <c r="A1626" t="s">
        <v>3484</v>
      </c>
      <c r="B1626" t="s">
        <v>6962</v>
      </c>
      <c r="C1626" s="1">
        <v>45780</v>
      </c>
    </row>
    <row r="1627" spans="1:3" x14ac:dyDescent="0.25">
      <c r="A1627" t="s">
        <v>3483</v>
      </c>
      <c r="B1627" t="s">
        <v>6962</v>
      </c>
      <c r="C1627" s="1">
        <v>45790</v>
      </c>
    </row>
    <row r="1628" spans="1:3" x14ac:dyDescent="0.25">
      <c r="A1628" t="s">
        <v>3482</v>
      </c>
      <c r="B1628" t="s">
        <v>6962</v>
      </c>
      <c r="C1628" s="1">
        <v>45791</v>
      </c>
    </row>
    <row r="1629" spans="1:3" x14ac:dyDescent="0.25">
      <c r="A1629" t="s">
        <v>3481</v>
      </c>
      <c r="B1629" t="s">
        <v>6962</v>
      </c>
      <c r="C1629" s="1">
        <v>45782</v>
      </c>
    </row>
    <row r="1630" spans="1:3" x14ac:dyDescent="0.25">
      <c r="A1630" t="s">
        <v>3484</v>
      </c>
      <c r="B1630" t="s">
        <v>6962</v>
      </c>
      <c r="C1630" s="1">
        <v>45793</v>
      </c>
    </row>
    <row r="1631" spans="1:3" x14ac:dyDescent="0.25">
      <c r="A1631" t="s">
        <v>3483</v>
      </c>
      <c r="B1631" t="s">
        <v>6962</v>
      </c>
      <c r="C1631" s="1">
        <v>45785</v>
      </c>
    </row>
    <row r="1632" spans="1:3" x14ac:dyDescent="0.25">
      <c r="A1632" t="s">
        <v>3501</v>
      </c>
      <c r="B1632" t="s">
        <v>6962</v>
      </c>
      <c r="C1632" s="1">
        <v>45790</v>
      </c>
    </row>
    <row r="1633" spans="1:3" x14ac:dyDescent="0.25">
      <c r="A1633" t="s">
        <v>3497</v>
      </c>
      <c r="B1633" t="s">
        <v>6962</v>
      </c>
      <c r="C1633" s="1">
        <v>45827</v>
      </c>
    </row>
    <row r="1634" spans="1:3" x14ac:dyDescent="0.25">
      <c r="A1634" t="s">
        <v>3499</v>
      </c>
      <c r="B1634" t="s">
        <v>6962</v>
      </c>
      <c r="C1634" s="1">
        <v>45790</v>
      </c>
    </row>
    <row r="1635" spans="1:3" x14ac:dyDescent="0.25">
      <c r="A1635" t="s">
        <v>3498</v>
      </c>
      <c r="B1635" t="s">
        <v>6962</v>
      </c>
      <c r="C1635" s="1">
        <v>45793</v>
      </c>
    </row>
    <row r="1636" spans="1:3" x14ac:dyDescent="0.25">
      <c r="A1636" t="s">
        <v>3500</v>
      </c>
      <c r="B1636" t="s">
        <v>6962</v>
      </c>
      <c r="C1636" s="1">
        <v>45793</v>
      </c>
    </row>
    <row r="1637" spans="1:3" x14ac:dyDescent="0.25">
      <c r="A1637" t="s">
        <v>3496</v>
      </c>
      <c r="B1637" t="s">
        <v>6962</v>
      </c>
      <c r="C1637" s="1">
        <v>45832</v>
      </c>
    </row>
    <row r="1638" spans="1:3" x14ac:dyDescent="0.25">
      <c r="A1638" t="s">
        <v>3496</v>
      </c>
      <c r="B1638" t="s">
        <v>6962</v>
      </c>
      <c r="C1638" s="1">
        <v>45832</v>
      </c>
    </row>
    <row r="1639" spans="1:3" x14ac:dyDescent="0.25">
      <c r="A1639" t="s">
        <v>3496</v>
      </c>
      <c r="B1639" t="s">
        <v>6962</v>
      </c>
      <c r="C1639" s="1">
        <v>45834</v>
      </c>
    </row>
    <row r="1640" spans="1:3" x14ac:dyDescent="0.25">
      <c r="A1640" t="s">
        <v>3507</v>
      </c>
      <c r="B1640" t="s">
        <v>6962</v>
      </c>
      <c r="C1640" s="1">
        <v>45782</v>
      </c>
    </row>
    <row r="1641" spans="1:3" x14ac:dyDescent="0.25">
      <c r="A1641" t="s">
        <v>3506</v>
      </c>
      <c r="B1641" t="s">
        <v>6962</v>
      </c>
      <c r="C1641" s="1">
        <v>45787</v>
      </c>
    </row>
    <row r="1642" spans="1:3" x14ac:dyDescent="0.25">
      <c r="A1642" t="s">
        <v>3505</v>
      </c>
      <c r="B1642" t="s">
        <v>6962</v>
      </c>
      <c r="C1642" s="1">
        <v>45801</v>
      </c>
    </row>
    <row r="1643" spans="1:3" x14ac:dyDescent="0.25">
      <c r="A1643" t="s">
        <v>3504</v>
      </c>
      <c r="B1643" t="s">
        <v>6962</v>
      </c>
      <c r="C1643" s="1">
        <v>45789</v>
      </c>
    </row>
    <row r="1644" spans="1:3" x14ac:dyDescent="0.25">
      <c r="A1644" t="s">
        <v>3503</v>
      </c>
      <c r="B1644" t="s">
        <v>6962</v>
      </c>
      <c r="C1644" s="1">
        <v>45820</v>
      </c>
    </row>
    <row r="1645" spans="1:3" x14ac:dyDescent="0.25">
      <c r="A1645" t="s">
        <v>3502</v>
      </c>
      <c r="B1645" t="s">
        <v>6964</v>
      </c>
      <c r="C1645" s="1">
        <v>45835</v>
      </c>
    </row>
    <row r="1646" spans="1:3" x14ac:dyDescent="0.25">
      <c r="A1646" t="s">
        <v>3511</v>
      </c>
      <c r="B1646" t="s">
        <v>6962</v>
      </c>
      <c r="C1646" s="1">
        <v>45790</v>
      </c>
    </row>
    <row r="1647" spans="1:3" x14ac:dyDescent="0.25">
      <c r="A1647" t="s">
        <v>3510</v>
      </c>
      <c r="B1647" t="s">
        <v>6962</v>
      </c>
      <c r="C1647" s="1">
        <v>45798</v>
      </c>
    </row>
    <row r="1648" spans="1:3" x14ac:dyDescent="0.25">
      <c r="A1648" t="s">
        <v>3509</v>
      </c>
      <c r="B1648" t="s">
        <v>6962</v>
      </c>
      <c r="C1648" s="1">
        <v>45785</v>
      </c>
    </row>
    <row r="1649" spans="1:3" x14ac:dyDescent="0.25">
      <c r="A1649" t="s">
        <v>3508</v>
      </c>
      <c r="B1649" t="s">
        <v>6962</v>
      </c>
      <c r="C1649" s="1">
        <v>45787</v>
      </c>
    </row>
    <row r="1650" spans="1:3" x14ac:dyDescent="0.25">
      <c r="A1650" t="s">
        <v>3512</v>
      </c>
      <c r="B1650" t="s">
        <v>6962</v>
      </c>
      <c r="C1650" s="1">
        <v>45790</v>
      </c>
    </row>
    <row r="1651" spans="1:3" x14ac:dyDescent="0.25">
      <c r="A1651" t="s">
        <v>3514</v>
      </c>
      <c r="B1651" t="s">
        <v>6962</v>
      </c>
      <c r="C1651" s="1">
        <v>45793</v>
      </c>
    </row>
    <row r="1652" spans="1:3" x14ac:dyDescent="0.25">
      <c r="A1652" t="s">
        <v>3513</v>
      </c>
      <c r="B1652" t="s">
        <v>6962</v>
      </c>
      <c r="C1652" s="1">
        <v>45787</v>
      </c>
    </row>
    <row r="1653" spans="1:3" x14ac:dyDescent="0.25">
      <c r="A1653" t="s">
        <v>3520</v>
      </c>
      <c r="B1653" t="s">
        <v>6962</v>
      </c>
      <c r="C1653" s="1">
        <v>45824</v>
      </c>
    </row>
    <row r="1654" spans="1:3" x14ac:dyDescent="0.25">
      <c r="A1654" t="s">
        <v>3519</v>
      </c>
      <c r="B1654" t="s">
        <v>6962</v>
      </c>
      <c r="C1654" s="1">
        <v>45789</v>
      </c>
    </row>
    <row r="1655" spans="1:3" x14ac:dyDescent="0.25">
      <c r="A1655" t="s">
        <v>3518</v>
      </c>
      <c r="B1655" t="s">
        <v>6962</v>
      </c>
      <c r="C1655" s="1">
        <v>45787</v>
      </c>
    </row>
    <row r="1656" spans="1:3" x14ac:dyDescent="0.25">
      <c r="A1656" t="s">
        <v>3517</v>
      </c>
      <c r="B1656" t="s">
        <v>6962</v>
      </c>
      <c r="C1656" s="1">
        <v>45790</v>
      </c>
    </row>
    <row r="1657" spans="1:3" x14ac:dyDescent="0.25">
      <c r="A1657" t="s">
        <v>3516</v>
      </c>
      <c r="B1657" t="s">
        <v>6962</v>
      </c>
      <c r="C1657" s="1">
        <v>45835</v>
      </c>
    </row>
    <row r="1658" spans="1:3" x14ac:dyDescent="0.25">
      <c r="A1658" t="s">
        <v>3515</v>
      </c>
      <c r="B1658" t="s">
        <v>6962</v>
      </c>
      <c r="C1658" s="1">
        <v>45791</v>
      </c>
    </row>
    <row r="1659" spans="1:3" x14ac:dyDescent="0.25">
      <c r="A1659" t="s">
        <v>6843</v>
      </c>
      <c r="B1659" t="s">
        <v>6962</v>
      </c>
      <c r="C1659" s="1">
        <v>45783</v>
      </c>
    </row>
    <row r="1660" spans="1:3" x14ac:dyDescent="0.25">
      <c r="A1660" t="s">
        <v>3521</v>
      </c>
      <c r="B1660" t="s">
        <v>6962</v>
      </c>
      <c r="C1660" s="1">
        <v>45798</v>
      </c>
    </row>
    <row r="1661" spans="1:3" x14ac:dyDescent="0.25">
      <c r="A1661" t="s">
        <v>3524</v>
      </c>
      <c r="B1661" t="s">
        <v>6962</v>
      </c>
      <c r="C1661" s="1">
        <v>45787</v>
      </c>
    </row>
    <row r="1662" spans="1:3" x14ac:dyDescent="0.25">
      <c r="A1662" t="s">
        <v>3523</v>
      </c>
      <c r="B1662" t="s">
        <v>6962</v>
      </c>
      <c r="C1662" s="1">
        <v>45786</v>
      </c>
    </row>
    <row r="1663" spans="1:3" x14ac:dyDescent="0.25">
      <c r="A1663" t="s">
        <v>3522</v>
      </c>
      <c r="B1663" t="s">
        <v>6962</v>
      </c>
      <c r="C1663" s="1">
        <v>45792</v>
      </c>
    </row>
    <row r="1664" spans="1:3" x14ac:dyDescent="0.25">
      <c r="A1664" t="s">
        <v>3313</v>
      </c>
      <c r="B1664" t="s">
        <v>6962</v>
      </c>
      <c r="C1664" s="1">
        <v>45783</v>
      </c>
    </row>
    <row r="1665" spans="1:3" x14ac:dyDescent="0.25">
      <c r="A1665" t="s">
        <v>2532</v>
      </c>
      <c r="B1665" t="s">
        <v>6962</v>
      </c>
      <c r="C1665" s="1">
        <v>45811</v>
      </c>
    </row>
    <row r="1666" spans="1:3" x14ac:dyDescent="0.25">
      <c r="A1666" t="s">
        <v>2531</v>
      </c>
      <c r="B1666" t="s">
        <v>6962</v>
      </c>
      <c r="C1666" s="1">
        <v>45807</v>
      </c>
    </row>
    <row r="1667" spans="1:3" x14ac:dyDescent="0.25">
      <c r="A1667" t="s">
        <v>3530</v>
      </c>
      <c r="B1667" t="s">
        <v>6962</v>
      </c>
      <c r="C1667" s="1">
        <v>45790</v>
      </c>
    </row>
    <row r="1668" spans="1:3" x14ac:dyDescent="0.25">
      <c r="A1668" t="s">
        <v>3529</v>
      </c>
      <c r="B1668" t="s">
        <v>6962</v>
      </c>
      <c r="C1668" s="1">
        <v>45786</v>
      </c>
    </row>
    <row r="1669" spans="1:3" x14ac:dyDescent="0.25">
      <c r="A1669" t="s">
        <v>3528</v>
      </c>
      <c r="B1669" t="s">
        <v>6962</v>
      </c>
      <c r="C1669" s="1">
        <v>45786</v>
      </c>
    </row>
    <row r="1670" spans="1:3" x14ac:dyDescent="0.25">
      <c r="A1670" t="s">
        <v>3527</v>
      </c>
      <c r="B1670" t="s">
        <v>6962</v>
      </c>
      <c r="C1670" s="1">
        <v>45791</v>
      </c>
    </row>
    <row r="1671" spans="1:3" x14ac:dyDescent="0.25">
      <c r="A1671" t="s">
        <v>3526</v>
      </c>
      <c r="B1671" t="s">
        <v>6962</v>
      </c>
      <c r="C1671" s="1">
        <v>45793</v>
      </c>
    </row>
    <row r="1672" spans="1:3" x14ac:dyDescent="0.25">
      <c r="A1672" t="s">
        <v>3532</v>
      </c>
      <c r="B1672" t="s">
        <v>6962</v>
      </c>
      <c r="C1672" s="1">
        <v>45793</v>
      </c>
    </row>
    <row r="1673" spans="1:3" x14ac:dyDescent="0.25">
      <c r="A1673" t="s">
        <v>3525</v>
      </c>
      <c r="B1673" t="s">
        <v>6962</v>
      </c>
      <c r="C1673" s="1">
        <v>45827</v>
      </c>
    </row>
    <row r="1674" spans="1:3" x14ac:dyDescent="0.25">
      <c r="A1674" t="s">
        <v>3531</v>
      </c>
      <c r="B1674" t="s">
        <v>6962</v>
      </c>
      <c r="C1674" s="1">
        <v>45789</v>
      </c>
    </row>
    <row r="1675" spans="1:3" x14ac:dyDescent="0.25">
      <c r="A1675" t="s">
        <v>3538</v>
      </c>
      <c r="B1675" t="s">
        <v>6963</v>
      </c>
      <c r="C1675" s="1"/>
    </row>
    <row r="1676" spans="1:3" x14ac:dyDescent="0.25">
      <c r="A1676" t="s">
        <v>3537</v>
      </c>
      <c r="B1676" t="s">
        <v>6962</v>
      </c>
      <c r="C1676" s="1">
        <v>45798</v>
      </c>
    </row>
    <row r="1677" spans="1:3" x14ac:dyDescent="0.25">
      <c r="A1677" t="s">
        <v>3536</v>
      </c>
      <c r="B1677" t="s">
        <v>6963</v>
      </c>
      <c r="C1677" s="1"/>
    </row>
    <row r="1678" spans="1:3" x14ac:dyDescent="0.25">
      <c r="A1678" t="s">
        <v>3535</v>
      </c>
      <c r="B1678" t="s">
        <v>6962</v>
      </c>
      <c r="C1678" s="1">
        <v>45787</v>
      </c>
    </row>
    <row r="1679" spans="1:3" x14ac:dyDescent="0.25">
      <c r="A1679" t="s">
        <v>3534</v>
      </c>
      <c r="B1679" t="s">
        <v>6962</v>
      </c>
      <c r="C1679" s="1">
        <v>45789</v>
      </c>
    </row>
    <row r="1680" spans="1:3" x14ac:dyDescent="0.25">
      <c r="A1680" t="s">
        <v>3533</v>
      </c>
      <c r="B1680" t="s">
        <v>6962</v>
      </c>
      <c r="C1680" s="1">
        <v>45804</v>
      </c>
    </row>
    <row r="1681" spans="1:3" x14ac:dyDescent="0.25">
      <c r="A1681" t="s">
        <v>3547</v>
      </c>
      <c r="B1681" t="s">
        <v>6962</v>
      </c>
      <c r="C1681" s="1">
        <v>45798</v>
      </c>
    </row>
    <row r="1682" spans="1:3" x14ac:dyDescent="0.25">
      <c r="A1682" t="s">
        <v>3546</v>
      </c>
      <c r="B1682" t="s">
        <v>6962</v>
      </c>
      <c r="C1682" s="1">
        <v>45789</v>
      </c>
    </row>
    <row r="1683" spans="1:3" x14ac:dyDescent="0.25">
      <c r="A1683" t="s">
        <v>3545</v>
      </c>
      <c r="B1683" t="s">
        <v>6963</v>
      </c>
      <c r="C1683" s="1"/>
    </row>
    <row r="1684" spans="1:3" x14ac:dyDescent="0.25">
      <c r="A1684" t="s">
        <v>3544</v>
      </c>
      <c r="B1684" t="s">
        <v>6962</v>
      </c>
      <c r="C1684" s="1">
        <v>45827</v>
      </c>
    </row>
    <row r="1685" spans="1:3" x14ac:dyDescent="0.25">
      <c r="A1685" t="s">
        <v>3543</v>
      </c>
      <c r="B1685" t="s">
        <v>6962</v>
      </c>
      <c r="C1685" s="1">
        <v>45798</v>
      </c>
    </row>
    <row r="1686" spans="1:3" x14ac:dyDescent="0.25">
      <c r="A1686" t="s">
        <v>3542</v>
      </c>
      <c r="B1686" t="s">
        <v>6962</v>
      </c>
      <c r="C1686" s="1">
        <v>45793</v>
      </c>
    </row>
    <row r="1687" spans="1:3" x14ac:dyDescent="0.25">
      <c r="A1687" t="s">
        <v>3540</v>
      </c>
      <c r="B1687" t="s">
        <v>6963</v>
      </c>
      <c r="C1687" s="1"/>
    </row>
    <row r="1688" spans="1:3" x14ac:dyDescent="0.25">
      <c r="A1688" t="s">
        <v>3539</v>
      </c>
      <c r="B1688" t="s">
        <v>6962</v>
      </c>
      <c r="C1688" s="1">
        <v>45791</v>
      </c>
    </row>
    <row r="1689" spans="1:3" x14ac:dyDescent="0.25">
      <c r="A1689" t="s">
        <v>2533</v>
      </c>
      <c r="B1689" t="s">
        <v>6962</v>
      </c>
      <c r="C1689" s="1">
        <v>45822</v>
      </c>
    </row>
    <row r="1690" spans="1:3" x14ac:dyDescent="0.25">
      <c r="A1690" t="s">
        <v>3550</v>
      </c>
      <c r="B1690" t="s">
        <v>6962</v>
      </c>
      <c r="C1690" s="1">
        <v>45789</v>
      </c>
    </row>
    <row r="1691" spans="1:3" x14ac:dyDescent="0.25">
      <c r="A1691" t="s">
        <v>3549</v>
      </c>
      <c r="B1691" t="s">
        <v>6962</v>
      </c>
      <c r="C1691" s="1">
        <v>45798</v>
      </c>
    </row>
    <row r="1692" spans="1:3" x14ac:dyDescent="0.25">
      <c r="A1692" t="s">
        <v>3548</v>
      </c>
      <c r="B1692" t="s">
        <v>6962</v>
      </c>
      <c r="C1692" s="1">
        <v>45791</v>
      </c>
    </row>
    <row r="1693" spans="1:3" x14ac:dyDescent="0.25">
      <c r="A1693" t="s">
        <v>3552</v>
      </c>
      <c r="B1693" t="s">
        <v>6962</v>
      </c>
      <c r="C1693" s="1">
        <v>45787</v>
      </c>
    </row>
    <row r="1694" spans="1:3" x14ac:dyDescent="0.25">
      <c r="A1694" t="s">
        <v>3556</v>
      </c>
      <c r="B1694" t="s">
        <v>6962</v>
      </c>
      <c r="C1694" s="1">
        <v>45790</v>
      </c>
    </row>
    <row r="1695" spans="1:3" x14ac:dyDescent="0.25">
      <c r="A1695" t="s">
        <v>3555</v>
      </c>
      <c r="B1695" t="s">
        <v>6962</v>
      </c>
      <c r="C1695" s="1">
        <v>45824</v>
      </c>
    </row>
    <row r="1696" spans="1:3" x14ac:dyDescent="0.25">
      <c r="A1696" t="s">
        <v>3554</v>
      </c>
      <c r="B1696" t="s">
        <v>6962</v>
      </c>
      <c r="C1696" s="1">
        <v>45797</v>
      </c>
    </row>
    <row r="1697" spans="1:3" x14ac:dyDescent="0.25">
      <c r="A1697" t="s">
        <v>3553</v>
      </c>
      <c r="B1697" t="s">
        <v>6962</v>
      </c>
      <c r="C1697" s="1">
        <v>45797</v>
      </c>
    </row>
    <row r="1698" spans="1:3" x14ac:dyDescent="0.25">
      <c r="A1698" t="s">
        <v>3557</v>
      </c>
      <c r="B1698" t="s">
        <v>39</v>
      </c>
      <c r="C1698" s="1"/>
    </row>
    <row r="1699" spans="1:3" x14ac:dyDescent="0.25">
      <c r="A1699" t="s">
        <v>3558</v>
      </c>
      <c r="B1699" t="s">
        <v>6962</v>
      </c>
      <c r="C1699" s="1">
        <v>45801</v>
      </c>
    </row>
    <row r="1700" spans="1:3" x14ac:dyDescent="0.25">
      <c r="A1700" t="s">
        <v>3559</v>
      </c>
      <c r="B1700" t="s">
        <v>6962</v>
      </c>
      <c r="C1700" s="1">
        <v>45789</v>
      </c>
    </row>
    <row r="1701" spans="1:3" x14ac:dyDescent="0.25">
      <c r="A1701" t="s">
        <v>3560</v>
      </c>
      <c r="B1701" t="s">
        <v>6962</v>
      </c>
      <c r="C1701" s="1">
        <v>45804</v>
      </c>
    </row>
    <row r="1702" spans="1:3" x14ac:dyDescent="0.25">
      <c r="A1702" t="s">
        <v>3561</v>
      </c>
      <c r="B1702" t="s">
        <v>6962</v>
      </c>
      <c r="C1702" s="1">
        <v>45790</v>
      </c>
    </row>
    <row r="1703" spans="1:3" x14ac:dyDescent="0.25">
      <c r="A1703" t="s">
        <v>2535</v>
      </c>
      <c r="B1703" t="s">
        <v>6962</v>
      </c>
      <c r="C1703" s="1">
        <v>45804</v>
      </c>
    </row>
    <row r="1704" spans="1:3" x14ac:dyDescent="0.25">
      <c r="A1704" t="s">
        <v>2537</v>
      </c>
      <c r="B1704" t="s">
        <v>39</v>
      </c>
      <c r="C1704" s="1"/>
    </row>
    <row r="1705" spans="1:3" x14ac:dyDescent="0.25">
      <c r="A1705" t="s">
        <v>2539</v>
      </c>
      <c r="B1705" t="s">
        <v>39</v>
      </c>
      <c r="C1705" s="1"/>
    </row>
    <row r="1706" spans="1:3" x14ac:dyDescent="0.25">
      <c r="A1706" t="s">
        <v>2538</v>
      </c>
      <c r="B1706" t="s">
        <v>6962</v>
      </c>
      <c r="C1706" s="1">
        <v>45801</v>
      </c>
    </row>
    <row r="1707" spans="1:3" x14ac:dyDescent="0.25">
      <c r="A1707" t="s">
        <v>3564</v>
      </c>
      <c r="B1707" t="s">
        <v>39</v>
      </c>
      <c r="C1707" s="1"/>
    </row>
    <row r="1708" spans="1:3" x14ac:dyDescent="0.25">
      <c r="A1708" t="s">
        <v>2541</v>
      </c>
      <c r="B1708" t="s">
        <v>6962</v>
      </c>
      <c r="C1708" s="1">
        <v>45853</v>
      </c>
    </row>
    <row r="1709" spans="1:3" x14ac:dyDescent="0.25">
      <c r="A1709" t="s">
        <v>3563</v>
      </c>
      <c r="B1709" t="s">
        <v>6962</v>
      </c>
      <c r="C1709" s="1">
        <v>45790</v>
      </c>
    </row>
    <row r="1710" spans="1:3" x14ac:dyDescent="0.25">
      <c r="A1710" t="s">
        <v>3562</v>
      </c>
      <c r="B1710" t="s">
        <v>6962</v>
      </c>
      <c r="C1710" s="1">
        <v>45794</v>
      </c>
    </row>
    <row r="1711" spans="1:3" x14ac:dyDescent="0.25">
      <c r="A1711" t="s">
        <v>3566</v>
      </c>
      <c r="B1711" t="s">
        <v>6962</v>
      </c>
      <c r="C1711" s="1">
        <v>45793</v>
      </c>
    </row>
    <row r="1712" spans="1:3" x14ac:dyDescent="0.25">
      <c r="A1712" t="s">
        <v>3565</v>
      </c>
      <c r="B1712" t="s">
        <v>6962</v>
      </c>
      <c r="C1712" s="1">
        <v>45827</v>
      </c>
    </row>
    <row r="1713" spans="1:3" x14ac:dyDescent="0.25">
      <c r="A1713" t="s">
        <v>3092</v>
      </c>
      <c r="B1713" t="s">
        <v>6962</v>
      </c>
      <c r="C1713" s="1">
        <v>45803</v>
      </c>
    </row>
    <row r="1714" spans="1:3" x14ac:dyDescent="0.25">
      <c r="A1714" t="s">
        <v>3092</v>
      </c>
      <c r="B1714" t="s">
        <v>6962</v>
      </c>
      <c r="C1714" s="1">
        <v>45803</v>
      </c>
    </row>
    <row r="1715" spans="1:3" x14ac:dyDescent="0.25">
      <c r="A1715" t="s">
        <v>3569</v>
      </c>
      <c r="B1715" t="s">
        <v>6962</v>
      </c>
      <c r="C1715" s="1">
        <v>45793</v>
      </c>
    </row>
    <row r="1716" spans="1:3" x14ac:dyDescent="0.25">
      <c r="A1716" t="s">
        <v>3020</v>
      </c>
      <c r="B1716" t="s">
        <v>6962</v>
      </c>
      <c r="C1716" s="1">
        <v>45803</v>
      </c>
    </row>
    <row r="1717" spans="1:3" x14ac:dyDescent="0.25">
      <c r="A1717" t="s">
        <v>3568</v>
      </c>
      <c r="B1717" t="s">
        <v>6962</v>
      </c>
      <c r="C1717" s="1">
        <v>45792</v>
      </c>
    </row>
    <row r="1718" spans="1:3" x14ac:dyDescent="0.25">
      <c r="A1718" t="s">
        <v>3567</v>
      </c>
      <c r="B1718" t="s">
        <v>6962</v>
      </c>
      <c r="C1718" s="1">
        <v>45803</v>
      </c>
    </row>
    <row r="1719" spans="1:3" x14ac:dyDescent="0.25">
      <c r="A1719" t="s">
        <v>3572</v>
      </c>
      <c r="B1719" t="s">
        <v>6962</v>
      </c>
      <c r="C1719" s="1">
        <v>45790</v>
      </c>
    </row>
    <row r="1720" spans="1:3" x14ac:dyDescent="0.25">
      <c r="A1720" t="s">
        <v>2547</v>
      </c>
      <c r="B1720" t="s">
        <v>6962</v>
      </c>
      <c r="C1720" s="1">
        <v>45828</v>
      </c>
    </row>
    <row r="1721" spans="1:3" x14ac:dyDescent="0.25">
      <c r="A1721" t="s">
        <v>2546</v>
      </c>
      <c r="B1721" t="s">
        <v>6962</v>
      </c>
      <c r="C1721" s="1">
        <v>45854</v>
      </c>
    </row>
    <row r="1722" spans="1:3" x14ac:dyDescent="0.25">
      <c r="A1722" t="s">
        <v>2545</v>
      </c>
      <c r="B1722" t="s">
        <v>6962</v>
      </c>
      <c r="C1722" s="1">
        <v>45850</v>
      </c>
    </row>
    <row r="1723" spans="1:3" x14ac:dyDescent="0.25">
      <c r="A1723" t="s">
        <v>2543</v>
      </c>
      <c r="B1723" t="s">
        <v>6962</v>
      </c>
      <c r="C1723" s="1">
        <v>45846</v>
      </c>
    </row>
    <row r="1724" spans="1:3" x14ac:dyDescent="0.25">
      <c r="A1724" t="s">
        <v>3571</v>
      </c>
      <c r="B1724" t="s">
        <v>6962</v>
      </c>
      <c r="C1724" s="1">
        <v>45805</v>
      </c>
    </row>
    <row r="1725" spans="1:3" x14ac:dyDescent="0.25">
      <c r="A1725" t="s">
        <v>3570</v>
      </c>
      <c r="B1725" t="s">
        <v>6962</v>
      </c>
      <c r="C1725" s="1">
        <v>45791</v>
      </c>
    </row>
    <row r="1726" spans="1:3" x14ac:dyDescent="0.25">
      <c r="A1726" t="s">
        <v>2542</v>
      </c>
      <c r="B1726" t="s">
        <v>6962</v>
      </c>
      <c r="C1726" s="1">
        <v>45790</v>
      </c>
    </row>
    <row r="1727" spans="1:3" x14ac:dyDescent="0.25">
      <c r="A1727" t="s">
        <v>3093</v>
      </c>
      <c r="B1727" t="s">
        <v>6962</v>
      </c>
      <c r="C1727" s="1">
        <v>45803</v>
      </c>
    </row>
    <row r="1728" spans="1:3" x14ac:dyDescent="0.25">
      <c r="A1728" t="s">
        <v>3093</v>
      </c>
      <c r="B1728" t="s">
        <v>6962</v>
      </c>
      <c r="C1728" s="1">
        <v>45803</v>
      </c>
    </row>
    <row r="1729" spans="1:3" x14ac:dyDescent="0.25">
      <c r="A1729" t="s">
        <v>3574</v>
      </c>
      <c r="B1729" t="s">
        <v>6963</v>
      </c>
      <c r="C1729" s="1"/>
    </row>
    <row r="1730" spans="1:3" x14ac:dyDescent="0.25">
      <c r="A1730" t="s">
        <v>3573</v>
      </c>
      <c r="B1730" t="s">
        <v>6962</v>
      </c>
      <c r="C1730" s="1">
        <v>45797</v>
      </c>
    </row>
    <row r="1731" spans="1:3" x14ac:dyDescent="0.25">
      <c r="A1731" t="s">
        <v>3576</v>
      </c>
      <c r="B1731" t="s">
        <v>6962</v>
      </c>
      <c r="C1731" s="1">
        <v>45790</v>
      </c>
    </row>
    <row r="1732" spans="1:3" x14ac:dyDescent="0.25">
      <c r="A1732" t="s">
        <v>3579</v>
      </c>
      <c r="B1732" t="s">
        <v>6962</v>
      </c>
      <c r="C1732" s="1">
        <v>45791</v>
      </c>
    </row>
    <row r="1733" spans="1:3" x14ac:dyDescent="0.25">
      <c r="A1733" t="s">
        <v>3575</v>
      </c>
      <c r="B1733" t="s">
        <v>6962</v>
      </c>
      <c r="C1733" s="1">
        <v>45811</v>
      </c>
    </row>
    <row r="1734" spans="1:3" x14ac:dyDescent="0.25">
      <c r="A1734" t="s">
        <v>3577</v>
      </c>
      <c r="B1734" t="s">
        <v>6962</v>
      </c>
      <c r="C1734" s="1">
        <v>45793</v>
      </c>
    </row>
    <row r="1735" spans="1:3" x14ac:dyDescent="0.25">
      <c r="A1735" t="s">
        <v>3551</v>
      </c>
      <c r="B1735" t="s">
        <v>6962</v>
      </c>
      <c r="C1735" s="1">
        <v>45787</v>
      </c>
    </row>
    <row r="1736" spans="1:3" x14ac:dyDescent="0.25">
      <c r="A1736" t="s">
        <v>3541</v>
      </c>
      <c r="B1736" t="s">
        <v>6962</v>
      </c>
      <c r="C1736" s="1">
        <v>45787</v>
      </c>
    </row>
    <row r="1737" spans="1:3" x14ac:dyDescent="0.25">
      <c r="A1737" t="s">
        <v>3578</v>
      </c>
      <c r="B1737" t="s">
        <v>6962</v>
      </c>
      <c r="C1737" s="1">
        <v>45798</v>
      </c>
    </row>
    <row r="1738" spans="1:3" x14ac:dyDescent="0.25">
      <c r="A1738" t="s">
        <v>6844</v>
      </c>
      <c r="B1738" t="s">
        <v>6962</v>
      </c>
      <c r="C1738" s="1">
        <v>45789</v>
      </c>
    </row>
    <row r="1739" spans="1:3" x14ac:dyDescent="0.25">
      <c r="A1739" t="s">
        <v>2526</v>
      </c>
      <c r="B1739" t="s">
        <v>6962</v>
      </c>
      <c r="C1739" s="1">
        <v>45789</v>
      </c>
    </row>
    <row r="1740" spans="1:3" x14ac:dyDescent="0.25">
      <c r="A1740" t="s">
        <v>3580</v>
      </c>
      <c r="B1740" t="s">
        <v>6962</v>
      </c>
      <c r="C1740" s="1">
        <v>45791</v>
      </c>
    </row>
    <row r="1741" spans="1:3" x14ac:dyDescent="0.25">
      <c r="A1741" t="s">
        <v>3581</v>
      </c>
      <c r="B1741" t="s">
        <v>6962</v>
      </c>
      <c r="C1741" s="1">
        <v>45798</v>
      </c>
    </row>
    <row r="1742" spans="1:3" x14ac:dyDescent="0.25">
      <c r="A1742" t="s">
        <v>3584</v>
      </c>
      <c r="B1742" t="s">
        <v>6962</v>
      </c>
      <c r="C1742" s="1">
        <v>45827</v>
      </c>
    </row>
    <row r="1743" spans="1:3" x14ac:dyDescent="0.25">
      <c r="A1743" t="s">
        <v>3583</v>
      </c>
      <c r="B1743" t="s">
        <v>6962</v>
      </c>
      <c r="C1743" s="1">
        <v>45796</v>
      </c>
    </row>
    <row r="1744" spans="1:3" x14ac:dyDescent="0.25">
      <c r="A1744" t="s">
        <v>3582</v>
      </c>
      <c r="B1744" t="s">
        <v>6962</v>
      </c>
      <c r="C1744" s="1">
        <v>45834</v>
      </c>
    </row>
    <row r="1745" spans="1:3" x14ac:dyDescent="0.25">
      <c r="A1745" t="s">
        <v>3598</v>
      </c>
      <c r="B1745" t="s">
        <v>6962</v>
      </c>
      <c r="C1745" s="1">
        <v>45792</v>
      </c>
    </row>
    <row r="1746" spans="1:3" x14ac:dyDescent="0.25">
      <c r="A1746" t="s">
        <v>3597</v>
      </c>
      <c r="B1746" t="s">
        <v>6962</v>
      </c>
      <c r="C1746" s="1">
        <v>45824</v>
      </c>
    </row>
    <row r="1747" spans="1:3" x14ac:dyDescent="0.25">
      <c r="A1747" t="s">
        <v>3596</v>
      </c>
      <c r="B1747" t="s">
        <v>6962</v>
      </c>
      <c r="C1747" s="1">
        <v>45797</v>
      </c>
    </row>
    <row r="1748" spans="1:3" x14ac:dyDescent="0.25">
      <c r="A1748" t="s">
        <v>3595</v>
      </c>
      <c r="B1748" t="s">
        <v>6962</v>
      </c>
      <c r="C1748" s="1">
        <v>45812</v>
      </c>
    </row>
    <row r="1749" spans="1:3" x14ac:dyDescent="0.25">
      <c r="A1749" t="s">
        <v>3594</v>
      </c>
      <c r="B1749" t="s">
        <v>6962</v>
      </c>
      <c r="C1749" s="1">
        <v>45813</v>
      </c>
    </row>
    <row r="1750" spans="1:3" x14ac:dyDescent="0.25">
      <c r="A1750" t="s">
        <v>3593</v>
      </c>
      <c r="B1750" t="s">
        <v>6962</v>
      </c>
      <c r="C1750" s="1">
        <v>45799</v>
      </c>
    </row>
    <row r="1751" spans="1:3" x14ac:dyDescent="0.25">
      <c r="A1751" t="s">
        <v>3590</v>
      </c>
      <c r="B1751" t="s">
        <v>6963</v>
      </c>
      <c r="C1751" s="1"/>
    </row>
    <row r="1752" spans="1:3" x14ac:dyDescent="0.25">
      <c r="A1752" t="s">
        <v>3589</v>
      </c>
      <c r="B1752" t="s">
        <v>6962</v>
      </c>
      <c r="C1752" s="1">
        <v>45796</v>
      </c>
    </row>
    <row r="1753" spans="1:3" x14ac:dyDescent="0.25">
      <c r="A1753" t="s">
        <v>3588</v>
      </c>
      <c r="B1753" t="s">
        <v>6962</v>
      </c>
      <c r="C1753" s="1">
        <v>45836</v>
      </c>
    </row>
    <row r="1754" spans="1:3" x14ac:dyDescent="0.25">
      <c r="A1754" t="s">
        <v>3587</v>
      </c>
      <c r="B1754" t="s">
        <v>6962</v>
      </c>
      <c r="C1754" s="1">
        <v>45797</v>
      </c>
    </row>
    <row r="1755" spans="1:3" x14ac:dyDescent="0.25">
      <c r="A1755" t="s">
        <v>3586</v>
      </c>
      <c r="B1755" t="s">
        <v>6962</v>
      </c>
      <c r="C1755" s="1">
        <v>45799</v>
      </c>
    </row>
    <row r="1756" spans="1:3" x14ac:dyDescent="0.25">
      <c r="A1756" t="s">
        <v>3585</v>
      </c>
      <c r="B1756" t="s">
        <v>6962</v>
      </c>
      <c r="C1756" s="1">
        <v>45819</v>
      </c>
    </row>
    <row r="1757" spans="1:3" x14ac:dyDescent="0.25">
      <c r="A1757" t="s">
        <v>3598</v>
      </c>
      <c r="B1757" t="s">
        <v>6962</v>
      </c>
      <c r="C1757" s="1">
        <v>45791</v>
      </c>
    </row>
    <row r="1758" spans="1:3" x14ac:dyDescent="0.25">
      <c r="A1758" t="s">
        <v>3602</v>
      </c>
      <c r="B1758" t="s">
        <v>6962</v>
      </c>
      <c r="C1758" s="1">
        <v>45834</v>
      </c>
    </row>
    <row r="1759" spans="1:3" x14ac:dyDescent="0.25">
      <c r="A1759" t="s">
        <v>3095</v>
      </c>
      <c r="B1759" t="s">
        <v>39</v>
      </c>
      <c r="C1759" s="1"/>
    </row>
    <row r="1760" spans="1:3" x14ac:dyDescent="0.25">
      <c r="A1760" t="s">
        <v>3600</v>
      </c>
      <c r="B1760" t="s">
        <v>6962</v>
      </c>
      <c r="C1760" s="1">
        <v>45799</v>
      </c>
    </row>
    <row r="1761" spans="1:3" x14ac:dyDescent="0.25">
      <c r="A1761" t="s">
        <v>3599</v>
      </c>
      <c r="B1761" t="s">
        <v>6962</v>
      </c>
      <c r="C1761" s="1">
        <v>45791</v>
      </c>
    </row>
    <row r="1762" spans="1:3" x14ac:dyDescent="0.25">
      <c r="A1762" t="s">
        <v>3024</v>
      </c>
      <c r="B1762" t="s">
        <v>6962</v>
      </c>
      <c r="C1762" s="1">
        <v>45794</v>
      </c>
    </row>
    <row r="1763" spans="1:3" x14ac:dyDescent="0.25">
      <c r="A1763" t="s">
        <v>3023</v>
      </c>
      <c r="B1763" t="s">
        <v>6962</v>
      </c>
      <c r="C1763" s="1">
        <v>45824</v>
      </c>
    </row>
    <row r="1764" spans="1:3" x14ac:dyDescent="0.25">
      <c r="A1764" t="s">
        <v>3603</v>
      </c>
      <c r="B1764" t="s">
        <v>6962</v>
      </c>
      <c r="C1764" s="1">
        <v>45797</v>
      </c>
    </row>
    <row r="1765" spans="1:3" x14ac:dyDescent="0.25">
      <c r="A1765" t="s">
        <v>3605</v>
      </c>
      <c r="B1765" t="s">
        <v>6962</v>
      </c>
      <c r="C1765" s="1">
        <v>45794</v>
      </c>
    </row>
    <row r="1766" spans="1:3" x14ac:dyDescent="0.25">
      <c r="A1766" t="s">
        <v>3604</v>
      </c>
      <c r="B1766" t="s">
        <v>6962</v>
      </c>
      <c r="C1766" s="1">
        <v>45803</v>
      </c>
    </row>
    <row r="1767" spans="1:3" x14ac:dyDescent="0.25">
      <c r="A1767" t="s">
        <v>3027</v>
      </c>
      <c r="B1767" t="s">
        <v>6962</v>
      </c>
      <c r="C1767" s="1">
        <v>45810</v>
      </c>
    </row>
    <row r="1768" spans="1:3" x14ac:dyDescent="0.25">
      <c r="A1768" t="s">
        <v>3026</v>
      </c>
      <c r="B1768" t="s">
        <v>6962</v>
      </c>
      <c r="C1768" s="1">
        <v>45824</v>
      </c>
    </row>
    <row r="1769" spans="1:3" x14ac:dyDescent="0.25">
      <c r="A1769" t="s">
        <v>3025</v>
      </c>
      <c r="B1769" t="s">
        <v>39</v>
      </c>
      <c r="C1769" s="1"/>
    </row>
    <row r="1770" spans="1:3" x14ac:dyDescent="0.25">
      <c r="A1770" t="s">
        <v>3606</v>
      </c>
      <c r="B1770" t="s">
        <v>6963</v>
      </c>
      <c r="C1770" s="1"/>
    </row>
    <row r="1771" spans="1:3" x14ac:dyDescent="0.25">
      <c r="A1771" t="s">
        <v>2519</v>
      </c>
      <c r="B1771" t="s">
        <v>6962</v>
      </c>
      <c r="C1771" s="1">
        <v>45794</v>
      </c>
    </row>
    <row r="1772" spans="1:3" x14ac:dyDescent="0.25">
      <c r="A1772" t="s">
        <v>3591</v>
      </c>
      <c r="B1772" t="s">
        <v>6962</v>
      </c>
      <c r="C1772" s="1">
        <v>45793</v>
      </c>
    </row>
    <row r="1773" spans="1:3" x14ac:dyDescent="0.25">
      <c r="A1773" t="s">
        <v>3608</v>
      </c>
      <c r="B1773" t="s">
        <v>6962</v>
      </c>
      <c r="C1773" s="1">
        <v>45793</v>
      </c>
    </row>
    <row r="1774" spans="1:3" x14ac:dyDescent="0.25">
      <c r="A1774" t="s">
        <v>3022</v>
      </c>
      <c r="B1774" t="s">
        <v>6962</v>
      </c>
      <c r="C1774" s="1">
        <v>45792</v>
      </c>
    </row>
    <row r="1775" spans="1:3" x14ac:dyDescent="0.25">
      <c r="A1775" t="s">
        <v>3019</v>
      </c>
      <c r="B1775" t="s">
        <v>6962</v>
      </c>
      <c r="C1775" s="1">
        <v>45792</v>
      </c>
    </row>
    <row r="1776" spans="1:3" x14ac:dyDescent="0.25">
      <c r="A1776" t="s">
        <v>3609</v>
      </c>
      <c r="B1776" t="s">
        <v>6962</v>
      </c>
      <c r="C1776" s="1">
        <v>45798</v>
      </c>
    </row>
    <row r="1777" spans="1:3" x14ac:dyDescent="0.25">
      <c r="A1777" t="s">
        <v>3096</v>
      </c>
      <c r="B1777" t="s">
        <v>6962</v>
      </c>
      <c r="C1777" s="1">
        <v>45798</v>
      </c>
    </row>
    <row r="1778" spans="1:3" x14ac:dyDescent="0.25">
      <c r="A1778" t="s">
        <v>3615</v>
      </c>
      <c r="B1778" t="s">
        <v>6962</v>
      </c>
      <c r="C1778" s="1">
        <v>45799</v>
      </c>
    </row>
    <row r="1779" spans="1:3" x14ac:dyDescent="0.25">
      <c r="A1779" t="s">
        <v>3614</v>
      </c>
      <c r="B1779" t="s">
        <v>6962</v>
      </c>
      <c r="C1779" s="1">
        <v>45801</v>
      </c>
    </row>
    <row r="1780" spans="1:3" x14ac:dyDescent="0.25">
      <c r="A1780" t="s">
        <v>3613</v>
      </c>
      <c r="B1780" t="s">
        <v>6962</v>
      </c>
      <c r="C1780" s="1">
        <v>45849</v>
      </c>
    </row>
    <row r="1781" spans="1:3" x14ac:dyDescent="0.25">
      <c r="A1781" t="s">
        <v>3612</v>
      </c>
      <c r="B1781" t="s">
        <v>6962</v>
      </c>
      <c r="C1781" s="1">
        <v>45806</v>
      </c>
    </row>
    <row r="1782" spans="1:3" x14ac:dyDescent="0.25">
      <c r="A1782" t="s">
        <v>3611</v>
      </c>
      <c r="B1782" t="s">
        <v>6962</v>
      </c>
      <c r="C1782" s="1">
        <v>45793</v>
      </c>
    </row>
    <row r="1783" spans="1:3" x14ac:dyDescent="0.25">
      <c r="A1783" t="s">
        <v>3610</v>
      </c>
      <c r="B1783" t="s">
        <v>6962</v>
      </c>
      <c r="C1783" s="1">
        <v>45793</v>
      </c>
    </row>
    <row r="1784" spans="1:3" x14ac:dyDescent="0.25">
      <c r="A1784" t="s">
        <v>3029</v>
      </c>
      <c r="B1784" t="s">
        <v>6962</v>
      </c>
      <c r="C1784" s="1">
        <v>45811</v>
      </c>
    </row>
    <row r="1785" spans="1:3" x14ac:dyDescent="0.25">
      <c r="A1785" t="s">
        <v>3028</v>
      </c>
      <c r="B1785" t="s">
        <v>6962</v>
      </c>
      <c r="C1785" s="1">
        <v>45824</v>
      </c>
    </row>
    <row r="1786" spans="1:3" x14ac:dyDescent="0.25">
      <c r="A1786" t="s">
        <v>3616</v>
      </c>
      <c r="B1786" t="s">
        <v>6962</v>
      </c>
      <c r="C1786" s="1">
        <v>45825</v>
      </c>
    </row>
    <row r="1787" spans="1:3" x14ac:dyDescent="0.25">
      <c r="A1787" t="s">
        <v>3486</v>
      </c>
      <c r="B1787" t="s">
        <v>6962</v>
      </c>
      <c r="C1787" s="1">
        <v>45796</v>
      </c>
    </row>
    <row r="1788" spans="1:3" x14ac:dyDescent="0.25">
      <c r="A1788" t="s">
        <v>3486</v>
      </c>
      <c r="B1788" t="s">
        <v>6962</v>
      </c>
      <c r="C1788" s="1">
        <v>45796</v>
      </c>
    </row>
    <row r="1789" spans="1:3" x14ac:dyDescent="0.25">
      <c r="A1789" t="s">
        <v>3486</v>
      </c>
      <c r="B1789" t="s">
        <v>6962</v>
      </c>
      <c r="C1789" s="1">
        <v>45813</v>
      </c>
    </row>
    <row r="1790" spans="1:3" x14ac:dyDescent="0.25">
      <c r="A1790" t="s">
        <v>3030</v>
      </c>
      <c r="B1790" t="s">
        <v>6962</v>
      </c>
      <c r="C1790" s="1">
        <v>45812</v>
      </c>
    </row>
    <row r="1791" spans="1:3" x14ac:dyDescent="0.25">
      <c r="A1791" t="s">
        <v>3620</v>
      </c>
      <c r="B1791" t="s">
        <v>6963</v>
      </c>
      <c r="C1791" s="1"/>
    </row>
    <row r="1792" spans="1:3" x14ac:dyDescent="0.25">
      <c r="A1792" t="s">
        <v>3619</v>
      </c>
      <c r="B1792" t="s">
        <v>6962</v>
      </c>
      <c r="C1792" s="1">
        <v>45799</v>
      </c>
    </row>
    <row r="1793" spans="1:3" x14ac:dyDescent="0.25">
      <c r="A1793" t="s">
        <v>3618</v>
      </c>
      <c r="B1793" t="s">
        <v>6962</v>
      </c>
      <c r="C1793" s="1">
        <v>45819</v>
      </c>
    </row>
    <row r="1794" spans="1:3" x14ac:dyDescent="0.25">
      <c r="A1794" t="s">
        <v>3617</v>
      </c>
      <c r="B1794" t="s">
        <v>6964</v>
      </c>
      <c r="C1794" s="1">
        <v>45843</v>
      </c>
    </row>
    <row r="1795" spans="1:3" x14ac:dyDescent="0.25">
      <c r="A1795" t="s">
        <v>3621</v>
      </c>
      <c r="B1795" t="s">
        <v>6962</v>
      </c>
      <c r="C1795" s="1">
        <v>45812</v>
      </c>
    </row>
    <row r="1796" spans="1:3" x14ac:dyDescent="0.25">
      <c r="A1796" t="s">
        <v>3623</v>
      </c>
      <c r="B1796" t="s">
        <v>6962</v>
      </c>
      <c r="C1796" s="1">
        <v>45810</v>
      </c>
    </row>
    <row r="1797" spans="1:3" x14ac:dyDescent="0.25">
      <c r="A1797" t="s">
        <v>3097</v>
      </c>
      <c r="B1797" t="s">
        <v>6962</v>
      </c>
      <c r="C1797" s="1">
        <v>45804</v>
      </c>
    </row>
    <row r="1798" spans="1:3" x14ac:dyDescent="0.25">
      <c r="A1798" t="s">
        <v>3622</v>
      </c>
      <c r="B1798" t="s">
        <v>6962</v>
      </c>
      <c r="C1798" s="1">
        <v>45839</v>
      </c>
    </row>
    <row r="1799" spans="1:3" x14ac:dyDescent="0.25">
      <c r="A1799" t="s">
        <v>3031</v>
      </c>
      <c r="B1799" t="s">
        <v>6962</v>
      </c>
      <c r="C1799" s="1">
        <v>45824</v>
      </c>
    </row>
    <row r="1800" spans="1:3" x14ac:dyDescent="0.25">
      <c r="A1800" t="s">
        <v>3625</v>
      </c>
      <c r="B1800" t="s">
        <v>6963</v>
      </c>
      <c r="C1800" s="1"/>
    </row>
    <row r="1801" spans="1:3" x14ac:dyDescent="0.25">
      <c r="A1801" t="s">
        <v>3624</v>
      </c>
      <c r="B1801" t="s">
        <v>6962</v>
      </c>
      <c r="C1801" s="1">
        <v>45838</v>
      </c>
    </row>
    <row r="1802" spans="1:3" x14ac:dyDescent="0.25">
      <c r="A1802" t="s">
        <v>3100</v>
      </c>
      <c r="B1802" t="s">
        <v>6962</v>
      </c>
      <c r="C1802" s="1">
        <v>45803</v>
      </c>
    </row>
    <row r="1803" spans="1:3" x14ac:dyDescent="0.25">
      <c r="A1803" t="s">
        <v>3100</v>
      </c>
      <c r="B1803" t="s">
        <v>6962</v>
      </c>
      <c r="C1803" s="1">
        <v>45803</v>
      </c>
    </row>
    <row r="1804" spans="1:3" x14ac:dyDescent="0.25">
      <c r="A1804" t="s">
        <v>3626</v>
      </c>
      <c r="B1804" t="s">
        <v>6962</v>
      </c>
      <c r="C1804" s="1">
        <v>45810</v>
      </c>
    </row>
    <row r="1805" spans="1:3" x14ac:dyDescent="0.25">
      <c r="A1805" t="s">
        <v>3553</v>
      </c>
      <c r="B1805" t="s">
        <v>6962</v>
      </c>
      <c r="C1805" s="1">
        <v>45848</v>
      </c>
    </row>
    <row r="1806" spans="1:3" x14ac:dyDescent="0.25">
      <c r="A1806" t="s">
        <v>3553</v>
      </c>
      <c r="B1806" t="s">
        <v>39</v>
      </c>
      <c r="C1806" s="1"/>
    </row>
    <row r="1807" spans="1:3" x14ac:dyDescent="0.25">
      <c r="A1807" t="s">
        <v>3636</v>
      </c>
      <c r="B1807" t="s">
        <v>6962</v>
      </c>
      <c r="C1807" s="1">
        <v>45803</v>
      </c>
    </row>
    <row r="1808" spans="1:3" x14ac:dyDescent="0.25">
      <c r="A1808" t="s">
        <v>6845</v>
      </c>
      <c r="B1808" t="s">
        <v>6963</v>
      </c>
      <c r="C1808" s="1"/>
    </row>
    <row r="1809" spans="1:3" x14ac:dyDescent="0.25">
      <c r="A1809" t="s">
        <v>3101</v>
      </c>
      <c r="B1809" t="s">
        <v>6964</v>
      </c>
      <c r="C1809" s="1">
        <v>45817</v>
      </c>
    </row>
    <row r="1810" spans="1:3" x14ac:dyDescent="0.25">
      <c r="A1810" t="s">
        <v>3635</v>
      </c>
      <c r="B1810" t="s">
        <v>6963</v>
      </c>
      <c r="C1810" s="1"/>
    </row>
    <row r="1811" spans="1:3" x14ac:dyDescent="0.25">
      <c r="A1811" t="s">
        <v>3627</v>
      </c>
      <c r="B1811" t="s">
        <v>6962</v>
      </c>
      <c r="C1811" s="1">
        <v>45808</v>
      </c>
    </row>
    <row r="1812" spans="1:3" x14ac:dyDescent="0.25">
      <c r="A1812" t="s">
        <v>3099</v>
      </c>
      <c r="B1812" t="s">
        <v>6962</v>
      </c>
      <c r="C1812" s="1">
        <v>45804</v>
      </c>
    </row>
    <row r="1813" spans="1:3" x14ac:dyDescent="0.25">
      <c r="A1813" t="s">
        <v>3634</v>
      </c>
      <c r="B1813" t="s">
        <v>6962</v>
      </c>
      <c r="C1813" s="1">
        <v>45832</v>
      </c>
    </row>
    <row r="1814" spans="1:3" x14ac:dyDescent="0.25">
      <c r="A1814" t="s">
        <v>2549</v>
      </c>
      <c r="B1814" t="s">
        <v>6962</v>
      </c>
      <c r="C1814" s="1">
        <v>45832</v>
      </c>
    </row>
    <row r="1815" spans="1:3" x14ac:dyDescent="0.25">
      <c r="A1815" t="s">
        <v>3098</v>
      </c>
      <c r="B1815" t="s">
        <v>6962</v>
      </c>
      <c r="C1815" s="1">
        <v>45810</v>
      </c>
    </row>
    <row r="1816" spans="1:3" x14ac:dyDescent="0.25">
      <c r="A1816" t="s">
        <v>3098</v>
      </c>
      <c r="B1816" t="s">
        <v>6962</v>
      </c>
      <c r="C1816" s="1">
        <v>45810</v>
      </c>
    </row>
    <row r="1817" spans="1:3" x14ac:dyDescent="0.25">
      <c r="A1817" t="s">
        <v>3633</v>
      </c>
      <c r="B1817" t="s">
        <v>6962</v>
      </c>
      <c r="C1817" s="1">
        <v>45798</v>
      </c>
    </row>
    <row r="1818" spans="1:3" x14ac:dyDescent="0.25">
      <c r="A1818" t="s">
        <v>3632</v>
      </c>
      <c r="B1818" t="s">
        <v>6962</v>
      </c>
      <c r="C1818" s="1">
        <v>45819</v>
      </c>
    </row>
    <row r="1819" spans="1:3" x14ac:dyDescent="0.25">
      <c r="A1819" t="s">
        <v>6846</v>
      </c>
      <c r="B1819" t="s">
        <v>6963</v>
      </c>
      <c r="C1819" s="1"/>
    </row>
    <row r="1820" spans="1:3" x14ac:dyDescent="0.25">
      <c r="A1820" t="s">
        <v>3631</v>
      </c>
      <c r="B1820" t="s">
        <v>6962</v>
      </c>
      <c r="C1820" s="1">
        <v>45799</v>
      </c>
    </row>
    <row r="1821" spans="1:3" x14ac:dyDescent="0.25">
      <c r="A1821" t="s">
        <v>3630</v>
      </c>
      <c r="B1821" t="s">
        <v>6962</v>
      </c>
      <c r="C1821" s="1">
        <v>45824</v>
      </c>
    </row>
    <row r="1822" spans="1:3" x14ac:dyDescent="0.25">
      <c r="A1822" t="s">
        <v>3630</v>
      </c>
      <c r="B1822" t="s">
        <v>6962</v>
      </c>
      <c r="C1822" s="1">
        <v>45817</v>
      </c>
    </row>
    <row r="1823" spans="1:3" x14ac:dyDescent="0.25">
      <c r="A1823" t="s">
        <v>3629</v>
      </c>
      <c r="B1823" t="s">
        <v>6962</v>
      </c>
      <c r="C1823" s="1">
        <v>45805</v>
      </c>
    </row>
    <row r="1824" spans="1:3" x14ac:dyDescent="0.25">
      <c r="A1824" t="s">
        <v>3628</v>
      </c>
      <c r="B1824" t="s">
        <v>39</v>
      </c>
      <c r="C1824" s="1"/>
    </row>
    <row r="1825" spans="1:3" x14ac:dyDescent="0.25">
      <c r="A1825" t="s">
        <v>3637</v>
      </c>
      <c r="B1825" t="s">
        <v>6962</v>
      </c>
      <c r="C1825" s="1">
        <v>45796</v>
      </c>
    </row>
    <row r="1826" spans="1:3" x14ac:dyDescent="0.25">
      <c r="A1826" t="s">
        <v>3635</v>
      </c>
      <c r="B1826" t="s">
        <v>6962</v>
      </c>
      <c r="C1826" s="1">
        <v>45815</v>
      </c>
    </row>
    <row r="1827" spans="1:3" x14ac:dyDescent="0.25">
      <c r="A1827" t="s">
        <v>3635</v>
      </c>
      <c r="B1827" t="s">
        <v>6963</v>
      </c>
      <c r="C1827" s="1"/>
    </row>
    <row r="1828" spans="1:3" x14ac:dyDescent="0.25">
      <c r="A1828" t="s">
        <v>3635</v>
      </c>
      <c r="B1828" t="s">
        <v>6963</v>
      </c>
      <c r="C1828" s="1"/>
    </row>
    <row r="1829" spans="1:3" x14ac:dyDescent="0.25">
      <c r="A1829" t="s">
        <v>3635</v>
      </c>
      <c r="B1829" t="s">
        <v>39</v>
      </c>
      <c r="C1829" s="1"/>
    </row>
    <row r="1830" spans="1:3" x14ac:dyDescent="0.25">
      <c r="A1830" t="s">
        <v>6847</v>
      </c>
      <c r="B1830" t="s">
        <v>6962</v>
      </c>
      <c r="C1830" s="1">
        <v>45716</v>
      </c>
    </row>
    <row r="1831" spans="1:3" x14ac:dyDescent="0.25">
      <c r="A1831" t="s">
        <v>3099</v>
      </c>
      <c r="B1831" t="s">
        <v>6962</v>
      </c>
      <c r="C1831" s="1">
        <v>45804</v>
      </c>
    </row>
    <row r="1832" spans="1:3" x14ac:dyDescent="0.25">
      <c r="A1832" t="s">
        <v>3641</v>
      </c>
      <c r="B1832" t="s">
        <v>6962</v>
      </c>
      <c r="C1832" s="1">
        <v>45799</v>
      </c>
    </row>
    <row r="1833" spans="1:3" x14ac:dyDescent="0.25">
      <c r="A1833" t="s">
        <v>3032</v>
      </c>
      <c r="B1833" t="s">
        <v>6962</v>
      </c>
      <c r="C1833" s="1">
        <v>45817</v>
      </c>
    </row>
    <row r="1834" spans="1:3" x14ac:dyDescent="0.25">
      <c r="A1834" t="s">
        <v>3640</v>
      </c>
      <c r="B1834" t="s">
        <v>6962</v>
      </c>
      <c r="C1834" s="1">
        <v>45799</v>
      </c>
    </row>
    <row r="1835" spans="1:3" x14ac:dyDescent="0.25">
      <c r="A1835" t="s">
        <v>3639</v>
      </c>
      <c r="B1835" t="s">
        <v>6962</v>
      </c>
      <c r="C1835" s="1">
        <v>45818</v>
      </c>
    </row>
    <row r="1836" spans="1:3" x14ac:dyDescent="0.25">
      <c r="A1836" t="s">
        <v>3638</v>
      </c>
      <c r="B1836" t="s">
        <v>6962</v>
      </c>
      <c r="C1836" s="1">
        <v>45801</v>
      </c>
    </row>
    <row r="1837" spans="1:3" x14ac:dyDescent="0.25">
      <c r="A1837" t="s">
        <v>3632</v>
      </c>
      <c r="B1837" t="s">
        <v>6963</v>
      </c>
      <c r="C1837" s="1"/>
    </row>
    <row r="1838" spans="1:3" x14ac:dyDescent="0.25">
      <c r="A1838" t="s">
        <v>3632</v>
      </c>
      <c r="B1838" t="s">
        <v>39</v>
      </c>
      <c r="C1838" s="1"/>
    </row>
    <row r="1839" spans="1:3" x14ac:dyDescent="0.25">
      <c r="A1839" t="s">
        <v>3632</v>
      </c>
      <c r="B1839" t="s">
        <v>6962</v>
      </c>
      <c r="C1839" s="1">
        <v>45805</v>
      </c>
    </row>
    <row r="1840" spans="1:3" x14ac:dyDescent="0.25">
      <c r="A1840" t="s">
        <v>3638</v>
      </c>
      <c r="B1840" t="s">
        <v>6962</v>
      </c>
      <c r="C1840" s="1">
        <v>45824</v>
      </c>
    </row>
    <row r="1841" spans="1:3" x14ac:dyDescent="0.25">
      <c r="A1841" t="s">
        <v>3644</v>
      </c>
      <c r="B1841" t="s">
        <v>6962</v>
      </c>
      <c r="C1841" s="1">
        <v>45796</v>
      </c>
    </row>
    <row r="1842" spans="1:3" x14ac:dyDescent="0.25">
      <c r="A1842" t="s">
        <v>3643</v>
      </c>
      <c r="B1842" t="s">
        <v>6962</v>
      </c>
      <c r="C1842" s="1">
        <v>45801</v>
      </c>
    </row>
    <row r="1843" spans="1:3" x14ac:dyDescent="0.25">
      <c r="A1843" t="s">
        <v>3642</v>
      </c>
      <c r="B1843" t="s">
        <v>6962</v>
      </c>
      <c r="C1843" s="1">
        <v>45799</v>
      </c>
    </row>
    <row r="1844" spans="1:3" x14ac:dyDescent="0.25">
      <c r="A1844" t="s">
        <v>3647</v>
      </c>
      <c r="B1844" t="s">
        <v>6962</v>
      </c>
      <c r="C1844" s="1">
        <v>45797</v>
      </c>
    </row>
    <row r="1845" spans="1:3" x14ac:dyDescent="0.25">
      <c r="A1845" t="s">
        <v>3646</v>
      </c>
      <c r="B1845" t="s">
        <v>6962</v>
      </c>
      <c r="C1845" s="1">
        <v>45801</v>
      </c>
    </row>
    <row r="1846" spans="1:3" x14ac:dyDescent="0.25">
      <c r="A1846" t="s">
        <v>3645</v>
      </c>
      <c r="B1846" t="s">
        <v>6962</v>
      </c>
      <c r="C1846" s="1">
        <v>45797</v>
      </c>
    </row>
    <row r="1847" spans="1:3" x14ac:dyDescent="0.25">
      <c r="A1847" t="s">
        <v>3648</v>
      </c>
      <c r="B1847" t="s">
        <v>6962</v>
      </c>
      <c r="C1847" s="1">
        <v>45807</v>
      </c>
    </row>
    <row r="1848" spans="1:3" x14ac:dyDescent="0.25">
      <c r="A1848" t="s">
        <v>3102</v>
      </c>
      <c r="B1848" t="s">
        <v>6963</v>
      </c>
      <c r="C1848" s="1"/>
    </row>
    <row r="1849" spans="1:3" x14ac:dyDescent="0.25">
      <c r="A1849" t="s">
        <v>3102</v>
      </c>
      <c r="B1849" t="s">
        <v>6963</v>
      </c>
      <c r="C1849" s="1"/>
    </row>
    <row r="1850" spans="1:3" x14ac:dyDescent="0.25">
      <c r="A1850" t="s">
        <v>3649</v>
      </c>
      <c r="B1850" t="s">
        <v>6962</v>
      </c>
      <c r="C1850" s="1">
        <v>45798</v>
      </c>
    </row>
    <row r="1851" spans="1:3" x14ac:dyDescent="0.25">
      <c r="A1851" t="s">
        <v>3103</v>
      </c>
      <c r="B1851" t="s">
        <v>6962</v>
      </c>
      <c r="C1851" s="1">
        <v>45815</v>
      </c>
    </row>
    <row r="1852" spans="1:3" x14ac:dyDescent="0.25">
      <c r="A1852" t="s">
        <v>2497</v>
      </c>
      <c r="B1852" t="s">
        <v>6964</v>
      </c>
      <c r="C1852" s="1">
        <v>45818</v>
      </c>
    </row>
    <row r="1853" spans="1:3" x14ac:dyDescent="0.25">
      <c r="A1853" t="s">
        <v>3662</v>
      </c>
      <c r="B1853" t="s">
        <v>6962</v>
      </c>
      <c r="C1853" s="1">
        <v>45825</v>
      </c>
    </row>
    <row r="1854" spans="1:3" x14ac:dyDescent="0.25">
      <c r="A1854" t="s">
        <v>3661</v>
      </c>
      <c r="B1854" t="s">
        <v>6962</v>
      </c>
      <c r="C1854" s="1">
        <v>45813</v>
      </c>
    </row>
    <row r="1855" spans="1:3" x14ac:dyDescent="0.25">
      <c r="A1855" t="s">
        <v>3660</v>
      </c>
      <c r="B1855" t="s">
        <v>6963</v>
      </c>
      <c r="C1855" s="1"/>
    </row>
    <row r="1856" spans="1:3" x14ac:dyDescent="0.25">
      <c r="A1856" t="s">
        <v>3659</v>
      </c>
      <c r="B1856" t="s">
        <v>6962</v>
      </c>
      <c r="C1856" s="1">
        <v>45813</v>
      </c>
    </row>
    <row r="1857" spans="1:3" x14ac:dyDescent="0.25">
      <c r="A1857" t="s">
        <v>3658</v>
      </c>
      <c r="B1857" t="s">
        <v>6962</v>
      </c>
      <c r="C1857" s="1">
        <v>45798</v>
      </c>
    </row>
    <row r="1858" spans="1:3" x14ac:dyDescent="0.25">
      <c r="A1858" t="s">
        <v>3657</v>
      </c>
      <c r="B1858" t="s">
        <v>6962</v>
      </c>
      <c r="C1858" s="1">
        <v>45808</v>
      </c>
    </row>
    <row r="1859" spans="1:3" x14ac:dyDescent="0.25">
      <c r="A1859" t="s">
        <v>3656</v>
      </c>
      <c r="B1859" t="s">
        <v>6962</v>
      </c>
      <c r="C1859" s="1">
        <v>45808</v>
      </c>
    </row>
    <row r="1860" spans="1:3" x14ac:dyDescent="0.25">
      <c r="A1860" t="s">
        <v>3655</v>
      </c>
      <c r="B1860" t="s">
        <v>6962</v>
      </c>
      <c r="C1860" s="1">
        <v>45804</v>
      </c>
    </row>
    <row r="1861" spans="1:3" x14ac:dyDescent="0.25">
      <c r="A1861" t="s">
        <v>3654</v>
      </c>
      <c r="B1861" t="s">
        <v>6962</v>
      </c>
      <c r="C1861" s="1">
        <v>45810</v>
      </c>
    </row>
    <row r="1862" spans="1:3" x14ac:dyDescent="0.25">
      <c r="A1862" t="s">
        <v>3653</v>
      </c>
      <c r="B1862" t="s">
        <v>6963</v>
      </c>
      <c r="C1862" s="1"/>
    </row>
    <row r="1863" spans="1:3" x14ac:dyDescent="0.25">
      <c r="A1863" t="s">
        <v>3652</v>
      </c>
      <c r="B1863" t="s">
        <v>6962</v>
      </c>
      <c r="C1863" s="1">
        <v>45848</v>
      </c>
    </row>
    <row r="1864" spans="1:3" x14ac:dyDescent="0.25">
      <c r="A1864" t="s">
        <v>3651</v>
      </c>
      <c r="B1864" t="s">
        <v>6962</v>
      </c>
      <c r="C1864" s="1">
        <v>45810</v>
      </c>
    </row>
    <row r="1865" spans="1:3" x14ac:dyDescent="0.25">
      <c r="A1865" t="s">
        <v>3650</v>
      </c>
      <c r="B1865" t="s">
        <v>6962</v>
      </c>
      <c r="C1865" s="1">
        <v>45810</v>
      </c>
    </row>
    <row r="1866" spans="1:3" x14ac:dyDescent="0.25">
      <c r="A1866" t="s">
        <v>2548</v>
      </c>
      <c r="B1866" t="s">
        <v>6962</v>
      </c>
      <c r="C1866" s="1">
        <v>45807</v>
      </c>
    </row>
    <row r="1867" spans="1:3" x14ac:dyDescent="0.25">
      <c r="A1867" t="s">
        <v>3658</v>
      </c>
      <c r="B1867" t="s">
        <v>6962</v>
      </c>
      <c r="C1867" s="1">
        <v>45834</v>
      </c>
    </row>
    <row r="1868" spans="1:3" x14ac:dyDescent="0.25">
      <c r="A1868" t="s">
        <v>2551</v>
      </c>
      <c r="B1868" t="s">
        <v>6962</v>
      </c>
      <c r="C1868" s="1">
        <v>45801</v>
      </c>
    </row>
    <row r="1869" spans="1:3" x14ac:dyDescent="0.25">
      <c r="A1869" t="s">
        <v>3663</v>
      </c>
      <c r="B1869" t="s">
        <v>6962</v>
      </c>
      <c r="C1869" s="1">
        <v>45801</v>
      </c>
    </row>
    <row r="1870" spans="1:3" x14ac:dyDescent="0.25">
      <c r="A1870" t="s">
        <v>3664</v>
      </c>
      <c r="B1870" t="s">
        <v>6962</v>
      </c>
      <c r="C1870" s="1">
        <v>45826</v>
      </c>
    </row>
    <row r="1871" spans="1:3" x14ac:dyDescent="0.25">
      <c r="A1871" t="s">
        <v>3665</v>
      </c>
      <c r="B1871" t="s">
        <v>6963</v>
      </c>
      <c r="C1871" s="1"/>
    </row>
    <row r="1872" spans="1:3" x14ac:dyDescent="0.25">
      <c r="A1872" t="s">
        <v>2554</v>
      </c>
      <c r="B1872" t="s">
        <v>6962</v>
      </c>
      <c r="C1872" s="1">
        <v>45832</v>
      </c>
    </row>
    <row r="1873" spans="1:3" x14ac:dyDescent="0.25">
      <c r="A1873" t="s">
        <v>2553</v>
      </c>
      <c r="B1873" t="s">
        <v>6962</v>
      </c>
      <c r="C1873" s="1">
        <v>45810</v>
      </c>
    </row>
    <row r="1874" spans="1:3" x14ac:dyDescent="0.25">
      <c r="A1874" t="s">
        <v>3034</v>
      </c>
      <c r="B1874" t="s">
        <v>6962</v>
      </c>
      <c r="C1874" s="1">
        <v>45810</v>
      </c>
    </row>
    <row r="1875" spans="1:3" x14ac:dyDescent="0.25">
      <c r="A1875" t="s">
        <v>3669</v>
      </c>
      <c r="B1875" t="s">
        <v>6962</v>
      </c>
      <c r="C1875" s="1">
        <v>45805</v>
      </c>
    </row>
    <row r="1876" spans="1:3" x14ac:dyDescent="0.25">
      <c r="A1876" t="s">
        <v>3033</v>
      </c>
      <c r="B1876" t="s">
        <v>6962</v>
      </c>
      <c r="C1876" s="1">
        <v>45819</v>
      </c>
    </row>
    <row r="1877" spans="1:3" x14ac:dyDescent="0.25">
      <c r="A1877" t="s">
        <v>3668</v>
      </c>
      <c r="B1877" t="s">
        <v>6962</v>
      </c>
      <c r="C1877" s="1">
        <v>45815</v>
      </c>
    </row>
    <row r="1878" spans="1:3" x14ac:dyDescent="0.25">
      <c r="A1878" t="s">
        <v>3667</v>
      </c>
      <c r="B1878" t="s">
        <v>6962</v>
      </c>
      <c r="C1878" s="1">
        <v>45800</v>
      </c>
    </row>
    <row r="1879" spans="1:3" x14ac:dyDescent="0.25">
      <c r="A1879" t="s">
        <v>3666</v>
      </c>
      <c r="B1879" t="s">
        <v>6962</v>
      </c>
      <c r="C1879" s="1">
        <v>45832</v>
      </c>
    </row>
    <row r="1880" spans="1:3" x14ac:dyDescent="0.25">
      <c r="A1880" t="s">
        <v>3670</v>
      </c>
      <c r="B1880" t="s">
        <v>6962</v>
      </c>
      <c r="C1880" s="1">
        <v>45797</v>
      </c>
    </row>
    <row r="1881" spans="1:3" x14ac:dyDescent="0.25">
      <c r="A1881" t="s">
        <v>3672</v>
      </c>
      <c r="B1881" t="s">
        <v>6962</v>
      </c>
      <c r="C1881" s="1">
        <v>45839</v>
      </c>
    </row>
    <row r="1882" spans="1:3" x14ac:dyDescent="0.25">
      <c r="A1882" t="s">
        <v>3671</v>
      </c>
      <c r="B1882" t="s">
        <v>6962</v>
      </c>
      <c r="C1882" s="1">
        <v>45827</v>
      </c>
    </row>
    <row r="1883" spans="1:3" x14ac:dyDescent="0.25">
      <c r="A1883" t="s">
        <v>3673</v>
      </c>
      <c r="B1883" t="s">
        <v>6962</v>
      </c>
      <c r="C1883" s="1">
        <v>45801</v>
      </c>
    </row>
    <row r="1884" spans="1:3" x14ac:dyDescent="0.25">
      <c r="A1884" t="s">
        <v>3674</v>
      </c>
      <c r="B1884" t="s">
        <v>6962</v>
      </c>
      <c r="C1884" s="1">
        <v>45805</v>
      </c>
    </row>
    <row r="1885" spans="1:3" x14ac:dyDescent="0.25">
      <c r="A1885" t="s">
        <v>3104</v>
      </c>
      <c r="B1885" t="s">
        <v>6962</v>
      </c>
      <c r="C1885" s="1">
        <v>45815</v>
      </c>
    </row>
    <row r="1886" spans="1:3" x14ac:dyDescent="0.25">
      <c r="A1886" t="s">
        <v>3035</v>
      </c>
      <c r="B1886" t="s">
        <v>6962</v>
      </c>
      <c r="C1886" s="1">
        <v>45800</v>
      </c>
    </row>
    <row r="1887" spans="1:3" x14ac:dyDescent="0.25">
      <c r="A1887" t="s">
        <v>3675</v>
      </c>
      <c r="B1887" t="s">
        <v>6962</v>
      </c>
      <c r="C1887" s="1">
        <v>45804</v>
      </c>
    </row>
    <row r="1888" spans="1:3" x14ac:dyDescent="0.25">
      <c r="A1888" t="s">
        <v>3677</v>
      </c>
      <c r="B1888" t="s">
        <v>6962</v>
      </c>
      <c r="C1888" s="1">
        <v>45804</v>
      </c>
    </row>
    <row r="1889" spans="1:3" x14ac:dyDescent="0.25">
      <c r="A1889" t="s">
        <v>3676</v>
      </c>
      <c r="B1889" t="s">
        <v>6962</v>
      </c>
      <c r="C1889" s="1">
        <v>45808</v>
      </c>
    </row>
    <row r="1890" spans="1:3" x14ac:dyDescent="0.25">
      <c r="A1890" t="s">
        <v>3037</v>
      </c>
      <c r="B1890" t="s">
        <v>6962</v>
      </c>
      <c r="C1890" s="1">
        <v>45824</v>
      </c>
    </row>
    <row r="1891" spans="1:3" x14ac:dyDescent="0.25">
      <c r="A1891" t="s">
        <v>3036</v>
      </c>
      <c r="B1891" t="s">
        <v>6962</v>
      </c>
      <c r="C1891" s="1">
        <v>45810</v>
      </c>
    </row>
    <row r="1892" spans="1:3" x14ac:dyDescent="0.25">
      <c r="A1892" t="s">
        <v>2536</v>
      </c>
      <c r="B1892" t="s">
        <v>6962</v>
      </c>
      <c r="C1892" s="1">
        <v>45799</v>
      </c>
    </row>
    <row r="1893" spans="1:3" x14ac:dyDescent="0.25">
      <c r="A1893" t="s">
        <v>3678</v>
      </c>
      <c r="B1893" t="s">
        <v>6962</v>
      </c>
      <c r="C1893" s="1">
        <v>45838</v>
      </c>
    </row>
    <row r="1894" spans="1:3" x14ac:dyDescent="0.25">
      <c r="A1894" t="s">
        <v>3105</v>
      </c>
      <c r="B1894" t="s">
        <v>6963</v>
      </c>
      <c r="C1894" s="1"/>
    </row>
    <row r="1895" spans="1:3" x14ac:dyDescent="0.25">
      <c r="A1895" t="s">
        <v>3105</v>
      </c>
      <c r="B1895" t="s">
        <v>6963</v>
      </c>
      <c r="C1895" s="1"/>
    </row>
    <row r="1896" spans="1:3" x14ac:dyDescent="0.25">
      <c r="A1896" t="s">
        <v>3106</v>
      </c>
      <c r="B1896" t="s">
        <v>6962</v>
      </c>
      <c r="C1896" s="1">
        <v>45817</v>
      </c>
    </row>
    <row r="1897" spans="1:3" x14ac:dyDescent="0.25">
      <c r="A1897" t="s">
        <v>3107</v>
      </c>
      <c r="B1897" t="s">
        <v>6962</v>
      </c>
      <c r="C1897" s="1">
        <v>45817</v>
      </c>
    </row>
    <row r="1898" spans="1:3" x14ac:dyDescent="0.25">
      <c r="A1898" t="s">
        <v>3680</v>
      </c>
      <c r="B1898" t="s">
        <v>6962</v>
      </c>
      <c r="C1898" s="1">
        <v>45814</v>
      </c>
    </row>
    <row r="1899" spans="1:3" x14ac:dyDescent="0.25">
      <c r="A1899" t="s">
        <v>3680</v>
      </c>
      <c r="B1899" t="s">
        <v>6963</v>
      </c>
      <c r="C1899" s="1"/>
    </row>
    <row r="1900" spans="1:3" x14ac:dyDescent="0.25">
      <c r="A1900" t="s">
        <v>3680</v>
      </c>
      <c r="B1900" t="s">
        <v>6962</v>
      </c>
      <c r="C1900" s="1">
        <v>45808</v>
      </c>
    </row>
    <row r="1901" spans="1:3" x14ac:dyDescent="0.25">
      <c r="A1901" t="s">
        <v>3680</v>
      </c>
      <c r="B1901" t="s">
        <v>39</v>
      </c>
      <c r="C1901" s="1"/>
    </row>
    <row r="1902" spans="1:3" x14ac:dyDescent="0.25">
      <c r="A1902" t="s">
        <v>3680</v>
      </c>
      <c r="B1902" t="s">
        <v>6962</v>
      </c>
      <c r="C1902" s="1">
        <v>45811</v>
      </c>
    </row>
    <row r="1903" spans="1:3" x14ac:dyDescent="0.25">
      <c r="A1903" t="s">
        <v>3679</v>
      </c>
      <c r="B1903" t="s">
        <v>6962</v>
      </c>
      <c r="C1903" s="1">
        <v>45810</v>
      </c>
    </row>
    <row r="1904" spans="1:3" x14ac:dyDescent="0.25">
      <c r="A1904" t="s">
        <v>3108</v>
      </c>
      <c r="B1904" t="s">
        <v>6962</v>
      </c>
      <c r="C1904" s="1">
        <v>45830</v>
      </c>
    </row>
    <row r="1905" spans="1:3" x14ac:dyDescent="0.25">
      <c r="A1905" t="s">
        <v>3681</v>
      </c>
      <c r="B1905" t="s">
        <v>6962</v>
      </c>
      <c r="C1905" s="1">
        <v>45800</v>
      </c>
    </row>
    <row r="1906" spans="1:3" x14ac:dyDescent="0.25">
      <c r="A1906" t="s">
        <v>3109</v>
      </c>
      <c r="B1906" t="s">
        <v>6962</v>
      </c>
      <c r="C1906" s="1">
        <v>45815</v>
      </c>
    </row>
    <row r="1907" spans="1:3" x14ac:dyDescent="0.25">
      <c r="A1907" t="s">
        <v>3109</v>
      </c>
      <c r="B1907" t="s">
        <v>6962</v>
      </c>
      <c r="C1907" s="1">
        <v>45815</v>
      </c>
    </row>
    <row r="1908" spans="1:3" x14ac:dyDescent="0.25">
      <c r="A1908" t="s">
        <v>3682</v>
      </c>
      <c r="B1908" t="s">
        <v>6962</v>
      </c>
      <c r="C1908" s="1">
        <v>45803</v>
      </c>
    </row>
    <row r="1909" spans="1:3" x14ac:dyDescent="0.25">
      <c r="A1909" t="s">
        <v>3096</v>
      </c>
      <c r="B1909" t="s">
        <v>6962</v>
      </c>
      <c r="C1909" s="1">
        <v>45798</v>
      </c>
    </row>
    <row r="1910" spans="1:3" x14ac:dyDescent="0.25">
      <c r="A1910" t="s">
        <v>3684</v>
      </c>
      <c r="B1910" t="s">
        <v>6962</v>
      </c>
      <c r="C1910" s="1">
        <v>45801</v>
      </c>
    </row>
    <row r="1911" spans="1:3" x14ac:dyDescent="0.25">
      <c r="A1911" t="s">
        <v>3683</v>
      </c>
      <c r="B1911" t="s">
        <v>6963</v>
      </c>
      <c r="C1911" s="1"/>
    </row>
    <row r="1912" spans="1:3" x14ac:dyDescent="0.25">
      <c r="A1912" t="s">
        <v>2555</v>
      </c>
      <c r="B1912" t="s">
        <v>6962</v>
      </c>
      <c r="C1912" s="1">
        <v>45850</v>
      </c>
    </row>
    <row r="1913" spans="1:3" x14ac:dyDescent="0.25">
      <c r="A1913" t="s">
        <v>6848</v>
      </c>
      <c r="B1913" t="s">
        <v>6963</v>
      </c>
      <c r="C1913" s="1"/>
    </row>
    <row r="1914" spans="1:3" x14ac:dyDescent="0.25">
      <c r="A1914" t="s">
        <v>3685</v>
      </c>
      <c r="B1914" t="s">
        <v>6962</v>
      </c>
      <c r="C1914" s="1">
        <v>45811</v>
      </c>
    </row>
    <row r="1915" spans="1:3" x14ac:dyDescent="0.25">
      <c r="A1915" t="s">
        <v>3686</v>
      </c>
      <c r="B1915" t="s">
        <v>6962</v>
      </c>
      <c r="C1915" s="1">
        <v>45803</v>
      </c>
    </row>
    <row r="1916" spans="1:3" x14ac:dyDescent="0.25">
      <c r="A1916" t="s">
        <v>2557</v>
      </c>
      <c r="B1916" t="s">
        <v>6962</v>
      </c>
      <c r="C1916" s="1">
        <v>45814</v>
      </c>
    </row>
    <row r="1917" spans="1:3" x14ac:dyDescent="0.25">
      <c r="A1917" t="s">
        <v>2556</v>
      </c>
      <c r="B1917" t="s">
        <v>39</v>
      </c>
      <c r="C1917" s="1"/>
    </row>
    <row r="1918" spans="1:3" x14ac:dyDescent="0.25">
      <c r="A1918" t="s">
        <v>3687</v>
      </c>
      <c r="B1918" t="s">
        <v>6962</v>
      </c>
      <c r="C1918" s="1">
        <v>45827</v>
      </c>
    </row>
    <row r="1919" spans="1:3" x14ac:dyDescent="0.25">
      <c r="A1919" t="s">
        <v>2558</v>
      </c>
      <c r="B1919" t="s">
        <v>6962</v>
      </c>
      <c r="C1919" s="1">
        <v>45825</v>
      </c>
    </row>
    <row r="1920" spans="1:3" x14ac:dyDescent="0.25">
      <c r="A1920" t="s">
        <v>2559</v>
      </c>
      <c r="B1920" t="s">
        <v>6962</v>
      </c>
      <c r="C1920" s="1">
        <v>45842</v>
      </c>
    </row>
    <row r="1921" spans="1:3" x14ac:dyDescent="0.25">
      <c r="A1921" t="s">
        <v>3689</v>
      </c>
      <c r="B1921" t="s">
        <v>6962</v>
      </c>
      <c r="C1921" s="1">
        <v>45803</v>
      </c>
    </row>
    <row r="1922" spans="1:3" x14ac:dyDescent="0.25">
      <c r="A1922" t="s">
        <v>3689</v>
      </c>
      <c r="B1922" t="s">
        <v>6962</v>
      </c>
      <c r="C1922" s="1">
        <v>45815</v>
      </c>
    </row>
    <row r="1923" spans="1:3" x14ac:dyDescent="0.25">
      <c r="A1923" t="s">
        <v>3043</v>
      </c>
      <c r="B1923" t="s">
        <v>6962</v>
      </c>
      <c r="C1923" s="1">
        <v>45810</v>
      </c>
    </row>
    <row r="1924" spans="1:3" x14ac:dyDescent="0.25">
      <c r="A1924" t="s">
        <v>3042</v>
      </c>
      <c r="B1924" t="s">
        <v>6962</v>
      </c>
      <c r="C1924" s="1">
        <v>45820</v>
      </c>
    </row>
    <row r="1925" spans="1:3" x14ac:dyDescent="0.25">
      <c r="A1925" t="s">
        <v>3041</v>
      </c>
      <c r="B1925" t="s">
        <v>6962</v>
      </c>
      <c r="C1925" s="1">
        <v>45822</v>
      </c>
    </row>
    <row r="1926" spans="1:3" x14ac:dyDescent="0.25">
      <c r="A1926" t="s">
        <v>3692</v>
      </c>
      <c r="B1926" t="s">
        <v>6962</v>
      </c>
      <c r="C1926" s="1">
        <v>45801</v>
      </c>
    </row>
    <row r="1927" spans="1:3" x14ac:dyDescent="0.25">
      <c r="A1927" t="s">
        <v>3040</v>
      </c>
      <c r="B1927" t="s">
        <v>6962</v>
      </c>
      <c r="C1927" s="1">
        <v>45810</v>
      </c>
    </row>
    <row r="1928" spans="1:3" x14ac:dyDescent="0.25">
      <c r="A1928" t="s">
        <v>3039</v>
      </c>
      <c r="B1928" t="s">
        <v>6962</v>
      </c>
      <c r="C1928" s="1">
        <v>45824</v>
      </c>
    </row>
    <row r="1929" spans="1:3" x14ac:dyDescent="0.25">
      <c r="A1929" t="s">
        <v>3038</v>
      </c>
      <c r="B1929" t="s">
        <v>6962</v>
      </c>
      <c r="C1929" s="1">
        <v>45820</v>
      </c>
    </row>
    <row r="1930" spans="1:3" x14ac:dyDescent="0.25">
      <c r="A1930" t="s">
        <v>3691</v>
      </c>
      <c r="B1930" t="s">
        <v>6962</v>
      </c>
      <c r="C1930" s="1">
        <v>45824</v>
      </c>
    </row>
    <row r="1931" spans="1:3" x14ac:dyDescent="0.25">
      <c r="A1931" t="s">
        <v>3690</v>
      </c>
      <c r="B1931" t="s">
        <v>6962</v>
      </c>
      <c r="C1931" s="1">
        <v>45806</v>
      </c>
    </row>
    <row r="1932" spans="1:3" x14ac:dyDescent="0.25">
      <c r="A1932" t="s">
        <v>3044</v>
      </c>
      <c r="B1932" t="s">
        <v>6962</v>
      </c>
      <c r="C1932" s="1">
        <v>45820</v>
      </c>
    </row>
    <row r="1933" spans="1:3" x14ac:dyDescent="0.25">
      <c r="A1933" t="s">
        <v>3693</v>
      </c>
      <c r="B1933" t="s">
        <v>6962</v>
      </c>
      <c r="C1933" s="1">
        <v>45825</v>
      </c>
    </row>
    <row r="1934" spans="1:3" x14ac:dyDescent="0.25">
      <c r="A1934" t="s">
        <v>3110</v>
      </c>
      <c r="B1934" t="s">
        <v>6962</v>
      </c>
      <c r="C1934" s="1">
        <v>45808</v>
      </c>
    </row>
    <row r="1935" spans="1:3" x14ac:dyDescent="0.25">
      <c r="A1935" t="s">
        <v>3110</v>
      </c>
      <c r="B1935" t="s">
        <v>6962</v>
      </c>
      <c r="C1935" s="1">
        <v>45808</v>
      </c>
    </row>
    <row r="1936" spans="1:3" x14ac:dyDescent="0.25">
      <c r="A1936" t="s">
        <v>3695</v>
      </c>
      <c r="B1936" t="s">
        <v>6962</v>
      </c>
      <c r="C1936" s="1">
        <v>45807</v>
      </c>
    </row>
    <row r="1937" spans="1:3" x14ac:dyDescent="0.25">
      <c r="A1937" t="s">
        <v>3694</v>
      </c>
      <c r="B1937" t="s">
        <v>6962</v>
      </c>
      <c r="C1937" s="1">
        <v>45801</v>
      </c>
    </row>
    <row r="1938" spans="1:3" x14ac:dyDescent="0.25">
      <c r="A1938" t="s">
        <v>3592</v>
      </c>
      <c r="B1938" t="s">
        <v>6962</v>
      </c>
      <c r="C1938" s="1">
        <v>45813</v>
      </c>
    </row>
    <row r="1939" spans="1:3" x14ac:dyDescent="0.25">
      <c r="A1939" t="s">
        <v>3696</v>
      </c>
      <c r="B1939" t="s">
        <v>6962</v>
      </c>
      <c r="C1939" s="1">
        <v>45836</v>
      </c>
    </row>
    <row r="1940" spans="1:3" x14ac:dyDescent="0.25">
      <c r="A1940" t="s">
        <v>3696</v>
      </c>
      <c r="B1940" t="s">
        <v>6962</v>
      </c>
      <c r="C1940" s="1">
        <v>45819</v>
      </c>
    </row>
    <row r="1941" spans="1:3" x14ac:dyDescent="0.25">
      <c r="A1941" t="s">
        <v>3696</v>
      </c>
      <c r="B1941" t="s">
        <v>6962</v>
      </c>
      <c r="C1941" s="1">
        <v>45819</v>
      </c>
    </row>
    <row r="1942" spans="1:3" x14ac:dyDescent="0.25">
      <c r="A1942" t="s">
        <v>3696</v>
      </c>
      <c r="B1942" t="s">
        <v>6962</v>
      </c>
      <c r="C1942" s="1">
        <v>45836</v>
      </c>
    </row>
    <row r="1943" spans="1:3" x14ac:dyDescent="0.25">
      <c r="A1943" t="s">
        <v>3696</v>
      </c>
      <c r="B1943" t="s">
        <v>6962</v>
      </c>
      <c r="C1943" s="1">
        <v>45836</v>
      </c>
    </row>
    <row r="1944" spans="1:3" x14ac:dyDescent="0.25">
      <c r="A1944" t="s">
        <v>3698</v>
      </c>
      <c r="B1944" t="s">
        <v>39</v>
      </c>
      <c r="C1944" s="1"/>
    </row>
    <row r="1945" spans="1:3" x14ac:dyDescent="0.25">
      <c r="A1945" t="s">
        <v>3697</v>
      </c>
      <c r="B1945" t="s">
        <v>6963</v>
      </c>
      <c r="C1945" s="1"/>
    </row>
    <row r="1946" spans="1:3" x14ac:dyDescent="0.25">
      <c r="A1946" t="s">
        <v>3046</v>
      </c>
      <c r="B1946" t="s">
        <v>6962</v>
      </c>
      <c r="C1946" s="1">
        <v>45813</v>
      </c>
    </row>
    <row r="1947" spans="1:3" x14ac:dyDescent="0.25">
      <c r="A1947" t="s">
        <v>3045</v>
      </c>
      <c r="B1947" t="s">
        <v>6962</v>
      </c>
      <c r="C1947" s="1">
        <v>45812</v>
      </c>
    </row>
    <row r="1948" spans="1:3" x14ac:dyDescent="0.25">
      <c r="A1948" t="s">
        <v>3699</v>
      </c>
      <c r="B1948" t="s">
        <v>6962</v>
      </c>
      <c r="C1948" s="1">
        <v>45828</v>
      </c>
    </row>
    <row r="1949" spans="1:3" x14ac:dyDescent="0.25">
      <c r="A1949" t="s">
        <v>3700</v>
      </c>
      <c r="B1949" t="s">
        <v>6962</v>
      </c>
      <c r="C1949" s="1">
        <v>45812</v>
      </c>
    </row>
    <row r="1950" spans="1:3" x14ac:dyDescent="0.25">
      <c r="A1950" t="s">
        <v>3700</v>
      </c>
      <c r="B1950" t="s">
        <v>6962</v>
      </c>
      <c r="C1950" s="1">
        <v>45804</v>
      </c>
    </row>
    <row r="1951" spans="1:3" x14ac:dyDescent="0.25">
      <c r="A1951" t="s">
        <v>3700</v>
      </c>
      <c r="B1951" t="s">
        <v>6962</v>
      </c>
      <c r="C1951" s="1">
        <v>45834</v>
      </c>
    </row>
    <row r="1952" spans="1:3" x14ac:dyDescent="0.25">
      <c r="A1952" t="s">
        <v>3700</v>
      </c>
      <c r="B1952" t="s">
        <v>6962</v>
      </c>
      <c r="C1952" s="1">
        <v>45805</v>
      </c>
    </row>
    <row r="1953" spans="1:3" x14ac:dyDescent="0.25">
      <c r="A1953" t="s">
        <v>3047</v>
      </c>
      <c r="B1953" t="s">
        <v>6962</v>
      </c>
      <c r="C1953" s="1">
        <v>45810</v>
      </c>
    </row>
    <row r="1954" spans="1:3" x14ac:dyDescent="0.25">
      <c r="A1954" t="s">
        <v>3702</v>
      </c>
      <c r="B1954" t="s">
        <v>6962</v>
      </c>
      <c r="C1954" s="1">
        <v>45803</v>
      </c>
    </row>
    <row r="1955" spans="1:3" x14ac:dyDescent="0.25">
      <c r="A1955" t="s">
        <v>2563</v>
      </c>
      <c r="B1955" t="s">
        <v>6962</v>
      </c>
      <c r="C1955" s="1">
        <v>45820</v>
      </c>
    </row>
    <row r="1956" spans="1:3" x14ac:dyDescent="0.25">
      <c r="A1956" t="s">
        <v>6849</v>
      </c>
      <c r="B1956" t="s">
        <v>6963</v>
      </c>
      <c r="C1956" s="1"/>
    </row>
    <row r="1957" spans="1:3" x14ac:dyDescent="0.25">
      <c r="A1957" t="s">
        <v>2562</v>
      </c>
      <c r="B1957" t="s">
        <v>6962</v>
      </c>
      <c r="C1957" s="1">
        <v>45830</v>
      </c>
    </row>
    <row r="1958" spans="1:3" x14ac:dyDescent="0.25">
      <c r="A1958" t="s">
        <v>2561</v>
      </c>
      <c r="B1958" t="s">
        <v>6962</v>
      </c>
      <c r="C1958" s="1">
        <v>45850</v>
      </c>
    </row>
    <row r="1959" spans="1:3" x14ac:dyDescent="0.25">
      <c r="A1959" t="s">
        <v>3048</v>
      </c>
      <c r="B1959" t="s">
        <v>6962</v>
      </c>
      <c r="C1959" s="1">
        <v>45813</v>
      </c>
    </row>
    <row r="1960" spans="1:3" x14ac:dyDescent="0.25">
      <c r="A1960" t="s">
        <v>3703</v>
      </c>
      <c r="B1960" t="s">
        <v>6962</v>
      </c>
      <c r="C1960" s="1">
        <v>45834</v>
      </c>
    </row>
    <row r="1961" spans="1:3" x14ac:dyDescent="0.25">
      <c r="A1961" t="s">
        <v>3703</v>
      </c>
      <c r="B1961" t="s">
        <v>6962</v>
      </c>
      <c r="C1961" s="1">
        <v>45806</v>
      </c>
    </row>
    <row r="1962" spans="1:3" x14ac:dyDescent="0.25">
      <c r="A1962" t="s">
        <v>3704</v>
      </c>
      <c r="B1962" t="s">
        <v>6962</v>
      </c>
      <c r="C1962" s="1">
        <v>45804</v>
      </c>
    </row>
    <row r="1963" spans="1:3" x14ac:dyDescent="0.25">
      <c r="A1963" t="s">
        <v>3049</v>
      </c>
      <c r="B1963" t="s">
        <v>6962</v>
      </c>
      <c r="C1963" s="1">
        <v>45822</v>
      </c>
    </row>
    <row r="1964" spans="1:3" x14ac:dyDescent="0.25">
      <c r="A1964" t="s">
        <v>3705</v>
      </c>
      <c r="B1964" t="s">
        <v>6962</v>
      </c>
      <c r="C1964" s="1">
        <v>45813</v>
      </c>
    </row>
    <row r="1965" spans="1:3" x14ac:dyDescent="0.25">
      <c r="A1965" t="s">
        <v>3115</v>
      </c>
      <c r="B1965" t="s">
        <v>6962</v>
      </c>
      <c r="C1965" s="1">
        <v>45817</v>
      </c>
    </row>
    <row r="1966" spans="1:3" x14ac:dyDescent="0.25">
      <c r="A1966" t="s">
        <v>3114</v>
      </c>
      <c r="B1966" t="s">
        <v>6962</v>
      </c>
      <c r="C1966" s="1">
        <v>45822</v>
      </c>
    </row>
    <row r="1967" spans="1:3" x14ac:dyDescent="0.25">
      <c r="A1967" t="s">
        <v>3113</v>
      </c>
      <c r="B1967" t="s">
        <v>6962</v>
      </c>
      <c r="C1967" s="1">
        <v>45835</v>
      </c>
    </row>
    <row r="1968" spans="1:3" x14ac:dyDescent="0.25">
      <c r="A1968" t="s">
        <v>3709</v>
      </c>
      <c r="B1968" t="s">
        <v>6962</v>
      </c>
      <c r="C1968" s="1">
        <v>45820</v>
      </c>
    </row>
    <row r="1969" spans="1:3" x14ac:dyDescent="0.25">
      <c r="A1969" t="s">
        <v>3112</v>
      </c>
      <c r="B1969" t="s">
        <v>6962</v>
      </c>
      <c r="C1969" s="1">
        <v>45817</v>
      </c>
    </row>
    <row r="1970" spans="1:3" x14ac:dyDescent="0.25">
      <c r="A1970" t="s">
        <v>3708</v>
      </c>
      <c r="B1970" t="s">
        <v>6962</v>
      </c>
      <c r="C1970" s="1">
        <v>45806</v>
      </c>
    </row>
    <row r="1971" spans="1:3" x14ac:dyDescent="0.25">
      <c r="A1971" t="s">
        <v>3707</v>
      </c>
      <c r="B1971" t="s">
        <v>6962</v>
      </c>
      <c r="C1971" s="1">
        <v>45811</v>
      </c>
    </row>
    <row r="1972" spans="1:3" x14ac:dyDescent="0.25">
      <c r="A1972" t="s">
        <v>3706</v>
      </c>
      <c r="B1972" t="s">
        <v>6962</v>
      </c>
      <c r="C1972" s="1">
        <v>45819</v>
      </c>
    </row>
    <row r="1973" spans="1:3" x14ac:dyDescent="0.25">
      <c r="A1973" t="s">
        <v>3050</v>
      </c>
      <c r="B1973" t="s">
        <v>6962</v>
      </c>
      <c r="C1973" s="1">
        <v>45810</v>
      </c>
    </row>
    <row r="1974" spans="1:3" x14ac:dyDescent="0.25">
      <c r="A1974" t="s">
        <v>3710</v>
      </c>
      <c r="B1974" t="s">
        <v>6964</v>
      </c>
      <c r="C1974" s="1">
        <v>45826</v>
      </c>
    </row>
    <row r="1975" spans="1:3" x14ac:dyDescent="0.25">
      <c r="A1975" t="s">
        <v>2550</v>
      </c>
      <c r="B1975" t="s">
        <v>6962</v>
      </c>
      <c r="C1975" s="1">
        <v>45807</v>
      </c>
    </row>
    <row r="1976" spans="1:3" x14ac:dyDescent="0.25">
      <c r="A1976" t="s">
        <v>3711</v>
      </c>
      <c r="B1976" t="s">
        <v>6962</v>
      </c>
      <c r="C1976" s="1">
        <v>45834</v>
      </c>
    </row>
    <row r="1977" spans="1:3" x14ac:dyDescent="0.25">
      <c r="A1977" t="s">
        <v>3711</v>
      </c>
      <c r="B1977" t="s">
        <v>6962</v>
      </c>
      <c r="C1977" s="1">
        <v>45817</v>
      </c>
    </row>
    <row r="1978" spans="1:3" x14ac:dyDescent="0.25">
      <c r="A1978" t="s">
        <v>3711</v>
      </c>
      <c r="B1978" t="s">
        <v>39</v>
      </c>
      <c r="C1978" s="1"/>
    </row>
    <row r="1979" spans="1:3" x14ac:dyDescent="0.25">
      <c r="A1979" t="s">
        <v>3711</v>
      </c>
      <c r="B1979" t="s">
        <v>6962</v>
      </c>
      <c r="C1979" s="1">
        <v>45812</v>
      </c>
    </row>
    <row r="1980" spans="1:3" x14ac:dyDescent="0.25">
      <c r="A1980" t="s">
        <v>3711</v>
      </c>
      <c r="B1980" t="s">
        <v>6962</v>
      </c>
      <c r="C1980" s="1">
        <v>45818</v>
      </c>
    </row>
    <row r="1981" spans="1:3" x14ac:dyDescent="0.25">
      <c r="A1981" t="s">
        <v>3712</v>
      </c>
      <c r="B1981" t="s">
        <v>6962</v>
      </c>
      <c r="C1981" s="1">
        <v>45817</v>
      </c>
    </row>
    <row r="1982" spans="1:3" x14ac:dyDescent="0.25">
      <c r="A1982" t="s">
        <v>3712</v>
      </c>
      <c r="B1982" t="s">
        <v>6962</v>
      </c>
      <c r="C1982" s="1">
        <v>45836</v>
      </c>
    </row>
    <row r="1983" spans="1:3" x14ac:dyDescent="0.25">
      <c r="A1983" t="s">
        <v>3712</v>
      </c>
      <c r="B1983" t="s">
        <v>6962</v>
      </c>
      <c r="C1983" s="1">
        <v>45810</v>
      </c>
    </row>
    <row r="1984" spans="1:3" x14ac:dyDescent="0.25">
      <c r="A1984" t="s">
        <v>3051</v>
      </c>
      <c r="B1984" t="s">
        <v>39</v>
      </c>
      <c r="C1984" s="1"/>
    </row>
    <row r="1985" spans="1:3" x14ac:dyDescent="0.25">
      <c r="A1985" t="s">
        <v>3713</v>
      </c>
      <c r="B1985" t="s">
        <v>6962</v>
      </c>
      <c r="C1985" s="1">
        <v>45807</v>
      </c>
    </row>
    <row r="1986" spans="1:3" x14ac:dyDescent="0.25">
      <c r="A1986" t="s">
        <v>3715</v>
      </c>
      <c r="B1986" t="s">
        <v>6962</v>
      </c>
      <c r="C1986" s="1">
        <v>45807</v>
      </c>
    </row>
    <row r="1987" spans="1:3" x14ac:dyDescent="0.25">
      <c r="A1987" t="s">
        <v>3714</v>
      </c>
      <c r="B1987" t="s">
        <v>6962</v>
      </c>
      <c r="C1987" s="1">
        <v>45827</v>
      </c>
    </row>
    <row r="1988" spans="1:3" x14ac:dyDescent="0.25">
      <c r="A1988" t="s">
        <v>2566</v>
      </c>
      <c r="B1988" t="s">
        <v>6962</v>
      </c>
      <c r="C1988" s="1">
        <v>45819</v>
      </c>
    </row>
    <row r="1989" spans="1:3" x14ac:dyDescent="0.25">
      <c r="A1989" t="s">
        <v>2564</v>
      </c>
      <c r="B1989" t="s">
        <v>6962</v>
      </c>
      <c r="C1989" s="1">
        <v>45822</v>
      </c>
    </row>
    <row r="1990" spans="1:3" x14ac:dyDescent="0.25">
      <c r="A1990" t="s">
        <v>2567</v>
      </c>
      <c r="B1990" t="s">
        <v>6962</v>
      </c>
      <c r="C1990" s="1">
        <v>45842</v>
      </c>
    </row>
    <row r="1991" spans="1:3" x14ac:dyDescent="0.25">
      <c r="A1991" t="s">
        <v>3718</v>
      </c>
      <c r="B1991" t="s">
        <v>6962</v>
      </c>
      <c r="C1991" s="1">
        <v>45820</v>
      </c>
    </row>
    <row r="1992" spans="1:3" x14ac:dyDescent="0.25">
      <c r="A1992" t="s">
        <v>3717</v>
      </c>
      <c r="B1992" t="s">
        <v>6962</v>
      </c>
      <c r="C1992" s="1">
        <v>45817</v>
      </c>
    </row>
    <row r="1993" spans="1:3" x14ac:dyDescent="0.25">
      <c r="A1993" t="s">
        <v>3716</v>
      </c>
      <c r="B1993" t="s">
        <v>6962</v>
      </c>
      <c r="C1993" s="1">
        <v>45820</v>
      </c>
    </row>
    <row r="1994" spans="1:3" x14ac:dyDescent="0.25">
      <c r="A1994" t="s">
        <v>3726</v>
      </c>
      <c r="B1994" t="s">
        <v>6962</v>
      </c>
      <c r="C1994" s="1">
        <v>45834</v>
      </c>
    </row>
    <row r="1995" spans="1:3" x14ac:dyDescent="0.25">
      <c r="A1995" t="s">
        <v>3725</v>
      </c>
      <c r="B1995" t="s">
        <v>6962</v>
      </c>
      <c r="C1995" s="1">
        <v>45807</v>
      </c>
    </row>
    <row r="1996" spans="1:3" x14ac:dyDescent="0.25">
      <c r="A1996" t="s">
        <v>3724</v>
      </c>
      <c r="B1996" t="s">
        <v>6962</v>
      </c>
      <c r="C1996" s="1">
        <v>45807</v>
      </c>
    </row>
    <row r="1997" spans="1:3" x14ac:dyDescent="0.25">
      <c r="A1997" t="s">
        <v>3723</v>
      </c>
      <c r="B1997" t="s">
        <v>6962</v>
      </c>
      <c r="C1997" s="1">
        <v>45810</v>
      </c>
    </row>
    <row r="1998" spans="1:3" x14ac:dyDescent="0.25">
      <c r="A1998" t="s">
        <v>3722</v>
      </c>
      <c r="B1998" t="s">
        <v>6962</v>
      </c>
      <c r="C1998" s="1">
        <v>45826</v>
      </c>
    </row>
    <row r="1999" spans="1:3" x14ac:dyDescent="0.25">
      <c r="A1999" t="s">
        <v>3721</v>
      </c>
      <c r="B1999" t="s">
        <v>6962</v>
      </c>
      <c r="C1999" s="1">
        <v>45815</v>
      </c>
    </row>
    <row r="2000" spans="1:3" x14ac:dyDescent="0.25">
      <c r="A2000" t="s">
        <v>3720</v>
      </c>
      <c r="B2000" t="s">
        <v>6962</v>
      </c>
      <c r="C2000" s="1">
        <v>45807</v>
      </c>
    </row>
    <row r="2001" spans="1:3" x14ac:dyDescent="0.25">
      <c r="A2001" t="s">
        <v>3719</v>
      </c>
      <c r="B2001" t="s">
        <v>6963</v>
      </c>
      <c r="C2001" s="1"/>
    </row>
    <row r="2002" spans="1:3" x14ac:dyDescent="0.25">
      <c r="A2002" t="s">
        <v>3719</v>
      </c>
      <c r="B2002" t="s">
        <v>6963</v>
      </c>
      <c r="C2002" s="1"/>
    </row>
    <row r="2003" spans="1:3" x14ac:dyDescent="0.25">
      <c r="A2003" t="s">
        <v>3719</v>
      </c>
      <c r="B2003" t="s">
        <v>6962</v>
      </c>
      <c r="C2003" s="1">
        <v>45811</v>
      </c>
    </row>
    <row r="2004" spans="1:3" x14ac:dyDescent="0.25">
      <c r="A2004" t="s">
        <v>3719</v>
      </c>
      <c r="B2004" t="s">
        <v>6962</v>
      </c>
      <c r="C2004" s="1">
        <v>45826</v>
      </c>
    </row>
    <row r="2005" spans="1:3" x14ac:dyDescent="0.25">
      <c r="A2005" t="s">
        <v>3719</v>
      </c>
      <c r="B2005" t="s">
        <v>6962</v>
      </c>
      <c r="C2005" s="1">
        <v>45812</v>
      </c>
    </row>
    <row r="2006" spans="1:3" x14ac:dyDescent="0.25">
      <c r="A2006" t="s">
        <v>2570</v>
      </c>
      <c r="B2006" t="s">
        <v>39</v>
      </c>
      <c r="C2006" s="1"/>
    </row>
    <row r="2007" spans="1:3" x14ac:dyDescent="0.25">
      <c r="A2007" t="s">
        <v>2569</v>
      </c>
      <c r="B2007" t="s">
        <v>6962</v>
      </c>
      <c r="C2007" s="1">
        <v>45824</v>
      </c>
    </row>
    <row r="2008" spans="1:3" x14ac:dyDescent="0.25">
      <c r="A2008" t="s">
        <v>2568</v>
      </c>
      <c r="B2008" t="s">
        <v>6962</v>
      </c>
      <c r="C2008" s="1">
        <v>45817</v>
      </c>
    </row>
    <row r="2009" spans="1:3" x14ac:dyDescent="0.25">
      <c r="A2009" t="s">
        <v>2572</v>
      </c>
      <c r="B2009" t="s">
        <v>39</v>
      </c>
      <c r="C2009" s="1"/>
    </row>
    <row r="2010" spans="1:3" x14ac:dyDescent="0.25">
      <c r="A2010" t="s">
        <v>2571</v>
      </c>
      <c r="B2010" t="s">
        <v>39</v>
      </c>
      <c r="C2010" s="1"/>
    </row>
    <row r="2011" spans="1:3" x14ac:dyDescent="0.25">
      <c r="A2011" t="s">
        <v>3731</v>
      </c>
      <c r="B2011" t="s">
        <v>6962</v>
      </c>
      <c r="C2011" s="1">
        <v>45814</v>
      </c>
    </row>
    <row r="2012" spans="1:3" x14ac:dyDescent="0.25">
      <c r="A2012" t="s">
        <v>3730</v>
      </c>
      <c r="B2012" t="s">
        <v>6962</v>
      </c>
      <c r="C2012" s="1">
        <v>45814</v>
      </c>
    </row>
    <row r="2013" spans="1:3" x14ac:dyDescent="0.25">
      <c r="A2013" t="s">
        <v>3729</v>
      </c>
      <c r="B2013" t="s">
        <v>6962</v>
      </c>
      <c r="C2013" s="1">
        <v>45808</v>
      </c>
    </row>
    <row r="2014" spans="1:3" x14ac:dyDescent="0.25">
      <c r="A2014" t="s">
        <v>3728</v>
      </c>
      <c r="B2014" t="s">
        <v>6962</v>
      </c>
      <c r="C2014" s="1">
        <v>45825</v>
      </c>
    </row>
    <row r="2015" spans="1:3" x14ac:dyDescent="0.25">
      <c r="A2015" t="s">
        <v>3727</v>
      </c>
      <c r="B2015" t="s">
        <v>6962</v>
      </c>
      <c r="C2015" s="1">
        <v>45812</v>
      </c>
    </row>
    <row r="2016" spans="1:3" x14ac:dyDescent="0.25">
      <c r="A2016" t="s">
        <v>2565</v>
      </c>
      <c r="B2016" t="s">
        <v>6962</v>
      </c>
      <c r="C2016" s="1">
        <v>45840</v>
      </c>
    </row>
    <row r="2017" spans="1:3" x14ac:dyDescent="0.25">
      <c r="A2017" t="s">
        <v>3728</v>
      </c>
      <c r="B2017" t="s">
        <v>6962</v>
      </c>
      <c r="C2017" s="1">
        <v>45825</v>
      </c>
    </row>
    <row r="2018" spans="1:3" x14ac:dyDescent="0.25">
      <c r="A2018" t="s">
        <v>3732</v>
      </c>
      <c r="B2018" t="s">
        <v>6962</v>
      </c>
      <c r="C2018" s="1">
        <v>45827</v>
      </c>
    </row>
    <row r="2019" spans="1:3" x14ac:dyDescent="0.25">
      <c r="A2019" t="s">
        <v>3732</v>
      </c>
      <c r="B2019" t="s">
        <v>6962</v>
      </c>
      <c r="C2019" s="1">
        <v>45832</v>
      </c>
    </row>
    <row r="2020" spans="1:3" x14ac:dyDescent="0.25">
      <c r="A2020" t="s">
        <v>3734</v>
      </c>
      <c r="B2020" t="s">
        <v>6962</v>
      </c>
      <c r="C2020" s="1">
        <v>45814</v>
      </c>
    </row>
    <row r="2021" spans="1:3" x14ac:dyDescent="0.25">
      <c r="A2021" t="s">
        <v>3733</v>
      </c>
      <c r="B2021" t="s">
        <v>39</v>
      </c>
      <c r="C2021" s="1"/>
    </row>
    <row r="2022" spans="1:3" x14ac:dyDescent="0.25">
      <c r="A2022" t="s">
        <v>3116</v>
      </c>
      <c r="B2022" t="s">
        <v>6962</v>
      </c>
      <c r="C2022" s="1">
        <v>45813</v>
      </c>
    </row>
    <row r="2023" spans="1:3" x14ac:dyDescent="0.25">
      <c r="A2023" t="s">
        <v>3116</v>
      </c>
      <c r="B2023" t="s">
        <v>6962</v>
      </c>
      <c r="C2023" s="1">
        <v>45813</v>
      </c>
    </row>
    <row r="2024" spans="1:3" x14ac:dyDescent="0.25">
      <c r="A2024" t="s">
        <v>3736</v>
      </c>
      <c r="B2024" t="s">
        <v>6962</v>
      </c>
      <c r="C2024" s="1">
        <v>45810</v>
      </c>
    </row>
    <row r="2025" spans="1:3" x14ac:dyDescent="0.25">
      <c r="A2025" t="s">
        <v>3052</v>
      </c>
      <c r="B2025" t="s">
        <v>6962</v>
      </c>
      <c r="C2025" s="1">
        <v>45814</v>
      </c>
    </row>
    <row r="2026" spans="1:3" x14ac:dyDescent="0.25">
      <c r="A2026" t="s">
        <v>6850</v>
      </c>
      <c r="B2026" t="s">
        <v>6963</v>
      </c>
      <c r="C2026" s="1"/>
    </row>
    <row r="2027" spans="1:3" x14ac:dyDescent="0.25">
      <c r="A2027" t="s">
        <v>3735</v>
      </c>
      <c r="B2027" t="s">
        <v>6962</v>
      </c>
      <c r="C2027" s="1">
        <v>45820</v>
      </c>
    </row>
    <row r="2028" spans="1:3" x14ac:dyDescent="0.25">
      <c r="A2028" t="s">
        <v>2574</v>
      </c>
      <c r="B2028" t="s">
        <v>6962</v>
      </c>
      <c r="C2028" s="1">
        <v>45835</v>
      </c>
    </row>
    <row r="2029" spans="1:3" x14ac:dyDescent="0.25">
      <c r="A2029" t="s">
        <v>2573</v>
      </c>
      <c r="B2029" t="s">
        <v>6962</v>
      </c>
      <c r="C2029" s="1">
        <v>45829</v>
      </c>
    </row>
    <row r="2030" spans="1:3" x14ac:dyDescent="0.25">
      <c r="A2030" t="s">
        <v>3737</v>
      </c>
      <c r="B2030" t="s">
        <v>6962</v>
      </c>
      <c r="C2030" s="1">
        <v>45815</v>
      </c>
    </row>
    <row r="2031" spans="1:3" x14ac:dyDescent="0.25">
      <c r="A2031" t="s">
        <v>3740</v>
      </c>
      <c r="B2031" t="s">
        <v>6962</v>
      </c>
      <c r="C2031" s="1">
        <v>45811</v>
      </c>
    </row>
    <row r="2032" spans="1:3" x14ac:dyDescent="0.25">
      <c r="A2032" t="s">
        <v>2580</v>
      </c>
      <c r="B2032" t="s">
        <v>6962</v>
      </c>
      <c r="C2032" s="1">
        <v>45842</v>
      </c>
    </row>
    <row r="2033" spans="1:3" x14ac:dyDescent="0.25">
      <c r="A2033" t="s">
        <v>2579</v>
      </c>
      <c r="B2033" t="s">
        <v>6962</v>
      </c>
      <c r="C2033" s="1">
        <v>45820</v>
      </c>
    </row>
    <row r="2034" spans="1:3" x14ac:dyDescent="0.25">
      <c r="A2034" t="s">
        <v>2577</v>
      </c>
      <c r="B2034" t="s">
        <v>6962</v>
      </c>
      <c r="C2034" s="1">
        <v>45833</v>
      </c>
    </row>
    <row r="2035" spans="1:3" x14ac:dyDescent="0.25">
      <c r="A2035" t="s">
        <v>3739</v>
      </c>
      <c r="B2035" t="s">
        <v>6962</v>
      </c>
      <c r="C2035" s="1">
        <v>45840</v>
      </c>
    </row>
    <row r="2036" spans="1:3" x14ac:dyDescent="0.25">
      <c r="A2036" t="s">
        <v>2576</v>
      </c>
      <c r="B2036" t="s">
        <v>6962</v>
      </c>
      <c r="C2036" s="1">
        <v>45842</v>
      </c>
    </row>
    <row r="2037" spans="1:3" x14ac:dyDescent="0.25">
      <c r="A2037" t="s">
        <v>3738</v>
      </c>
      <c r="B2037" t="s">
        <v>6962</v>
      </c>
      <c r="C2037" s="1">
        <v>45813</v>
      </c>
    </row>
    <row r="2038" spans="1:3" x14ac:dyDescent="0.25">
      <c r="A2038" t="s">
        <v>3743</v>
      </c>
      <c r="B2038" t="s">
        <v>6962</v>
      </c>
      <c r="C2038" s="1">
        <v>45810</v>
      </c>
    </row>
    <row r="2039" spans="1:3" x14ac:dyDescent="0.25">
      <c r="A2039" t="s">
        <v>3747</v>
      </c>
      <c r="B2039" t="s">
        <v>6962</v>
      </c>
      <c r="C2039" s="1">
        <v>45810</v>
      </c>
    </row>
    <row r="2040" spans="1:3" x14ac:dyDescent="0.25">
      <c r="A2040" t="s">
        <v>2581</v>
      </c>
      <c r="B2040" t="s">
        <v>6962</v>
      </c>
      <c r="C2040" s="1">
        <v>45820</v>
      </c>
    </row>
    <row r="2041" spans="1:3" x14ac:dyDescent="0.25">
      <c r="A2041" t="s">
        <v>3745</v>
      </c>
      <c r="B2041" t="s">
        <v>6962</v>
      </c>
      <c r="C2041" s="1">
        <v>45811</v>
      </c>
    </row>
    <row r="2042" spans="1:3" x14ac:dyDescent="0.25">
      <c r="A2042" t="s">
        <v>3744</v>
      </c>
      <c r="B2042" t="s">
        <v>6962</v>
      </c>
      <c r="C2042" s="1">
        <v>45835</v>
      </c>
    </row>
    <row r="2043" spans="1:3" x14ac:dyDescent="0.25">
      <c r="A2043" t="s">
        <v>3742</v>
      </c>
      <c r="B2043" t="s">
        <v>39</v>
      </c>
      <c r="C2043" s="1"/>
    </row>
    <row r="2044" spans="1:3" x14ac:dyDescent="0.25">
      <c r="A2044" t="s">
        <v>3743</v>
      </c>
      <c r="B2044" t="s">
        <v>6962</v>
      </c>
      <c r="C2044" s="1">
        <v>45810</v>
      </c>
    </row>
    <row r="2045" spans="1:3" x14ac:dyDescent="0.25">
      <c r="A2045" t="s">
        <v>3749</v>
      </c>
      <c r="B2045" t="s">
        <v>6962</v>
      </c>
      <c r="C2045" s="1">
        <v>45825</v>
      </c>
    </row>
    <row r="2046" spans="1:3" x14ac:dyDescent="0.25">
      <c r="A2046" t="s">
        <v>3748</v>
      </c>
      <c r="B2046" t="s">
        <v>6962</v>
      </c>
      <c r="C2046" s="1">
        <v>45811</v>
      </c>
    </row>
    <row r="2047" spans="1:3" x14ac:dyDescent="0.25">
      <c r="A2047" t="s">
        <v>3750</v>
      </c>
      <c r="B2047" t="s">
        <v>6962</v>
      </c>
      <c r="C2047" s="1">
        <v>45812</v>
      </c>
    </row>
    <row r="2048" spans="1:3" x14ac:dyDescent="0.25">
      <c r="A2048" t="s">
        <v>2540</v>
      </c>
      <c r="B2048" t="s">
        <v>6962</v>
      </c>
      <c r="C2048" s="1">
        <v>45835</v>
      </c>
    </row>
    <row r="2049" spans="1:3" x14ac:dyDescent="0.25">
      <c r="A2049" t="s">
        <v>3751</v>
      </c>
      <c r="B2049" t="s">
        <v>39</v>
      </c>
      <c r="C2049" s="1"/>
    </row>
    <row r="2050" spans="1:3" x14ac:dyDescent="0.25">
      <c r="A2050" t="s">
        <v>3754</v>
      </c>
      <c r="B2050" t="s">
        <v>6963</v>
      </c>
      <c r="C2050" s="1"/>
    </row>
    <row r="2051" spans="1:3" x14ac:dyDescent="0.25">
      <c r="A2051" t="s">
        <v>3753</v>
      </c>
      <c r="B2051" t="s">
        <v>6962</v>
      </c>
      <c r="C2051" s="1">
        <v>45813</v>
      </c>
    </row>
    <row r="2052" spans="1:3" x14ac:dyDescent="0.25">
      <c r="A2052" t="s">
        <v>3752</v>
      </c>
      <c r="B2052" t="s">
        <v>6962</v>
      </c>
      <c r="C2052" s="1">
        <v>45817</v>
      </c>
    </row>
    <row r="2053" spans="1:3" x14ac:dyDescent="0.25">
      <c r="A2053" t="s">
        <v>3117</v>
      </c>
      <c r="B2053" t="s">
        <v>6963</v>
      </c>
      <c r="C2053" s="1"/>
    </row>
    <row r="2054" spans="1:3" x14ac:dyDescent="0.25">
      <c r="A2054" t="s">
        <v>3755</v>
      </c>
      <c r="B2054" t="s">
        <v>6962</v>
      </c>
      <c r="C2054" s="1">
        <v>45813</v>
      </c>
    </row>
    <row r="2055" spans="1:3" x14ac:dyDescent="0.25">
      <c r="A2055" t="s">
        <v>3756</v>
      </c>
      <c r="B2055" t="s">
        <v>6962</v>
      </c>
      <c r="C2055" s="1">
        <v>45834</v>
      </c>
    </row>
    <row r="2056" spans="1:3" x14ac:dyDescent="0.25">
      <c r="A2056" t="s">
        <v>3759</v>
      </c>
      <c r="B2056" t="s">
        <v>6962</v>
      </c>
      <c r="C2056" s="1">
        <v>45812</v>
      </c>
    </row>
    <row r="2057" spans="1:3" x14ac:dyDescent="0.25">
      <c r="A2057" t="s">
        <v>3758</v>
      </c>
      <c r="B2057" t="s">
        <v>6962</v>
      </c>
      <c r="C2057" s="1">
        <v>45813</v>
      </c>
    </row>
    <row r="2058" spans="1:3" x14ac:dyDescent="0.25">
      <c r="A2058" t="s">
        <v>3757</v>
      </c>
      <c r="B2058" t="s">
        <v>6962</v>
      </c>
      <c r="C2058" s="1">
        <v>45846</v>
      </c>
    </row>
    <row r="2059" spans="1:3" x14ac:dyDescent="0.25">
      <c r="A2059" t="s">
        <v>2582</v>
      </c>
      <c r="B2059" t="s">
        <v>6962</v>
      </c>
      <c r="C2059" s="1">
        <v>45821</v>
      </c>
    </row>
    <row r="2060" spans="1:3" x14ac:dyDescent="0.25">
      <c r="A2060" t="s">
        <v>3760</v>
      </c>
      <c r="B2060" t="s">
        <v>6962</v>
      </c>
      <c r="C2060" s="1">
        <v>45813</v>
      </c>
    </row>
    <row r="2061" spans="1:3" x14ac:dyDescent="0.25">
      <c r="A2061" t="s">
        <v>3761</v>
      </c>
      <c r="B2061" t="s">
        <v>6962</v>
      </c>
      <c r="C2061" s="1">
        <v>45812</v>
      </c>
    </row>
    <row r="2062" spans="1:3" x14ac:dyDescent="0.25">
      <c r="A2062" t="s">
        <v>3763</v>
      </c>
      <c r="B2062" t="s">
        <v>6962</v>
      </c>
      <c r="C2062" s="1">
        <v>45827</v>
      </c>
    </row>
    <row r="2063" spans="1:3" x14ac:dyDescent="0.25">
      <c r="A2063" t="s">
        <v>3765</v>
      </c>
      <c r="B2063" t="s">
        <v>6962</v>
      </c>
      <c r="C2063" s="1">
        <v>45814</v>
      </c>
    </row>
    <row r="2064" spans="1:3" x14ac:dyDescent="0.25">
      <c r="A2064" t="s">
        <v>3764</v>
      </c>
      <c r="B2064" t="s">
        <v>6962</v>
      </c>
      <c r="C2064" s="1">
        <v>45821</v>
      </c>
    </row>
    <row r="2065" spans="1:3" x14ac:dyDescent="0.25">
      <c r="A2065" t="s">
        <v>3765</v>
      </c>
      <c r="B2065" t="s">
        <v>6962</v>
      </c>
      <c r="C2065" s="1">
        <v>45818</v>
      </c>
    </row>
    <row r="2066" spans="1:3" x14ac:dyDescent="0.25">
      <c r="A2066" t="s">
        <v>3766</v>
      </c>
      <c r="B2066" t="s">
        <v>6962</v>
      </c>
      <c r="C2066" s="1">
        <v>45813</v>
      </c>
    </row>
    <row r="2067" spans="1:3" x14ac:dyDescent="0.25">
      <c r="A2067" t="s">
        <v>3768</v>
      </c>
      <c r="B2067" t="s">
        <v>6962</v>
      </c>
      <c r="C2067" s="1">
        <v>45832</v>
      </c>
    </row>
    <row r="2068" spans="1:3" x14ac:dyDescent="0.25">
      <c r="A2068" t="s">
        <v>3767</v>
      </c>
      <c r="B2068" t="s">
        <v>39</v>
      </c>
      <c r="C2068" s="1"/>
    </row>
    <row r="2069" spans="1:3" x14ac:dyDescent="0.25">
      <c r="A2069" t="s">
        <v>3053</v>
      </c>
      <c r="B2069" t="s">
        <v>6962</v>
      </c>
      <c r="C2069" s="1">
        <v>45817</v>
      </c>
    </row>
    <row r="2070" spans="1:3" x14ac:dyDescent="0.25">
      <c r="A2070" t="s">
        <v>3771</v>
      </c>
      <c r="B2070" t="s">
        <v>6962</v>
      </c>
      <c r="C2070" s="1">
        <v>45819</v>
      </c>
    </row>
    <row r="2071" spans="1:3" x14ac:dyDescent="0.25">
      <c r="A2071" t="s">
        <v>3770</v>
      </c>
      <c r="B2071" t="s">
        <v>6962</v>
      </c>
      <c r="C2071" s="1">
        <v>45821</v>
      </c>
    </row>
    <row r="2072" spans="1:3" x14ac:dyDescent="0.25">
      <c r="A2072" t="s">
        <v>3769</v>
      </c>
      <c r="B2072" t="s">
        <v>6962</v>
      </c>
      <c r="C2072" s="1">
        <v>45834</v>
      </c>
    </row>
    <row r="2073" spans="1:3" x14ac:dyDescent="0.25">
      <c r="A2073" t="s">
        <v>3769</v>
      </c>
      <c r="B2073" t="s">
        <v>6962</v>
      </c>
      <c r="C2073" s="1">
        <v>45817</v>
      </c>
    </row>
    <row r="2074" spans="1:3" x14ac:dyDescent="0.25">
      <c r="A2074" t="s">
        <v>3769</v>
      </c>
      <c r="B2074" t="s">
        <v>6962</v>
      </c>
      <c r="C2074" s="1">
        <v>45817</v>
      </c>
    </row>
    <row r="2075" spans="1:3" x14ac:dyDescent="0.25">
      <c r="A2075" t="s">
        <v>3769</v>
      </c>
      <c r="B2075" t="s">
        <v>6962</v>
      </c>
      <c r="C2075" s="1">
        <v>45826</v>
      </c>
    </row>
    <row r="2076" spans="1:3" x14ac:dyDescent="0.25">
      <c r="A2076" t="s">
        <v>2520</v>
      </c>
      <c r="B2076" t="s">
        <v>6962</v>
      </c>
      <c r="C2076" s="1">
        <v>45843</v>
      </c>
    </row>
    <row r="2077" spans="1:3" x14ac:dyDescent="0.25">
      <c r="A2077" t="s">
        <v>3773</v>
      </c>
      <c r="B2077" t="s">
        <v>6962</v>
      </c>
      <c r="C2077" s="1">
        <v>45815</v>
      </c>
    </row>
    <row r="2078" spans="1:3" x14ac:dyDescent="0.25">
      <c r="A2078" t="s">
        <v>3772</v>
      </c>
      <c r="B2078" t="s">
        <v>6962</v>
      </c>
      <c r="C2078" s="1">
        <v>45820</v>
      </c>
    </row>
    <row r="2079" spans="1:3" x14ac:dyDescent="0.25">
      <c r="A2079" t="s">
        <v>3774</v>
      </c>
      <c r="B2079" t="s">
        <v>6962</v>
      </c>
      <c r="C2079" s="1">
        <v>45813</v>
      </c>
    </row>
    <row r="2080" spans="1:3" x14ac:dyDescent="0.25">
      <c r="A2080" t="s">
        <v>3777</v>
      </c>
      <c r="B2080" t="s">
        <v>6962</v>
      </c>
      <c r="C2080" s="1">
        <v>45815</v>
      </c>
    </row>
    <row r="2081" spans="1:3" x14ac:dyDescent="0.25">
      <c r="A2081" t="s">
        <v>3776</v>
      </c>
      <c r="B2081" t="s">
        <v>6962</v>
      </c>
      <c r="C2081" s="1">
        <v>45834</v>
      </c>
    </row>
    <row r="2082" spans="1:3" x14ac:dyDescent="0.25">
      <c r="A2082" t="s">
        <v>3775</v>
      </c>
      <c r="B2082" t="s">
        <v>6962</v>
      </c>
      <c r="C2082" s="1">
        <v>45829</v>
      </c>
    </row>
    <row r="2083" spans="1:3" x14ac:dyDescent="0.25">
      <c r="A2083" t="s">
        <v>2586</v>
      </c>
      <c r="B2083" t="s">
        <v>6963</v>
      </c>
      <c r="C2083" s="1"/>
    </row>
    <row r="2084" spans="1:3" x14ac:dyDescent="0.25">
      <c r="A2084" t="s">
        <v>2585</v>
      </c>
      <c r="B2084" t="s">
        <v>6962</v>
      </c>
      <c r="C2084" s="1">
        <v>45828</v>
      </c>
    </row>
    <row r="2085" spans="1:3" x14ac:dyDescent="0.25">
      <c r="A2085" t="s">
        <v>2584</v>
      </c>
      <c r="B2085" t="s">
        <v>6962</v>
      </c>
      <c r="C2085" s="1">
        <v>45835</v>
      </c>
    </row>
    <row r="2086" spans="1:3" x14ac:dyDescent="0.25">
      <c r="A2086" t="s">
        <v>2583</v>
      </c>
      <c r="B2086" t="s">
        <v>6962</v>
      </c>
      <c r="C2086" s="1">
        <v>45833</v>
      </c>
    </row>
    <row r="2087" spans="1:3" x14ac:dyDescent="0.25">
      <c r="A2087" t="s">
        <v>2590</v>
      </c>
      <c r="B2087" t="s">
        <v>6962</v>
      </c>
      <c r="C2087" s="1">
        <v>45835</v>
      </c>
    </row>
    <row r="2088" spans="1:3" x14ac:dyDescent="0.25">
      <c r="A2088" t="s">
        <v>2589</v>
      </c>
      <c r="B2088" t="s">
        <v>6962</v>
      </c>
      <c r="C2088" s="1">
        <v>45826</v>
      </c>
    </row>
    <row r="2089" spans="1:3" x14ac:dyDescent="0.25">
      <c r="A2089" t="s">
        <v>3778</v>
      </c>
      <c r="B2089" t="s">
        <v>39</v>
      </c>
      <c r="C2089" s="1"/>
    </row>
    <row r="2090" spans="1:3" x14ac:dyDescent="0.25">
      <c r="A2090" t="s">
        <v>2591</v>
      </c>
      <c r="B2090" t="s">
        <v>6962</v>
      </c>
      <c r="C2090" s="1">
        <v>45822</v>
      </c>
    </row>
    <row r="2091" spans="1:3" x14ac:dyDescent="0.25">
      <c r="A2091" t="s">
        <v>2588</v>
      </c>
      <c r="B2091" t="s">
        <v>6962</v>
      </c>
      <c r="C2091" s="1">
        <v>45842</v>
      </c>
    </row>
    <row r="2092" spans="1:3" x14ac:dyDescent="0.25">
      <c r="A2092" t="s">
        <v>2587</v>
      </c>
      <c r="B2092" t="s">
        <v>39</v>
      </c>
      <c r="C2092" s="1"/>
    </row>
    <row r="2093" spans="1:3" x14ac:dyDescent="0.25">
      <c r="A2093" t="s">
        <v>3780</v>
      </c>
      <c r="B2093" t="s">
        <v>6962</v>
      </c>
      <c r="C2093" s="1">
        <v>45853</v>
      </c>
    </row>
    <row r="2094" spans="1:3" x14ac:dyDescent="0.25">
      <c r="A2094" t="s">
        <v>3779</v>
      </c>
      <c r="B2094" t="s">
        <v>6962</v>
      </c>
      <c r="C2094" s="1">
        <v>45836</v>
      </c>
    </row>
    <row r="2095" spans="1:3" x14ac:dyDescent="0.25">
      <c r="A2095" t="s">
        <v>3786</v>
      </c>
      <c r="B2095" t="s">
        <v>6962</v>
      </c>
      <c r="C2095" s="1">
        <v>45819</v>
      </c>
    </row>
    <row r="2096" spans="1:3" x14ac:dyDescent="0.25">
      <c r="A2096" t="s">
        <v>3785</v>
      </c>
      <c r="B2096" t="s">
        <v>6962</v>
      </c>
      <c r="C2096" s="1">
        <v>45817</v>
      </c>
    </row>
    <row r="2097" spans="1:3" x14ac:dyDescent="0.25">
      <c r="A2097" t="s">
        <v>3784</v>
      </c>
      <c r="B2097" t="s">
        <v>6962</v>
      </c>
      <c r="C2097" s="1">
        <v>45835</v>
      </c>
    </row>
    <row r="2098" spans="1:3" x14ac:dyDescent="0.25">
      <c r="A2098" t="s">
        <v>3782</v>
      </c>
      <c r="B2098" t="s">
        <v>6962</v>
      </c>
      <c r="C2098" s="1">
        <v>45822</v>
      </c>
    </row>
    <row r="2099" spans="1:3" x14ac:dyDescent="0.25">
      <c r="A2099" t="s">
        <v>3040</v>
      </c>
      <c r="B2099" t="s">
        <v>6962</v>
      </c>
      <c r="C2099" s="1">
        <v>45817</v>
      </c>
    </row>
    <row r="2100" spans="1:3" x14ac:dyDescent="0.25">
      <c r="A2100" t="s">
        <v>3787</v>
      </c>
      <c r="B2100" t="s">
        <v>6963</v>
      </c>
      <c r="C2100" s="1"/>
    </row>
    <row r="2101" spans="1:3" x14ac:dyDescent="0.25">
      <c r="A2101" t="s">
        <v>3788</v>
      </c>
      <c r="B2101" t="s">
        <v>6962</v>
      </c>
      <c r="C2101" s="1">
        <v>45820</v>
      </c>
    </row>
    <row r="2102" spans="1:3" x14ac:dyDescent="0.25">
      <c r="A2102" t="s">
        <v>3790</v>
      </c>
      <c r="B2102" t="s">
        <v>6962</v>
      </c>
      <c r="C2102" s="1">
        <v>45831</v>
      </c>
    </row>
    <row r="2103" spans="1:3" x14ac:dyDescent="0.25">
      <c r="A2103" t="s">
        <v>3791</v>
      </c>
      <c r="B2103" t="s">
        <v>6962</v>
      </c>
      <c r="C2103" s="1">
        <v>45826</v>
      </c>
    </row>
    <row r="2104" spans="1:3" x14ac:dyDescent="0.25">
      <c r="A2104" t="s">
        <v>3120</v>
      </c>
      <c r="B2104" t="s">
        <v>6962</v>
      </c>
      <c r="C2104" s="1">
        <v>45820</v>
      </c>
    </row>
    <row r="2105" spans="1:3" x14ac:dyDescent="0.25">
      <c r="A2105" t="s">
        <v>3120</v>
      </c>
      <c r="B2105" t="s">
        <v>6962</v>
      </c>
      <c r="C2105" s="1">
        <v>45821</v>
      </c>
    </row>
    <row r="2106" spans="1:3" x14ac:dyDescent="0.25">
      <c r="A2106" t="s">
        <v>3121</v>
      </c>
      <c r="B2106" t="s">
        <v>6962</v>
      </c>
      <c r="C2106" s="1">
        <v>45826</v>
      </c>
    </row>
    <row r="2107" spans="1:3" x14ac:dyDescent="0.25">
      <c r="A2107" t="s">
        <v>3792</v>
      </c>
      <c r="B2107" t="s">
        <v>6962</v>
      </c>
      <c r="C2107" s="1">
        <v>45833</v>
      </c>
    </row>
    <row r="2108" spans="1:3" x14ac:dyDescent="0.25">
      <c r="A2108" t="s">
        <v>3119</v>
      </c>
      <c r="B2108" t="s">
        <v>6962</v>
      </c>
      <c r="C2108" s="1">
        <v>45820</v>
      </c>
    </row>
    <row r="2109" spans="1:3" x14ac:dyDescent="0.25">
      <c r="A2109" t="s">
        <v>3119</v>
      </c>
      <c r="B2109" t="s">
        <v>6962</v>
      </c>
      <c r="C2109" s="1">
        <v>45819</v>
      </c>
    </row>
    <row r="2110" spans="1:3" x14ac:dyDescent="0.25">
      <c r="A2110" t="s">
        <v>2592</v>
      </c>
      <c r="B2110" t="s">
        <v>6962</v>
      </c>
      <c r="C2110" s="1">
        <v>45836</v>
      </c>
    </row>
    <row r="2111" spans="1:3" x14ac:dyDescent="0.25">
      <c r="A2111" t="s">
        <v>3794</v>
      </c>
      <c r="B2111" t="s">
        <v>6962</v>
      </c>
      <c r="C2111" s="1"/>
    </row>
    <row r="2112" spans="1:3" x14ac:dyDescent="0.25">
      <c r="A2112" t="s">
        <v>3793</v>
      </c>
      <c r="B2112" t="s">
        <v>6962</v>
      </c>
      <c r="C2112" s="1">
        <v>45818</v>
      </c>
    </row>
    <row r="2113" spans="1:3" x14ac:dyDescent="0.25">
      <c r="A2113" t="s">
        <v>3789</v>
      </c>
      <c r="B2113" t="s">
        <v>6962</v>
      </c>
      <c r="C2113" s="1">
        <v>45827</v>
      </c>
    </row>
    <row r="2114" spans="1:3" x14ac:dyDescent="0.25">
      <c r="A2114" t="s">
        <v>3796</v>
      </c>
      <c r="B2114" t="s">
        <v>6962</v>
      </c>
      <c r="C2114" s="1">
        <v>45855</v>
      </c>
    </row>
    <row r="2115" spans="1:3" x14ac:dyDescent="0.25">
      <c r="A2115" t="s">
        <v>3795</v>
      </c>
      <c r="B2115" t="s">
        <v>6962</v>
      </c>
      <c r="C2115" s="1">
        <v>45826</v>
      </c>
    </row>
    <row r="2116" spans="1:3" x14ac:dyDescent="0.25">
      <c r="A2116" t="s">
        <v>2594</v>
      </c>
      <c r="B2116" t="s">
        <v>6962</v>
      </c>
      <c r="C2116" s="1">
        <v>45835</v>
      </c>
    </row>
    <row r="2117" spans="1:3" x14ac:dyDescent="0.25">
      <c r="A2117" t="s">
        <v>2593</v>
      </c>
      <c r="B2117" t="s">
        <v>6962</v>
      </c>
      <c r="C2117" s="1">
        <v>45875</v>
      </c>
    </row>
    <row r="2118" spans="1:3" x14ac:dyDescent="0.25">
      <c r="A2118" t="s">
        <v>2598</v>
      </c>
      <c r="B2118" t="s">
        <v>39</v>
      </c>
      <c r="C2118" s="1"/>
    </row>
    <row r="2119" spans="1:3" x14ac:dyDescent="0.25">
      <c r="A2119" t="s">
        <v>2597</v>
      </c>
      <c r="B2119" t="s">
        <v>6962</v>
      </c>
      <c r="C2119" s="1">
        <v>45840</v>
      </c>
    </row>
    <row r="2120" spans="1:3" x14ac:dyDescent="0.25">
      <c r="A2120" t="s">
        <v>2596</v>
      </c>
      <c r="B2120" t="s">
        <v>6962</v>
      </c>
      <c r="C2120" s="1">
        <v>45846</v>
      </c>
    </row>
    <row r="2121" spans="1:3" x14ac:dyDescent="0.25">
      <c r="A2121" t="s">
        <v>3798</v>
      </c>
      <c r="B2121" t="s">
        <v>6962</v>
      </c>
      <c r="C2121" s="1">
        <v>45830</v>
      </c>
    </row>
    <row r="2122" spans="1:3" x14ac:dyDescent="0.25">
      <c r="A2122" t="s">
        <v>3797</v>
      </c>
      <c r="B2122" t="s">
        <v>6962</v>
      </c>
      <c r="C2122" s="1">
        <v>45820</v>
      </c>
    </row>
    <row r="2123" spans="1:3" x14ac:dyDescent="0.25">
      <c r="A2123" t="s">
        <v>3799</v>
      </c>
      <c r="B2123" t="s">
        <v>6962</v>
      </c>
      <c r="C2123" s="1">
        <v>45818</v>
      </c>
    </row>
    <row r="2124" spans="1:3" x14ac:dyDescent="0.25">
      <c r="A2124" t="s">
        <v>3799</v>
      </c>
      <c r="B2124" t="s">
        <v>6962</v>
      </c>
      <c r="C2124" s="1">
        <v>45818</v>
      </c>
    </row>
    <row r="2125" spans="1:3" x14ac:dyDescent="0.25">
      <c r="A2125" t="s">
        <v>3799</v>
      </c>
      <c r="B2125" t="s">
        <v>6962</v>
      </c>
      <c r="C2125" s="1">
        <v>45818</v>
      </c>
    </row>
    <row r="2126" spans="1:3" x14ac:dyDescent="0.25">
      <c r="A2126" t="s">
        <v>3799</v>
      </c>
      <c r="B2126" t="s">
        <v>6962</v>
      </c>
      <c r="C2126" s="1">
        <v>45819</v>
      </c>
    </row>
    <row r="2127" spans="1:3" x14ac:dyDescent="0.25">
      <c r="A2127" t="s">
        <v>3799</v>
      </c>
      <c r="B2127" t="s">
        <v>6962</v>
      </c>
      <c r="C2127" s="1">
        <v>45819</v>
      </c>
    </row>
    <row r="2128" spans="1:3" x14ac:dyDescent="0.25">
      <c r="A2128" t="s">
        <v>3800</v>
      </c>
      <c r="B2128" t="s">
        <v>6962</v>
      </c>
      <c r="C2128" s="1">
        <v>45820</v>
      </c>
    </row>
    <row r="2129" spans="1:3" x14ac:dyDescent="0.25">
      <c r="A2129" t="s">
        <v>3801</v>
      </c>
      <c r="B2129" t="s">
        <v>6962</v>
      </c>
      <c r="C2129" s="1">
        <v>45826</v>
      </c>
    </row>
    <row r="2130" spans="1:3" x14ac:dyDescent="0.25">
      <c r="A2130" t="s">
        <v>3802</v>
      </c>
      <c r="B2130" t="s">
        <v>6963</v>
      </c>
      <c r="C2130" s="1"/>
    </row>
    <row r="2131" spans="1:3" x14ac:dyDescent="0.25">
      <c r="A2131" t="s">
        <v>3803</v>
      </c>
      <c r="B2131" t="s">
        <v>39</v>
      </c>
      <c r="C2131" s="1"/>
    </row>
    <row r="2132" spans="1:3" x14ac:dyDescent="0.25">
      <c r="A2132" t="s">
        <v>3804</v>
      </c>
      <c r="B2132" t="s">
        <v>6962</v>
      </c>
      <c r="C2132" s="1">
        <v>45822</v>
      </c>
    </row>
    <row r="2133" spans="1:3" x14ac:dyDescent="0.25">
      <c r="A2133" t="s">
        <v>3805</v>
      </c>
      <c r="B2133" t="s">
        <v>39</v>
      </c>
      <c r="C2133" s="1"/>
    </row>
    <row r="2134" spans="1:3" x14ac:dyDescent="0.25">
      <c r="A2134" t="s">
        <v>3092</v>
      </c>
      <c r="B2134" t="s">
        <v>6962</v>
      </c>
      <c r="C2134" s="1">
        <v>45819</v>
      </c>
    </row>
    <row r="2135" spans="1:3" x14ac:dyDescent="0.25">
      <c r="A2135" t="s">
        <v>3092</v>
      </c>
      <c r="B2135" t="s">
        <v>6962</v>
      </c>
      <c r="C2135" s="1">
        <v>45819</v>
      </c>
    </row>
    <row r="2136" spans="1:3" x14ac:dyDescent="0.25">
      <c r="A2136" t="s">
        <v>3100</v>
      </c>
      <c r="B2136" t="s">
        <v>6962</v>
      </c>
      <c r="C2136" s="1">
        <v>45822</v>
      </c>
    </row>
    <row r="2137" spans="1:3" x14ac:dyDescent="0.25">
      <c r="A2137" t="s">
        <v>3100</v>
      </c>
      <c r="B2137" t="s">
        <v>6962</v>
      </c>
      <c r="C2137" s="1">
        <v>45822</v>
      </c>
    </row>
    <row r="2138" spans="1:3" x14ac:dyDescent="0.25">
      <c r="A2138" t="s">
        <v>3806</v>
      </c>
      <c r="B2138" t="s">
        <v>6962</v>
      </c>
      <c r="C2138" s="1">
        <v>45829</v>
      </c>
    </row>
    <row r="2139" spans="1:3" x14ac:dyDescent="0.25">
      <c r="A2139" t="s">
        <v>3813</v>
      </c>
      <c r="B2139" t="s">
        <v>6962</v>
      </c>
      <c r="C2139" s="1">
        <v>45834</v>
      </c>
    </row>
    <row r="2140" spans="1:3" x14ac:dyDescent="0.25">
      <c r="A2140" t="s">
        <v>3812</v>
      </c>
      <c r="B2140" t="s">
        <v>6962</v>
      </c>
      <c r="C2140" s="1">
        <v>45830</v>
      </c>
    </row>
    <row r="2141" spans="1:3" x14ac:dyDescent="0.25">
      <c r="A2141" t="s">
        <v>3811</v>
      </c>
      <c r="B2141" t="s">
        <v>6962</v>
      </c>
      <c r="C2141" s="1">
        <v>45834</v>
      </c>
    </row>
    <row r="2142" spans="1:3" x14ac:dyDescent="0.25">
      <c r="A2142" t="s">
        <v>3807</v>
      </c>
      <c r="B2142" t="s">
        <v>6962</v>
      </c>
      <c r="C2142" s="1">
        <v>45824</v>
      </c>
    </row>
    <row r="2143" spans="1:3" x14ac:dyDescent="0.25">
      <c r="A2143" t="s">
        <v>3810</v>
      </c>
      <c r="B2143" t="s">
        <v>6962</v>
      </c>
      <c r="C2143" s="1">
        <v>45830</v>
      </c>
    </row>
    <row r="2144" spans="1:3" x14ac:dyDescent="0.25">
      <c r="A2144" t="s">
        <v>2599</v>
      </c>
      <c r="B2144" t="s">
        <v>6962</v>
      </c>
      <c r="C2144" s="1">
        <v>45828</v>
      </c>
    </row>
    <row r="2145" spans="1:3" x14ac:dyDescent="0.25">
      <c r="A2145" t="s">
        <v>3808</v>
      </c>
      <c r="B2145" t="s">
        <v>6962</v>
      </c>
      <c r="C2145" s="1">
        <v>45830</v>
      </c>
    </row>
    <row r="2146" spans="1:3" x14ac:dyDescent="0.25">
      <c r="A2146" t="s">
        <v>3809</v>
      </c>
      <c r="B2146" t="s">
        <v>6962</v>
      </c>
      <c r="C2146" s="1">
        <v>45831</v>
      </c>
    </row>
    <row r="2147" spans="1:3" x14ac:dyDescent="0.25">
      <c r="A2147" t="s">
        <v>3096</v>
      </c>
      <c r="B2147" t="s">
        <v>6962</v>
      </c>
      <c r="C2147" s="1">
        <v>45822</v>
      </c>
    </row>
    <row r="2148" spans="1:3" x14ac:dyDescent="0.25">
      <c r="A2148" t="s">
        <v>3096</v>
      </c>
      <c r="B2148" t="s">
        <v>6962</v>
      </c>
      <c r="C2148" s="1">
        <v>45822</v>
      </c>
    </row>
    <row r="2149" spans="1:3" x14ac:dyDescent="0.25">
      <c r="A2149" t="s">
        <v>3814</v>
      </c>
      <c r="B2149" t="s">
        <v>6962</v>
      </c>
      <c r="C2149" s="1">
        <v>45824</v>
      </c>
    </row>
    <row r="2150" spans="1:3" x14ac:dyDescent="0.25">
      <c r="A2150" t="s">
        <v>3815</v>
      </c>
      <c r="B2150" t="s">
        <v>6962</v>
      </c>
      <c r="C2150" s="1">
        <v>45824</v>
      </c>
    </row>
    <row r="2151" spans="1:3" x14ac:dyDescent="0.25">
      <c r="A2151" t="s">
        <v>2601</v>
      </c>
      <c r="B2151" t="s">
        <v>6962</v>
      </c>
      <c r="C2151" s="1">
        <v>45832</v>
      </c>
    </row>
    <row r="2152" spans="1:3" x14ac:dyDescent="0.25">
      <c r="A2152" t="s">
        <v>3816</v>
      </c>
      <c r="B2152" t="s">
        <v>6962</v>
      </c>
      <c r="C2152" s="1">
        <v>45826</v>
      </c>
    </row>
    <row r="2153" spans="1:3" x14ac:dyDescent="0.25">
      <c r="A2153" t="s">
        <v>2600</v>
      </c>
      <c r="B2153" t="s">
        <v>6962</v>
      </c>
      <c r="C2153" s="1">
        <v>45846</v>
      </c>
    </row>
    <row r="2154" spans="1:3" x14ac:dyDescent="0.25">
      <c r="A2154" t="s">
        <v>3817</v>
      </c>
      <c r="B2154" t="s">
        <v>6962</v>
      </c>
      <c r="C2154" s="1">
        <v>45836</v>
      </c>
    </row>
    <row r="2155" spans="1:3" x14ac:dyDescent="0.25">
      <c r="A2155" t="s">
        <v>2606</v>
      </c>
      <c r="B2155" t="s">
        <v>6962</v>
      </c>
      <c r="C2155" s="1">
        <v>45832</v>
      </c>
    </row>
    <row r="2156" spans="1:3" x14ac:dyDescent="0.25">
      <c r="A2156" t="s">
        <v>2605</v>
      </c>
      <c r="B2156" t="s">
        <v>6962</v>
      </c>
      <c r="C2156" s="1">
        <v>45842</v>
      </c>
    </row>
    <row r="2157" spans="1:3" x14ac:dyDescent="0.25">
      <c r="A2157" t="s">
        <v>2604</v>
      </c>
      <c r="B2157" t="s">
        <v>6962</v>
      </c>
      <c r="C2157" s="1">
        <v>45856</v>
      </c>
    </row>
    <row r="2158" spans="1:3" x14ac:dyDescent="0.25">
      <c r="A2158" t="s">
        <v>3054</v>
      </c>
      <c r="B2158" t="s">
        <v>6962</v>
      </c>
      <c r="C2158" s="1">
        <v>45824</v>
      </c>
    </row>
    <row r="2159" spans="1:3" x14ac:dyDescent="0.25">
      <c r="A2159" t="s">
        <v>3818</v>
      </c>
      <c r="B2159" t="s">
        <v>6962</v>
      </c>
      <c r="C2159" s="1">
        <v>45822</v>
      </c>
    </row>
    <row r="2160" spans="1:3" x14ac:dyDescent="0.25">
      <c r="A2160" t="s">
        <v>3820</v>
      </c>
      <c r="B2160" t="s">
        <v>6962</v>
      </c>
      <c r="C2160" s="1">
        <v>45847</v>
      </c>
    </row>
    <row r="2161" spans="1:3" x14ac:dyDescent="0.25">
      <c r="A2161" t="s">
        <v>3819</v>
      </c>
      <c r="B2161" t="s">
        <v>6962</v>
      </c>
      <c r="C2161" s="1">
        <v>45824</v>
      </c>
    </row>
    <row r="2162" spans="1:3" x14ac:dyDescent="0.25">
      <c r="A2162" t="s">
        <v>3821</v>
      </c>
      <c r="B2162" t="s">
        <v>6962</v>
      </c>
      <c r="C2162" s="1">
        <v>45835</v>
      </c>
    </row>
    <row r="2163" spans="1:3" x14ac:dyDescent="0.25">
      <c r="A2163" t="s">
        <v>3093</v>
      </c>
      <c r="B2163" t="s">
        <v>6962</v>
      </c>
      <c r="C2163" s="1">
        <v>45822</v>
      </c>
    </row>
    <row r="2164" spans="1:3" x14ac:dyDescent="0.25">
      <c r="A2164" t="s">
        <v>3093</v>
      </c>
      <c r="B2164" t="s">
        <v>6962</v>
      </c>
      <c r="C2164" s="1">
        <v>45822</v>
      </c>
    </row>
    <row r="2165" spans="1:3" x14ac:dyDescent="0.25">
      <c r="A2165" t="s">
        <v>2607</v>
      </c>
      <c r="B2165" t="s">
        <v>6962</v>
      </c>
      <c r="C2165" s="1">
        <v>45833</v>
      </c>
    </row>
    <row r="2166" spans="1:3" x14ac:dyDescent="0.25">
      <c r="A2166" t="s">
        <v>3823</v>
      </c>
      <c r="B2166" t="s">
        <v>6962</v>
      </c>
      <c r="C2166" s="1">
        <v>45824</v>
      </c>
    </row>
    <row r="2167" spans="1:3" x14ac:dyDescent="0.25">
      <c r="A2167" t="s">
        <v>3825</v>
      </c>
      <c r="B2167" t="s">
        <v>6962</v>
      </c>
      <c r="C2167" s="1">
        <v>45828</v>
      </c>
    </row>
    <row r="2168" spans="1:3" x14ac:dyDescent="0.25">
      <c r="A2168" t="s">
        <v>3824</v>
      </c>
      <c r="B2168" t="s">
        <v>6962</v>
      </c>
      <c r="C2168" s="1">
        <v>45825</v>
      </c>
    </row>
    <row r="2169" spans="1:3" x14ac:dyDescent="0.25">
      <c r="A2169" t="s">
        <v>3114</v>
      </c>
      <c r="B2169" t="s">
        <v>6962</v>
      </c>
      <c r="C2169" s="1">
        <v>45824</v>
      </c>
    </row>
    <row r="2170" spans="1:3" x14ac:dyDescent="0.25">
      <c r="A2170" t="s">
        <v>3829</v>
      </c>
      <c r="B2170" t="s">
        <v>6962</v>
      </c>
      <c r="C2170" s="1">
        <v>45852</v>
      </c>
    </row>
    <row r="2171" spans="1:3" x14ac:dyDescent="0.25">
      <c r="A2171" t="s">
        <v>3828</v>
      </c>
      <c r="B2171" t="s">
        <v>6962</v>
      </c>
      <c r="C2171" s="1">
        <v>45827</v>
      </c>
    </row>
    <row r="2172" spans="1:3" x14ac:dyDescent="0.25">
      <c r="A2172" t="s">
        <v>3827</v>
      </c>
      <c r="B2172" t="s">
        <v>6962</v>
      </c>
      <c r="C2172" s="1">
        <v>45834</v>
      </c>
    </row>
    <row r="2173" spans="1:3" x14ac:dyDescent="0.25">
      <c r="A2173" t="s">
        <v>3826</v>
      </c>
      <c r="B2173" t="s">
        <v>6962</v>
      </c>
      <c r="C2173" s="1">
        <v>45832</v>
      </c>
    </row>
    <row r="2174" spans="1:3" x14ac:dyDescent="0.25">
      <c r="A2174" t="s">
        <v>2608</v>
      </c>
      <c r="B2174" t="s">
        <v>6962</v>
      </c>
      <c r="C2174" s="1">
        <v>45848</v>
      </c>
    </row>
    <row r="2175" spans="1:3" x14ac:dyDescent="0.25">
      <c r="A2175" t="s">
        <v>3832</v>
      </c>
      <c r="B2175" t="s">
        <v>6962</v>
      </c>
      <c r="C2175" s="1">
        <v>45826</v>
      </c>
    </row>
    <row r="2176" spans="1:3" x14ac:dyDescent="0.25">
      <c r="A2176" t="s">
        <v>3831</v>
      </c>
      <c r="B2176" t="s">
        <v>6962</v>
      </c>
      <c r="C2176" s="1">
        <v>45826</v>
      </c>
    </row>
    <row r="2177" spans="1:3" x14ac:dyDescent="0.25">
      <c r="A2177" t="s">
        <v>3830</v>
      </c>
      <c r="B2177" t="s">
        <v>6962</v>
      </c>
      <c r="C2177" s="1">
        <v>45833</v>
      </c>
    </row>
    <row r="2178" spans="1:3" x14ac:dyDescent="0.25">
      <c r="A2178" t="s">
        <v>3830</v>
      </c>
      <c r="B2178" t="s">
        <v>6962</v>
      </c>
      <c r="C2178" s="1">
        <v>45825</v>
      </c>
    </row>
    <row r="2179" spans="1:3" x14ac:dyDescent="0.25">
      <c r="A2179" t="s">
        <v>3830</v>
      </c>
      <c r="B2179" t="s">
        <v>6962</v>
      </c>
      <c r="C2179" s="1">
        <v>45827</v>
      </c>
    </row>
    <row r="2180" spans="1:3" x14ac:dyDescent="0.25">
      <c r="A2180" t="s">
        <v>3830</v>
      </c>
      <c r="B2180" t="s">
        <v>6962</v>
      </c>
      <c r="C2180" s="1">
        <v>45829</v>
      </c>
    </row>
    <row r="2181" spans="1:3" x14ac:dyDescent="0.25">
      <c r="A2181" t="s">
        <v>3830</v>
      </c>
      <c r="B2181" t="s">
        <v>6962</v>
      </c>
      <c r="C2181" s="1">
        <v>45834</v>
      </c>
    </row>
    <row r="2182" spans="1:3" x14ac:dyDescent="0.25">
      <c r="A2182" t="s">
        <v>3834</v>
      </c>
      <c r="B2182" t="s">
        <v>6962</v>
      </c>
      <c r="C2182" s="1">
        <v>45831</v>
      </c>
    </row>
    <row r="2183" spans="1:3" x14ac:dyDescent="0.25">
      <c r="A2183" t="s">
        <v>3833</v>
      </c>
      <c r="B2183" t="s">
        <v>6962</v>
      </c>
      <c r="C2183" s="1">
        <v>45829</v>
      </c>
    </row>
    <row r="2184" spans="1:3" x14ac:dyDescent="0.25">
      <c r="A2184" t="s">
        <v>3835</v>
      </c>
      <c r="B2184" t="s">
        <v>6962</v>
      </c>
      <c r="C2184" s="1">
        <v>45827</v>
      </c>
    </row>
    <row r="2185" spans="1:3" x14ac:dyDescent="0.25">
      <c r="A2185" t="s">
        <v>2609</v>
      </c>
      <c r="B2185" t="s">
        <v>6962</v>
      </c>
      <c r="C2185" s="1">
        <v>45832</v>
      </c>
    </row>
    <row r="2186" spans="1:3" x14ac:dyDescent="0.25">
      <c r="A2186" t="s">
        <v>3832</v>
      </c>
      <c r="B2186" t="s">
        <v>6962</v>
      </c>
      <c r="C2186" s="1">
        <v>45832</v>
      </c>
    </row>
    <row r="2187" spans="1:3" x14ac:dyDescent="0.25">
      <c r="A2187" t="s">
        <v>3837</v>
      </c>
      <c r="B2187" t="s">
        <v>6962</v>
      </c>
      <c r="C2187" s="1">
        <v>45826</v>
      </c>
    </row>
    <row r="2188" spans="1:3" x14ac:dyDescent="0.25">
      <c r="A2188" t="s">
        <v>3838</v>
      </c>
      <c r="B2188" t="s">
        <v>6962</v>
      </c>
      <c r="C2188" s="1">
        <v>45831</v>
      </c>
    </row>
    <row r="2189" spans="1:3" x14ac:dyDescent="0.25">
      <c r="A2189" t="s">
        <v>3841</v>
      </c>
      <c r="B2189" t="s">
        <v>6962</v>
      </c>
      <c r="C2189" s="1">
        <v>45828</v>
      </c>
    </row>
    <row r="2190" spans="1:3" x14ac:dyDescent="0.25">
      <c r="A2190" t="s">
        <v>3056</v>
      </c>
      <c r="B2190" t="s">
        <v>6962</v>
      </c>
      <c r="C2190" s="1">
        <v>45829</v>
      </c>
    </row>
    <row r="2191" spans="1:3" x14ac:dyDescent="0.25">
      <c r="A2191" t="s">
        <v>3840</v>
      </c>
      <c r="B2191" t="s">
        <v>6963</v>
      </c>
      <c r="C2191" s="1"/>
    </row>
    <row r="2192" spans="1:3" x14ac:dyDescent="0.25">
      <c r="A2192" t="s">
        <v>3839</v>
      </c>
      <c r="B2192" t="s">
        <v>6962</v>
      </c>
      <c r="C2192" s="1">
        <v>45826</v>
      </c>
    </row>
    <row r="2193" spans="1:3" x14ac:dyDescent="0.25">
      <c r="A2193" t="s">
        <v>3822</v>
      </c>
      <c r="B2193" t="s">
        <v>6962</v>
      </c>
      <c r="C2193" s="1">
        <v>45839</v>
      </c>
    </row>
    <row r="2194" spans="1:3" x14ac:dyDescent="0.25">
      <c r="A2194" t="s">
        <v>3843</v>
      </c>
      <c r="B2194" t="s">
        <v>6962</v>
      </c>
      <c r="C2194" s="1">
        <v>45831</v>
      </c>
    </row>
    <row r="2195" spans="1:3" x14ac:dyDescent="0.25">
      <c r="A2195" t="s">
        <v>3842</v>
      </c>
      <c r="B2195" t="s">
        <v>6962</v>
      </c>
      <c r="C2195" s="1">
        <v>45831</v>
      </c>
    </row>
    <row r="2196" spans="1:3" x14ac:dyDescent="0.25">
      <c r="A2196" t="s">
        <v>3844</v>
      </c>
      <c r="B2196" t="s">
        <v>6962</v>
      </c>
      <c r="C2196" s="1">
        <v>45828</v>
      </c>
    </row>
    <row r="2197" spans="1:3" x14ac:dyDescent="0.25">
      <c r="A2197" t="s">
        <v>3057</v>
      </c>
      <c r="B2197" t="s">
        <v>6962</v>
      </c>
      <c r="C2197" s="1">
        <v>45831</v>
      </c>
    </row>
    <row r="2198" spans="1:3" x14ac:dyDescent="0.25">
      <c r="A2198" t="s">
        <v>3847</v>
      </c>
      <c r="B2198" t="s">
        <v>6962</v>
      </c>
      <c r="C2198" s="1">
        <v>45831</v>
      </c>
    </row>
    <row r="2199" spans="1:3" x14ac:dyDescent="0.25">
      <c r="A2199" t="s">
        <v>3848</v>
      </c>
      <c r="B2199" t="s">
        <v>6962</v>
      </c>
      <c r="C2199" s="1">
        <v>45829</v>
      </c>
    </row>
    <row r="2200" spans="1:3" x14ac:dyDescent="0.25">
      <c r="A2200" t="s">
        <v>2611</v>
      </c>
      <c r="B2200" t="s">
        <v>6962</v>
      </c>
      <c r="C2200" s="1">
        <v>45841</v>
      </c>
    </row>
    <row r="2201" spans="1:3" x14ac:dyDescent="0.25">
      <c r="A2201" t="s">
        <v>3850</v>
      </c>
      <c r="B2201" t="s">
        <v>6962</v>
      </c>
      <c r="C2201" s="1">
        <v>45834</v>
      </c>
    </row>
    <row r="2202" spans="1:3" x14ac:dyDescent="0.25">
      <c r="A2202" t="s">
        <v>3849</v>
      </c>
      <c r="B2202" t="s">
        <v>39</v>
      </c>
      <c r="C2202" s="1"/>
    </row>
    <row r="2203" spans="1:3" x14ac:dyDescent="0.25">
      <c r="A2203" t="s">
        <v>2613</v>
      </c>
      <c r="B2203" t="s">
        <v>6962</v>
      </c>
      <c r="C2203" s="1">
        <v>45843</v>
      </c>
    </row>
    <row r="2204" spans="1:3" x14ac:dyDescent="0.25">
      <c r="A2204" t="s">
        <v>2612</v>
      </c>
      <c r="B2204" t="s">
        <v>6962</v>
      </c>
      <c r="C2204" s="1">
        <v>45846</v>
      </c>
    </row>
    <row r="2205" spans="1:3" x14ac:dyDescent="0.25">
      <c r="A2205" t="s">
        <v>2614</v>
      </c>
      <c r="B2205" t="s">
        <v>6962</v>
      </c>
      <c r="C2205" s="1">
        <v>45832</v>
      </c>
    </row>
    <row r="2206" spans="1:3" x14ac:dyDescent="0.25">
      <c r="A2206" t="s">
        <v>3851</v>
      </c>
      <c r="B2206" t="s">
        <v>6962</v>
      </c>
      <c r="C2206" s="1">
        <v>45828</v>
      </c>
    </row>
    <row r="2207" spans="1:3" x14ac:dyDescent="0.25">
      <c r="A2207" t="s">
        <v>3479</v>
      </c>
      <c r="B2207" t="s">
        <v>6962</v>
      </c>
      <c r="C2207" s="1">
        <v>45828</v>
      </c>
    </row>
    <row r="2208" spans="1:3" x14ac:dyDescent="0.25">
      <c r="A2208" t="s">
        <v>3852</v>
      </c>
      <c r="B2208" t="s">
        <v>6962</v>
      </c>
      <c r="C2208" s="1">
        <v>45838</v>
      </c>
    </row>
    <row r="2209" spans="1:3" x14ac:dyDescent="0.25">
      <c r="A2209" t="s">
        <v>2615</v>
      </c>
      <c r="B2209" t="s">
        <v>6962</v>
      </c>
      <c r="C2209" s="1">
        <v>45835</v>
      </c>
    </row>
    <row r="2210" spans="1:3" x14ac:dyDescent="0.25">
      <c r="A2210" t="s">
        <v>3853</v>
      </c>
      <c r="B2210" t="s">
        <v>6962</v>
      </c>
      <c r="C2210" s="1">
        <v>45834</v>
      </c>
    </row>
    <row r="2211" spans="1:3" x14ac:dyDescent="0.25">
      <c r="A2211" t="s">
        <v>3760</v>
      </c>
      <c r="B2211" t="s">
        <v>6962</v>
      </c>
      <c r="C2211" s="1">
        <v>45829</v>
      </c>
    </row>
    <row r="2212" spans="1:3" x14ac:dyDescent="0.25">
      <c r="A2212" t="s">
        <v>3855</v>
      </c>
      <c r="B2212" t="s">
        <v>6962</v>
      </c>
      <c r="C2212" s="1">
        <v>45831</v>
      </c>
    </row>
    <row r="2213" spans="1:3" x14ac:dyDescent="0.25">
      <c r="A2213" t="s">
        <v>3854</v>
      </c>
      <c r="B2213" t="s">
        <v>6962</v>
      </c>
      <c r="C2213" s="1">
        <v>45831</v>
      </c>
    </row>
    <row r="2214" spans="1:3" x14ac:dyDescent="0.25">
      <c r="A2214" t="s">
        <v>2618</v>
      </c>
      <c r="B2214" t="s">
        <v>6962</v>
      </c>
      <c r="C2214" s="1">
        <v>45841</v>
      </c>
    </row>
    <row r="2215" spans="1:3" x14ac:dyDescent="0.25">
      <c r="A2215" t="s">
        <v>2617</v>
      </c>
      <c r="B2215" t="s">
        <v>6962</v>
      </c>
      <c r="C2215" s="1">
        <v>45842</v>
      </c>
    </row>
    <row r="2216" spans="1:3" x14ac:dyDescent="0.25">
      <c r="A2216" t="s">
        <v>2616</v>
      </c>
      <c r="B2216" t="s">
        <v>6962</v>
      </c>
      <c r="C2216" s="1">
        <v>45840</v>
      </c>
    </row>
    <row r="2217" spans="1:3" x14ac:dyDescent="0.25">
      <c r="A2217" t="s">
        <v>3855</v>
      </c>
      <c r="B2217" t="s">
        <v>6962</v>
      </c>
      <c r="C2217" s="1">
        <v>45831</v>
      </c>
    </row>
    <row r="2218" spans="1:3" x14ac:dyDescent="0.25">
      <c r="A2218" t="s">
        <v>3857</v>
      </c>
      <c r="B2218" t="s">
        <v>6962</v>
      </c>
      <c r="C2218" s="1">
        <v>45833</v>
      </c>
    </row>
    <row r="2219" spans="1:3" x14ac:dyDescent="0.25">
      <c r="A2219" t="s">
        <v>3856</v>
      </c>
      <c r="B2219" t="s">
        <v>6962</v>
      </c>
      <c r="C2219" s="1">
        <v>45832</v>
      </c>
    </row>
    <row r="2220" spans="1:3" x14ac:dyDescent="0.25">
      <c r="A2220" t="s">
        <v>3858</v>
      </c>
      <c r="B2220" t="s">
        <v>6962</v>
      </c>
      <c r="C2220" s="1">
        <v>45838</v>
      </c>
    </row>
    <row r="2221" spans="1:3" x14ac:dyDescent="0.25">
      <c r="A2221" t="s">
        <v>3859</v>
      </c>
      <c r="B2221" t="s">
        <v>6962</v>
      </c>
      <c r="C2221" s="1">
        <v>45834</v>
      </c>
    </row>
    <row r="2222" spans="1:3" x14ac:dyDescent="0.25">
      <c r="A2222" t="s">
        <v>3119</v>
      </c>
      <c r="B2222" t="s">
        <v>6962</v>
      </c>
      <c r="C2222" s="1">
        <v>45831</v>
      </c>
    </row>
    <row r="2223" spans="1:3" x14ac:dyDescent="0.25">
      <c r="A2223" t="s">
        <v>3119</v>
      </c>
      <c r="B2223" t="s">
        <v>6962</v>
      </c>
      <c r="C2223" s="1">
        <v>45831</v>
      </c>
    </row>
    <row r="2224" spans="1:3" x14ac:dyDescent="0.25">
      <c r="A2224" t="s">
        <v>3861</v>
      </c>
      <c r="B2224" t="s">
        <v>6962</v>
      </c>
      <c r="C2224" s="1">
        <v>45832</v>
      </c>
    </row>
    <row r="2225" spans="1:3" x14ac:dyDescent="0.25">
      <c r="A2225" t="s">
        <v>3860</v>
      </c>
      <c r="B2225" t="s">
        <v>6962</v>
      </c>
      <c r="C2225" s="1">
        <v>45834</v>
      </c>
    </row>
    <row r="2226" spans="1:3" x14ac:dyDescent="0.25">
      <c r="A2226" t="s">
        <v>3124</v>
      </c>
      <c r="B2226" t="s">
        <v>6962</v>
      </c>
      <c r="C2226" s="1">
        <v>45838</v>
      </c>
    </row>
    <row r="2227" spans="1:3" x14ac:dyDescent="0.25">
      <c r="A2227" t="s">
        <v>2619</v>
      </c>
      <c r="B2227" t="s">
        <v>6962</v>
      </c>
      <c r="C2227" s="1">
        <v>45842</v>
      </c>
    </row>
    <row r="2228" spans="1:3" x14ac:dyDescent="0.25">
      <c r="A2228" t="s">
        <v>3123</v>
      </c>
      <c r="B2228" t="s">
        <v>6962</v>
      </c>
      <c r="C2228" s="1">
        <v>45833</v>
      </c>
    </row>
    <row r="2229" spans="1:3" x14ac:dyDescent="0.25">
      <c r="A2229" t="s">
        <v>2622</v>
      </c>
      <c r="B2229" t="s">
        <v>6962</v>
      </c>
      <c r="C2229" s="1">
        <v>45853</v>
      </c>
    </row>
    <row r="2230" spans="1:3" x14ac:dyDescent="0.25">
      <c r="A2230" t="s">
        <v>2623</v>
      </c>
      <c r="B2230" t="s">
        <v>6962</v>
      </c>
      <c r="C2230" s="1">
        <v>45841</v>
      </c>
    </row>
    <row r="2231" spans="1:3" x14ac:dyDescent="0.25">
      <c r="A2231" t="s">
        <v>2620</v>
      </c>
      <c r="B2231" t="s">
        <v>6962</v>
      </c>
      <c r="C2231" s="1">
        <v>45836</v>
      </c>
    </row>
    <row r="2232" spans="1:3" x14ac:dyDescent="0.25">
      <c r="A2232" t="s">
        <v>3123</v>
      </c>
      <c r="B2232" t="s">
        <v>6962</v>
      </c>
      <c r="C2232" s="1">
        <v>45833</v>
      </c>
    </row>
    <row r="2233" spans="1:3" x14ac:dyDescent="0.25">
      <c r="A2233" t="s">
        <v>3862</v>
      </c>
      <c r="B2233" t="s">
        <v>6963</v>
      </c>
      <c r="C2233" s="1"/>
    </row>
    <row r="2234" spans="1:3" x14ac:dyDescent="0.25">
      <c r="A2234" t="s">
        <v>2625</v>
      </c>
      <c r="B2234" t="s">
        <v>6962</v>
      </c>
      <c r="C2234" s="1">
        <v>45836</v>
      </c>
    </row>
    <row r="2235" spans="1:3" x14ac:dyDescent="0.25">
      <c r="A2235" t="s">
        <v>2624</v>
      </c>
      <c r="B2235" t="s">
        <v>6962</v>
      </c>
      <c r="C2235" s="1">
        <v>45846</v>
      </c>
    </row>
    <row r="2236" spans="1:3" x14ac:dyDescent="0.25">
      <c r="A2236" t="s">
        <v>3864</v>
      </c>
      <c r="B2236" t="s">
        <v>6962</v>
      </c>
      <c r="C2236" s="1">
        <v>45834</v>
      </c>
    </row>
    <row r="2237" spans="1:3" x14ac:dyDescent="0.25">
      <c r="A2237" t="s">
        <v>6851</v>
      </c>
      <c r="B2237" t="s">
        <v>6962</v>
      </c>
      <c r="C2237" s="1">
        <v>45832</v>
      </c>
    </row>
    <row r="2238" spans="1:3" x14ac:dyDescent="0.25">
      <c r="A2238" t="s">
        <v>2610</v>
      </c>
      <c r="B2238" t="s">
        <v>6962</v>
      </c>
      <c r="C2238" s="1">
        <v>45855</v>
      </c>
    </row>
    <row r="2239" spans="1:3" x14ac:dyDescent="0.25">
      <c r="A2239" t="s">
        <v>3867</v>
      </c>
      <c r="B2239" t="s">
        <v>6962</v>
      </c>
      <c r="C2239" s="1">
        <v>45833</v>
      </c>
    </row>
    <row r="2240" spans="1:3" x14ac:dyDescent="0.25">
      <c r="A2240" t="s">
        <v>3866</v>
      </c>
      <c r="B2240" t="s">
        <v>6964</v>
      </c>
      <c r="C2240" s="1">
        <v>45840</v>
      </c>
    </row>
    <row r="2241" spans="1:3" x14ac:dyDescent="0.25">
      <c r="A2241" t="s">
        <v>3865</v>
      </c>
      <c r="B2241" t="s">
        <v>6962</v>
      </c>
      <c r="C2241" s="1">
        <v>45834</v>
      </c>
    </row>
    <row r="2242" spans="1:3" x14ac:dyDescent="0.25">
      <c r="A2242" t="s">
        <v>3092</v>
      </c>
      <c r="B2242" t="s">
        <v>6962</v>
      </c>
      <c r="C2242" s="1">
        <v>45832</v>
      </c>
    </row>
    <row r="2243" spans="1:3" x14ac:dyDescent="0.25">
      <c r="A2243" t="s">
        <v>3092</v>
      </c>
      <c r="B2243" t="s">
        <v>6962</v>
      </c>
      <c r="C2243" s="1">
        <v>45832</v>
      </c>
    </row>
    <row r="2244" spans="1:3" x14ac:dyDescent="0.25">
      <c r="A2244" t="s">
        <v>3110</v>
      </c>
      <c r="B2244" t="s">
        <v>6962</v>
      </c>
      <c r="C2244" s="1">
        <v>45832</v>
      </c>
    </row>
    <row r="2245" spans="1:3" x14ac:dyDescent="0.25">
      <c r="A2245" t="s">
        <v>3110</v>
      </c>
      <c r="B2245" t="s">
        <v>6963</v>
      </c>
      <c r="C2245" s="1">
        <v>45833</v>
      </c>
    </row>
    <row r="2246" spans="1:3" x14ac:dyDescent="0.25">
      <c r="A2246" t="s">
        <v>3873</v>
      </c>
      <c r="B2246" t="s">
        <v>6962</v>
      </c>
      <c r="C2246" s="1">
        <v>45834</v>
      </c>
    </row>
    <row r="2247" spans="1:3" x14ac:dyDescent="0.25">
      <c r="A2247" t="s">
        <v>3872</v>
      </c>
      <c r="B2247" t="s">
        <v>6962</v>
      </c>
      <c r="C2247" s="1">
        <v>45835</v>
      </c>
    </row>
    <row r="2248" spans="1:3" x14ac:dyDescent="0.25">
      <c r="A2248" t="s">
        <v>3871</v>
      </c>
      <c r="B2248" t="s">
        <v>6962</v>
      </c>
      <c r="C2248" s="1">
        <v>45849</v>
      </c>
    </row>
    <row r="2249" spans="1:3" x14ac:dyDescent="0.25">
      <c r="A2249" t="s">
        <v>3870</v>
      </c>
      <c r="B2249" t="s">
        <v>6962</v>
      </c>
      <c r="C2249" s="1">
        <v>45833</v>
      </c>
    </row>
    <row r="2250" spans="1:3" x14ac:dyDescent="0.25">
      <c r="A2250" t="s">
        <v>3869</v>
      </c>
      <c r="B2250" t="s">
        <v>6962</v>
      </c>
      <c r="C2250" s="1">
        <v>45834</v>
      </c>
    </row>
    <row r="2251" spans="1:3" x14ac:dyDescent="0.25">
      <c r="A2251" t="s">
        <v>2595</v>
      </c>
      <c r="B2251" t="s">
        <v>6962</v>
      </c>
      <c r="C2251" s="1">
        <v>45839</v>
      </c>
    </row>
    <row r="2252" spans="1:3" x14ac:dyDescent="0.25">
      <c r="A2252" t="s">
        <v>3876</v>
      </c>
      <c r="B2252" t="s">
        <v>6962</v>
      </c>
      <c r="C2252" s="1">
        <v>45835</v>
      </c>
    </row>
    <row r="2253" spans="1:3" x14ac:dyDescent="0.25">
      <c r="A2253" t="s">
        <v>3875</v>
      </c>
      <c r="B2253" t="s">
        <v>6962</v>
      </c>
      <c r="C2253" s="1">
        <v>45839</v>
      </c>
    </row>
    <row r="2254" spans="1:3" x14ac:dyDescent="0.25">
      <c r="A2254" t="s">
        <v>3875</v>
      </c>
      <c r="B2254" t="s">
        <v>6962</v>
      </c>
      <c r="C2254" s="1">
        <v>45841</v>
      </c>
    </row>
    <row r="2255" spans="1:3" x14ac:dyDescent="0.25">
      <c r="A2255" t="s">
        <v>3875</v>
      </c>
      <c r="B2255" t="s">
        <v>6962</v>
      </c>
      <c r="C2255" s="1">
        <v>45841</v>
      </c>
    </row>
    <row r="2256" spans="1:3" x14ac:dyDescent="0.25">
      <c r="A2256" t="s">
        <v>3875</v>
      </c>
      <c r="B2256" t="s">
        <v>6962</v>
      </c>
      <c r="C2256" s="1">
        <v>45842</v>
      </c>
    </row>
    <row r="2257" spans="1:3" x14ac:dyDescent="0.25">
      <c r="A2257" t="s">
        <v>3875</v>
      </c>
      <c r="B2257" t="s">
        <v>6962</v>
      </c>
      <c r="C2257" s="1">
        <v>45843</v>
      </c>
    </row>
    <row r="2258" spans="1:3" x14ac:dyDescent="0.25">
      <c r="A2258" t="s">
        <v>3874</v>
      </c>
      <c r="B2258" t="s">
        <v>6962</v>
      </c>
      <c r="C2258" s="1">
        <v>45838</v>
      </c>
    </row>
    <row r="2259" spans="1:3" x14ac:dyDescent="0.25">
      <c r="A2259" t="s">
        <v>3877</v>
      </c>
      <c r="B2259" t="s">
        <v>6962</v>
      </c>
      <c r="C2259" s="1">
        <v>45835</v>
      </c>
    </row>
    <row r="2260" spans="1:3" x14ac:dyDescent="0.25">
      <c r="A2260" t="s">
        <v>3058</v>
      </c>
      <c r="B2260" t="s">
        <v>39</v>
      </c>
      <c r="C2260" s="1"/>
    </row>
    <row r="2261" spans="1:3" x14ac:dyDescent="0.25">
      <c r="A2261" t="s">
        <v>3878</v>
      </c>
      <c r="B2261" t="s">
        <v>6962</v>
      </c>
      <c r="C2261" s="1">
        <v>45834</v>
      </c>
    </row>
    <row r="2262" spans="1:3" x14ac:dyDescent="0.25">
      <c r="A2262" t="s">
        <v>3879</v>
      </c>
      <c r="B2262" t="s">
        <v>6962</v>
      </c>
      <c r="C2262" s="1">
        <v>45834</v>
      </c>
    </row>
    <row r="2263" spans="1:3" x14ac:dyDescent="0.25">
      <c r="A2263" t="s">
        <v>3881</v>
      </c>
      <c r="B2263" t="s">
        <v>6962</v>
      </c>
      <c r="C2263" s="1">
        <v>45840</v>
      </c>
    </row>
    <row r="2264" spans="1:3" x14ac:dyDescent="0.25">
      <c r="A2264" t="s">
        <v>2626</v>
      </c>
      <c r="B2264" t="s">
        <v>6962</v>
      </c>
      <c r="C2264" s="1">
        <v>45854</v>
      </c>
    </row>
    <row r="2265" spans="1:3" x14ac:dyDescent="0.25">
      <c r="A2265" t="s">
        <v>2627</v>
      </c>
      <c r="B2265" t="s">
        <v>6962</v>
      </c>
      <c r="C2265" s="1">
        <v>45859</v>
      </c>
    </row>
    <row r="2266" spans="1:3" x14ac:dyDescent="0.25">
      <c r="A2266" t="s">
        <v>3882</v>
      </c>
      <c r="B2266" t="s">
        <v>6962</v>
      </c>
      <c r="C2266" s="1">
        <v>45835</v>
      </c>
    </row>
    <row r="2267" spans="1:3" x14ac:dyDescent="0.25">
      <c r="A2267" t="s">
        <v>3884</v>
      </c>
      <c r="B2267" t="s">
        <v>6962</v>
      </c>
      <c r="C2267" s="1">
        <v>45839</v>
      </c>
    </row>
    <row r="2268" spans="1:3" x14ac:dyDescent="0.25">
      <c r="A2268" t="s">
        <v>3883</v>
      </c>
      <c r="B2268" t="s">
        <v>6962</v>
      </c>
      <c r="C2268" s="1">
        <v>45838</v>
      </c>
    </row>
    <row r="2269" spans="1:3" x14ac:dyDescent="0.25">
      <c r="A2269" t="s">
        <v>3888</v>
      </c>
      <c r="B2269" t="s">
        <v>6962</v>
      </c>
      <c r="C2269" s="1">
        <v>45835</v>
      </c>
    </row>
    <row r="2270" spans="1:3" x14ac:dyDescent="0.25">
      <c r="A2270" t="s">
        <v>3887</v>
      </c>
      <c r="B2270" t="s">
        <v>6962</v>
      </c>
      <c r="C2270" s="1">
        <v>45838</v>
      </c>
    </row>
    <row r="2271" spans="1:3" x14ac:dyDescent="0.25">
      <c r="A2271" t="s">
        <v>3886</v>
      </c>
      <c r="B2271" t="s">
        <v>6962</v>
      </c>
      <c r="C2271" s="1">
        <v>45838</v>
      </c>
    </row>
    <row r="2272" spans="1:3" x14ac:dyDescent="0.25">
      <c r="A2272" t="s">
        <v>2628</v>
      </c>
      <c r="B2272" t="s">
        <v>6962</v>
      </c>
      <c r="C2272" s="1">
        <v>45855</v>
      </c>
    </row>
    <row r="2273" spans="1:3" x14ac:dyDescent="0.25">
      <c r="A2273" t="s">
        <v>3889</v>
      </c>
      <c r="B2273" t="s">
        <v>6962</v>
      </c>
      <c r="C2273" s="1">
        <v>45841</v>
      </c>
    </row>
    <row r="2274" spans="1:3" x14ac:dyDescent="0.25">
      <c r="A2274" t="s">
        <v>3890</v>
      </c>
      <c r="B2274" t="s">
        <v>6962</v>
      </c>
      <c r="C2274" s="1">
        <v>45845</v>
      </c>
    </row>
    <row r="2275" spans="1:3" x14ac:dyDescent="0.25">
      <c r="A2275" t="s">
        <v>3890</v>
      </c>
      <c r="B2275" t="s">
        <v>6962</v>
      </c>
      <c r="C2275" s="1">
        <v>45841</v>
      </c>
    </row>
    <row r="2276" spans="1:3" x14ac:dyDescent="0.25">
      <c r="A2276" t="s">
        <v>3890</v>
      </c>
      <c r="B2276" t="s">
        <v>6962</v>
      </c>
      <c r="C2276" s="1">
        <v>45838</v>
      </c>
    </row>
    <row r="2277" spans="1:3" x14ac:dyDescent="0.25">
      <c r="A2277" t="s">
        <v>3890</v>
      </c>
      <c r="B2277" t="s">
        <v>6962</v>
      </c>
      <c r="C2277" s="1">
        <v>45845</v>
      </c>
    </row>
    <row r="2278" spans="1:3" x14ac:dyDescent="0.25">
      <c r="A2278" t="s">
        <v>3890</v>
      </c>
      <c r="B2278" t="s">
        <v>6962</v>
      </c>
      <c r="C2278" s="1">
        <v>45835</v>
      </c>
    </row>
    <row r="2279" spans="1:3" x14ac:dyDescent="0.25">
      <c r="A2279" t="s">
        <v>3891</v>
      </c>
      <c r="B2279" t="s">
        <v>6962</v>
      </c>
      <c r="C2279" s="1">
        <v>45845</v>
      </c>
    </row>
    <row r="2280" spans="1:3" x14ac:dyDescent="0.25">
      <c r="A2280" t="s">
        <v>3896</v>
      </c>
      <c r="B2280" t="s">
        <v>6962</v>
      </c>
      <c r="C2280" s="1">
        <v>45841</v>
      </c>
    </row>
    <row r="2281" spans="1:3" x14ac:dyDescent="0.25">
      <c r="A2281" t="s">
        <v>3895</v>
      </c>
      <c r="B2281" t="s">
        <v>6962</v>
      </c>
      <c r="C2281" s="1">
        <v>45840</v>
      </c>
    </row>
    <row r="2282" spans="1:3" x14ac:dyDescent="0.25">
      <c r="A2282" t="s">
        <v>3894</v>
      </c>
      <c r="B2282" t="s">
        <v>6962</v>
      </c>
      <c r="C2282" s="1">
        <v>45846</v>
      </c>
    </row>
    <row r="2283" spans="1:3" x14ac:dyDescent="0.25">
      <c r="A2283" t="s">
        <v>3126</v>
      </c>
      <c r="B2283" t="s">
        <v>6962</v>
      </c>
      <c r="C2283" s="1">
        <v>45838</v>
      </c>
    </row>
    <row r="2284" spans="1:3" x14ac:dyDescent="0.25">
      <c r="A2284" t="s">
        <v>3126</v>
      </c>
      <c r="B2284" t="s">
        <v>6962</v>
      </c>
      <c r="C2284" s="1">
        <v>45838</v>
      </c>
    </row>
    <row r="2285" spans="1:3" x14ac:dyDescent="0.25">
      <c r="A2285" t="s">
        <v>3125</v>
      </c>
      <c r="B2285" t="s">
        <v>6962</v>
      </c>
      <c r="C2285" s="1">
        <v>45839</v>
      </c>
    </row>
    <row r="2286" spans="1:3" x14ac:dyDescent="0.25">
      <c r="A2286" t="s">
        <v>3125</v>
      </c>
      <c r="B2286" t="s">
        <v>6962</v>
      </c>
      <c r="C2286" s="1">
        <v>45838</v>
      </c>
    </row>
    <row r="2287" spans="1:3" x14ac:dyDescent="0.25">
      <c r="A2287" t="s">
        <v>3893</v>
      </c>
      <c r="B2287" t="s">
        <v>6962</v>
      </c>
      <c r="C2287" s="1">
        <v>45839</v>
      </c>
    </row>
    <row r="2288" spans="1:3" x14ac:dyDescent="0.25">
      <c r="A2288" t="s">
        <v>3892</v>
      </c>
      <c r="B2288" t="s">
        <v>6962</v>
      </c>
      <c r="C2288" s="1">
        <v>45839</v>
      </c>
    </row>
    <row r="2289" spans="1:3" x14ac:dyDescent="0.25">
      <c r="A2289" t="s">
        <v>3899</v>
      </c>
      <c r="B2289" t="s">
        <v>6962</v>
      </c>
      <c r="C2289" s="1">
        <v>45848</v>
      </c>
    </row>
    <row r="2290" spans="1:3" x14ac:dyDescent="0.25">
      <c r="A2290" t="s">
        <v>3898</v>
      </c>
      <c r="B2290" t="s">
        <v>6962</v>
      </c>
      <c r="C2290" s="1">
        <v>45838</v>
      </c>
    </row>
    <row r="2291" spans="1:3" x14ac:dyDescent="0.25">
      <c r="A2291" t="s">
        <v>3127</v>
      </c>
      <c r="B2291" t="s">
        <v>6962</v>
      </c>
      <c r="C2291" s="1">
        <v>45842</v>
      </c>
    </row>
    <row r="2292" spans="1:3" x14ac:dyDescent="0.25">
      <c r="A2292" t="s">
        <v>3127</v>
      </c>
      <c r="B2292" t="s">
        <v>6962</v>
      </c>
      <c r="C2292" s="1">
        <v>45842</v>
      </c>
    </row>
    <row r="2293" spans="1:3" x14ac:dyDescent="0.25">
      <c r="A2293" t="s">
        <v>3897</v>
      </c>
      <c r="B2293" t="s">
        <v>6962</v>
      </c>
      <c r="C2293" s="1">
        <v>45843</v>
      </c>
    </row>
    <row r="2294" spans="1:3" x14ac:dyDescent="0.25">
      <c r="A2294" t="s">
        <v>2629</v>
      </c>
      <c r="B2294" t="s">
        <v>6963</v>
      </c>
      <c r="C2294" s="1"/>
    </row>
    <row r="2295" spans="1:3" x14ac:dyDescent="0.25">
      <c r="A2295" t="s">
        <v>3902</v>
      </c>
      <c r="B2295" t="s">
        <v>6962</v>
      </c>
      <c r="C2295" s="1">
        <v>45849</v>
      </c>
    </row>
    <row r="2296" spans="1:3" x14ac:dyDescent="0.25">
      <c r="A2296" t="s">
        <v>3901</v>
      </c>
      <c r="B2296" t="s">
        <v>6962</v>
      </c>
      <c r="C2296" s="1">
        <v>45840</v>
      </c>
    </row>
    <row r="2297" spans="1:3" x14ac:dyDescent="0.25">
      <c r="A2297" t="s">
        <v>3059</v>
      </c>
      <c r="B2297" t="s">
        <v>6962</v>
      </c>
      <c r="C2297" s="1">
        <v>45838</v>
      </c>
    </row>
    <row r="2298" spans="1:3" x14ac:dyDescent="0.25">
      <c r="A2298" t="s">
        <v>3900</v>
      </c>
      <c r="B2298" t="s">
        <v>6962</v>
      </c>
      <c r="C2298" s="1">
        <v>45838</v>
      </c>
    </row>
    <row r="2299" spans="1:3" x14ac:dyDescent="0.25">
      <c r="A2299" t="s">
        <v>3128</v>
      </c>
      <c r="B2299" t="s">
        <v>6962</v>
      </c>
      <c r="C2299" s="1">
        <v>45841</v>
      </c>
    </row>
    <row r="2300" spans="1:3" x14ac:dyDescent="0.25">
      <c r="A2300" t="s">
        <v>3128</v>
      </c>
      <c r="B2300" t="s">
        <v>6962</v>
      </c>
      <c r="C2300" s="1">
        <v>45841</v>
      </c>
    </row>
    <row r="2301" spans="1:3" x14ac:dyDescent="0.25">
      <c r="A2301" t="s">
        <v>2603</v>
      </c>
      <c r="B2301" t="s">
        <v>6962</v>
      </c>
      <c r="C2301" s="1">
        <v>45853</v>
      </c>
    </row>
    <row r="2302" spans="1:3" x14ac:dyDescent="0.25">
      <c r="A2302" t="s">
        <v>2635</v>
      </c>
      <c r="B2302" t="s">
        <v>6962</v>
      </c>
      <c r="C2302" s="1">
        <v>45853</v>
      </c>
    </row>
    <row r="2303" spans="1:3" x14ac:dyDescent="0.25">
      <c r="A2303" t="s">
        <v>2633</v>
      </c>
      <c r="B2303" t="s">
        <v>6962</v>
      </c>
      <c r="C2303" s="1">
        <v>45850</v>
      </c>
    </row>
    <row r="2304" spans="1:3" x14ac:dyDescent="0.25">
      <c r="A2304" t="s">
        <v>2630</v>
      </c>
      <c r="B2304" t="s">
        <v>6962</v>
      </c>
      <c r="C2304" s="1">
        <v>45842</v>
      </c>
    </row>
    <row r="2305" spans="1:3" x14ac:dyDescent="0.25">
      <c r="A2305" t="s">
        <v>3903</v>
      </c>
      <c r="B2305" t="s">
        <v>39</v>
      </c>
      <c r="C2305" s="1"/>
    </row>
    <row r="2306" spans="1:3" x14ac:dyDescent="0.25">
      <c r="A2306" t="s">
        <v>3904</v>
      </c>
      <c r="B2306" t="s">
        <v>6962</v>
      </c>
      <c r="C2306" s="1">
        <v>45846</v>
      </c>
    </row>
    <row r="2307" spans="1:3" x14ac:dyDescent="0.25">
      <c r="A2307" t="s">
        <v>3905</v>
      </c>
      <c r="B2307" t="s">
        <v>6962</v>
      </c>
      <c r="C2307" s="1">
        <v>45845</v>
      </c>
    </row>
    <row r="2308" spans="1:3" x14ac:dyDescent="0.25">
      <c r="A2308" t="s">
        <v>3905</v>
      </c>
      <c r="B2308" t="s">
        <v>6962</v>
      </c>
      <c r="C2308" s="1">
        <v>45843</v>
      </c>
    </row>
    <row r="2309" spans="1:3" x14ac:dyDescent="0.25">
      <c r="A2309" t="s">
        <v>3905</v>
      </c>
      <c r="B2309" t="s">
        <v>6962</v>
      </c>
      <c r="C2309" s="1">
        <v>45842</v>
      </c>
    </row>
    <row r="2310" spans="1:3" x14ac:dyDescent="0.25">
      <c r="A2310" t="s">
        <v>3906</v>
      </c>
      <c r="B2310" t="s">
        <v>6962</v>
      </c>
      <c r="C2310" s="1">
        <v>45842</v>
      </c>
    </row>
    <row r="2311" spans="1:3" x14ac:dyDescent="0.25">
      <c r="A2311" t="s">
        <v>3907</v>
      </c>
      <c r="B2311" t="s">
        <v>6962</v>
      </c>
      <c r="C2311" s="1">
        <v>45843</v>
      </c>
    </row>
    <row r="2312" spans="1:3" x14ac:dyDescent="0.25">
      <c r="A2312" t="s">
        <v>3908</v>
      </c>
      <c r="B2312" t="s">
        <v>6962</v>
      </c>
      <c r="C2312" s="1">
        <v>45845</v>
      </c>
    </row>
    <row r="2313" spans="1:3" x14ac:dyDescent="0.25">
      <c r="A2313" t="s">
        <v>3909</v>
      </c>
      <c r="B2313" t="s">
        <v>6962</v>
      </c>
      <c r="C2313" s="1">
        <v>45841</v>
      </c>
    </row>
    <row r="2314" spans="1:3" x14ac:dyDescent="0.25">
      <c r="A2314" t="s">
        <v>3909</v>
      </c>
      <c r="B2314" t="s">
        <v>6962</v>
      </c>
      <c r="C2314" s="1">
        <v>45845</v>
      </c>
    </row>
    <row r="2315" spans="1:3" x14ac:dyDescent="0.25">
      <c r="A2315" t="s">
        <v>3909</v>
      </c>
      <c r="B2315" t="s">
        <v>6962</v>
      </c>
      <c r="C2315" s="1">
        <v>45841</v>
      </c>
    </row>
    <row r="2316" spans="1:3" x14ac:dyDescent="0.25">
      <c r="A2316" t="s">
        <v>2636</v>
      </c>
      <c r="B2316" t="s">
        <v>6963</v>
      </c>
      <c r="C2316" s="1"/>
    </row>
    <row r="2317" spans="1:3" x14ac:dyDescent="0.25">
      <c r="A2317" t="s">
        <v>2631</v>
      </c>
      <c r="B2317" t="s">
        <v>6962</v>
      </c>
      <c r="C2317" s="1">
        <v>45842</v>
      </c>
    </row>
    <row r="2318" spans="1:3" x14ac:dyDescent="0.25">
      <c r="A2318" t="s">
        <v>2637</v>
      </c>
      <c r="B2318" t="s">
        <v>6962</v>
      </c>
      <c r="C2318" s="1">
        <v>45850</v>
      </c>
    </row>
    <row r="2319" spans="1:3" x14ac:dyDescent="0.25">
      <c r="A2319" t="s">
        <v>3920</v>
      </c>
      <c r="B2319" t="s">
        <v>6962</v>
      </c>
      <c r="C2319" s="1">
        <v>45843</v>
      </c>
    </row>
    <row r="2320" spans="1:3" x14ac:dyDescent="0.25">
      <c r="A2320" t="s">
        <v>3918</v>
      </c>
      <c r="B2320" t="s">
        <v>6962</v>
      </c>
      <c r="C2320" s="1">
        <v>45846</v>
      </c>
    </row>
    <row r="2321" spans="1:3" x14ac:dyDescent="0.25">
      <c r="A2321" t="s">
        <v>3917</v>
      </c>
      <c r="B2321" t="s">
        <v>6962</v>
      </c>
      <c r="C2321" s="1">
        <v>45847</v>
      </c>
    </row>
    <row r="2322" spans="1:3" x14ac:dyDescent="0.25">
      <c r="A2322" t="s">
        <v>3916</v>
      </c>
      <c r="B2322" t="s">
        <v>6962</v>
      </c>
      <c r="C2322" s="1">
        <v>45842</v>
      </c>
    </row>
    <row r="2323" spans="1:3" x14ac:dyDescent="0.25">
      <c r="A2323" t="s">
        <v>3915</v>
      </c>
      <c r="B2323" t="s">
        <v>6962</v>
      </c>
      <c r="C2323" s="1">
        <v>45839</v>
      </c>
    </row>
    <row r="2324" spans="1:3" x14ac:dyDescent="0.25">
      <c r="A2324" t="s">
        <v>3914</v>
      </c>
      <c r="B2324" t="s">
        <v>6962</v>
      </c>
      <c r="C2324" s="1">
        <v>45845</v>
      </c>
    </row>
    <row r="2325" spans="1:3" x14ac:dyDescent="0.25">
      <c r="A2325" t="s">
        <v>3912</v>
      </c>
      <c r="B2325" t="s">
        <v>6962</v>
      </c>
      <c r="C2325" s="1">
        <v>45846</v>
      </c>
    </row>
    <row r="2326" spans="1:3" x14ac:dyDescent="0.25">
      <c r="A2326" t="s">
        <v>3911</v>
      </c>
      <c r="B2326" t="s">
        <v>6962</v>
      </c>
      <c r="C2326" s="1">
        <v>45845</v>
      </c>
    </row>
    <row r="2327" spans="1:3" x14ac:dyDescent="0.25">
      <c r="A2327" t="s">
        <v>3129</v>
      </c>
      <c r="B2327" t="s">
        <v>6962</v>
      </c>
      <c r="C2327" s="1">
        <v>45842</v>
      </c>
    </row>
    <row r="2328" spans="1:3" x14ac:dyDescent="0.25">
      <c r="A2328" t="s">
        <v>3129</v>
      </c>
      <c r="B2328" t="s">
        <v>6962</v>
      </c>
      <c r="C2328" s="1">
        <v>45842</v>
      </c>
    </row>
    <row r="2329" spans="1:3" x14ac:dyDescent="0.25">
      <c r="A2329" t="s">
        <v>3910</v>
      </c>
      <c r="B2329" t="s">
        <v>6962</v>
      </c>
      <c r="C2329" s="1">
        <v>45845</v>
      </c>
    </row>
    <row r="2330" spans="1:3" x14ac:dyDescent="0.25">
      <c r="A2330" t="s">
        <v>3930</v>
      </c>
      <c r="B2330" t="s">
        <v>6962</v>
      </c>
      <c r="C2330" s="1">
        <v>45841</v>
      </c>
    </row>
    <row r="2331" spans="1:3" x14ac:dyDescent="0.25">
      <c r="A2331" t="s">
        <v>3929</v>
      </c>
      <c r="B2331" t="s">
        <v>6962</v>
      </c>
      <c r="C2331" s="1">
        <v>45852</v>
      </c>
    </row>
    <row r="2332" spans="1:3" x14ac:dyDescent="0.25">
      <c r="A2332" t="s">
        <v>3928</v>
      </c>
      <c r="B2332" t="s">
        <v>6962</v>
      </c>
      <c r="C2332" s="1">
        <v>45874</v>
      </c>
    </row>
    <row r="2333" spans="1:3" x14ac:dyDescent="0.25">
      <c r="A2333" t="s">
        <v>3927</v>
      </c>
      <c r="B2333" t="s">
        <v>39</v>
      </c>
      <c r="C2333" s="1"/>
    </row>
    <row r="2334" spans="1:3" x14ac:dyDescent="0.25">
      <c r="A2334" t="s">
        <v>3926</v>
      </c>
      <c r="B2334" t="s">
        <v>6962</v>
      </c>
      <c r="C2334" s="1">
        <v>45843</v>
      </c>
    </row>
    <row r="2335" spans="1:3" x14ac:dyDescent="0.25">
      <c r="A2335" t="s">
        <v>3925</v>
      </c>
      <c r="B2335" t="s">
        <v>6962</v>
      </c>
      <c r="C2335" s="1">
        <v>45846</v>
      </c>
    </row>
    <row r="2336" spans="1:3" x14ac:dyDescent="0.25">
      <c r="A2336" t="s">
        <v>3924</v>
      </c>
      <c r="B2336" t="s">
        <v>6962</v>
      </c>
      <c r="C2336" s="1">
        <v>45845</v>
      </c>
    </row>
    <row r="2337" spans="1:3" x14ac:dyDescent="0.25">
      <c r="A2337" t="s">
        <v>3923</v>
      </c>
      <c r="B2337" t="s">
        <v>6962</v>
      </c>
      <c r="C2337" s="1">
        <v>45842</v>
      </c>
    </row>
    <row r="2338" spans="1:3" x14ac:dyDescent="0.25">
      <c r="A2338" t="s">
        <v>3922</v>
      </c>
      <c r="B2338" t="s">
        <v>6962</v>
      </c>
      <c r="C2338" s="1">
        <v>45847</v>
      </c>
    </row>
    <row r="2339" spans="1:3" x14ac:dyDescent="0.25">
      <c r="A2339" t="s">
        <v>3130</v>
      </c>
      <c r="B2339" t="s">
        <v>6962</v>
      </c>
      <c r="C2339" s="1">
        <v>45839</v>
      </c>
    </row>
    <row r="2340" spans="1:3" x14ac:dyDescent="0.25">
      <c r="A2340" t="s">
        <v>3921</v>
      </c>
      <c r="B2340" t="s">
        <v>6962</v>
      </c>
      <c r="C2340" s="1">
        <v>45852</v>
      </c>
    </row>
    <row r="2341" spans="1:3" x14ac:dyDescent="0.25">
      <c r="A2341" t="s">
        <v>3920</v>
      </c>
      <c r="B2341" t="s">
        <v>6963</v>
      </c>
      <c r="C2341" s="1"/>
    </row>
    <row r="2342" spans="1:3" x14ac:dyDescent="0.25">
      <c r="A2342" t="s">
        <v>3130</v>
      </c>
      <c r="B2342" t="s">
        <v>6962</v>
      </c>
      <c r="C2342" s="1">
        <v>45839</v>
      </c>
    </row>
    <row r="2343" spans="1:3" x14ac:dyDescent="0.25">
      <c r="A2343" t="s">
        <v>3931</v>
      </c>
      <c r="B2343" t="s">
        <v>6962</v>
      </c>
      <c r="C2343" s="1">
        <v>45842</v>
      </c>
    </row>
    <row r="2344" spans="1:3" x14ac:dyDescent="0.25">
      <c r="A2344" t="s">
        <v>2641</v>
      </c>
      <c r="B2344" t="s">
        <v>6962</v>
      </c>
      <c r="C2344" s="1">
        <v>45875</v>
      </c>
    </row>
    <row r="2345" spans="1:3" x14ac:dyDescent="0.25">
      <c r="A2345" t="s">
        <v>2640</v>
      </c>
      <c r="B2345" t="s">
        <v>6964</v>
      </c>
      <c r="C2345" s="1">
        <v>45855</v>
      </c>
    </row>
    <row r="2346" spans="1:3" x14ac:dyDescent="0.25">
      <c r="A2346" t="s">
        <v>2639</v>
      </c>
      <c r="B2346" t="s">
        <v>6962</v>
      </c>
      <c r="C2346" s="1">
        <v>45853</v>
      </c>
    </row>
    <row r="2347" spans="1:3" x14ac:dyDescent="0.25">
      <c r="A2347" t="s">
        <v>2638</v>
      </c>
      <c r="B2347" t="s">
        <v>6964</v>
      </c>
      <c r="C2347" s="1">
        <v>45881</v>
      </c>
    </row>
    <row r="2348" spans="1:3" x14ac:dyDescent="0.25">
      <c r="A2348" t="s">
        <v>3935</v>
      </c>
      <c r="B2348" t="s">
        <v>6962</v>
      </c>
      <c r="C2348" s="1">
        <v>45846</v>
      </c>
    </row>
    <row r="2349" spans="1:3" x14ac:dyDescent="0.25">
      <c r="A2349" t="s">
        <v>3934</v>
      </c>
      <c r="B2349" t="s">
        <v>6962</v>
      </c>
      <c r="C2349" s="1">
        <v>45842</v>
      </c>
    </row>
    <row r="2350" spans="1:3" x14ac:dyDescent="0.25">
      <c r="A2350" t="s">
        <v>3933</v>
      </c>
      <c r="B2350" t="s">
        <v>6962</v>
      </c>
      <c r="C2350" s="1">
        <v>45842</v>
      </c>
    </row>
    <row r="2351" spans="1:3" x14ac:dyDescent="0.25">
      <c r="A2351" t="s">
        <v>3932</v>
      </c>
      <c r="B2351" t="s">
        <v>6962</v>
      </c>
      <c r="C2351" s="1">
        <v>45847</v>
      </c>
    </row>
    <row r="2352" spans="1:3" x14ac:dyDescent="0.25">
      <c r="A2352" t="s">
        <v>2644</v>
      </c>
      <c r="B2352" t="s">
        <v>6962</v>
      </c>
      <c r="C2352" s="1">
        <v>45862</v>
      </c>
    </row>
    <row r="2353" spans="1:3" x14ac:dyDescent="0.25">
      <c r="A2353" t="s">
        <v>3936</v>
      </c>
      <c r="B2353" t="s">
        <v>6962</v>
      </c>
      <c r="C2353" s="1">
        <v>45855</v>
      </c>
    </row>
    <row r="2354" spans="1:3" x14ac:dyDescent="0.25">
      <c r="A2354" t="s">
        <v>2643</v>
      </c>
      <c r="B2354" t="s">
        <v>6962</v>
      </c>
      <c r="C2354" s="1">
        <v>45868</v>
      </c>
    </row>
    <row r="2355" spans="1:3" x14ac:dyDescent="0.25">
      <c r="A2355" t="s">
        <v>3919</v>
      </c>
      <c r="B2355" t="s">
        <v>6962</v>
      </c>
      <c r="C2355" s="1">
        <v>45842</v>
      </c>
    </row>
    <row r="2356" spans="1:3" x14ac:dyDescent="0.25">
      <c r="A2356" t="s">
        <v>3937</v>
      </c>
      <c r="B2356" t="s">
        <v>6962</v>
      </c>
      <c r="C2356" s="1">
        <v>45847</v>
      </c>
    </row>
    <row r="2357" spans="1:3" x14ac:dyDescent="0.25">
      <c r="A2357" t="s">
        <v>3238</v>
      </c>
      <c r="B2357" t="s">
        <v>6962</v>
      </c>
      <c r="C2357" s="1">
        <v>45855</v>
      </c>
    </row>
    <row r="2358" spans="1:3" x14ac:dyDescent="0.25">
      <c r="A2358" t="s">
        <v>3132</v>
      </c>
      <c r="B2358" t="s">
        <v>6962</v>
      </c>
      <c r="C2358" s="1">
        <v>45848</v>
      </c>
    </row>
    <row r="2359" spans="1:3" x14ac:dyDescent="0.25">
      <c r="A2359" t="s">
        <v>3132</v>
      </c>
      <c r="B2359" t="s">
        <v>6962</v>
      </c>
      <c r="C2359" s="1">
        <v>45848</v>
      </c>
    </row>
    <row r="2360" spans="1:3" x14ac:dyDescent="0.25">
      <c r="A2360" t="s">
        <v>3060</v>
      </c>
      <c r="B2360" t="s">
        <v>6962</v>
      </c>
      <c r="C2360" s="1">
        <v>45846</v>
      </c>
    </row>
    <row r="2361" spans="1:3" x14ac:dyDescent="0.25">
      <c r="A2361" t="s">
        <v>3060</v>
      </c>
      <c r="B2361" t="s">
        <v>6962</v>
      </c>
      <c r="C2361" s="1">
        <v>45846</v>
      </c>
    </row>
    <row r="2362" spans="1:3" x14ac:dyDescent="0.25">
      <c r="A2362" t="s">
        <v>3940</v>
      </c>
      <c r="B2362" t="s">
        <v>6962</v>
      </c>
      <c r="C2362" s="1">
        <v>45847</v>
      </c>
    </row>
    <row r="2363" spans="1:3" x14ac:dyDescent="0.25">
      <c r="A2363" t="s">
        <v>3939</v>
      </c>
      <c r="B2363" t="s">
        <v>6962</v>
      </c>
      <c r="C2363" s="1">
        <v>45856</v>
      </c>
    </row>
    <row r="2364" spans="1:3" x14ac:dyDescent="0.25">
      <c r="A2364" t="s">
        <v>3938</v>
      </c>
      <c r="B2364" t="s">
        <v>6962</v>
      </c>
      <c r="C2364" s="1">
        <v>45845</v>
      </c>
    </row>
    <row r="2365" spans="1:3" x14ac:dyDescent="0.25">
      <c r="A2365" t="s">
        <v>3131</v>
      </c>
      <c r="B2365" t="s">
        <v>6962</v>
      </c>
      <c r="C2365" s="1">
        <v>45852</v>
      </c>
    </row>
    <row r="2366" spans="1:3" x14ac:dyDescent="0.25">
      <c r="A2366" t="s">
        <v>3941</v>
      </c>
      <c r="B2366" t="s">
        <v>6962</v>
      </c>
      <c r="C2366" s="1">
        <v>45845</v>
      </c>
    </row>
    <row r="2367" spans="1:3" x14ac:dyDescent="0.25">
      <c r="A2367" t="s">
        <v>2642</v>
      </c>
      <c r="B2367" t="s">
        <v>6962</v>
      </c>
      <c r="C2367" s="1">
        <v>45856</v>
      </c>
    </row>
    <row r="2368" spans="1:3" x14ac:dyDescent="0.25">
      <c r="A2368" t="s">
        <v>6852</v>
      </c>
      <c r="B2368" t="s">
        <v>39</v>
      </c>
      <c r="C2368" s="1"/>
    </row>
    <row r="2369" spans="1:3" x14ac:dyDescent="0.25">
      <c r="A2369" t="s">
        <v>2634</v>
      </c>
      <c r="B2369" t="s">
        <v>6962</v>
      </c>
      <c r="C2369" s="1">
        <v>45855</v>
      </c>
    </row>
    <row r="2370" spans="1:3" x14ac:dyDescent="0.25">
      <c r="A2370" t="s">
        <v>3945</v>
      </c>
      <c r="B2370" t="s">
        <v>6962</v>
      </c>
      <c r="C2370" s="1">
        <v>45853</v>
      </c>
    </row>
    <row r="2371" spans="1:3" x14ac:dyDescent="0.25">
      <c r="A2371" t="s">
        <v>3944</v>
      </c>
      <c r="B2371" t="s">
        <v>6962</v>
      </c>
      <c r="C2371" s="1">
        <v>45845</v>
      </c>
    </row>
    <row r="2372" spans="1:3" x14ac:dyDescent="0.25">
      <c r="A2372" t="s">
        <v>3943</v>
      </c>
      <c r="B2372" t="s">
        <v>6962</v>
      </c>
      <c r="C2372" s="1">
        <v>45857</v>
      </c>
    </row>
    <row r="2373" spans="1:3" x14ac:dyDescent="0.25">
      <c r="A2373" t="s">
        <v>3942</v>
      </c>
      <c r="B2373" t="s">
        <v>6962</v>
      </c>
      <c r="C2373" s="1">
        <v>45845</v>
      </c>
    </row>
    <row r="2374" spans="1:3" x14ac:dyDescent="0.25">
      <c r="A2374" t="s">
        <v>3062</v>
      </c>
      <c r="B2374" t="s">
        <v>6962</v>
      </c>
      <c r="C2374" s="1">
        <v>45852</v>
      </c>
    </row>
    <row r="2375" spans="1:3" x14ac:dyDescent="0.25">
      <c r="A2375" t="s">
        <v>3061</v>
      </c>
      <c r="B2375" t="s">
        <v>6962</v>
      </c>
      <c r="C2375" s="1">
        <v>45850</v>
      </c>
    </row>
    <row r="2376" spans="1:3" x14ac:dyDescent="0.25">
      <c r="A2376" t="s">
        <v>3946</v>
      </c>
      <c r="B2376" t="s">
        <v>6962</v>
      </c>
      <c r="C2376" s="1">
        <v>45847</v>
      </c>
    </row>
    <row r="2377" spans="1:3" x14ac:dyDescent="0.25">
      <c r="A2377" t="s">
        <v>3948</v>
      </c>
      <c r="B2377" t="s">
        <v>6962</v>
      </c>
      <c r="C2377" s="1">
        <v>45846</v>
      </c>
    </row>
    <row r="2378" spans="1:3" x14ac:dyDescent="0.25">
      <c r="A2378" t="s">
        <v>3947</v>
      </c>
      <c r="B2378" t="s">
        <v>6962</v>
      </c>
      <c r="C2378" s="1">
        <v>45847</v>
      </c>
    </row>
    <row r="2379" spans="1:3" x14ac:dyDescent="0.25">
      <c r="A2379" t="s">
        <v>2632</v>
      </c>
      <c r="B2379" t="s">
        <v>6962</v>
      </c>
      <c r="C2379" s="1">
        <v>45846</v>
      </c>
    </row>
    <row r="2380" spans="1:3" x14ac:dyDescent="0.25">
      <c r="A2380" t="s">
        <v>3056</v>
      </c>
      <c r="B2380" t="s">
        <v>6962</v>
      </c>
      <c r="C2380" s="1">
        <v>45845</v>
      </c>
    </row>
    <row r="2381" spans="1:3" x14ac:dyDescent="0.25">
      <c r="A2381" t="s">
        <v>3949</v>
      </c>
      <c r="B2381" t="s">
        <v>6962</v>
      </c>
      <c r="C2381" s="1">
        <v>45848</v>
      </c>
    </row>
    <row r="2382" spans="1:3" x14ac:dyDescent="0.25">
      <c r="A2382" t="s">
        <v>3949</v>
      </c>
      <c r="B2382" t="s">
        <v>6962</v>
      </c>
      <c r="C2382" s="1">
        <v>45845</v>
      </c>
    </row>
    <row r="2383" spans="1:3" x14ac:dyDescent="0.25">
      <c r="A2383" t="s">
        <v>3949</v>
      </c>
      <c r="B2383" t="s">
        <v>6962</v>
      </c>
      <c r="C2383" s="1">
        <v>45845</v>
      </c>
    </row>
    <row r="2384" spans="1:3" x14ac:dyDescent="0.25">
      <c r="A2384" t="s">
        <v>3949</v>
      </c>
      <c r="B2384" t="s">
        <v>6962</v>
      </c>
      <c r="C2384" s="1">
        <v>45848</v>
      </c>
    </row>
    <row r="2385" spans="1:3" x14ac:dyDescent="0.25">
      <c r="A2385" t="s">
        <v>3949</v>
      </c>
      <c r="B2385" t="s">
        <v>6962</v>
      </c>
      <c r="C2385" s="1">
        <v>45853</v>
      </c>
    </row>
    <row r="2386" spans="1:3" x14ac:dyDescent="0.25">
      <c r="A2386" t="s">
        <v>3951</v>
      </c>
      <c r="B2386" t="s">
        <v>6962</v>
      </c>
      <c r="C2386" s="1">
        <v>45846</v>
      </c>
    </row>
    <row r="2387" spans="1:3" x14ac:dyDescent="0.25">
      <c r="A2387" t="s">
        <v>3950</v>
      </c>
      <c r="B2387" t="s">
        <v>6962</v>
      </c>
      <c r="C2387" s="1">
        <v>45855</v>
      </c>
    </row>
    <row r="2388" spans="1:3" x14ac:dyDescent="0.25">
      <c r="A2388" t="s">
        <v>3133</v>
      </c>
      <c r="B2388" t="s">
        <v>6962</v>
      </c>
      <c r="C2388" s="1">
        <v>45852</v>
      </c>
    </row>
    <row r="2389" spans="1:3" x14ac:dyDescent="0.25">
      <c r="A2389" t="s">
        <v>3133</v>
      </c>
      <c r="B2389" t="s">
        <v>6962</v>
      </c>
      <c r="C2389" s="1">
        <v>45852</v>
      </c>
    </row>
    <row r="2390" spans="1:3" x14ac:dyDescent="0.25">
      <c r="A2390" t="s">
        <v>3956</v>
      </c>
      <c r="B2390" t="s">
        <v>6962</v>
      </c>
      <c r="C2390" s="1">
        <v>45846</v>
      </c>
    </row>
    <row r="2391" spans="1:3" x14ac:dyDescent="0.25">
      <c r="A2391" t="s">
        <v>3955</v>
      </c>
      <c r="B2391" t="s">
        <v>39</v>
      </c>
      <c r="C2391" s="1"/>
    </row>
    <row r="2392" spans="1:3" x14ac:dyDescent="0.25">
      <c r="A2392" t="s">
        <v>3954</v>
      </c>
      <c r="B2392" t="s">
        <v>6962</v>
      </c>
      <c r="C2392" s="1">
        <v>45846</v>
      </c>
    </row>
    <row r="2393" spans="1:3" x14ac:dyDescent="0.25">
      <c r="A2393" t="s">
        <v>3953</v>
      </c>
      <c r="B2393" t="s">
        <v>6962</v>
      </c>
      <c r="C2393" s="1">
        <v>45853</v>
      </c>
    </row>
    <row r="2394" spans="1:3" x14ac:dyDescent="0.25">
      <c r="A2394" t="s">
        <v>3952</v>
      </c>
      <c r="B2394" t="s">
        <v>6962</v>
      </c>
      <c r="C2394" s="1">
        <v>45846</v>
      </c>
    </row>
    <row r="2395" spans="1:3" x14ac:dyDescent="0.25">
      <c r="A2395" t="s">
        <v>2646</v>
      </c>
      <c r="B2395" t="s">
        <v>6962</v>
      </c>
      <c r="C2395" s="1">
        <v>45873</v>
      </c>
    </row>
    <row r="2396" spans="1:3" x14ac:dyDescent="0.25">
      <c r="A2396" t="s">
        <v>2645</v>
      </c>
      <c r="B2396" t="s">
        <v>39</v>
      </c>
      <c r="C2396" s="1"/>
    </row>
    <row r="2397" spans="1:3" x14ac:dyDescent="0.25">
      <c r="A2397" t="s">
        <v>3957</v>
      </c>
      <c r="B2397" t="s">
        <v>6962</v>
      </c>
      <c r="C2397" s="1">
        <v>45846</v>
      </c>
    </row>
    <row r="2398" spans="1:3" x14ac:dyDescent="0.25">
      <c r="A2398" t="s">
        <v>3963</v>
      </c>
      <c r="B2398" t="s">
        <v>6962</v>
      </c>
      <c r="C2398" s="1">
        <v>45846</v>
      </c>
    </row>
    <row r="2399" spans="1:3" x14ac:dyDescent="0.25">
      <c r="A2399" t="s">
        <v>3962</v>
      </c>
      <c r="B2399" t="s">
        <v>6962</v>
      </c>
      <c r="C2399" s="1">
        <v>45870</v>
      </c>
    </row>
    <row r="2400" spans="1:3" x14ac:dyDescent="0.25">
      <c r="A2400" t="s">
        <v>3961</v>
      </c>
      <c r="B2400" t="s">
        <v>6962</v>
      </c>
      <c r="C2400" s="1">
        <v>45853</v>
      </c>
    </row>
    <row r="2401" spans="1:3" x14ac:dyDescent="0.25">
      <c r="A2401" t="s">
        <v>3960</v>
      </c>
      <c r="B2401" t="s">
        <v>6962</v>
      </c>
      <c r="C2401" s="1">
        <v>45849</v>
      </c>
    </row>
    <row r="2402" spans="1:3" x14ac:dyDescent="0.25">
      <c r="A2402" t="s">
        <v>3959</v>
      </c>
      <c r="B2402" t="s">
        <v>6962</v>
      </c>
      <c r="C2402" s="1">
        <v>45848</v>
      </c>
    </row>
    <row r="2403" spans="1:3" x14ac:dyDescent="0.25">
      <c r="A2403" t="s">
        <v>3958</v>
      </c>
      <c r="B2403" t="s">
        <v>6962</v>
      </c>
      <c r="C2403" s="1">
        <v>45846</v>
      </c>
    </row>
    <row r="2404" spans="1:3" x14ac:dyDescent="0.25">
      <c r="A2404" t="s">
        <v>3968</v>
      </c>
      <c r="B2404" t="s">
        <v>6962</v>
      </c>
      <c r="C2404" s="1">
        <v>45853</v>
      </c>
    </row>
    <row r="2405" spans="1:3" x14ac:dyDescent="0.25">
      <c r="A2405" t="s">
        <v>3967</v>
      </c>
      <c r="B2405" t="s">
        <v>6962</v>
      </c>
      <c r="C2405" s="1">
        <v>45847</v>
      </c>
    </row>
    <row r="2406" spans="1:3" x14ac:dyDescent="0.25">
      <c r="A2406" t="s">
        <v>3966</v>
      </c>
      <c r="B2406" t="s">
        <v>6962</v>
      </c>
      <c r="C2406" s="1">
        <v>45848</v>
      </c>
    </row>
    <row r="2407" spans="1:3" x14ac:dyDescent="0.25">
      <c r="A2407" t="s">
        <v>3965</v>
      </c>
      <c r="B2407" t="s">
        <v>6962</v>
      </c>
      <c r="C2407" s="1">
        <v>45849</v>
      </c>
    </row>
    <row r="2408" spans="1:3" x14ac:dyDescent="0.25">
      <c r="A2408" t="s">
        <v>3964</v>
      </c>
      <c r="B2408" t="s">
        <v>6962</v>
      </c>
      <c r="C2408" s="1">
        <v>45847</v>
      </c>
    </row>
    <row r="2409" spans="1:3" x14ac:dyDescent="0.25">
      <c r="A2409" t="s">
        <v>2647</v>
      </c>
      <c r="B2409" t="s">
        <v>6962</v>
      </c>
      <c r="C2409" s="1">
        <v>45856</v>
      </c>
    </row>
    <row r="2410" spans="1:3" x14ac:dyDescent="0.25">
      <c r="A2410" t="s">
        <v>3971</v>
      </c>
      <c r="B2410" t="s">
        <v>6962</v>
      </c>
      <c r="C2410" s="1">
        <v>45847</v>
      </c>
    </row>
    <row r="2411" spans="1:3" x14ac:dyDescent="0.25">
      <c r="A2411" t="s">
        <v>3970</v>
      </c>
      <c r="B2411" t="s">
        <v>6962</v>
      </c>
      <c r="C2411" s="1">
        <v>45849</v>
      </c>
    </row>
    <row r="2412" spans="1:3" x14ac:dyDescent="0.25">
      <c r="A2412" t="s">
        <v>3970</v>
      </c>
      <c r="B2412" t="s">
        <v>6962</v>
      </c>
      <c r="C2412" s="1">
        <v>45847</v>
      </c>
    </row>
    <row r="2413" spans="1:3" x14ac:dyDescent="0.25">
      <c r="A2413" t="s">
        <v>3970</v>
      </c>
      <c r="B2413" t="s">
        <v>6962</v>
      </c>
      <c r="C2413" s="1">
        <v>45847</v>
      </c>
    </row>
    <row r="2414" spans="1:3" x14ac:dyDescent="0.25">
      <c r="A2414" t="s">
        <v>3969</v>
      </c>
      <c r="B2414" t="s">
        <v>6962</v>
      </c>
      <c r="C2414" s="1">
        <v>45848</v>
      </c>
    </row>
    <row r="2415" spans="1:3" x14ac:dyDescent="0.25">
      <c r="A2415" t="s">
        <v>3972</v>
      </c>
      <c r="B2415" t="s">
        <v>6962</v>
      </c>
      <c r="C2415" s="1">
        <v>45847</v>
      </c>
    </row>
    <row r="2416" spans="1:3" x14ac:dyDescent="0.25">
      <c r="A2416" t="s">
        <v>3974</v>
      </c>
      <c r="B2416" t="s">
        <v>6962</v>
      </c>
      <c r="C2416" s="1">
        <v>45847</v>
      </c>
    </row>
    <row r="2417" spans="1:3" x14ac:dyDescent="0.25">
      <c r="A2417" t="s">
        <v>3973</v>
      </c>
      <c r="B2417" t="s">
        <v>6962</v>
      </c>
      <c r="C2417" s="1">
        <v>45847</v>
      </c>
    </row>
    <row r="2418" spans="1:3" x14ac:dyDescent="0.25">
      <c r="A2418" t="s">
        <v>3975</v>
      </c>
      <c r="B2418" t="s">
        <v>6962</v>
      </c>
      <c r="C2418" s="1">
        <v>45849</v>
      </c>
    </row>
    <row r="2419" spans="1:3" x14ac:dyDescent="0.25">
      <c r="A2419" t="s">
        <v>2648</v>
      </c>
      <c r="B2419" t="s">
        <v>6962</v>
      </c>
      <c r="C2419" s="1">
        <v>45848</v>
      </c>
    </row>
    <row r="2420" spans="1:3" x14ac:dyDescent="0.25">
      <c r="A2420" t="s">
        <v>3134</v>
      </c>
      <c r="B2420" t="s">
        <v>6962</v>
      </c>
      <c r="C2420" s="1">
        <v>45852</v>
      </c>
    </row>
    <row r="2421" spans="1:3" x14ac:dyDescent="0.25">
      <c r="A2421" t="s">
        <v>3134</v>
      </c>
      <c r="B2421" t="s">
        <v>6962</v>
      </c>
      <c r="C2421" s="1">
        <v>45852</v>
      </c>
    </row>
    <row r="2422" spans="1:3" x14ac:dyDescent="0.25">
      <c r="A2422" t="s">
        <v>3976</v>
      </c>
      <c r="B2422" t="s">
        <v>6962</v>
      </c>
      <c r="C2422" s="1">
        <v>45852</v>
      </c>
    </row>
    <row r="2423" spans="1:3" x14ac:dyDescent="0.25">
      <c r="A2423" t="s">
        <v>3977</v>
      </c>
      <c r="B2423" t="s">
        <v>6962</v>
      </c>
      <c r="C2423" s="1">
        <v>45848</v>
      </c>
    </row>
    <row r="2424" spans="1:3" x14ac:dyDescent="0.25">
      <c r="A2424" t="s">
        <v>3979</v>
      </c>
      <c r="B2424" t="s">
        <v>6962</v>
      </c>
      <c r="C2424" s="1">
        <v>45848</v>
      </c>
    </row>
    <row r="2425" spans="1:3" x14ac:dyDescent="0.25">
      <c r="A2425" t="s">
        <v>3978</v>
      </c>
      <c r="B2425" t="s">
        <v>6962</v>
      </c>
      <c r="C2425" s="1">
        <v>45848</v>
      </c>
    </row>
    <row r="2426" spans="1:3" x14ac:dyDescent="0.25">
      <c r="A2426" t="s">
        <v>3982</v>
      </c>
      <c r="B2426" t="s">
        <v>6962</v>
      </c>
      <c r="C2426" s="1">
        <v>45853</v>
      </c>
    </row>
    <row r="2427" spans="1:3" x14ac:dyDescent="0.25">
      <c r="A2427" t="s">
        <v>2649</v>
      </c>
      <c r="B2427" t="s">
        <v>6962</v>
      </c>
      <c r="C2427" s="1">
        <v>45862</v>
      </c>
    </row>
    <row r="2428" spans="1:3" x14ac:dyDescent="0.25">
      <c r="A2428" t="s">
        <v>2650</v>
      </c>
      <c r="B2428" t="s">
        <v>6962</v>
      </c>
      <c r="C2428" s="1">
        <v>45877</v>
      </c>
    </row>
    <row r="2429" spans="1:3" x14ac:dyDescent="0.25">
      <c r="A2429" t="s">
        <v>3980</v>
      </c>
      <c r="B2429" t="s">
        <v>6962</v>
      </c>
      <c r="C2429" s="1">
        <v>45849</v>
      </c>
    </row>
    <row r="2430" spans="1:3" x14ac:dyDescent="0.25">
      <c r="A2430" t="s">
        <v>3986</v>
      </c>
      <c r="B2430" t="s">
        <v>6962</v>
      </c>
      <c r="C2430" s="1">
        <v>45852</v>
      </c>
    </row>
    <row r="2431" spans="1:3" x14ac:dyDescent="0.25">
      <c r="A2431" t="s">
        <v>3985</v>
      </c>
      <c r="B2431" t="s">
        <v>6962</v>
      </c>
      <c r="C2431" s="1">
        <v>45849</v>
      </c>
    </row>
    <row r="2432" spans="1:3" x14ac:dyDescent="0.25">
      <c r="A2432" t="s">
        <v>3984</v>
      </c>
      <c r="B2432" t="s">
        <v>6962</v>
      </c>
      <c r="C2432" s="1">
        <v>45854</v>
      </c>
    </row>
    <row r="2433" spans="1:3" x14ac:dyDescent="0.25">
      <c r="A2433" t="s">
        <v>3983</v>
      </c>
      <c r="B2433" t="s">
        <v>6962</v>
      </c>
      <c r="C2433" s="1">
        <v>45864</v>
      </c>
    </row>
    <row r="2434" spans="1:3" x14ac:dyDescent="0.25">
      <c r="A2434" t="s">
        <v>3987</v>
      </c>
      <c r="B2434" t="s">
        <v>6962</v>
      </c>
      <c r="C2434" s="1">
        <v>45849</v>
      </c>
    </row>
    <row r="2435" spans="1:3" x14ac:dyDescent="0.25">
      <c r="A2435" t="s">
        <v>3988</v>
      </c>
      <c r="B2435" t="s">
        <v>6962</v>
      </c>
      <c r="C2435" s="1">
        <v>45888</v>
      </c>
    </row>
    <row r="2436" spans="1:3" x14ac:dyDescent="0.25">
      <c r="A2436" t="s">
        <v>2653</v>
      </c>
      <c r="B2436" t="s">
        <v>6962</v>
      </c>
      <c r="C2436" s="1">
        <v>45856</v>
      </c>
    </row>
    <row r="2437" spans="1:3" x14ac:dyDescent="0.25">
      <c r="A2437" t="s">
        <v>3990</v>
      </c>
      <c r="B2437" t="s">
        <v>6962</v>
      </c>
      <c r="C2437" s="1">
        <v>45871</v>
      </c>
    </row>
    <row r="2438" spans="1:3" x14ac:dyDescent="0.25">
      <c r="A2438" t="s">
        <v>3991</v>
      </c>
      <c r="B2438" t="s">
        <v>6962</v>
      </c>
      <c r="C2438" s="1">
        <v>45854</v>
      </c>
    </row>
    <row r="2439" spans="1:3" x14ac:dyDescent="0.25">
      <c r="A2439" t="s">
        <v>3991</v>
      </c>
      <c r="B2439" t="s">
        <v>6962</v>
      </c>
      <c r="C2439" s="1">
        <v>45850</v>
      </c>
    </row>
    <row r="2440" spans="1:3" x14ac:dyDescent="0.25">
      <c r="A2440" t="s">
        <v>3991</v>
      </c>
      <c r="B2440" t="s">
        <v>6962</v>
      </c>
      <c r="C2440" s="1">
        <v>45850</v>
      </c>
    </row>
    <row r="2441" spans="1:3" x14ac:dyDescent="0.25">
      <c r="A2441" t="s">
        <v>3991</v>
      </c>
      <c r="B2441" t="s">
        <v>6962</v>
      </c>
      <c r="C2441" s="1">
        <v>45853</v>
      </c>
    </row>
    <row r="2442" spans="1:3" x14ac:dyDescent="0.25">
      <c r="A2442" t="s">
        <v>3991</v>
      </c>
      <c r="B2442" t="s">
        <v>6962</v>
      </c>
      <c r="C2442" s="1">
        <v>45853</v>
      </c>
    </row>
    <row r="2443" spans="1:3" x14ac:dyDescent="0.25">
      <c r="A2443" t="s">
        <v>3135</v>
      </c>
      <c r="B2443" t="s">
        <v>6962</v>
      </c>
      <c r="C2443" s="1">
        <v>45854</v>
      </c>
    </row>
    <row r="2444" spans="1:3" x14ac:dyDescent="0.25">
      <c r="A2444" t="s">
        <v>3992</v>
      </c>
      <c r="B2444" t="s">
        <v>6962</v>
      </c>
      <c r="C2444" s="1">
        <v>45850</v>
      </c>
    </row>
    <row r="2445" spans="1:3" x14ac:dyDescent="0.25">
      <c r="A2445" t="s">
        <v>2654</v>
      </c>
      <c r="B2445" t="s">
        <v>6962</v>
      </c>
      <c r="C2445" s="1">
        <v>45878</v>
      </c>
    </row>
    <row r="2446" spans="1:3" x14ac:dyDescent="0.25">
      <c r="A2446" t="s">
        <v>3136</v>
      </c>
      <c r="B2446" t="s">
        <v>6962</v>
      </c>
      <c r="C2446" s="1">
        <v>45853</v>
      </c>
    </row>
    <row r="2447" spans="1:3" x14ac:dyDescent="0.25">
      <c r="A2447" t="s">
        <v>3136</v>
      </c>
      <c r="B2447" t="s">
        <v>6962</v>
      </c>
      <c r="C2447" s="1">
        <v>45853</v>
      </c>
    </row>
    <row r="2448" spans="1:3" x14ac:dyDescent="0.25">
      <c r="A2448" t="s">
        <v>4000</v>
      </c>
      <c r="B2448" t="s">
        <v>6962</v>
      </c>
      <c r="C2448" s="1">
        <v>45852</v>
      </c>
    </row>
    <row r="2449" spans="1:3" x14ac:dyDescent="0.25">
      <c r="A2449" t="s">
        <v>3999</v>
      </c>
      <c r="B2449" t="s">
        <v>6962</v>
      </c>
      <c r="C2449" s="1">
        <v>45853</v>
      </c>
    </row>
    <row r="2450" spans="1:3" x14ac:dyDescent="0.25">
      <c r="A2450" t="s">
        <v>3998</v>
      </c>
      <c r="B2450" t="s">
        <v>6962</v>
      </c>
      <c r="C2450" s="1">
        <v>45853</v>
      </c>
    </row>
    <row r="2451" spans="1:3" x14ac:dyDescent="0.25">
      <c r="A2451" t="s">
        <v>3997</v>
      </c>
      <c r="B2451" t="s">
        <v>6962</v>
      </c>
      <c r="C2451" s="1">
        <v>45850</v>
      </c>
    </row>
    <row r="2452" spans="1:3" x14ac:dyDescent="0.25">
      <c r="A2452" t="s">
        <v>3996</v>
      </c>
      <c r="B2452" t="s">
        <v>6962</v>
      </c>
      <c r="C2452" s="1">
        <v>45852</v>
      </c>
    </row>
    <row r="2453" spans="1:3" x14ac:dyDescent="0.25">
      <c r="A2453" t="s">
        <v>3995</v>
      </c>
      <c r="B2453" t="s">
        <v>6962</v>
      </c>
      <c r="C2453" s="1">
        <v>45861</v>
      </c>
    </row>
    <row r="2454" spans="1:3" x14ac:dyDescent="0.25">
      <c r="A2454" t="s">
        <v>3994</v>
      </c>
      <c r="B2454" t="s">
        <v>6962</v>
      </c>
      <c r="C2454" s="1">
        <v>45853</v>
      </c>
    </row>
    <row r="2455" spans="1:3" x14ac:dyDescent="0.25">
      <c r="A2455" t="s">
        <v>3993</v>
      </c>
      <c r="B2455" t="s">
        <v>6962</v>
      </c>
      <c r="C2455" s="1">
        <v>45852</v>
      </c>
    </row>
    <row r="2456" spans="1:3" x14ac:dyDescent="0.25">
      <c r="A2456" t="s">
        <v>2652</v>
      </c>
      <c r="B2456" t="s">
        <v>6962</v>
      </c>
      <c r="C2456" s="1">
        <v>45869</v>
      </c>
    </row>
    <row r="2457" spans="1:3" x14ac:dyDescent="0.25">
      <c r="A2457" t="s">
        <v>4001</v>
      </c>
      <c r="B2457" t="s">
        <v>6962</v>
      </c>
      <c r="C2457" s="1">
        <v>45850</v>
      </c>
    </row>
    <row r="2458" spans="1:3" x14ac:dyDescent="0.25">
      <c r="A2458" t="s">
        <v>4004</v>
      </c>
      <c r="B2458" t="s">
        <v>6962</v>
      </c>
      <c r="C2458" s="1">
        <v>45852</v>
      </c>
    </row>
    <row r="2459" spans="1:3" x14ac:dyDescent="0.25">
      <c r="A2459" t="s">
        <v>4002</v>
      </c>
      <c r="B2459" t="s">
        <v>6962</v>
      </c>
      <c r="C2459" s="1">
        <v>45854</v>
      </c>
    </row>
    <row r="2460" spans="1:3" x14ac:dyDescent="0.25">
      <c r="A2460" t="s">
        <v>4003</v>
      </c>
      <c r="B2460" t="s">
        <v>6962</v>
      </c>
      <c r="C2460" s="1">
        <v>45866</v>
      </c>
    </row>
    <row r="2461" spans="1:3" x14ac:dyDescent="0.25">
      <c r="A2461" t="s">
        <v>4003</v>
      </c>
      <c r="B2461" t="s">
        <v>6962</v>
      </c>
      <c r="C2461" s="1">
        <v>45852</v>
      </c>
    </row>
    <row r="2462" spans="1:3" x14ac:dyDescent="0.25">
      <c r="A2462" t="s">
        <v>4005</v>
      </c>
      <c r="B2462" t="s">
        <v>6962</v>
      </c>
      <c r="C2462" s="1">
        <v>45853</v>
      </c>
    </row>
    <row r="2463" spans="1:3" x14ac:dyDescent="0.25">
      <c r="A2463" t="s">
        <v>3137</v>
      </c>
      <c r="B2463" t="s">
        <v>6962</v>
      </c>
      <c r="C2463" s="1">
        <v>45853</v>
      </c>
    </row>
    <row r="2464" spans="1:3" x14ac:dyDescent="0.25">
      <c r="A2464" t="s">
        <v>3137</v>
      </c>
      <c r="B2464" t="s">
        <v>6962</v>
      </c>
      <c r="C2464" s="1">
        <v>45853</v>
      </c>
    </row>
    <row r="2465" spans="1:3" x14ac:dyDescent="0.25">
      <c r="A2465" t="s">
        <v>4006</v>
      </c>
      <c r="B2465" t="s">
        <v>6962</v>
      </c>
      <c r="C2465" s="1">
        <v>45864</v>
      </c>
    </row>
    <row r="2466" spans="1:3" x14ac:dyDescent="0.25">
      <c r="A2466" t="s">
        <v>3138</v>
      </c>
      <c r="B2466" t="s">
        <v>6962</v>
      </c>
      <c r="C2466" s="1">
        <v>45854</v>
      </c>
    </row>
    <row r="2467" spans="1:3" x14ac:dyDescent="0.25">
      <c r="A2467" t="s">
        <v>2656</v>
      </c>
      <c r="B2467" t="s">
        <v>6962</v>
      </c>
      <c r="C2467" s="1">
        <v>45866</v>
      </c>
    </row>
    <row r="2468" spans="1:3" x14ac:dyDescent="0.25">
      <c r="A2468" t="s">
        <v>2655</v>
      </c>
      <c r="B2468" t="s">
        <v>39</v>
      </c>
      <c r="C2468" s="1"/>
    </row>
    <row r="2469" spans="1:3" x14ac:dyDescent="0.25">
      <c r="A2469" t="s">
        <v>3478</v>
      </c>
      <c r="B2469" t="s">
        <v>6962</v>
      </c>
      <c r="C2469" s="1">
        <v>45852</v>
      </c>
    </row>
    <row r="2470" spans="1:3" x14ac:dyDescent="0.25">
      <c r="A2470" t="s">
        <v>4013</v>
      </c>
      <c r="B2470" t="s">
        <v>6964</v>
      </c>
      <c r="C2470" s="1">
        <v>45859</v>
      </c>
    </row>
    <row r="2471" spans="1:3" x14ac:dyDescent="0.25">
      <c r="A2471" t="s">
        <v>4012</v>
      </c>
      <c r="B2471" t="s">
        <v>6962</v>
      </c>
      <c r="C2471" s="1">
        <v>45854</v>
      </c>
    </row>
    <row r="2472" spans="1:3" x14ac:dyDescent="0.25">
      <c r="A2472" t="s">
        <v>4011</v>
      </c>
      <c r="B2472" t="s">
        <v>6962</v>
      </c>
      <c r="C2472" s="1">
        <v>45859</v>
      </c>
    </row>
    <row r="2473" spans="1:3" x14ac:dyDescent="0.25">
      <c r="A2473" t="s">
        <v>4010</v>
      </c>
      <c r="B2473" t="s">
        <v>6962</v>
      </c>
      <c r="C2473" s="1">
        <v>45853</v>
      </c>
    </row>
    <row r="2474" spans="1:3" x14ac:dyDescent="0.25">
      <c r="A2474" t="s">
        <v>4009</v>
      </c>
      <c r="B2474" t="s">
        <v>6962</v>
      </c>
      <c r="C2474" s="1">
        <v>45853</v>
      </c>
    </row>
    <row r="2475" spans="1:3" x14ac:dyDescent="0.25">
      <c r="A2475" t="s">
        <v>4008</v>
      </c>
      <c r="B2475" t="s">
        <v>6963</v>
      </c>
      <c r="C2475" s="1"/>
    </row>
    <row r="2476" spans="1:3" x14ac:dyDescent="0.25">
      <c r="A2476" t="s">
        <v>3601</v>
      </c>
      <c r="B2476" t="s">
        <v>6962</v>
      </c>
      <c r="C2476" s="1">
        <v>45853</v>
      </c>
    </row>
    <row r="2477" spans="1:3" x14ac:dyDescent="0.25">
      <c r="A2477" t="s">
        <v>2658</v>
      </c>
      <c r="B2477" t="s">
        <v>6962</v>
      </c>
      <c r="C2477" s="1">
        <v>45862</v>
      </c>
    </row>
    <row r="2478" spans="1:3" x14ac:dyDescent="0.25">
      <c r="A2478" t="s">
        <v>3880</v>
      </c>
      <c r="B2478" t="s">
        <v>6962</v>
      </c>
      <c r="C2478" s="1">
        <v>45854</v>
      </c>
    </row>
    <row r="2479" spans="1:3" x14ac:dyDescent="0.25">
      <c r="A2479" t="s">
        <v>4015</v>
      </c>
      <c r="B2479" t="s">
        <v>6962</v>
      </c>
      <c r="C2479" s="1">
        <v>45854</v>
      </c>
    </row>
    <row r="2480" spans="1:3" x14ac:dyDescent="0.25">
      <c r="A2480" t="s">
        <v>4017</v>
      </c>
      <c r="B2480" t="s">
        <v>6962</v>
      </c>
      <c r="C2480" s="1">
        <v>45854</v>
      </c>
    </row>
    <row r="2481" spans="1:3" x14ac:dyDescent="0.25">
      <c r="A2481" t="s">
        <v>4016</v>
      </c>
      <c r="B2481" t="s">
        <v>6962</v>
      </c>
      <c r="C2481" s="1">
        <v>45857</v>
      </c>
    </row>
    <row r="2482" spans="1:3" x14ac:dyDescent="0.25">
      <c r="A2482" t="s">
        <v>4018</v>
      </c>
      <c r="B2482" t="s">
        <v>6962</v>
      </c>
      <c r="C2482" s="1">
        <v>45855</v>
      </c>
    </row>
    <row r="2483" spans="1:3" x14ac:dyDescent="0.25">
      <c r="A2483" t="s">
        <v>2659</v>
      </c>
      <c r="B2483" t="s">
        <v>6962</v>
      </c>
      <c r="C2483" s="1">
        <v>45856</v>
      </c>
    </row>
    <row r="2484" spans="1:3" x14ac:dyDescent="0.25">
      <c r="A2484" t="s">
        <v>4019</v>
      </c>
      <c r="B2484" t="s">
        <v>6962</v>
      </c>
      <c r="C2484" s="1">
        <v>45856</v>
      </c>
    </row>
    <row r="2485" spans="1:3" x14ac:dyDescent="0.25">
      <c r="A2485" t="s">
        <v>2660</v>
      </c>
      <c r="B2485" t="s">
        <v>6962</v>
      </c>
      <c r="C2485" s="1">
        <v>45862</v>
      </c>
    </row>
    <row r="2486" spans="1:3" x14ac:dyDescent="0.25">
      <c r="A2486" t="s">
        <v>4020</v>
      </c>
      <c r="B2486" t="s">
        <v>6962</v>
      </c>
      <c r="C2486" s="1">
        <v>45856</v>
      </c>
    </row>
    <row r="2487" spans="1:3" x14ac:dyDescent="0.25">
      <c r="A2487" t="s">
        <v>3982</v>
      </c>
      <c r="B2487" t="s">
        <v>6962</v>
      </c>
      <c r="C2487" s="1">
        <v>45853</v>
      </c>
    </row>
    <row r="2488" spans="1:3" x14ac:dyDescent="0.25">
      <c r="A2488" t="s">
        <v>3982</v>
      </c>
      <c r="B2488" t="s">
        <v>6962</v>
      </c>
      <c r="C2488" s="1">
        <v>45856</v>
      </c>
    </row>
    <row r="2489" spans="1:3" x14ac:dyDescent="0.25">
      <c r="A2489" t="s">
        <v>3982</v>
      </c>
      <c r="B2489" t="s">
        <v>6962</v>
      </c>
      <c r="C2489" s="1">
        <v>45859</v>
      </c>
    </row>
    <row r="2490" spans="1:3" x14ac:dyDescent="0.25">
      <c r="A2490" t="s">
        <v>4023</v>
      </c>
      <c r="B2490" t="s">
        <v>6962</v>
      </c>
      <c r="C2490" s="1">
        <v>45861</v>
      </c>
    </row>
    <row r="2491" spans="1:3" x14ac:dyDescent="0.25">
      <c r="A2491" t="s">
        <v>4022</v>
      </c>
      <c r="B2491" t="s">
        <v>6962</v>
      </c>
      <c r="C2491" s="1">
        <v>45855</v>
      </c>
    </row>
    <row r="2492" spans="1:3" x14ac:dyDescent="0.25">
      <c r="A2492" t="s">
        <v>4021</v>
      </c>
      <c r="B2492" t="s">
        <v>6962</v>
      </c>
      <c r="C2492" s="1">
        <v>45855</v>
      </c>
    </row>
    <row r="2493" spans="1:3" x14ac:dyDescent="0.25">
      <c r="A2493" t="s">
        <v>4025</v>
      </c>
      <c r="B2493" t="s">
        <v>6962</v>
      </c>
      <c r="C2493" s="1">
        <v>45855</v>
      </c>
    </row>
    <row r="2494" spans="1:3" x14ac:dyDescent="0.25">
      <c r="A2494" t="s">
        <v>4024</v>
      </c>
      <c r="B2494" t="s">
        <v>6962</v>
      </c>
      <c r="C2494" s="1">
        <v>45864</v>
      </c>
    </row>
    <row r="2495" spans="1:3" x14ac:dyDescent="0.25">
      <c r="A2495" t="s">
        <v>4026</v>
      </c>
      <c r="B2495" t="s">
        <v>6962</v>
      </c>
      <c r="C2495" s="1">
        <v>45859</v>
      </c>
    </row>
    <row r="2496" spans="1:3" x14ac:dyDescent="0.25">
      <c r="A2496" t="s">
        <v>4030</v>
      </c>
      <c r="B2496" t="s">
        <v>6962</v>
      </c>
      <c r="C2496" s="1">
        <v>45856</v>
      </c>
    </row>
    <row r="2497" spans="1:3" x14ac:dyDescent="0.25">
      <c r="A2497" t="s">
        <v>4029</v>
      </c>
      <c r="B2497" t="s">
        <v>6962</v>
      </c>
      <c r="C2497" s="1">
        <v>45855</v>
      </c>
    </row>
    <row r="2498" spans="1:3" x14ac:dyDescent="0.25">
      <c r="A2498" t="s">
        <v>4028</v>
      </c>
      <c r="B2498" t="s">
        <v>6962</v>
      </c>
      <c r="C2498" s="1">
        <v>45856</v>
      </c>
    </row>
    <row r="2499" spans="1:3" x14ac:dyDescent="0.25">
      <c r="A2499" t="s">
        <v>2663</v>
      </c>
      <c r="B2499" t="s">
        <v>39</v>
      </c>
      <c r="C2499" s="1"/>
    </row>
    <row r="2500" spans="1:3" x14ac:dyDescent="0.25">
      <c r="A2500" t="s">
        <v>2662</v>
      </c>
      <c r="B2500" t="s">
        <v>6962</v>
      </c>
      <c r="C2500" s="1">
        <v>45878</v>
      </c>
    </row>
    <row r="2501" spans="1:3" x14ac:dyDescent="0.25">
      <c r="A2501" t="s">
        <v>4027</v>
      </c>
      <c r="B2501" t="s">
        <v>6962</v>
      </c>
      <c r="C2501" s="1">
        <v>45855</v>
      </c>
    </row>
    <row r="2502" spans="1:3" x14ac:dyDescent="0.25">
      <c r="A2502" t="s">
        <v>4032</v>
      </c>
      <c r="B2502" t="s">
        <v>6962</v>
      </c>
      <c r="C2502" s="1">
        <v>45855</v>
      </c>
    </row>
    <row r="2503" spans="1:3" x14ac:dyDescent="0.25">
      <c r="A2503" t="s">
        <v>4031</v>
      </c>
      <c r="B2503" t="s">
        <v>6962</v>
      </c>
      <c r="C2503" s="1">
        <v>45857</v>
      </c>
    </row>
    <row r="2504" spans="1:3" x14ac:dyDescent="0.25">
      <c r="A2504" t="s">
        <v>4034</v>
      </c>
      <c r="B2504" t="s">
        <v>6962</v>
      </c>
      <c r="C2504" s="1">
        <v>45867</v>
      </c>
    </row>
    <row r="2505" spans="1:3" x14ac:dyDescent="0.25">
      <c r="A2505" t="s">
        <v>4033</v>
      </c>
      <c r="B2505" t="s">
        <v>6962</v>
      </c>
      <c r="C2505" s="1">
        <v>45866</v>
      </c>
    </row>
    <row r="2506" spans="1:3" x14ac:dyDescent="0.25">
      <c r="A2506" t="s">
        <v>4039</v>
      </c>
      <c r="B2506" t="s">
        <v>6962</v>
      </c>
      <c r="C2506" s="1">
        <v>45859</v>
      </c>
    </row>
    <row r="2507" spans="1:3" x14ac:dyDescent="0.25">
      <c r="A2507" t="s">
        <v>4038</v>
      </c>
      <c r="B2507" t="s">
        <v>6962</v>
      </c>
      <c r="C2507" s="1">
        <v>45859</v>
      </c>
    </row>
    <row r="2508" spans="1:3" x14ac:dyDescent="0.25">
      <c r="A2508" t="s">
        <v>4037</v>
      </c>
      <c r="B2508" t="s">
        <v>6962</v>
      </c>
      <c r="C2508" s="1">
        <v>45859</v>
      </c>
    </row>
    <row r="2509" spans="1:3" x14ac:dyDescent="0.25">
      <c r="A2509" t="s">
        <v>4036</v>
      </c>
      <c r="B2509" t="s">
        <v>6962</v>
      </c>
      <c r="C2509" s="1">
        <v>45859</v>
      </c>
    </row>
    <row r="2510" spans="1:3" x14ac:dyDescent="0.25">
      <c r="A2510" t="s">
        <v>4035</v>
      </c>
      <c r="B2510" t="s">
        <v>6962</v>
      </c>
      <c r="C2510" s="1">
        <v>45859</v>
      </c>
    </row>
    <row r="2511" spans="1:3" x14ac:dyDescent="0.25">
      <c r="A2511" t="s">
        <v>4040</v>
      </c>
      <c r="B2511" t="s">
        <v>6962</v>
      </c>
      <c r="C2511" s="1">
        <v>45857</v>
      </c>
    </row>
    <row r="2512" spans="1:3" x14ac:dyDescent="0.25">
      <c r="A2512" t="s">
        <v>4041</v>
      </c>
      <c r="B2512" t="s">
        <v>6962</v>
      </c>
      <c r="C2512" s="1">
        <v>45860</v>
      </c>
    </row>
    <row r="2513" spans="1:3" x14ac:dyDescent="0.25">
      <c r="A2513" t="s">
        <v>3140</v>
      </c>
      <c r="B2513" t="s">
        <v>6962</v>
      </c>
      <c r="C2513" s="1">
        <v>45859</v>
      </c>
    </row>
    <row r="2514" spans="1:3" x14ac:dyDescent="0.25">
      <c r="A2514" t="s">
        <v>3140</v>
      </c>
      <c r="B2514" t="s">
        <v>6962</v>
      </c>
      <c r="C2514" s="1">
        <v>45860</v>
      </c>
    </row>
    <row r="2515" spans="1:3" x14ac:dyDescent="0.25">
      <c r="A2515" t="s">
        <v>2657</v>
      </c>
      <c r="B2515" t="s">
        <v>6962</v>
      </c>
      <c r="C2515" s="1">
        <v>45866</v>
      </c>
    </row>
    <row r="2516" spans="1:3" x14ac:dyDescent="0.25">
      <c r="A2516" t="s">
        <v>4035</v>
      </c>
      <c r="B2516" t="s">
        <v>39</v>
      </c>
      <c r="C2516" s="1"/>
    </row>
    <row r="2517" spans="1:3" x14ac:dyDescent="0.25">
      <c r="A2517" t="s">
        <v>4045</v>
      </c>
      <c r="B2517" t="s">
        <v>6962</v>
      </c>
      <c r="C2517" s="1">
        <v>45857</v>
      </c>
    </row>
    <row r="2518" spans="1:3" x14ac:dyDescent="0.25">
      <c r="A2518" t="s">
        <v>4044</v>
      </c>
      <c r="B2518" t="s">
        <v>39</v>
      </c>
      <c r="C2518" s="1"/>
    </row>
    <row r="2519" spans="1:3" x14ac:dyDescent="0.25">
      <c r="A2519" t="s">
        <v>4043</v>
      </c>
      <c r="B2519" t="s">
        <v>6962</v>
      </c>
      <c r="C2519" s="1">
        <v>45859</v>
      </c>
    </row>
    <row r="2520" spans="1:3" x14ac:dyDescent="0.25">
      <c r="A2520" t="s">
        <v>2666</v>
      </c>
      <c r="B2520" t="s">
        <v>6962</v>
      </c>
      <c r="C2520" s="1">
        <v>45878</v>
      </c>
    </row>
    <row r="2521" spans="1:3" x14ac:dyDescent="0.25">
      <c r="A2521" t="s">
        <v>4047</v>
      </c>
      <c r="B2521" t="s">
        <v>6962</v>
      </c>
      <c r="C2521" s="1">
        <v>45894</v>
      </c>
    </row>
    <row r="2522" spans="1:3" x14ac:dyDescent="0.25">
      <c r="A2522" t="s">
        <v>4046</v>
      </c>
      <c r="B2522" t="s">
        <v>6962</v>
      </c>
      <c r="C2522" s="1">
        <v>45860</v>
      </c>
    </row>
    <row r="2523" spans="1:3" x14ac:dyDescent="0.25">
      <c r="A2523" t="s">
        <v>2671</v>
      </c>
      <c r="B2523" t="s">
        <v>6962</v>
      </c>
      <c r="C2523" s="1">
        <v>45870</v>
      </c>
    </row>
    <row r="2524" spans="1:3" x14ac:dyDescent="0.25">
      <c r="A2524" t="s">
        <v>2670</v>
      </c>
      <c r="B2524" t="s">
        <v>6962</v>
      </c>
      <c r="C2524" s="1">
        <v>45885</v>
      </c>
    </row>
    <row r="2525" spans="1:3" x14ac:dyDescent="0.25">
      <c r="A2525" t="s">
        <v>2669</v>
      </c>
      <c r="B2525" t="s">
        <v>6962</v>
      </c>
      <c r="C2525" s="1">
        <v>45898</v>
      </c>
    </row>
    <row r="2526" spans="1:3" x14ac:dyDescent="0.25">
      <c r="A2526" t="s">
        <v>4050</v>
      </c>
      <c r="B2526" t="s">
        <v>6962</v>
      </c>
      <c r="C2526" s="1">
        <v>45870</v>
      </c>
    </row>
    <row r="2527" spans="1:3" x14ac:dyDescent="0.25">
      <c r="A2527" t="s">
        <v>2667</v>
      </c>
      <c r="B2527" t="s">
        <v>6962</v>
      </c>
      <c r="C2527" s="1">
        <v>45868</v>
      </c>
    </row>
    <row r="2528" spans="1:3" x14ac:dyDescent="0.25">
      <c r="A2528" t="s">
        <v>4049</v>
      </c>
      <c r="B2528" t="s">
        <v>6962</v>
      </c>
      <c r="C2528" s="1">
        <v>45859</v>
      </c>
    </row>
    <row r="2529" spans="1:3" x14ac:dyDescent="0.25">
      <c r="A2529" t="s">
        <v>4048</v>
      </c>
      <c r="B2529" t="s">
        <v>6962</v>
      </c>
      <c r="C2529" s="1">
        <v>45859</v>
      </c>
    </row>
    <row r="2530" spans="1:3" x14ac:dyDescent="0.25">
      <c r="A2530" t="s">
        <v>2673</v>
      </c>
      <c r="B2530" t="s">
        <v>6962</v>
      </c>
      <c r="C2530" s="1">
        <v>45868</v>
      </c>
    </row>
    <row r="2531" spans="1:3" x14ac:dyDescent="0.25">
      <c r="A2531" t="s">
        <v>4051</v>
      </c>
      <c r="B2531" t="s">
        <v>6962</v>
      </c>
      <c r="C2531" s="1">
        <v>45862</v>
      </c>
    </row>
    <row r="2532" spans="1:3" x14ac:dyDescent="0.25">
      <c r="A2532" t="s">
        <v>4051</v>
      </c>
      <c r="B2532" t="s">
        <v>6962</v>
      </c>
      <c r="C2532" s="1">
        <v>45876</v>
      </c>
    </row>
    <row r="2533" spans="1:3" x14ac:dyDescent="0.25">
      <c r="A2533" t="s">
        <v>4052</v>
      </c>
      <c r="B2533" t="s">
        <v>6962</v>
      </c>
      <c r="C2533" s="1">
        <v>45866</v>
      </c>
    </row>
    <row r="2534" spans="1:3" x14ac:dyDescent="0.25">
      <c r="A2534" t="s">
        <v>4052</v>
      </c>
      <c r="B2534" t="s">
        <v>6962</v>
      </c>
      <c r="C2534" s="1">
        <v>45861</v>
      </c>
    </row>
    <row r="2535" spans="1:3" x14ac:dyDescent="0.25">
      <c r="A2535" t="s">
        <v>4052</v>
      </c>
      <c r="B2535" t="s">
        <v>6962</v>
      </c>
      <c r="C2535" s="1">
        <v>45861</v>
      </c>
    </row>
    <row r="2536" spans="1:3" x14ac:dyDescent="0.25">
      <c r="A2536" t="s">
        <v>4052</v>
      </c>
      <c r="B2536" t="s">
        <v>6962</v>
      </c>
      <c r="C2536" s="1">
        <v>45860</v>
      </c>
    </row>
    <row r="2537" spans="1:3" x14ac:dyDescent="0.25">
      <c r="A2537" t="s">
        <v>4052</v>
      </c>
      <c r="B2537" t="s">
        <v>6962</v>
      </c>
      <c r="C2537" s="1">
        <v>45859</v>
      </c>
    </row>
    <row r="2538" spans="1:3" x14ac:dyDescent="0.25">
      <c r="A2538" t="s">
        <v>4053</v>
      </c>
      <c r="B2538" t="s">
        <v>6962</v>
      </c>
      <c r="C2538" s="1">
        <v>45860</v>
      </c>
    </row>
    <row r="2539" spans="1:3" x14ac:dyDescent="0.25">
      <c r="A2539" t="s">
        <v>2665</v>
      </c>
      <c r="B2539" t="s">
        <v>6962</v>
      </c>
      <c r="C2539" s="1">
        <v>45868</v>
      </c>
    </row>
    <row r="2540" spans="1:3" x14ac:dyDescent="0.25">
      <c r="A2540" t="s">
        <v>2661</v>
      </c>
      <c r="B2540" t="s">
        <v>6962</v>
      </c>
      <c r="C2540" s="1">
        <v>45868</v>
      </c>
    </row>
    <row r="2541" spans="1:3" x14ac:dyDescent="0.25">
      <c r="A2541" t="s">
        <v>4057</v>
      </c>
      <c r="B2541" t="s">
        <v>6962</v>
      </c>
      <c r="C2541" s="1">
        <v>45861</v>
      </c>
    </row>
    <row r="2542" spans="1:3" x14ac:dyDescent="0.25">
      <c r="A2542" t="s">
        <v>4054</v>
      </c>
      <c r="B2542" t="s">
        <v>6962</v>
      </c>
      <c r="C2542" s="1">
        <v>45861</v>
      </c>
    </row>
    <row r="2543" spans="1:3" x14ac:dyDescent="0.25">
      <c r="A2543" t="s">
        <v>4057</v>
      </c>
      <c r="B2543" t="s">
        <v>6962</v>
      </c>
      <c r="C2543" s="1">
        <v>45861</v>
      </c>
    </row>
    <row r="2544" spans="1:3" x14ac:dyDescent="0.25">
      <c r="A2544" t="s">
        <v>4058</v>
      </c>
      <c r="B2544" t="s">
        <v>6962</v>
      </c>
      <c r="C2544" s="1">
        <v>45861</v>
      </c>
    </row>
    <row r="2545" spans="1:3" x14ac:dyDescent="0.25">
      <c r="A2545" t="s">
        <v>3982</v>
      </c>
      <c r="B2545" t="s">
        <v>6962</v>
      </c>
      <c r="C2545" s="1">
        <v>45859</v>
      </c>
    </row>
    <row r="2546" spans="1:3" x14ac:dyDescent="0.25">
      <c r="A2546" t="s">
        <v>4060</v>
      </c>
      <c r="B2546" t="s">
        <v>6962</v>
      </c>
      <c r="C2546" s="1">
        <v>45863</v>
      </c>
    </row>
    <row r="2547" spans="1:3" x14ac:dyDescent="0.25">
      <c r="A2547" t="s">
        <v>4059</v>
      </c>
      <c r="B2547" t="s">
        <v>6962</v>
      </c>
      <c r="C2547" s="1">
        <v>45861</v>
      </c>
    </row>
    <row r="2548" spans="1:3" x14ac:dyDescent="0.25">
      <c r="A2548" t="s">
        <v>4062</v>
      </c>
      <c r="B2548" t="s">
        <v>6962</v>
      </c>
      <c r="C2548" s="1">
        <v>45861</v>
      </c>
    </row>
    <row r="2549" spans="1:3" x14ac:dyDescent="0.25">
      <c r="A2549" t="s">
        <v>2674</v>
      </c>
      <c r="B2549" t="s">
        <v>6962</v>
      </c>
      <c r="C2549" s="1">
        <v>45877</v>
      </c>
    </row>
    <row r="2550" spans="1:3" x14ac:dyDescent="0.25">
      <c r="A2550" t="s">
        <v>4063</v>
      </c>
      <c r="B2550" t="s">
        <v>6962</v>
      </c>
      <c r="C2550" s="1">
        <v>45864</v>
      </c>
    </row>
    <row r="2551" spans="1:3" x14ac:dyDescent="0.25">
      <c r="A2551" t="s">
        <v>2678</v>
      </c>
      <c r="B2551" t="s">
        <v>6962</v>
      </c>
      <c r="C2551" s="1">
        <v>45881</v>
      </c>
    </row>
    <row r="2552" spans="1:3" x14ac:dyDescent="0.25">
      <c r="A2552" t="s">
        <v>4065</v>
      </c>
      <c r="B2552" t="s">
        <v>6962</v>
      </c>
      <c r="C2552" s="1">
        <v>45866</v>
      </c>
    </row>
    <row r="2553" spans="1:3" x14ac:dyDescent="0.25">
      <c r="A2553" t="s">
        <v>2677</v>
      </c>
      <c r="B2553" t="s">
        <v>6962</v>
      </c>
      <c r="C2553" s="1">
        <v>45871</v>
      </c>
    </row>
    <row r="2554" spans="1:3" x14ac:dyDescent="0.25">
      <c r="A2554" t="s">
        <v>4064</v>
      </c>
      <c r="B2554" t="s">
        <v>39</v>
      </c>
      <c r="C2554" s="1"/>
    </row>
    <row r="2555" spans="1:3" x14ac:dyDescent="0.25">
      <c r="A2555" t="s">
        <v>3982</v>
      </c>
      <c r="B2555" t="s">
        <v>6962</v>
      </c>
      <c r="C2555" s="1">
        <v>45860</v>
      </c>
    </row>
    <row r="2556" spans="1:3" x14ac:dyDescent="0.25">
      <c r="A2556" t="s">
        <v>4067</v>
      </c>
      <c r="B2556" t="s">
        <v>6962</v>
      </c>
      <c r="C2556" s="1">
        <v>45863</v>
      </c>
    </row>
    <row r="2557" spans="1:3" x14ac:dyDescent="0.25">
      <c r="A2557" t="s">
        <v>2681</v>
      </c>
      <c r="B2557" t="s">
        <v>6962</v>
      </c>
      <c r="C2557" s="1">
        <v>45866</v>
      </c>
    </row>
    <row r="2558" spans="1:3" x14ac:dyDescent="0.25">
      <c r="A2558" t="s">
        <v>2679</v>
      </c>
      <c r="B2558" t="s">
        <v>6962</v>
      </c>
      <c r="C2558" s="1">
        <v>45869</v>
      </c>
    </row>
    <row r="2559" spans="1:3" x14ac:dyDescent="0.25">
      <c r="A2559" t="s">
        <v>4066</v>
      </c>
      <c r="B2559" t="s">
        <v>6962</v>
      </c>
      <c r="C2559" s="1">
        <v>45862</v>
      </c>
    </row>
    <row r="2560" spans="1:3" x14ac:dyDescent="0.25">
      <c r="A2560" t="s">
        <v>2676</v>
      </c>
      <c r="B2560" t="s">
        <v>6962</v>
      </c>
      <c r="C2560" s="1">
        <v>45866</v>
      </c>
    </row>
    <row r="2561" spans="1:3" x14ac:dyDescent="0.25">
      <c r="A2561" t="s">
        <v>2675</v>
      </c>
      <c r="B2561" t="s">
        <v>6962</v>
      </c>
      <c r="C2561" s="1">
        <v>45866</v>
      </c>
    </row>
    <row r="2562" spans="1:3" x14ac:dyDescent="0.25">
      <c r="A2562" t="s">
        <v>4069</v>
      </c>
      <c r="B2562" t="s">
        <v>6962</v>
      </c>
      <c r="C2562" s="1">
        <v>45862</v>
      </c>
    </row>
    <row r="2563" spans="1:3" x14ac:dyDescent="0.25">
      <c r="A2563" t="s">
        <v>4068</v>
      </c>
      <c r="B2563" t="s">
        <v>6962</v>
      </c>
      <c r="C2563" s="1">
        <v>45866</v>
      </c>
    </row>
    <row r="2564" spans="1:3" x14ac:dyDescent="0.25">
      <c r="A2564" t="s">
        <v>2683</v>
      </c>
      <c r="B2564" t="s">
        <v>39</v>
      </c>
      <c r="C2564" s="1"/>
    </row>
    <row r="2565" spans="1:3" x14ac:dyDescent="0.25">
      <c r="A2565" t="s">
        <v>4073</v>
      </c>
      <c r="B2565" t="s">
        <v>39</v>
      </c>
      <c r="C2565" s="1"/>
    </row>
    <row r="2566" spans="1:3" x14ac:dyDescent="0.25">
      <c r="A2566" t="s">
        <v>4072</v>
      </c>
      <c r="B2566" t="s">
        <v>6962</v>
      </c>
      <c r="C2566" s="1">
        <v>45866</v>
      </c>
    </row>
    <row r="2567" spans="1:3" x14ac:dyDescent="0.25">
      <c r="A2567" t="s">
        <v>4071</v>
      </c>
      <c r="B2567" t="s">
        <v>6962</v>
      </c>
      <c r="C2567" s="1">
        <v>45864</v>
      </c>
    </row>
    <row r="2568" spans="1:3" x14ac:dyDescent="0.25">
      <c r="A2568" t="s">
        <v>4070</v>
      </c>
      <c r="B2568" t="s">
        <v>6962</v>
      </c>
      <c r="C2568" s="1">
        <v>45866</v>
      </c>
    </row>
    <row r="2569" spans="1:3" x14ac:dyDescent="0.25">
      <c r="A2569" t="s">
        <v>4075</v>
      </c>
      <c r="B2569" t="s">
        <v>6962</v>
      </c>
      <c r="C2569" s="1">
        <v>45861</v>
      </c>
    </row>
    <row r="2570" spans="1:3" x14ac:dyDescent="0.25">
      <c r="A2570" t="s">
        <v>4074</v>
      </c>
      <c r="B2570" t="s">
        <v>6962</v>
      </c>
      <c r="C2570" s="1">
        <v>45862</v>
      </c>
    </row>
    <row r="2571" spans="1:3" x14ac:dyDescent="0.25">
      <c r="A2571" t="s">
        <v>4077</v>
      </c>
      <c r="B2571" t="s">
        <v>6962</v>
      </c>
      <c r="C2571" s="1">
        <v>45866</v>
      </c>
    </row>
    <row r="2572" spans="1:3" x14ac:dyDescent="0.25">
      <c r="A2572" t="s">
        <v>4076</v>
      </c>
      <c r="B2572" t="s">
        <v>6962</v>
      </c>
      <c r="C2572" s="1">
        <v>45866</v>
      </c>
    </row>
    <row r="2573" spans="1:3" x14ac:dyDescent="0.25">
      <c r="A2573" t="s">
        <v>4078</v>
      </c>
      <c r="B2573" t="s">
        <v>6962</v>
      </c>
      <c r="C2573" s="1">
        <v>45862</v>
      </c>
    </row>
    <row r="2574" spans="1:3" x14ac:dyDescent="0.25">
      <c r="A2574" t="s">
        <v>3982</v>
      </c>
      <c r="B2574" t="s">
        <v>6962</v>
      </c>
      <c r="C2574" s="1">
        <v>45861</v>
      </c>
    </row>
    <row r="2575" spans="1:3" x14ac:dyDescent="0.25">
      <c r="A2575" t="s">
        <v>4079</v>
      </c>
      <c r="B2575" t="s">
        <v>39</v>
      </c>
      <c r="C2575" s="1"/>
    </row>
    <row r="2576" spans="1:3" x14ac:dyDescent="0.25">
      <c r="A2576" t="s">
        <v>4080</v>
      </c>
      <c r="B2576" t="s">
        <v>6962</v>
      </c>
      <c r="C2576" s="1">
        <v>45869</v>
      </c>
    </row>
    <row r="2577" spans="1:3" x14ac:dyDescent="0.25">
      <c r="A2577" t="s">
        <v>4081</v>
      </c>
      <c r="B2577" t="s">
        <v>6964</v>
      </c>
      <c r="C2577" s="1">
        <v>45873</v>
      </c>
    </row>
    <row r="2578" spans="1:3" x14ac:dyDescent="0.25">
      <c r="A2578" t="s">
        <v>4082</v>
      </c>
      <c r="B2578" t="s">
        <v>6962</v>
      </c>
      <c r="C2578" s="1">
        <v>45866</v>
      </c>
    </row>
    <row r="2579" spans="1:3" x14ac:dyDescent="0.25">
      <c r="A2579" t="s">
        <v>2684</v>
      </c>
      <c r="B2579" t="s">
        <v>39</v>
      </c>
      <c r="C2579" s="1"/>
    </row>
    <row r="2580" spans="1:3" x14ac:dyDescent="0.25">
      <c r="A2580" t="s">
        <v>4083</v>
      </c>
      <c r="B2580" t="s">
        <v>6962</v>
      </c>
      <c r="C2580" s="1">
        <v>45864</v>
      </c>
    </row>
    <row r="2581" spans="1:3" x14ac:dyDescent="0.25">
      <c r="A2581" t="s">
        <v>4084</v>
      </c>
      <c r="B2581" t="s">
        <v>6962</v>
      </c>
      <c r="C2581" s="1">
        <v>45869</v>
      </c>
    </row>
    <row r="2582" spans="1:3" x14ac:dyDescent="0.25">
      <c r="A2582" t="s">
        <v>4086</v>
      </c>
      <c r="B2582" t="s">
        <v>6962</v>
      </c>
      <c r="C2582" s="1">
        <v>45871</v>
      </c>
    </row>
    <row r="2583" spans="1:3" x14ac:dyDescent="0.25">
      <c r="A2583" t="s">
        <v>4085</v>
      </c>
      <c r="B2583" t="s">
        <v>6962</v>
      </c>
      <c r="C2583" s="1">
        <v>45864</v>
      </c>
    </row>
    <row r="2584" spans="1:3" x14ac:dyDescent="0.25">
      <c r="A2584" t="s">
        <v>3982</v>
      </c>
      <c r="B2584" t="s">
        <v>6962</v>
      </c>
      <c r="C2584" s="1">
        <v>45863</v>
      </c>
    </row>
    <row r="2585" spans="1:3" x14ac:dyDescent="0.25">
      <c r="A2585" t="s">
        <v>2686</v>
      </c>
      <c r="B2585" t="s">
        <v>6962</v>
      </c>
      <c r="C2585" s="1">
        <v>45883</v>
      </c>
    </row>
    <row r="2586" spans="1:3" x14ac:dyDescent="0.25">
      <c r="A2586" t="s">
        <v>2687</v>
      </c>
      <c r="B2586" t="s">
        <v>6962</v>
      </c>
      <c r="C2586" s="1">
        <v>45881</v>
      </c>
    </row>
    <row r="2587" spans="1:3" x14ac:dyDescent="0.25">
      <c r="A2587" t="s">
        <v>4087</v>
      </c>
      <c r="B2587" t="s">
        <v>6962</v>
      </c>
      <c r="C2587" s="1">
        <v>45863</v>
      </c>
    </row>
    <row r="2588" spans="1:3" x14ac:dyDescent="0.25">
      <c r="A2588" t="s">
        <v>4088</v>
      </c>
      <c r="B2588" t="s">
        <v>6962</v>
      </c>
      <c r="C2588" s="1">
        <v>45864</v>
      </c>
    </row>
    <row r="2589" spans="1:3" x14ac:dyDescent="0.25">
      <c r="A2589" t="s">
        <v>3141</v>
      </c>
      <c r="B2589" t="s">
        <v>6962</v>
      </c>
      <c r="C2589" s="1">
        <v>45899</v>
      </c>
    </row>
    <row r="2590" spans="1:3" x14ac:dyDescent="0.25">
      <c r="A2590" t="s">
        <v>3141</v>
      </c>
      <c r="B2590" t="s">
        <v>6962</v>
      </c>
      <c r="C2590" s="1">
        <v>45899</v>
      </c>
    </row>
    <row r="2591" spans="1:3" x14ac:dyDescent="0.25">
      <c r="A2591" t="s">
        <v>4089</v>
      </c>
      <c r="B2591" t="s">
        <v>6962</v>
      </c>
      <c r="C2591" s="1">
        <v>45866</v>
      </c>
    </row>
    <row r="2592" spans="1:3" x14ac:dyDescent="0.25">
      <c r="A2592" t="s">
        <v>4084</v>
      </c>
      <c r="B2592" t="s">
        <v>6962</v>
      </c>
      <c r="C2592" s="1">
        <v>45866</v>
      </c>
    </row>
    <row r="2593" spans="1:3" x14ac:dyDescent="0.25">
      <c r="A2593" t="s">
        <v>4084</v>
      </c>
      <c r="B2593" t="s">
        <v>6962</v>
      </c>
      <c r="C2593" s="1">
        <v>45867</v>
      </c>
    </row>
    <row r="2594" spans="1:3" x14ac:dyDescent="0.25">
      <c r="A2594" t="s">
        <v>4084</v>
      </c>
      <c r="B2594" t="s">
        <v>6962</v>
      </c>
      <c r="C2594" s="1">
        <v>45866</v>
      </c>
    </row>
    <row r="2595" spans="1:3" x14ac:dyDescent="0.25">
      <c r="A2595" t="s">
        <v>4084</v>
      </c>
      <c r="B2595" t="s">
        <v>6962</v>
      </c>
      <c r="C2595" s="1">
        <v>45867</v>
      </c>
    </row>
    <row r="2596" spans="1:3" x14ac:dyDescent="0.25">
      <c r="A2596" t="s">
        <v>4091</v>
      </c>
      <c r="B2596" t="s">
        <v>6962</v>
      </c>
      <c r="C2596" s="1">
        <v>45876</v>
      </c>
    </row>
    <row r="2597" spans="1:3" x14ac:dyDescent="0.25">
      <c r="A2597" t="s">
        <v>4091</v>
      </c>
      <c r="B2597" t="s">
        <v>6962</v>
      </c>
      <c r="C2597" s="1">
        <v>45876</v>
      </c>
    </row>
    <row r="2598" spans="1:3" x14ac:dyDescent="0.25">
      <c r="A2598" t="s">
        <v>4091</v>
      </c>
      <c r="B2598" t="s">
        <v>6962</v>
      </c>
      <c r="C2598" s="1">
        <v>45878</v>
      </c>
    </row>
    <row r="2599" spans="1:3" x14ac:dyDescent="0.25">
      <c r="A2599" t="s">
        <v>4092</v>
      </c>
      <c r="B2599" t="s">
        <v>6962</v>
      </c>
      <c r="C2599" s="1">
        <v>45866</v>
      </c>
    </row>
    <row r="2600" spans="1:3" x14ac:dyDescent="0.25">
      <c r="A2600" t="s">
        <v>4093</v>
      </c>
      <c r="B2600" t="s">
        <v>6962</v>
      </c>
      <c r="C2600" s="1">
        <v>45871</v>
      </c>
    </row>
    <row r="2601" spans="1:3" x14ac:dyDescent="0.25">
      <c r="A2601" t="s">
        <v>2688</v>
      </c>
      <c r="B2601" t="s">
        <v>6962</v>
      </c>
      <c r="C2601" s="1">
        <v>45878</v>
      </c>
    </row>
    <row r="2602" spans="1:3" x14ac:dyDescent="0.25">
      <c r="A2602" t="s">
        <v>4095</v>
      </c>
      <c r="B2602" t="s">
        <v>6962</v>
      </c>
      <c r="C2602" s="1">
        <v>45866</v>
      </c>
    </row>
    <row r="2603" spans="1:3" x14ac:dyDescent="0.25">
      <c r="A2603" t="s">
        <v>4096</v>
      </c>
      <c r="B2603" t="s">
        <v>6962</v>
      </c>
      <c r="C2603" s="1">
        <v>45868</v>
      </c>
    </row>
    <row r="2604" spans="1:3" x14ac:dyDescent="0.25">
      <c r="A2604" t="s">
        <v>2689</v>
      </c>
      <c r="B2604" t="s">
        <v>6962</v>
      </c>
      <c r="C2604" s="1">
        <v>45891</v>
      </c>
    </row>
    <row r="2605" spans="1:3" x14ac:dyDescent="0.25">
      <c r="A2605" t="s">
        <v>3142</v>
      </c>
      <c r="B2605" t="s">
        <v>6962</v>
      </c>
      <c r="C2605" s="1">
        <v>45868</v>
      </c>
    </row>
    <row r="2606" spans="1:3" x14ac:dyDescent="0.25">
      <c r="A2606" t="s">
        <v>3142</v>
      </c>
      <c r="B2606" t="s">
        <v>6962</v>
      </c>
      <c r="C2606" s="1">
        <v>45867</v>
      </c>
    </row>
    <row r="2607" spans="1:3" x14ac:dyDescent="0.25">
      <c r="A2607" t="s">
        <v>4099</v>
      </c>
      <c r="B2607" t="s">
        <v>6962</v>
      </c>
      <c r="C2607" s="1">
        <v>45868</v>
      </c>
    </row>
    <row r="2608" spans="1:3" x14ac:dyDescent="0.25">
      <c r="A2608" t="s">
        <v>3143</v>
      </c>
      <c r="B2608" t="s">
        <v>6962</v>
      </c>
      <c r="C2608" s="1">
        <v>45871</v>
      </c>
    </row>
    <row r="2609" spans="1:3" x14ac:dyDescent="0.25">
      <c r="A2609" t="s">
        <v>3143</v>
      </c>
      <c r="B2609" t="s">
        <v>6962</v>
      </c>
      <c r="C2609" s="1">
        <v>45871</v>
      </c>
    </row>
    <row r="2610" spans="1:3" x14ac:dyDescent="0.25">
      <c r="A2610" t="s">
        <v>3144</v>
      </c>
      <c r="B2610" t="s">
        <v>6962</v>
      </c>
      <c r="C2610" s="1">
        <v>45870</v>
      </c>
    </row>
    <row r="2611" spans="1:3" x14ac:dyDescent="0.25">
      <c r="A2611" t="s">
        <v>3144</v>
      </c>
      <c r="B2611" t="s">
        <v>6962</v>
      </c>
      <c r="C2611" s="1">
        <v>45870</v>
      </c>
    </row>
    <row r="2612" spans="1:3" x14ac:dyDescent="0.25">
      <c r="A2612" t="s">
        <v>3145</v>
      </c>
      <c r="B2612" t="s">
        <v>6962</v>
      </c>
      <c r="C2612" s="1">
        <v>45870</v>
      </c>
    </row>
    <row r="2613" spans="1:3" x14ac:dyDescent="0.25">
      <c r="A2613" t="s">
        <v>3145</v>
      </c>
      <c r="B2613" t="s">
        <v>6962</v>
      </c>
      <c r="C2613" s="1">
        <v>45870</v>
      </c>
    </row>
    <row r="2614" spans="1:3" x14ac:dyDescent="0.25">
      <c r="A2614" t="s">
        <v>3146</v>
      </c>
      <c r="B2614" t="s">
        <v>6962</v>
      </c>
      <c r="C2614" s="1">
        <v>45869</v>
      </c>
    </row>
    <row r="2615" spans="1:3" x14ac:dyDescent="0.25">
      <c r="A2615" t="s">
        <v>3146</v>
      </c>
      <c r="B2615" t="s">
        <v>6962</v>
      </c>
      <c r="C2615" s="1">
        <v>45869</v>
      </c>
    </row>
    <row r="2616" spans="1:3" x14ac:dyDescent="0.25">
      <c r="A2616" t="s">
        <v>4100</v>
      </c>
      <c r="B2616" t="s">
        <v>6962</v>
      </c>
      <c r="C2616" s="1">
        <v>45870</v>
      </c>
    </row>
    <row r="2617" spans="1:3" x14ac:dyDescent="0.25">
      <c r="A2617" t="s">
        <v>4101</v>
      </c>
      <c r="B2617" t="s">
        <v>39</v>
      </c>
      <c r="C2617" s="1"/>
    </row>
    <row r="2618" spans="1:3" x14ac:dyDescent="0.25">
      <c r="A2618" t="s">
        <v>4102</v>
      </c>
      <c r="B2618" t="s">
        <v>6962</v>
      </c>
      <c r="C2618" s="1">
        <v>45867</v>
      </c>
    </row>
    <row r="2619" spans="1:3" x14ac:dyDescent="0.25">
      <c r="A2619" t="s">
        <v>4103</v>
      </c>
      <c r="B2619" t="s">
        <v>6962</v>
      </c>
      <c r="C2619" s="1">
        <v>45866</v>
      </c>
    </row>
    <row r="2620" spans="1:3" x14ac:dyDescent="0.25">
      <c r="A2620" t="s">
        <v>4104</v>
      </c>
      <c r="B2620" t="s">
        <v>6962</v>
      </c>
      <c r="C2620" s="1">
        <v>45867</v>
      </c>
    </row>
    <row r="2621" spans="1:3" x14ac:dyDescent="0.25">
      <c r="A2621" t="s">
        <v>4105</v>
      </c>
      <c r="B2621" t="s">
        <v>39</v>
      </c>
      <c r="C2621" s="1"/>
    </row>
    <row r="2622" spans="1:3" x14ac:dyDescent="0.25">
      <c r="A2622" t="s">
        <v>4106</v>
      </c>
      <c r="B2622" t="s">
        <v>6962</v>
      </c>
      <c r="C2622" s="1">
        <v>45866</v>
      </c>
    </row>
    <row r="2623" spans="1:3" x14ac:dyDescent="0.25">
      <c r="A2623" t="s">
        <v>4107</v>
      </c>
      <c r="B2623" t="s">
        <v>6962</v>
      </c>
      <c r="C2623" s="1">
        <v>45868</v>
      </c>
    </row>
    <row r="2624" spans="1:3" x14ac:dyDescent="0.25">
      <c r="A2624" t="s">
        <v>4108</v>
      </c>
      <c r="B2624" t="s">
        <v>6962</v>
      </c>
      <c r="C2624" s="1">
        <v>45867</v>
      </c>
    </row>
    <row r="2625" spans="1:3" x14ac:dyDescent="0.25">
      <c r="A2625" t="s">
        <v>4109</v>
      </c>
      <c r="B2625" t="s">
        <v>6962</v>
      </c>
      <c r="C2625" s="1">
        <v>45869</v>
      </c>
    </row>
    <row r="2626" spans="1:3" x14ac:dyDescent="0.25">
      <c r="A2626" t="s">
        <v>2690</v>
      </c>
      <c r="B2626" t="s">
        <v>6962</v>
      </c>
      <c r="C2626" s="1">
        <v>45881</v>
      </c>
    </row>
    <row r="2627" spans="1:3" x14ac:dyDescent="0.25">
      <c r="A2627" t="s">
        <v>4110</v>
      </c>
      <c r="B2627" t="s">
        <v>6962</v>
      </c>
      <c r="C2627" s="1">
        <v>45867</v>
      </c>
    </row>
    <row r="2628" spans="1:3" x14ac:dyDescent="0.25">
      <c r="A2628" t="s">
        <v>4111</v>
      </c>
      <c r="B2628" t="s">
        <v>6963</v>
      </c>
      <c r="C2628" s="1"/>
    </row>
    <row r="2629" spans="1:3" x14ac:dyDescent="0.25">
      <c r="A2629" t="s">
        <v>4116</v>
      </c>
      <c r="B2629" t="s">
        <v>6962</v>
      </c>
      <c r="C2629" s="1">
        <v>45870</v>
      </c>
    </row>
    <row r="2630" spans="1:3" x14ac:dyDescent="0.25">
      <c r="A2630" t="s">
        <v>4115</v>
      </c>
      <c r="B2630" t="s">
        <v>6962</v>
      </c>
      <c r="C2630" s="1">
        <v>45868</v>
      </c>
    </row>
    <row r="2631" spans="1:3" x14ac:dyDescent="0.25">
      <c r="A2631" t="s">
        <v>4114</v>
      </c>
      <c r="B2631" t="s">
        <v>6962</v>
      </c>
      <c r="C2631" s="1">
        <v>45867</v>
      </c>
    </row>
    <row r="2632" spans="1:3" x14ac:dyDescent="0.25">
      <c r="A2632" t="s">
        <v>4113</v>
      </c>
      <c r="B2632" t="s">
        <v>6962</v>
      </c>
      <c r="C2632" s="1">
        <v>45868</v>
      </c>
    </row>
    <row r="2633" spans="1:3" x14ac:dyDescent="0.25">
      <c r="A2633" t="s">
        <v>4120</v>
      </c>
      <c r="B2633" t="s">
        <v>39</v>
      </c>
      <c r="C2633" s="1"/>
    </row>
    <row r="2634" spans="1:3" x14ac:dyDescent="0.25">
      <c r="A2634" t="s">
        <v>4119</v>
      </c>
      <c r="B2634" t="s">
        <v>39</v>
      </c>
      <c r="C2634" s="1"/>
    </row>
    <row r="2635" spans="1:3" x14ac:dyDescent="0.25">
      <c r="A2635" t="s">
        <v>4118</v>
      </c>
      <c r="B2635" t="s">
        <v>6962</v>
      </c>
      <c r="C2635" s="1">
        <v>45878</v>
      </c>
    </row>
    <row r="2636" spans="1:3" x14ac:dyDescent="0.25">
      <c r="A2636" t="s">
        <v>4121</v>
      </c>
      <c r="B2636" t="s">
        <v>6962</v>
      </c>
      <c r="C2636" s="1">
        <v>45869</v>
      </c>
    </row>
    <row r="2637" spans="1:3" x14ac:dyDescent="0.25">
      <c r="A2637" t="s">
        <v>2692</v>
      </c>
      <c r="B2637" t="s">
        <v>6962</v>
      </c>
      <c r="C2637" s="1">
        <v>45897</v>
      </c>
    </row>
    <row r="2638" spans="1:3" x14ac:dyDescent="0.25">
      <c r="A2638" t="s">
        <v>4122</v>
      </c>
      <c r="B2638" t="s">
        <v>6962</v>
      </c>
      <c r="C2638" s="1">
        <v>45870</v>
      </c>
    </row>
    <row r="2639" spans="1:3" x14ac:dyDescent="0.25">
      <c r="A2639" t="s">
        <v>4124</v>
      </c>
      <c r="B2639" t="s">
        <v>6962</v>
      </c>
      <c r="C2639" s="1">
        <v>45868</v>
      </c>
    </row>
    <row r="2640" spans="1:3" x14ac:dyDescent="0.25">
      <c r="A2640" t="s">
        <v>4123</v>
      </c>
      <c r="B2640" t="s">
        <v>6962</v>
      </c>
      <c r="C2640" s="1">
        <v>45876</v>
      </c>
    </row>
    <row r="2641" spans="1:3" x14ac:dyDescent="0.25">
      <c r="A2641" t="s">
        <v>4123</v>
      </c>
      <c r="B2641" t="s">
        <v>6962</v>
      </c>
      <c r="C2641" s="1">
        <v>45873</v>
      </c>
    </row>
    <row r="2642" spans="1:3" x14ac:dyDescent="0.25">
      <c r="A2642" t="s">
        <v>4123</v>
      </c>
      <c r="B2642" t="s">
        <v>6962</v>
      </c>
      <c r="C2642" s="1">
        <v>45868</v>
      </c>
    </row>
    <row r="2643" spans="1:3" x14ac:dyDescent="0.25">
      <c r="A2643" t="s">
        <v>4125</v>
      </c>
      <c r="B2643" t="s">
        <v>39</v>
      </c>
      <c r="C2643" s="1"/>
    </row>
    <row r="2644" spans="1:3" x14ac:dyDescent="0.25">
      <c r="A2644" t="s">
        <v>2691</v>
      </c>
      <c r="B2644" t="s">
        <v>6962</v>
      </c>
      <c r="C2644" s="1">
        <v>45869</v>
      </c>
    </row>
    <row r="2645" spans="1:3" x14ac:dyDescent="0.25">
      <c r="A2645" t="s">
        <v>4127</v>
      </c>
      <c r="B2645" t="s">
        <v>6962</v>
      </c>
      <c r="C2645" s="1">
        <v>45870</v>
      </c>
    </row>
    <row r="2646" spans="1:3" x14ac:dyDescent="0.25">
      <c r="A2646" t="s">
        <v>4126</v>
      </c>
      <c r="B2646" t="s">
        <v>6962</v>
      </c>
      <c r="C2646" s="1">
        <v>45870</v>
      </c>
    </row>
    <row r="2647" spans="1:3" x14ac:dyDescent="0.25">
      <c r="A2647" t="s">
        <v>3148</v>
      </c>
      <c r="B2647" t="s">
        <v>6962</v>
      </c>
      <c r="C2647" s="1">
        <v>45870</v>
      </c>
    </row>
    <row r="2648" spans="1:3" x14ac:dyDescent="0.25">
      <c r="A2648" t="s">
        <v>3148</v>
      </c>
      <c r="B2648" t="s">
        <v>6962</v>
      </c>
      <c r="C2648" s="1">
        <v>45870</v>
      </c>
    </row>
    <row r="2649" spans="1:3" x14ac:dyDescent="0.25">
      <c r="A2649" t="s">
        <v>4128</v>
      </c>
      <c r="B2649" t="s">
        <v>6962</v>
      </c>
      <c r="C2649" s="1">
        <v>45869</v>
      </c>
    </row>
    <row r="2650" spans="1:3" x14ac:dyDescent="0.25">
      <c r="A2650" t="s">
        <v>4130</v>
      </c>
      <c r="B2650" t="s">
        <v>6962</v>
      </c>
      <c r="C2650" s="1">
        <v>45873</v>
      </c>
    </row>
    <row r="2651" spans="1:3" x14ac:dyDescent="0.25">
      <c r="A2651" t="s">
        <v>2693</v>
      </c>
      <c r="B2651" t="s">
        <v>6962</v>
      </c>
      <c r="C2651" s="1">
        <v>45885</v>
      </c>
    </row>
    <row r="2652" spans="1:3" x14ac:dyDescent="0.25">
      <c r="A2652" t="s">
        <v>4129</v>
      </c>
      <c r="B2652" t="s">
        <v>6962</v>
      </c>
      <c r="C2652" s="1">
        <v>45870</v>
      </c>
    </row>
    <row r="2653" spans="1:3" x14ac:dyDescent="0.25">
      <c r="A2653" t="s">
        <v>3149</v>
      </c>
      <c r="B2653" t="s">
        <v>6964</v>
      </c>
      <c r="C2653" s="1">
        <v>45876</v>
      </c>
    </row>
    <row r="2654" spans="1:3" x14ac:dyDescent="0.25">
      <c r="A2654" t="s">
        <v>3149</v>
      </c>
      <c r="B2654" t="s">
        <v>6962</v>
      </c>
      <c r="C2654" s="1">
        <v>45876</v>
      </c>
    </row>
    <row r="2655" spans="1:3" x14ac:dyDescent="0.25">
      <c r="A2655" t="s">
        <v>2694</v>
      </c>
      <c r="B2655" t="s">
        <v>6962</v>
      </c>
      <c r="C2655" s="1">
        <v>45878</v>
      </c>
    </row>
    <row r="2656" spans="1:3" x14ac:dyDescent="0.25">
      <c r="A2656" t="s">
        <v>4132</v>
      </c>
      <c r="B2656" t="s">
        <v>6962</v>
      </c>
      <c r="C2656" s="1">
        <v>45869</v>
      </c>
    </row>
    <row r="2657" spans="1:3" x14ac:dyDescent="0.25">
      <c r="A2657" t="s">
        <v>4131</v>
      </c>
      <c r="B2657" t="s">
        <v>6962</v>
      </c>
      <c r="C2657" s="1">
        <v>45868</v>
      </c>
    </row>
    <row r="2658" spans="1:3" x14ac:dyDescent="0.25">
      <c r="A2658" t="s">
        <v>2695</v>
      </c>
      <c r="B2658" t="s">
        <v>6962</v>
      </c>
      <c r="C2658" s="1">
        <v>45877</v>
      </c>
    </row>
    <row r="2659" spans="1:3" x14ac:dyDescent="0.25">
      <c r="A2659" t="s">
        <v>4136</v>
      </c>
      <c r="B2659" t="s">
        <v>39</v>
      </c>
      <c r="C2659" s="1"/>
    </row>
    <row r="2660" spans="1:3" x14ac:dyDescent="0.25">
      <c r="A2660" t="s">
        <v>4135</v>
      </c>
      <c r="B2660" t="s">
        <v>6963</v>
      </c>
      <c r="C2660" s="1"/>
    </row>
    <row r="2661" spans="1:3" x14ac:dyDescent="0.25">
      <c r="A2661" t="s">
        <v>4134</v>
      </c>
      <c r="B2661" t="s">
        <v>6962</v>
      </c>
      <c r="C2661" s="1">
        <v>45877</v>
      </c>
    </row>
    <row r="2662" spans="1:3" x14ac:dyDescent="0.25">
      <c r="A2662" t="s">
        <v>4138</v>
      </c>
      <c r="B2662" t="s">
        <v>6962</v>
      </c>
      <c r="C2662" s="1">
        <v>45870</v>
      </c>
    </row>
    <row r="2663" spans="1:3" x14ac:dyDescent="0.25">
      <c r="A2663" t="s">
        <v>4137</v>
      </c>
      <c r="B2663" t="s">
        <v>6963</v>
      </c>
      <c r="C2663" s="1"/>
    </row>
    <row r="2664" spans="1:3" x14ac:dyDescent="0.25">
      <c r="A2664" t="s">
        <v>4140</v>
      </c>
      <c r="B2664" t="s">
        <v>6962</v>
      </c>
      <c r="C2664" s="1">
        <v>45868</v>
      </c>
    </row>
    <row r="2665" spans="1:3" x14ac:dyDescent="0.25">
      <c r="A2665" t="s">
        <v>4139</v>
      </c>
      <c r="B2665" t="s">
        <v>6962</v>
      </c>
      <c r="C2665" s="1">
        <v>45869</v>
      </c>
    </row>
    <row r="2666" spans="1:3" x14ac:dyDescent="0.25">
      <c r="A2666" t="s">
        <v>4143</v>
      </c>
      <c r="B2666" t="s">
        <v>6962</v>
      </c>
      <c r="C2666" s="1">
        <v>45871</v>
      </c>
    </row>
    <row r="2667" spans="1:3" x14ac:dyDescent="0.25">
      <c r="A2667" t="s">
        <v>4142</v>
      </c>
      <c r="B2667" t="s">
        <v>6962</v>
      </c>
      <c r="C2667" s="1">
        <v>45895</v>
      </c>
    </row>
    <row r="2668" spans="1:3" x14ac:dyDescent="0.25">
      <c r="A2668" t="s">
        <v>4141</v>
      </c>
      <c r="B2668" t="s">
        <v>6962</v>
      </c>
      <c r="C2668" s="1">
        <v>45870</v>
      </c>
    </row>
    <row r="2669" spans="1:3" x14ac:dyDescent="0.25">
      <c r="A2669" t="s">
        <v>2697</v>
      </c>
      <c r="B2669" t="s">
        <v>6962</v>
      </c>
      <c r="C2669" s="1">
        <v>45875</v>
      </c>
    </row>
    <row r="2670" spans="1:3" x14ac:dyDescent="0.25">
      <c r="A2670" t="s">
        <v>4144</v>
      </c>
      <c r="B2670" t="s">
        <v>6962</v>
      </c>
      <c r="C2670" s="1">
        <v>45870</v>
      </c>
    </row>
    <row r="2671" spans="1:3" x14ac:dyDescent="0.25">
      <c r="A2671" t="s">
        <v>2699</v>
      </c>
      <c r="B2671" t="s">
        <v>6962</v>
      </c>
      <c r="C2671" s="1">
        <v>45875</v>
      </c>
    </row>
    <row r="2672" spans="1:3" x14ac:dyDescent="0.25">
      <c r="A2672" t="s">
        <v>2698</v>
      </c>
      <c r="B2672" t="s">
        <v>6962</v>
      </c>
      <c r="C2672" s="1">
        <v>45881</v>
      </c>
    </row>
    <row r="2673" spans="1:3" x14ac:dyDescent="0.25">
      <c r="A2673" t="s">
        <v>4145</v>
      </c>
      <c r="B2673" t="s">
        <v>6962</v>
      </c>
      <c r="C2673" s="1">
        <v>45880</v>
      </c>
    </row>
    <row r="2674" spans="1:3" x14ac:dyDescent="0.25">
      <c r="A2674" t="s">
        <v>4146</v>
      </c>
      <c r="B2674" t="s">
        <v>6962</v>
      </c>
      <c r="C2674" s="1">
        <v>45873</v>
      </c>
    </row>
    <row r="2675" spans="1:3" x14ac:dyDescent="0.25">
      <c r="A2675" t="s">
        <v>4147</v>
      </c>
      <c r="B2675" t="s">
        <v>6962</v>
      </c>
      <c r="C2675" s="1">
        <v>45876</v>
      </c>
    </row>
    <row r="2676" spans="1:3" x14ac:dyDescent="0.25">
      <c r="A2676" t="s">
        <v>4148</v>
      </c>
      <c r="B2676" t="s">
        <v>6962</v>
      </c>
      <c r="C2676" s="1">
        <v>45870</v>
      </c>
    </row>
    <row r="2677" spans="1:3" x14ac:dyDescent="0.25">
      <c r="A2677" t="s">
        <v>4149</v>
      </c>
      <c r="B2677" t="s">
        <v>6962</v>
      </c>
      <c r="C2677" s="1">
        <v>45869</v>
      </c>
    </row>
    <row r="2678" spans="1:3" x14ac:dyDescent="0.25">
      <c r="A2678" t="s">
        <v>2700</v>
      </c>
      <c r="B2678" t="s">
        <v>6964</v>
      </c>
      <c r="C2678" s="1">
        <v>45889</v>
      </c>
    </row>
    <row r="2679" spans="1:3" x14ac:dyDescent="0.25">
      <c r="A2679" t="s">
        <v>2701</v>
      </c>
      <c r="B2679" t="s">
        <v>6962</v>
      </c>
      <c r="C2679" s="1">
        <v>45875</v>
      </c>
    </row>
    <row r="2680" spans="1:3" x14ac:dyDescent="0.25">
      <c r="A2680" t="s">
        <v>2702</v>
      </c>
      <c r="B2680" t="s">
        <v>6962</v>
      </c>
      <c r="C2680" s="1">
        <v>45877</v>
      </c>
    </row>
    <row r="2681" spans="1:3" x14ac:dyDescent="0.25">
      <c r="A2681" t="s">
        <v>3150</v>
      </c>
      <c r="B2681" t="s">
        <v>6962</v>
      </c>
      <c r="C2681" s="1">
        <v>45875</v>
      </c>
    </row>
    <row r="2682" spans="1:3" x14ac:dyDescent="0.25">
      <c r="A2682" t="s">
        <v>2704</v>
      </c>
      <c r="B2682" t="s">
        <v>6962</v>
      </c>
      <c r="C2682" s="1">
        <v>45885</v>
      </c>
    </row>
    <row r="2683" spans="1:3" x14ac:dyDescent="0.25">
      <c r="A2683" t="s">
        <v>4150</v>
      </c>
      <c r="B2683" t="s">
        <v>6962</v>
      </c>
      <c r="C2683" s="1">
        <v>45873</v>
      </c>
    </row>
    <row r="2684" spans="1:3" x14ac:dyDescent="0.25">
      <c r="A2684" t="s">
        <v>4151</v>
      </c>
      <c r="B2684" t="s">
        <v>6962</v>
      </c>
      <c r="C2684" s="1">
        <v>45874</v>
      </c>
    </row>
    <row r="2685" spans="1:3" x14ac:dyDescent="0.25">
      <c r="A2685" t="s">
        <v>4151</v>
      </c>
      <c r="B2685" t="s">
        <v>6962</v>
      </c>
      <c r="C2685" s="1">
        <v>45875</v>
      </c>
    </row>
    <row r="2686" spans="1:3" x14ac:dyDescent="0.25">
      <c r="A2686" t="s">
        <v>4151</v>
      </c>
      <c r="B2686" t="s">
        <v>6962</v>
      </c>
      <c r="C2686" s="1">
        <v>45873</v>
      </c>
    </row>
    <row r="2687" spans="1:3" x14ac:dyDescent="0.25">
      <c r="A2687" t="s">
        <v>4151</v>
      </c>
      <c r="B2687" t="s">
        <v>6962</v>
      </c>
      <c r="C2687" s="1">
        <v>45870</v>
      </c>
    </row>
    <row r="2688" spans="1:3" x14ac:dyDescent="0.25">
      <c r="A2688" t="s">
        <v>4151</v>
      </c>
      <c r="B2688" t="s">
        <v>6962</v>
      </c>
      <c r="C2688" s="1">
        <v>45870</v>
      </c>
    </row>
    <row r="2689" spans="1:3" x14ac:dyDescent="0.25">
      <c r="A2689" t="s">
        <v>4153</v>
      </c>
      <c r="B2689" t="s">
        <v>6962</v>
      </c>
      <c r="C2689" s="1">
        <v>45878</v>
      </c>
    </row>
    <row r="2690" spans="1:3" x14ac:dyDescent="0.25">
      <c r="A2690" t="s">
        <v>4155</v>
      </c>
      <c r="B2690" t="s">
        <v>6962</v>
      </c>
      <c r="C2690" s="1">
        <v>45870</v>
      </c>
    </row>
    <row r="2691" spans="1:3" x14ac:dyDescent="0.25">
      <c r="A2691" t="s">
        <v>4154</v>
      </c>
      <c r="B2691" t="s">
        <v>6962</v>
      </c>
      <c r="C2691" s="1">
        <v>45870</v>
      </c>
    </row>
    <row r="2692" spans="1:3" x14ac:dyDescent="0.25">
      <c r="A2692" t="s">
        <v>4157</v>
      </c>
      <c r="B2692" t="s">
        <v>6962</v>
      </c>
      <c r="C2692" s="1">
        <v>45873</v>
      </c>
    </row>
    <row r="2693" spans="1:3" x14ac:dyDescent="0.25">
      <c r="A2693" t="s">
        <v>4156</v>
      </c>
      <c r="B2693" t="s">
        <v>6962</v>
      </c>
      <c r="C2693" s="1">
        <v>45873</v>
      </c>
    </row>
    <row r="2694" spans="1:3" x14ac:dyDescent="0.25">
      <c r="A2694" t="s">
        <v>2685</v>
      </c>
      <c r="B2694" t="s">
        <v>6962</v>
      </c>
      <c r="C2694" s="1">
        <v>45883</v>
      </c>
    </row>
    <row r="2695" spans="1:3" x14ac:dyDescent="0.25">
      <c r="A2695" t="s">
        <v>2706</v>
      </c>
      <c r="B2695" t="s">
        <v>6962</v>
      </c>
      <c r="C2695" s="1">
        <v>45878</v>
      </c>
    </row>
    <row r="2696" spans="1:3" x14ac:dyDescent="0.25">
      <c r="A2696" t="s">
        <v>2696</v>
      </c>
      <c r="B2696" t="s">
        <v>6962</v>
      </c>
      <c r="C2696" s="1">
        <v>45875</v>
      </c>
    </row>
    <row r="2697" spans="1:3" x14ac:dyDescent="0.25">
      <c r="A2697" t="s">
        <v>2703</v>
      </c>
      <c r="B2697" t="s">
        <v>6962</v>
      </c>
      <c r="C2697" s="1">
        <v>45875</v>
      </c>
    </row>
    <row r="2698" spans="1:3" x14ac:dyDescent="0.25">
      <c r="A2698" t="s">
        <v>4158</v>
      </c>
      <c r="B2698" t="s">
        <v>6962</v>
      </c>
      <c r="C2698" s="1">
        <v>45875</v>
      </c>
    </row>
    <row r="2699" spans="1:3" x14ac:dyDescent="0.25">
      <c r="A2699" t="s">
        <v>4160</v>
      </c>
      <c r="B2699" t="s">
        <v>6962</v>
      </c>
      <c r="C2699" s="1">
        <v>45874</v>
      </c>
    </row>
    <row r="2700" spans="1:3" x14ac:dyDescent="0.25">
      <c r="A2700" t="s">
        <v>4159</v>
      </c>
      <c r="B2700" t="s">
        <v>6962</v>
      </c>
      <c r="C2700" s="1">
        <v>45878</v>
      </c>
    </row>
    <row r="2701" spans="1:3" x14ac:dyDescent="0.25">
      <c r="A2701" t="s">
        <v>4159</v>
      </c>
      <c r="B2701" t="s">
        <v>6962</v>
      </c>
      <c r="C2701" s="1">
        <v>45877</v>
      </c>
    </row>
    <row r="2702" spans="1:3" x14ac:dyDescent="0.25">
      <c r="A2702" t="s">
        <v>2708</v>
      </c>
      <c r="B2702" t="s">
        <v>39</v>
      </c>
      <c r="C2702" s="1"/>
    </row>
    <row r="2703" spans="1:3" x14ac:dyDescent="0.25">
      <c r="A2703" t="s">
        <v>4161</v>
      </c>
      <c r="B2703" t="s">
        <v>6962</v>
      </c>
      <c r="C2703" s="1">
        <v>45880</v>
      </c>
    </row>
    <row r="2704" spans="1:3" x14ac:dyDescent="0.25">
      <c r="A2704" t="s">
        <v>4162</v>
      </c>
      <c r="B2704" t="s">
        <v>6962</v>
      </c>
      <c r="C2704" s="1">
        <v>45878</v>
      </c>
    </row>
    <row r="2705" spans="1:3" x14ac:dyDescent="0.25">
      <c r="A2705" t="s">
        <v>4163</v>
      </c>
      <c r="B2705" t="s">
        <v>6962</v>
      </c>
      <c r="C2705" s="1">
        <v>45875</v>
      </c>
    </row>
    <row r="2706" spans="1:3" x14ac:dyDescent="0.25">
      <c r="A2706" t="s">
        <v>3140</v>
      </c>
      <c r="B2706" t="s">
        <v>6962</v>
      </c>
      <c r="C2706" s="1">
        <v>45870</v>
      </c>
    </row>
    <row r="2707" spans="1:3" x14ac:dyDescent="0.25">
      <c r="A2707" t="s">
        <v>3140</v>
      </c>
      <c r="B2707" t="s">
        <v>6962</v>
      </c>
      <c r="C2707" s="1">
        <v>45870</v>
      </c>
    </row>
    <row r="2708" spans="1:3" x14ac:dyDescent="0.25">
      <c r="A2708" t="s">
        <v>4165</v>
      </c>
      <c r="B2708" t="s">
        <v>6962</v>
      </c>
      <c r="C2708" s="1">
        <v>45883</v>
      </c>
    </row>
    <row r="2709" spans="1:3" x14ac:dyDescent="0.25">
      <c r="A2709" t="s">
        <v>4166</v>
      </c>
      <c r="B2709" t="s">
        <v>6962</v>
      </c>
      <c r="C2709" s="1">
        <v>45887</v>
      </c>
    </row>
    <row r="2710" spans="1:3" x14ac:dyDescent="0.25">
      <c r="A2710" t="s">
        <v>4170</v>
      </c>
      <c r="B2710" t="s">
        <v>6962</v>
      </c>
      <c r="C2710" s="1">
        <v>45874</v>
      </c>
    </row>
    <row r="2711" spans="1:3" x14ac:dyDescent="0.25">
      <c r="A2711" t="s">
        <v>4169</v>
      </c>
      <c r="B2711" t="s">
        <v>6962</v>
      </c>
      <c r="C2711" s="1">
        <v>45873</v>
      </c>
    </row>
    <row r="2712" spans="1:3" x14ac:dyDescent="0.25">
      <c r="A2712" t="s">
        <v>4168</v>
      </c>
      <c r="B2712" t="s">
        <v>39</v>
      </c>
      <c r="C2712" s="1"/>
    </row>
    <row r="2713" spans="1:3" x14ac:dyDescent="0.25">
      <c r="A2713" t="s">
        <v>4171</v>
      </c>
      <c r="B2713" t="s">
        <v>6962</v>
      </c>
      <c r="C2713" s="1">
        <v>45881</v>
      </c>
    </row>
    <row r="2714" spans="1:3" x14ac:dyDescent="0.25">
      <c r="A2714" t="s">
        <v>4172</v>
      </c>
      <c r="B2714" t="s">
        <v>6962</v>
      </c>
      <c r="C2714" s="1">
        <v>45876</v>
      </c>
    </row>
    <row r="2715" spans="1:3" x14ac:dyDescent="0.25">
      <c r="A2715" t="s">
        <v>2711</v>
      </c>
      <c r="B2715" t="s">
        <v>39</v>
      </c>
      <c r="C2715" s="1"/>
    </row>
    <row r="2716" spans="1:3" x14ac:dyDescent="0.25">
      <c r="A2716" t="s">
        <v>4173</v>
      </c>
      <c r="B2716" t="s">
        <v>6962</v>
      </c>
      <c r="C2716" s="1">
        <v>45882</v>
      </c>
    </row>
    <row r="2717" spans="1:3" x14ac:dyDescent="0.25">
      <c r="A2717" t="s">
        <v>2712</v>
      </c>
      <c r="B2717" t="s">
        <v>6962</v>
      </c>
      <c r="C2717" s="1">
        <v>45890</v>
      </c>
    </row>
    <row r="2718" spans="1:3" x14ac:dyDescent="0.25">
      <c r="A2718" t="s">
        <v>4175</v>
      </c>
      <c r="B2718" t="s">
        <v>6962</v>
      </c>
      <c r="C2718" s="1">
        <v>45877</v>
      </c>
    </row>
    <row r="2719" spans="1:3" x14ac:dyDescent="0.25">
      <c r="A2719" t="s">
        <v>4174</v>
      </c>
      <c r="B2719" t="s">
        <v>6962</v>
      </c>
      <c r="C2719" s="1">
        <v>45894</v>
      </c>
    </row>
    <row r="2720" spans="1:3" x14ac:dyDescent="0.25">
      <c r="A2720" t="s">
        <v>4185</v>
      </c>
      <c r="B2720" t="s">
        <v>6962</v>
      </c>
      <c r="C2720" s="1">
        <v>45881</v>
      </c>
    </row>
    <row r="2721" spans="1:3" x14ac:dyDescent="0.25">
      <c r="A2721" t="s">
        <v>4184</v>
      </c>
      <c r="B2721" t="s">
        <v>6962</v>
      </c>
      <c r="C2721" s="1">
        <v>45885</v>
      </c>
    </row>
    <row r="2722" spans="1:3" x14ac:dyDescent="0.25">
      <c r="A2722" t="s">
        <v>4183</v>
      </c>
      <c r="B2722" t="s">
        <v>6962</v>
      </c>
      <c r="C2722" s="1">
        <v>45885</v>
      </c>
    </row>
    <row r="2723" spans="1:3" x14ac:dyDescent="0.25">
      <c r="A2723" t="s">
        <v>4182</v>
      </c>
      <c r="B2723" t="s">
        <v>6962</v>
      </c>
      <c r="C2723" s="1">
        <v>45876</v>
      </c>
    </row>
    <row r="2724" spans="1:3" x14ac:dyDescent="0.25">
      <c r="A2724" t="s">
        <v>4181</v>
      </c>
      <c r="B2724" t="s">
        <v>6962</v>
      </c>
      <c r="C2724" s="1">
        <v>45876</v>
      </c>
    </row>
    <row r="2725" spans="1:3" x14ac:dyDescent="0.25">
      <c r="A2725" t="s">
        <v>4180</v>
      </c>
      <c r="B2725" t="s">
        <v>6962</v>
      </c>
      <c r="C2725" s="1">
        <v>45875</v>
      </c>
    </row>
    <row r="2726" spans="1:3" x14ac:dyDescent="0.25">
      <c r="A2726" t="s">
        <v>4179</v>
      </c>
      <c r="B2726" t="s">
        <v>6962</v>
      </c>
      <c r="C2726" s="1">
        <v>45876</v>
      </c>
    </row>
    <row r="2727" spans="1:3" x14ac:dyDescent="0.25">
      <c r="A2727" t="s">
        <v>4178</v>
      </c>
      <c r="B2727" t="s">
        <v>39</v>
      </c>
      <c r="C2727" s="1"/>
    </row>
    <row r="2728" spans="1:3" x14ac:dyDescent="0.25">
      <c r="A2728" t="s">
        <v>4177</v>
      </c>
      <c r="B2728" t="s">
        <v>6962</v>
      </c>
      <c r="C2728" s="1">
        <v>45876</v>
      </c>
    </row>
    <row r="2729" spans="1:3" x14ac:dyDescent="0.25">
      <c r="A2729" t="s">
        <v>4176</v>
      </c>
      <c r="B2729" t="s">
        <v>6962</v>
      </c>
      <c r="C2729" s="1">
        <v>45876</v>
      </c>
    </row>
    <row r="2730" spans="1:3" x14ac:dyDescent="0.25">
      <c r="A2730" t="s">
        <v>4186</v>
      </c>
      <c r="B2730" t="s">
        <v>6962</v>
      </c>
      <c r="C2730" s="1">
        <v>45877</v>
      </c>
    </row>
    <row r="2731" spans="1:3" x14ac:dyDescent="0.25">
      <c r="A2731" t="s">
        <v>4187</v>
      </c>
      <c r="B2731" t="s">
        <v>6962</v>
      </c>
      <c r="C2731" s="1">
        <v>45880</v>
      </c>
    </row>
    <row r="2732" spans="1:3" x14ac:dyDescent="0.25">
      <c r="A2732" t="s">
        <v>2713</v>
      </c>
      <c r="B2732" t="s">
        <v>6962</v>
      </c>
      <c r="C2732" s="1">
        <v>45881</v>
      </c>
    </row>
    <row r="2733" spans="1:3" x14ac:dyDescent="0.25">
      <c r="A2733" t="s">
        <v>2714</v>
      </c>
      <c r="B2733" t="s">
        <v>6962</v>
      </c>
      <c r="C2733" s="1">
        <v>45881</v>
      </c>
    </row>
    <row r="2734" spans="1:3" x14ac:dyDescent="0.25">
      <c r="A2734" t="s">
        <v>4188</v>
      </c>
      <c r="B2734" t="s">
        <v>6962</v>
      </c>
      <c r="C2734" s="1">
        <v>45887</v>
      </c>
    </row>
    <row r="2735" spans="1:3" x14ac:dyDescent="0.25">
      <c r="A2735" t="s">
        <v>4189</v>
      </c>
      <c r="B2735" t="s">
        <v>39</v>
      </c>
      <c r="C2735" s="1"/>
    </row>
    <row r="2736" spans="1:3" x14ac:dyDescent="0.25">
      <c r="A2736" t="s">
        <v>4190</v>
      </c>
      <c r="B2736" t="s">
        <v>6962</v>
      </c>
      <c r="C2736" s="1">
        <v>45874</v>
      </c>
    </row>
    <row r="2737" spans="1:3" x14ac:dyDescent="0.25">
      <c r="A2737" t="s">
        <v>4193</v>
      </c>
      <c r="B2737" t="s">
        <v>6962</v>
      </c>
      <c r="C2737" s="1">
        <v>45880</v>
      </c>
    </row>
    <row r="2738" spans="1:3" x14ac:dyDescent="0.25">
      <c r="A2738" t="s">
        <v>4192</v>
      </c>
      <c r="B2738" t="s">
        <v>39</v>
      </c>
      <c r="C2738" s="1"/>
    </row>
    <row r="2739" spans="1:3" x14ac:dyDescent="0.25">
      <c r="A2739" t="s">
        <v>4191</v>
      </c>
      <c r="B2739" t="s">
        <v>6962</v>
      </c>
      <c r="C2739" s="1">
        <v>45887</v>
      </c>
    </row>
    <row r="2740" spans="1:3" x14ac:dyDescent="0.25">
      <c r="A2740" t="s">
        <v>4082</v>
      </c>
      <c r="B2740" t="s">
        <v>6962</v>
      </c>
      <c r="C2740" s="1">
        <v>45874</v>
      </c>
    </row>
    <row r="2741" spans="1:3" x14ac:dyDescent="0.25">
      <c r="A2741" t="s">
        <v>2715</v>
      </c>
      <c r="B2741" t="s">
        <v>6962</v>
      </c>
      <c r="C2741" s="1">
        <v>45878</v>
      </c>
    </row>
    <row r="2742" spans="1:3" x14ac:dyDescent="0.25">
      <c r="A2742" t="s">
        <v>2710</v>
      </c>
      <c r="B2742" t="s">
        <v>6962</v>
      </c>
      <c r="C2742" s="1">
        <v>45875</v>
      </c>
    </row>
    <row r="2743" spans="1:3" x14ac:dyDescent="0.25">
      <c r="A2743" t="s">
        <v>2709</v>
      </c>
      <c r="B2743" t="s">
        <v>39</v>
      </c>
      <c r="C2743" s="1"/>
    </row>
    <row r="2744" spans="1:3" x14ac:dyDescent="0.25">
      <c r="A2744" t="s">
        <v>2716</v>
      </c>
      <c r="B2744" t="s">
        <v>6962</v>
      </c>
      <c r="C2744" s="1">
        <v>45881</v>
      </c>
    </row>
    <row r="2745" spans="1:3" x14ac:dyDescent="0.25">
      <c r="A2745" t="s">
        <v>3151</v>
      </c>
      <c r="B2745" t="s">
        <v>6962</v>
      </c>
      <c r="C2745" s="1">
        <v>45891</v>
      </c>
    </row>
    <row r="2746" spans="1:3" x14ac:dyDescent="0.25">
      <c r="A2746" t="s">
        <v>2485</v>
      </c>
      <c r="B2746" t="s">
        <v>6962</v>
      </c>
      <c r="C2746" s="1">
        <v>45874</v>
      </c>
    </row>
    <row r="2747" spans="1:3" x14ac:dyDescent="0.25">
      <c r="A2747" t="s">
        <v>4194</v>
      </c>
      <c r="B2747" t="s">
        <v>6962</v>
      </c>
      <c r="C2747" s="1">
        <v>45875</v>
      </c>
    </row>
    <row r="2748" spans="1:3" x14ac:dyDescent="0.25">
      <c r="A2748" t="s">
        <v>3064</v>
      </c>
      <c r="B2748" t="s">
        <v>6962</v>
      </c>
      <c r="C2748" s="1">
        <v>45875</v>
      </c>
    </row>
    <row r="2749" spans="1:3" x14ac:dyDescent="0.25">
      <c r="A2749" t="s">
        <v>4195</v>
      </c>
      <c r="B2749" t="s">
        <v>6962</v>
      </c>
      <c r="C2749" s="1">
        <v>45885</v>
      </c>
    </row>
    <row r="2750" spans="1:3" x14ac:dyDescent="0.25">
      <c r="A2750" t="s">
        <v>4195</v>
      </c>
      <c r="B2750" t="s">
        <v>6962</v>
      </c>
      <c r="C2750" s="1">
        <v>45877</v>
      </c>
    </row>
    <row r="2751" spans="1:3" x14ac:dyDescent="0.25">
      <c r="A2751" t="s">
        <v>4195</v>
      </c>
      <c r="B2751" t="s">
        <v>6962</v>
      </c>
      <c r="C2751" s="1">
        <v>45877</v>
      </c>
    </row>
    <row r="2752" spans="1:3" x14ac:dyDescent="0.25">
      <c r="A2752" t="s">
        <v>4195</v>
      </c>
      <c r="B2752" t="s">
        <v>6962</v>
      </c>
      <c r="C2752" s="1">
        <v>45877</v>
      </c>
    </row>
    <row r="2753" spans="1:3" x14ac:dyDescent="0.25">
      <c r="A2753" t="s">
        <v>4195</v>
      </c>
      <c r="B2753" t="s">
        <v>6962</v>
      </c>
      <c r="C2753" s="1">
        <v>45877</v>
      </c>
    </row>
    <row r="2754" spans="1:3" x14ac:dyDescent="0.25">
      <c r="A2754" t="s">
        <v>2717</v>
      </c>
      <c r="B2754" t="s">
        <v>6962</v>
      </c>
      <c r="C2754" s="1">
        <v>45895</v>
      </c>
    </row>
    <row r="2755" spans="1:3" x14ac:dyDescent="0.25">
      <c r="A2755" t="s">
        <v>4197</v>
      </c>
      <c r="B2755" t="s">
        <v>6962</v>
      </c>
      <c r="C2755" s="1">
        <v>45885</v>
      </c>
    </row>
    <row r="2756" spans="1:3" x14ac:dyDescent="0.25">
      <c r="A2756" t="s">
        <v>4196</v>
      </c>
      <c r="B2756" t="s">
        <v>6962</v>
      </c>
      <c r="C2756" s="1">
        <v>45876</v>
      </c>
    </row>
    <row r="2757" spans="1:3" x14ac:dyDescent="0.25">
      <c r="A2757" t="s">
        <v>4199</v>
      </c>
      <c r="B2757" t="s">
        <v>6962</v>
      </c>
      <c r="C2757" s="1">
        <v>45885</v>
      </c>
    </row>
    <row r="2758" spans="1:3" x14ac:dyDescent="0.25">
      <c r="A2758" t="s">
        <v>4198</v>
      </c>
      <c r="B2758" t="s">
        <v>6962</v>
      </c>
      <c r="C2758" s="1">
        <v>45880</v>
      </c>
    </row>
    <row r="2759" spans="1:3" x14ac:dyDescent="0.25">
      <c r="A2759" t="s">
        <v>2718</v>
      </c>
      <c r="B2759" t="s">
        <v>6962</v>
      </c>
      <c r="C2759" s="1">
        <v>45891</v>
      </c>
    </row>
    <row r="2760" spans="1:3" x14ac:dyDescent="0.25">
      <c r="A2760" t="s">
        <v>2719</v>
      </c>
      <c r="B2760" t="s">
        <v>6962</v>
      </c>
      <c r="C2760" s="1">
        <v>45885</v>
      </c>
    </row>
    <row r="2761" spans="1:3" x14ac:dyDescent="0.25">
      <c r="A2761" t="s">
        <v>4200</v>
      </c>
      <c r="B2761" t="s">
        <v>6962</v>
      </c>
      <c r="C2761" s="1">
        <v>45877</v>
      </c>
    </row>
    <row r="2762" spans="1:3" x14ac:dyDescent="0.25">
      <c r="A2762" t="s">
        <v>4201</v>
      </c>
      <c r="B2762" t="s">
        <v>6962</v>
      </c>
      <c r="C2762" s="1">
        <v>45880</v>
      </c>
    </row>
    <row r="2763" spans="1:3" x14ac:dyDescent="0.25">
      <c r="A2763" t="s">
        <v>2720</v>
      </c>
      <c r="B2763" t="s">
        <v>6962</v>
      </c>
      <c r="C2763" s="1">
        <v>45880</v>
      </c>
    </row>
    <row r="2764" spans="1:3" x14ac:dyDescent="0.25">
      <c r="A2764" t="s">
        <v>4202</v>
      </c>
      <c r="B2764" t="s">
        <v>6962</v>
      </c>
      <c r="C2764" s="1">
        <v>45880</v>
      </c>
    </row>
    <row r="2765" spans="1:3" x14ac:dyDescent="0.25">
      <c r="A2765" t="s">
        <v>4202</v>
      </c>
      <c r="B2765" t="s">
        <v>6962</v>
      </c>
      <c r="C2765" s="1">
        <v>45880</v>
      </c>
    </row>
    <row r="2766" spans="1:3" x14ac:dyDescent="0.25">
      <c r="A2766" t="s">
        <v>4203</v>
      </c>
      <c r="B2766" t="s">
        <v>6962</v>
      </c>
      <c r="C2766" s="1">
        <v>45887</v>
      </c>
    </row>
    <row r="2767" spans="1:3" x14ac:dyDescent="0.25">
      <c r="A2767" t="s">
        <v>2724</v>
      </c>
      <c r="B2767" t="s">
        <v>6962</v>
      </c>
      <c r="C2767" s="1">
        <v>45887</v>
      </c>
    </row>
    <row r="2768" spans="1:3" x14ac:dyDescent="0.25">
      <c r="A2768" t="s">
        <v>4204</v>
      </c>
      <c r="B2768" t="s">
        <v>6962</v>
      </c>
      <c r="C2768" s="1">
        <v>45885</v>
      </c>
    </row>
    <row r="2769" spans="1:3" x14ac:dyDescent="0.25">
      <c r="A2769" t="s">
        <v>4205</v>
      </c>
      <c r="B2769" t="s">
        <v>6962</v>
      </c>
      <c r="C2769" s="1">
        <v>45877</v>
      </c>
    </row>
    <row r="2770" spans="1:3" x14ac:dyDescent="0.25">
      <c r="A2770" t="s">
        <v>2726</v>
      </c>
      <c r="B2770" t="s">
        <v>6962</v>
      </c>
      <c r="C2770" s="1">
        <v>45883</v>
      </c>
    </row>
    <row r="2771" spans="1:3" x14ac:dyDescent="0.25">
      <c r="A2771" t="s">
        <v>2725</v>
      </c>
      <c r="B2771" t="s">
        <v>6962</v>
      </c>
      <c r="C2771" s="1">
        <v>45881</v>
      </c>
    </row>
    <row r="2772" spans="1:3" x14ac:dyDescent="0.25">
      <c r="A2772" t="s">
        <v>4206</v>
      </c>
      <c r="B2772" t="s">
        <v>6962</v>
      </c>
      <c r="C2772" s="1">
        <v>45877</v>
      </c>
    </row>
    <row r="2773" spans="1:3" x14ac:dyDescent="0.25">
      <c r="A2773" t="s">
        <v>4207</v>
      </c>
      <c r="B2773" t="s">
        <v>6962</v>
      </c>
      <c r="C2773" s="1">
        <v>45880</v>
      </c>
    </row>
    <row r="2774" spans="1:3" x14ac:dyDescent="0.25">
      <c r="A2774" t="s">
        <v>2727</v>
      </c>
      <c r="B2774" t="s">
        <v>6962</v>
      </c>
      <c r="C2774" s="1">
        <v>45883</v>
      </c>
    </row>
    <row r="2775" spans="1:3" x14ac:dyDescent="0.25">
      <c r="A2775" t="s">
        <v>4212</v>
      </c>
      <c r="B2775" t="s">
        <v>6962</v>
      </c>
      <c r="C2775" s="1">
        <v>45976</v>
      </c>
    </row>
    <row r="2776" spans="1:3" x14ac:dyDescent="0.25">
      <c r="A2776" t="s">
        <v>3152</v>
      </c>
      <c r="B2776" t="s">
        <v>6962</v>
      </c>
      <c r="C2776" s="1">
        <v>45881</v>
      </c>
    </row>
    <row r="2777" spans="1:3" x14ac:dyDescent="0.25">
      <c r="A2777" t="s">
        <v>3152</v>
      </c>
      <c r="B2777" t="s">
        <v>6962</v>
      </c>
      <c r="C2777" s="1">
        <v>45881</v>
      </c>
    </row>
    <row r="2778" spans="1:3" x14ac:dyDescent="0.25">
      <c r="A2778" t="s">
        <v>4211</v>
      </c>
      <c r="B2778" t="s">
        <v>6962</v>
      </c>
      <c r="C2778" s="1">
        <v>45881</v>
      </c>
    </row>
    <row r="2779" spans="1:3" x14ac:dyDescent="0.25">
      <c r="A2779" t="s">
        <v>4210</v>
      </c>
      <c r="B2779" t="s">
        <v>6962</v>
      </c>
      <c r="C2779" s="1">
        <v>45888</v>
      </c>
    </row>
    <row r="2780" spans="1:3" x14ac:dyDescent="0.25">
      <c r="A2780" t="s">
        <v>4209</v>
      </c>
      <c r="B2780" t="s">
        <v>6962</v>
      </c>
      <c r="C2780" s="1">
        <v>45880</v>
      </c>
    </row>
    <row r="2781" spans="1:3" x14ac:dyDescent="0.25">
      <c r="A2781" t="s">
        <v>4208</v>
      </c>
      <c r="B2781" t="s">
        <v>6962</v>
      </c>
      <c r="C2781" s="1">
        <v>45882</v>
      </c>
    </row>
    <row r="2782" spans="1:3" x14ac:dyDescent="0.25">
      <c r="A2782" t="s">
        <v>4213</v>
      </c>
      <c r="B2782" t="s">
        <v>6962</v>
      </c>
      <c r="C2782" s="1">
        <v>45887</v>
      </c>
    </row>
    <row r="2783" spans="1:3" x14ac:dyDescent="0.25">
      <c r="A2783" t="s">
        <v>4213</v>
      </c>
      <c r="B2783" t="s">
        <v>6962</v>
      </c>
      <c r="C2783" s="1">
        <v>45887</v>
      </c>
    </row>
    <row r="2784" spans="1:3" x14ac:dyDescent="0.25">
      <c r="A2784" t="s">
        <v>4214</v>
      </c>
      <c r="B2784" t="s">
        <v>6962</v>
      </c>
      <c r="C2784" s="1">
        <v>45891</v>
      </c>
    </row>
    <row r="2785" spans="1:3" x14ac:dyDescent="0.25">
      <c r="A2785" t="s">
        <v>4215</v>
      </c>
      <c r="B2785" t="s">
        <v>6962</v>
      </c>
      <c r="C2785" s="1">
        <v>45882</v>
      </c>
    </row>
    <row r="2786" spans="1:3" x14ac:dyDescent="0.25">
      <c r="A2786" t="s">
        <v>2728</v>
      </c>
      <c r="B2786" t="s">
        <v>6962</v>
      </c>
      <c r="C2786" s="1">
        <v>45881</v>
      </c>
    </row>
    <row r="2787" spans="1:3" x14ac:dyDescent="0.25">
      <c r="A2787" t="s">
        <v>4216</v>
      </c>
      <c r="B2787" t="s">
        <v>6962</v>
      </c>
      <c r="C2787" s="1">
        <v>45889</v>
      </c>
    </row>
    <row r="2788" spans="1:3" x14ac:dyDescent="0.25">
      <c r="A2788" t="s">
        <v>3905</v>
      </c>
      <c r="B2788" t="s">
        <v>6962</v>
      </c>
      <c r="C2788" s="1">
        <v>45876</v>
      </c>
    </row>
    <row r="2789" spans="1:3" x14ac:dyDescent="0.25">
      <c r="A2789" t="s">
        <v>4217</v>
      </c>
      <c r="B2789" t="s">
        <v>6962</v>
      </c>
      <c r="C2789" s="1">
        <v>45881</v>
      </c>
    </row>
    <row r="2790" spans="1:3" x14ac:dyDescent="0.25">
      <c r="A2790" t="s">
        <v>4221</v>
      </c>
      <c r="B2790" t="s">
        <v>6962</v>
      </c>
      <c r="C2790" s="1">
        <v>45877</v>
      </c>
    </row>
    <row r="2791" spans="1:3" x14ac:dyDescent="0.25">
      <c r="A2791" t="s">
        <v>4220</v>
      </c>
      <c r="B2791" t="s">
        <v>6962</v>
      </c>
      <c r="C2791" s="1">
        <v>45882</v>
      </c>
    </row>
    <row r="2792" spans="1:3" x14ac:dyDescent="0.25">
      <c r="A2792" t="s">
        <v>4219</v>
      </c>
      <c r="B2792" t="s">
        <v>6962</v>
      </c>
      <c r="C2792" s="1">
        <v>45882</v>
      </c>
    </row>
    <row r="2793" spans="1:3" x14ac:dyDescent="0.25">
      <c r="A2793" t="s">
        <v>4218</v>
      </c>
      <c r="B2793" t="s">
        <v>6962</v>
      </c>
      <c r="C2793" s="1">
        <v>45882</v>
      </c>
    </row>
    <row r="2794" spans="1:3" x14ac:dyDescent="0.25">
      <c r="A2794" t="s">
        <v>4220</v>
      </c>
      <c r="B2794" t="s">
        <v>6962</v>
      </c>
      <c r="C2794" s="1">
        <v>45882</v>
      </c>
    </row>
    <row r="2795" spans="1:3" x14ac:dyDescent="0.25">
      <c r="A2795" t="s">
        <v>4220</v>
      </c>
      <c r="B2795" t="s">
        <v>6962</v>
      </c>
      <c r="C2795" s="1">
        <v>45885</v>
      </c>
    </row>
    <row r="2796" spans="1:3" x14ac:dyDescent="0.25">
      <c r="A2796" t="s">
        <v>4222</v>
      </c>
      <c r="B2796" t="s">
        <v>6962</v>
      </c>
      <c r="C2796" s="1">
        <v>45880</v>
      </c>
    </row>
    <row r="2797" spans="1:3" x14ac:dyDescent="0.25">
      <c r="A2797" t="s">
        <v>4223</v>
      </c>
      <c r="B2797" t="s">
        <v>6962</v>
      </c>
      <c r="C2797" s="1">
        <v>45878</v>
      </c>
    </row>
    <row r="2798" spans="1:3" x14ac:dyDescent="0.25">
      <c r="A2798" t="s">
        <v>4228</v>
      </c>
      <c r="B2798" t="s">
        <v>6962</v>
      </c>
      <c r="C2798" s="1">
        <v>45880</v>
      </c>
    </row>
    <row r="2799" spans="1:3" x14ac:dyDescent="0.25">
      <c r="A2799" t="s">
        <v>4227</v>
      </c>
      <c r="B2799" t="s">
        <v>6962</v>
      </c>
      <c r="C2799" s="1">
        <v>45891</v>
      </c>
    </row>
    <row r="2800" spans="1:3" x14ac:dyDescent="0.25">
      <c r="A2800" t="s">
        <v>4226</v>
      </c>
      <c r="B2800" t="s">
        <v>6962</v>
      </c>
      <c r="C2800" s="1">
        <v>45890</v>
      </c>
    </row>
    <row r="2801" spans="1:3" x14ac:dyDescent="0.25">
      <c r="A2801" t="s">
        <v>4225</v>
      </c>
      <c r="B2801" t="s">
        <v>6962</v>
      </c>
      <c r="C2801" s="1">
        <v>45878</v>
      </c>
    </row>
    <row r="2802" spans="1:3" x14ac:dyDescent="0.25">
      <c r="A2802" t="s">
        <v>2729</v>
      </c>
      <c r="B2802" t="s">
        <v>6962</v>
      </c>
      <c r="C2802" s="1">
        <v>45883</v>
      </c>
    </row>
    <row r="2803" spans="1:3" x14ac:dyDescent="0.25">
      <c r="A2803" t="s">
        <v>2730</v>
      </c>
      <c r="B2803" t="s">
        <v>6962</v>
      </c>
      <c r="C2803" s="1">
        <v>45888</v>
      </c>
    </row>
    <row r="2804" spans="1:3" x14ac:dyDescent="0.25">
      <c r="A2804" t="s">
        <v>4233</v>
      </c>
      <c r="B2804" t="s">
        <v>6962</v>
      </c>
      <c r="C2804" s="1">
        <v>45882</v>
      </c>
    </row>
    <row r="2805" spans="1:3" x14ac:dyDescent="0.25">
      <c r="A2805" t="s">
        <v>4232</v>
      </c>
      <c r="B2805" t="s">
        <v>6962</v>
      </c>
      <c r="C2805" s="1">
        <v>45891</v>
      </c>
    </row>
    <row r="2806" spans="1:3" x14ac:dyDescent="0.25">
      <c r="A2806" t="s">
        <v>4231</v>
      </c>
      <c r="B2806" t="s">
        <v>6962</v>
      </c>
      <c r="C2806" s="1">
        <v>45880</v>
      </c>
    </row>
    <row r="2807" spans="1:3" x14ac:dyDescent="0.25">
      <c r="A2807" t="s">
        <v>4230</v>
      </c>
      <c r="B2807" t="s">
        <v>6962</v>
      </c>
      <c r="C2807" s="1">
        <v>45887</v>
      </c>
    </row>
    <row r="2808" spans="1:3" x14ac:dyDescent="0.25">
      <c r="A2808" t="s">
        <v>4229</v>
      </c>
      <c r="B2808" t="s">
        <v>6962</v>
      </c>
      <c r="C2808" s="1">
        <v>45883</v>
      </c>
    </row>
    <row r="2809" spans="1:3" x14ac:dyDescent="0.25">
      <c r="A2809" t="s">
        <v>4236</v>
      </c>
      <c r="B2809" t="s">
        <v>6962</v>
      </c>
      <c r="C2809" s="1">
        <v>45882</v>
      </c>
    </row>
    <row r="2810" spans="1:3" x14ac:dyDescent="0.25">
      <c r="A2810" t="s">
        <v>4235</v>
      </c>
      <c r="B2810" t="s">
        <v>6962</v>
      </c>
      <c r="C2810" s="1">
        <v>45882</v>
      </c>
    </row>
    <row r="2811" spans="1:3" x14ac:dyDescent="0.25">
      <c r="A2811" t="s">
        <v>4234</v>
      </c>
      <c r="B2811" t="s">
        <v>6962</v>
      </c>
      <c r="C2811" s="1">
        <v>45898</v>
      </c>
    </row>
    <row r="2812" spans="1:3" x14ac:dyDescent="0.25">
      <c r="A2812" t="s">
        <v>2732</v>
      </c>
      <c r="B2812" t="s">
        <v>6962</v>
      </c>
      <c r="C2812" s="1">
        <v>45885</v>
      </c>
    </row>
    <row r="2813" spans="1:3" x14ac:dyDescent="0.25">
      <c r="A2813" t="s">
        <v>4237</v>
      </c>
      <c r="B2813" t="s">
        <v>6962</v>
      </c>
      <c r="C2813" s="1">
        <v>45885</v>
      </c>
    </row>
    <row r="2814" spans="1:3" x14ac:dyDescent="0.25">
      <c r="A2814" t="s">
        <v>2731</v>
      </c>
      <c r="B2814" t="s">
        <v>39</v>
      </c>
      <c r="C2814" s="1"/>
    </row>
    <row r="2815" spans="1:3" x14ac:dyDescent="0.25">
      <c r="A2815" t="s">
        <v>6853</v>
      </c>
      <c r="B2815" t="s">
        <v>39</v>
      </c>
      <c r="C2815" s="1"/>
    </row>
    <row r="2816" spans="1:3" x14ac:dyDescent="0.25">
      <c r="A2816" t="s">
        <v>6853</v>
      </c>
      <c r="B2816" t="s">
        <v>39</v>
      </c>
      <c r="C2816" s="1"/>
    </row>
    <row r="2817" spans="1:3" x14ac:dyDescent="0.25">
      <c r="A2817" t="s">
        <v>6853</v>
      </c>
      <c r="B2817" t="s">
        <v>39</v>
      </c>
      <c r="C2817" s="1"/>
    </row>
    <row r="2818" spans="1:3" x14ac:dyDescent="0.25">
      <c r="A2818" t="s">
        <v>4238</v>
      </c>
      <c r="B2818" t="s">
        <v>39</v>
      </c>
      <c r="C2818" s="1"/>
    </row>
    <row r="2819" spans="1:3" x14ac:dyDescent="0.25">
      <c r="A2819" t="s">
        <v>3153</v>
      </c>
      <c r="B2819" t="s">
        <v>6962</v>
      </c>
      <c r="C2819" s="1">
        <v>45888</v>
      </c>
    </row>
    <row r="2820" spans="1:3" x14ac:dyDescent="0.25">
      <c r="A2820" t="s">
        <v>3153</v>
      </c>
      <c r="B2820" t="s">
        <v>6962</v>
      </c>
      <c r="C2820" s="1">
        <v>45888</v>
      </c>
    </row>
    <row r="2821" spans="1:3" x14ac:dyDescent="0.25">
      <c r="A2821" t="s">
        <v>4240</v>
      </c>
      <c r="B2821" t="s">
        <v>6962</v>
      </c>
      <c r="C2821" s="1">
        <v>45898</v>
      </c>
    </row>
    <row r="2822" spans="1:3" x14ac:dyDescent="0.25">
      <c r="A2822" t="s">
        <v>4239</v>
      </c>
      <c r="B2822" t="s">
        <v>6962</v>
      </c>
      <c r="C2822" s="1">
        <v>45887</v>
      </c>
    </row>
    <row r="2823" spans="1:3" x14ac:dyDescent="0.25">
      <c r="A2823" t="s">
        <v>4242</v>
      </c>
      <c r="B2823" t="s">
        <v>6962</v>
      </c>
      <c r="C2823" s="1">
        <v>45885</v>
      </c>
    </row>
    <row r="2824" spans="1:3" x14ac:dyDescent="0.25">
      <c r="A2824" t="s">
        <v>4241</v>
      </c>
      <c r="B2824" t="s">
        <v>6962</v>
      </c>
      <c r="C2824" s="1">
        <v>45888</v>
      </c>
    </row>
    <row r="2825" spans="1:3" x14ac:dyDescent="0.25">
      <c r="A2825" t="s">
        <v>4245</v>
      </c>
      <c r="B2825" t="s">
        <v>6964</v>
      </c>
      <c r="C2825" s="1">
        <v>45894</v>
      </c>
    </row>
    <row r="2826" spans="1:3" x14ac:dyDescent="0.25">
      <c r="A2826" t="s">
        <v>4244</v>
      </c>
      <c r="B2826" t="s">
        <v>6962</v>
      </c>
      <c r="C2826" s="1">
        <v>45882</v>
      </c>
    </row>
    <row r="2827" spans="1:3" x14ac:dyDescent="0.25">
      <c r="A2827" t="s">
        <v>4243</v>
      </c>
      <c r="B2827" t="s">
        <v>6962</v>
      </c>
      <c r="C2827" s="1">
        <v>45891</v>
      </c>
    </row>
    <row r="2828" spans="1:3" x14ac:dyDescent="0.25">
      <c r="A2828" t="s">
        <v>3154</v>
      </c>
      <c r="B2828" t="s">
        <v>6962</v>
      </c>
      <c r="C2828" s="1">
        <v>45888</v>
      </c>
    </row>
    <row r="2829" spans="1:3" x14ac:dyDescent="0.25">
      <c r="A2829" t="s">
        <v>4246</v>
      </c>
      <c r="B2829" t="s">
        <v>6962</v>
      </c>
      <c r="C2829" s="1">
        <v>45888</v>
      </c>
    </row>
    <row r="2830" spans="1:3" x14ac:dyDescent="0.25">
      <c r="A2830" t="s">
        <v>3154</v>
      </c>
      <c r="B2830" t="s">
        <v>6962</v>
      </c>
      <c r="C2830" s="1">
        <v>45888</v>
      </c>
    </row>
    <row r="2831" spans="1:3" x14ac:dyDescent="0.25">
      <c r="A2831" t="s">
        <v>4248</v>
      </c>
      <c r="B2831" t="s">
        <v>6962</v>
      </c>
      <c r="C2831" s="1">
        <v>45895</v>
      </c>
    </row>
    <row r="2832" spans="1:3" x14ac:dyDescent="0.25">
      <c r="A2832" t="s">
        <v>4247</v>
      </c>
      <c r="B2832" t="s">
        <v>6962</v>
      </c>
      <c r="C2832" s="1">
        <v>45882</v>
      </c>
    </row>
    <row r="2833" spans="1:3" x14ac:dyDescent="0.25">
      <c r="A2833" t="s">
        <v>4250</v>
      </c>
      <c r="B2833" t="s">
        <v>6962</v>
      </c>
      <c r="C2833" s="1">
        <v>45891</v>
      </c>
    </row>
    <row r="2834" spans="1:3" x14ac:dyDescent="0.25">
      <c r="A2834" t="s">
        <v>4249</v>
      </c>
      <c r="B2834" t="s">
        <v>6963</v>
      </c>
      <c r="C2834" s="1"/>
    </row>
    <row r="2835" spans="1:3" x14ac:dyDescent="0.25">
      <c r="A2835" t="s">
        <v>2733</v>
      </c>
      <c r="B2835" t="s">
        <v>39</v>
      </c>
      <c r="C2835" s="1"/>
    </row>
    <row r="2836" spans="1:3" x14ac:dyDescent="0.25">
      <c r="A2836" t="s">
        <v>4251</v>
      </c>
      <c r="B2836" t="s">
        <v>6962</v>
      </c>
      <c r="C2836" s="1">
        <v>45894</v>
      </c>
    </row>
    <row r="2837" spans="1:3" x14ac:dyDescent="0.25">
      <c r="A2837" t="s">
        <v>2734</v>
      </c>
      <c r="B2837" t="s">
        <v>6962</v>
      </c>
      <c r="C2837" s="1">
        <v>45895</v>
      </c>
    </row>
    <row r="2838" spans="1:3" x14ac:dyDescent="0.25">
      <c r="A2838" t="s">
        <v>4147</v>
      </c>
      <c r="B2838" t="s">
        <v>6962</v>
      </c>
      <c r="C2838" s="1">
        <v>45881</v>
      </c>
    </row>
    <row r="2839" spans="1:3" x14ac:dyDescent="0.25">
      <c r="A2839" t="s">
        <v>4147</v>
      </c>
      <c r="B2839" t="s">
        <v>6962</v>
      </c>
      <c r="C2839" s="1">
        <v>45881</v>
      </c>
    </row>
    <row r="2840" spans="1:3" x14ac:dyDescent="0.25">
      <c r="A2840" t="s">
        <v>4147</v>
      </c>
      <c r="B2840" t="s">
        <v>6962</v>
      </c>
      <c r="C2840" s="1">
        <v>45882</v>
      </c>
    </row>
    <row r="2841" spans="1:3" x14ac:dyDescent="0.25">
      <c r="A2841" t="s">
        <v>2735</v>
      </c>
      <c r="B2841" t="s">
        <v>6962</v>
      </c>
      <c r="C2841" s="1">
        <v>45890</v>
      </c>
    </row>
    <row r="2842" spans="1:3" x14ac:dyDescent="0.25">
      <c r="A2842" t="s">
        <v>4252</v>
      </c>
      <c r="B2842" t="s">
        <v>6962</v>
      </c>
      <c r="C2842" s="1">
        <v>45888</v>
      </c>
    </row>
    <row r="2843" spans="1:3" x14ac:dyDescent="0.25">
      <c r="A2843" t="s">
        <v>4252</v>
      </c>
      <c r="B2843" t="s">
        <v>6962</v>
      </c>
      <c r="C2843" s="1">
        <v>45885</v>
      </c>
    </row>
    <row r="2844" spans="1:3" x14ac:dyDescent="0.25">
      <c r="A2844" t="s">
        <v>4252</v>
      </c>
      <c r="B2844" t="s">
        <v>6962</v>
      </c>
      <c r="C2844" s="1">
        <v>45885</v>
      </c>
    </row>
    <row r="2845" spans="1:3" x14ac:dyDescent="0.25">
      <c r="A2845" t="s">
        <v>4252</v>
      </c>
      <c r="B2845" t="s">
        <v>6962</v>
      </c>
      <c r="C2845" s="1">
        <v>45888</v>
      </c>
    </row>
    <row r="2846" spans="1:3" x14ac:dyDescent="0.25">
      <c r="A2846" t="s">
        <v>4252</v>
      </c>
      <c r="B2846" t="s">
        <v>6962</v>
      </c>
      <c r="C2846" s="1">
        <v>45885</v>
      </c>
    </row>
    <row r="2847" spans="1:3" x14ac:dyDescent="0.25">
      <c r="A2847" t="s">
        <v>4254</v>
      </c>
      <c r="B2847" t="s">
        <v>6962</v>
      </c>
      <c r="C2847" s="1">
        <v>45885</v>
      </c>
    </row>
    <row r="2848" spans="1:3" x14ac:dyDescent="0.25">
      <c r="A2848" t="s">
        <v>3066</v>
      </c>
      <c r="B2848" t="s">
        <v>6964</v>
      </c>
      <c r="C2848" s="1">
        <v>45890</v>
      </c>
    </row>
    <row r="2849" spans="1:3" x14ac:dyDescent="0.25">
      <c r="A2849" t="s">
        <v>4255</v>
      </c>
      <c r="B2849" t="s">
        <v>6962</v>
      </c>
      <c r="C2849" s="1">
        <v>45889</v>
      </c>
    </row>
    <row r="2850" spans="1:3" x14ac:dyDescent="0.25">
      <c r="A2850" t="s">
        <v>3990</v>
      </c>
      <c r="B2850" t="s">
        <v>6962</v>
      </c>
      <c r="C2850" s="1">
        <v>45883</v>
      </c>
    </row>
    <row r="2851" spans="1:3" x14ac:dyDescent="0.25">
      <c r="A2851" t="s">
        <v>2736</v>
      </c>
      <c r="B2851" t="s">
        <v>6962</v>
      </c>
      <c r="C2851" s="1">
        <v>45885</v>
      </c>
    </row>
    <row r="2852" spans="1:3" x14ac:dyDescent="0.25">
      <c r="A2852" t="s">
        <v>4257</v>
      </c>
      <c r="B2852" t="s">
        <v>6962</v>
      </c>
      <c r="C2852" s="1">
        <v>45892</v>
      </c>
    </row>
    <row r="2853" spans="1:3" x14ac:dyDescent="0.25">
      <c r="A2853" t="s">
        <v>4256</v>
      </c>
      <c r="B2853" t="s">
        <v>6962</v>
      </c>
      <c r="C2853" s="1">
        <v>45888</v>
      </c>
    </row>
    <row r="2854" spans="1:3" x14ac:dyDescent="0.25">
      <c r="A2854" t="s">
        <v>4258</v>
      </c>
      <c r="B2854" t="s">
        <v>39</v>
      </c>
      <c r="C2854" s="1"/>
    </row>
    <row r="2855" spans="1:3" x14ac:dyDescent="0.25">
      <c r="A2855" t="s">
        <v>4259</v>
      </c>
      <c r="B2855" t="s">
        <v>6962</v>
      </c>
      <c r="C2855" s="1">
        <v>45887</v>
      </c>
    </row>
    <row r="2856" spans="1:3" x14ac:dyDescent="0.25">
      <c r="A2856" t="s">
        <v>2737</v>
      </c>
      <c r="B2856" t="s">
        <v>39</v>
      </c>
      <c r="C2856" s="1"/>
    </row>
    <row r="2857" spans="1:3" x14ac:dyDescent="0.25">
      <c r="A2857" t="s">
        <v>4260</v>
      </c>
      <c r="B2857" t="s">
        <v>6962</v>
      </c>
      <c r="C2857" s="1">
        <v>45891</v>
      </c>
    </row>
    <row r="2858" spans="1:3" x14ac:dyDescent="0.25">
      <c r="A2858" t="s">
        <v>4261</v>
      </c>
      <c r="B2858" t="s">
        <v>6962</v>
      </c>
      <c r="C2858" s="1">
        <v>45889</v>
      </c>
    </row>
    <row r="2859" spans="1:3" x14ac:dyDescent="0.25">
      <c r="A2859" t="s">
        <v>4262</v>
      </c>
      <c r="B2859" t="s">
        <v>6962</v>
      </c>
      <c r="C2859" s="1">
        <v>45885</v>
      </c>
    </row>
    <row r="2860" spans="1:3" x14ac:dyDescent="0.25">
      <c r="A2860" t="s">
        <v>2738</v>
      </c>
      <c r="B2860" t="s">
        <v>6962</v>
      </c>
      <c r="C2860" s="1">
        <v>45889</v>
      </c>
    </row>
    <row r="2861" spans="1:3" x14ac:dyDescent="0.25">
      <c r="A2861" t="s">
        <v>4263</v>
      </c>
      <c r="B2861" t="s">
        <v>6962</v>
      </c>
      <c r="C2861" s="1">
        <v>45887</v>
      </c>
    </row>
    <row r="2862" spans="1:3" x14ac:dyDescent="0.25">
      <c r="A2862" t="s">
        <v>4265</v>
      </c>
      <c r="B2862" t="s">
        <v>6962</v>
      </c>
      <c r="C2862" s="1">
        <v>45889</v>
      </c>
    </row>
    <row r="2863" spans="1:3" x14ac:dyDescent="0.25">
      <c r="A2863" t="s">
        <v>4264</v>
      </c>
      <c r="B2863" t="s">
        <v>6962</v>
      </c>
      <c r="C2863" s="1">
        <v>45890</v>
      </c>
    </row>
    <row r="2864" spans="1:3" x14ac:dyDescent="0.25">
      <c r="A2864" t="s">
        <v>4266</v>
      </c>
      <c r="B2864" t="s">
        <v>6962</v>
      </c>
      <c r="C2864" s="1">
        <v>45885</v>
      </c>
    </row>
    <row r="2865" spans="1:3" x14ac:dyDescent="0.25">
      <c r="A2865" t="s">
        <v>2739</v>
      </c>
      <c r="B2865" t="s">
        <v>39</v>
      </c>
      <c r="C2865" s="1"/>
    </row>
    <row r="2866" spans="1:3" x14ac:dyDescent="0.25">
      <c r="A2866" t="s">
        <v>3928</v>
      </c>
      <c r="B2866" t="s">
        <v>6964</v>
      </c>
      <c r="C2866" s="1">
        <v>45888</v>
      </c>
    </row>
    <row r="2867" spans="1:3" x14ac:dyDescent="0.25">
      <c r="A2867" t="s">
        <v>4270</v>
      </c>
      <c r="B2867" t="s">
        <v>6962</v>
      </c>
      <c r="C2867" s="1">
        <v>45890</v>
      </c>
    </row>
    <row r="2868" spans="1:3" x14ac:dyDescent="0.25">
      <c r="A2868" t="s">
        <v>4269</v>
      </c>
      <c r="B2868" t="s">
        <v>6962</v>
      </c>
      <c r="C2868" s="1">
        <v>45888</v>
      </c>
    </row>
    <row r="2869" spans="1:3" x14ac:dyDescent="0.25">
      <c r="A2869" t="s">
        <v>4268</v>
      </c>
      <c r="B2869" t="s">
        <v>6962</v>
      </c>
      <c r="C2869" s="1">
        <v>45889</v>
      </c>
    </row>
    <row r="2870" spans="1:3" x14ac:dyDescent="0.25">
      <c r="A2870" t="s">
        <v>4271</v>
      </c>
      <c r="B2870" t="s">
        <v>6962</v>
      </c>
      <c r="C2870" s="1">
        <v>45890</v>
      </c>
    </row>
    <row r="2871" spans="1:3" x14ac:dyDescent="0.25">
      <c r="A2871" t="s">
        <v>6854</v>
      </c>
      <c r="B2871" t="s">
        <v>6964</v>
      </c>
      <c r="C2871" s="1">
        <v>45888</v>
      </c>
    </row>
    <row r="2872" spans="1:3" x14ac:dyDescent="0.25">
      <c r="A2872" t="s">
        <v>4272</v>
      </c>
      <c r="B2872" t="s">
        <v>6962</v>
      </c>
      <c r="C2872" s="1">
        <v>45892</v>
      </c>
    </row>
    <row r="2873" spans="1:3" x14ac:dyDescent="0.25">
      <c r="A2873" t="s">
        <v>6855</v>
      </c>
      <c r="B2873" t="s">
        <v>39</v>
      </c>
      <c r="C2873" s="1"/>
    </row>
    <row r="2874" spans="1:3" x14ac:dyDescent="0.25">
      <c r="A2874" t="s">
        <v>6856</v>
      </c>
      <c r="B2874" t="s">
        <v>6965</v>
      </c>
      <c r="C2874" s="1">
        <v>45911</v>
      </c>
    </row>
    <row r="2875" spans="1:3" x14ac:dyDescent="0.25">
      <c r="A2875" t="s">
        <v>6857</v>
      </c>
      <c r="B2875" t="s">
        <v>6963</v>
      </c>
      <c r="C2875" s="1"/>
    </row>
    <row r="2876" spans="1:3" x14ac:dyDescent="0.25">
      <c r="A2876" t="s">
        <v>6858</v>
      </c>
      <c r="B2876" t="s">
        <v>6963</v>
      </c>
      <c r="C2876" s="1"/>
    </row>
    <row r="2877" spans="1:3" x14ac:dyDescent="0.25">
      <c r="A2877" t="s">
        <v>6859</v>
      </c>
      <c r="B2877" t="s">
        <v>6965</v>
      </c>
      <c r="C2877" s="1">
        <v>45878</v>
      </c>
    </row>
    <row r="2878" spans="1:3" x14ac:dyDescent="0.25">
      <c r="A2878" t="s">
        <v>6860</v>
      </c>
      <c r="B2878" t="s">
        <v>6963</v>
      </c>
      <c r="C2878" s="1">
        <v>45921</v>
      </c>
    </row>
    <row r="2879" spans="1:3" x14ac:dyDescent="0.25">
      <c r="A2879" t="s">
        <v>2742</v>
      </c>
      <c r="B2879" t="s">
        <v>6962</v>
      </c>
      <c r="C2879" s="1">
        <v>45898</v>
      </c>
    </row>
    <row r="2880" spans="1:3" x14ac:dyDescent="0.25">
      <c r="A2880" t="s">
        <v>4275</v>
      </c>
      <c r="B2880" t="s">
        <v>6962</v>
      </c>
      <c r="C2880" s="1">
        <v>45898</v>
      </c>
    </row>
    <row r="2881" spans="1:3" x14ac:dyDescent="0.25">
      <c r="A2881" t="s">
        <v>4274</v>
      </c>
      <c r="B2881" t="s">
        <v>6962</v>
      </c>
      <c r="C2881" s="1">
        <v>45898</v>
      </c>
    </row>
    <row r="2882" spans="1:3" x14ac:dyDescent="0.25">
      <c r="A2882" t="s">
        <v>4273</v>
      </c>
      <c r="B2882" t="s">
        <v>6962</v>
      </c>
      <c r="C2882" s="1">
        <v>45898</v>
      </c>
    </row>
    <row r="2883" spans="1:3" x14ac:dyDescent="0.25">
      <c r="A2883" t="s">
        <v>2743</v>
      </c>
      <c r="B2883" t="s">
        <v>6962</v>
      </c>
      <c r="C2883" s="1">
        <v>45894</v>
      </c>
    </row>
    <row r="2884" spans="1:3" x14ac:dyDescent="0.25">
      <c r="A2884" t="s">
        <v>6861</v>
      </c>
      <c r="B2884" t="s">
        <v>6965</v>
      </c>
      <c r="C2884" s="1">
        <v>45911</v>
      </c>
    </row>
    <row r="2885" spans="1:3" x14ac:dyDescent="0.25">
      <c r="A2885" t="s">
        <v>6862</v>
      </c>
      <c r="B2885" t="s">
        <v>6965</v>
      </c>
      <c r="C2885" s="1">
        <v>45911</v>
      </c>
    </row>
    <row r="2886" spans="1:3" x14ac:dyDescent="0.25">
      <c r="A2886" t="s">
        <v>6863</v>
      </c>
      <c r="B2886" t="s">
        <v>6962</v>
      </c>
      <c r="C2886" s="1"/>
    </row>
    <row r="2887" spans="1:3" x14ac:dyDescent="0.25">
      <c r="A2887" t="s">
        <v>6864</v>
      </c>
      <c r="B2887" t="s">
        <v>6963</v>
      </c>
      <c r="C2887" s="1">
        <v>45890</v>
      </c>
    </row>
    <row r="2888" spans="1:3" x14ac:dyDescent="0.25">
      <c r="A2888" t="s">
        <v>6865</v>
      </c>
      <c r="B2888" t="s">
        <v>6965</v>
      </c>
      <c r="C2888" s="1">
        <v>45911</v>
      </c>
    </row>
    <row r="2889" spans="1:3" x14ac:dyDescent="0.25">
      <c r="A2889" t="s">
        <v>6866</v>
      </c>
      <c r="B2889" t="s">
        <v>6963</v>
      </c>
      <c r="C2889" s="1"/>
    </row>
    <row r="2890" spans="1:3" x14ac:dyDescent="0.25">
      <c r="A2890" t="s">
        <v>6867</v>
      </c>
      <c r="B2890" t="s">
        <v>6963</v>
      </c>
      <c r="C2890" s="1">
        <v>45890</v>
      </c>
    </row>
    <row r="2891" spans="1:3" x14ac:dyDescent="0.25">
      <c r="A2891" t="s">
        <v>6868</v>
      </c>
      <c r="B2891" t="s">
        <v>6963</v>
      </c>
      <c r="C2891" s="1"/>
    </row>
    <row r="2892" spans="1:3" x14ac:dyDescent="0.25">
      <c r="A2892" t="s">
        <v>6869</v>
      </c>
      <c r="B2892" t="s">
        <v>6965</v>
      </c>
      <c r="C2892" s="1">
        <v>45911</v>
      </c>
    </row>
    <row r="2893" spans="1:3" x14ac:dyDescent="0.25">
      <c r="A2893" t="s">
        <v>6870</v>
      </c>
      <c r="B2893" t="s">
        <v>6965</v>
      </c>
      <c r="C2893" s="1">
        <v>45921</v>
      </c>
    </row>
    <row r="2894" spans="1:3" x14ac:dyDescent="0.25">
      <c r="A2894" t="s">
        <v>6871</v>
      </c>
      <c r="B2894" t="s">
        <v>6965</v>
      </c>
      <c r="C2894" s="1">
        <v>45912</v>
      </c>
    </row>
    <row r="2895" spans="1:3" x14ac:dyDescent="0.25">
      <c r="A2895" t="s">
        <v>2745</v>
      </c>
      <c r="B2895" t="s">
        <v>6962</v>
      </c>
      <c r="C2895" s="1">
        <v>45895</v>
      </c>
    </row>
    <row r="2896" spans="1:3" x14ac:dyDescent="0.25">
      <c r="A2896" t="s">
        <v>2744</v>
      </c>
      <c r="B2896" t="s">
        <v>6962</v>
      </c>
      <c r="C2896" s="1">
        <v>45895</v>
      </c>
    </row>
    <row r="2897" spans="1:3" x14ac:dyDescent="0.25">
      <c r="A2897" t="s">
        <v>6872</v>
      </c>
      <c r="B2897" t="s">
        <v>6965</v>
      </c>
      <c r="C2897" s="1">
        <v>45982</v>
      </c>
    </row>
    <row r="2898" spans="1:3" x14ac:dyDescent="0.25">
      <c r="A2898" t="s">
        <v>6873</v>
      </c>
      <c r="B2898" t="s">
        <v>6965</v>
      </c>
      <c r="C2898" s="1">
        <v>45913</v>
      </c>
    </row>
    <row r="2899" spans="1:3" x14ac:dyDescent="0.25">
      <c r="A2899" t="s">
        <v>6874</v>
      </c>
      <c r="B2899" t="s">
        <v>6963</v>
      </c>
      <c r="C2899" s="1"/>
    </row>
    <row r="2900" spans="1:3" x14ac:dyDescent="0.25">
      <c r="A2900" t="s">
        <v>6875</v>
      </c>
      <c r="B2900" t="s">
        <v>6963</v>
      </c>
      <c r="C2900" s="1"/>
    </row>
    <row r="2901" spans="1:3" x14ac:dyDescent="0.25">
      <c r="A2901" t="s">
        <v>2740</v>
      </c>
      <c r="B2901" t="s">
        <v>6962</v>
      </c>
      <c r="C2901" s="1">
        <v>45897</v>
      </c>
    </row>
    <row r="2902" spans="1:3" x14ac:dyDescent="0.25">
      <c r="A2902" t="s">
        <v>6876</v>
      </c>
      <c r="B2902" t="s">
        <v>6965</v>
      </c>
      <c r="C2902" s="1">
        <v>45957</v>
      </c>
    </row>
    <row r="2903" spans="1:3" x14ac:dyDescent="0.25">
      <c r="A2903" t="s">
        <v>6877</v>
      </c>
      <c r="B2903" t="s">
        <v>6965</v>
      </c>
      <c r="C2903" s="1">
        <v>45888</v>
      </c>
    </row>
    <row r="2904" spans="1:3" x14ac:dyDescent="0.25">
      <c r="A2904" t="s">
        <v>6878</v>
      </c>
      <c r="B2904" t="s">
        <v>6965</v>
      </c>
      <c r="C2904" s="1">
        <v>45913</v>
      </c>
    </row>
    <row r="2905" spans="1:3" x14ac:dyDescent="0.25">
      <c r="A2905" t="s">
        <v>6879</v>
      </c>
      <c r="B2905" t="s">
        <v>6965</v>
      </c>
      <c r="C2905" s="1">
        <v>45918</v>
      </c>
    </row>
    <row r="2906" spans="1:3" x14ac:dyDescent="0.25">
      <c r="A2906" t="s">
        <v>6880</v>
      </c>
      <c r="B2906" t="s">
        <v>6965</v>
      </c>
      <c r="C2906" s="1">
        <v>45918</v>
      </c>
    </row>
    <row r="2907" spans="1:3" x14ac:dyDescent="0.25">
      <c r="A2907" t="s">
        <v>6881</v>
      </c>
      <c r="B2907" t="s">
        <v>6965</v>
      </c>
      <c r="C2907" s="1">
        <v>45913</v>
      </c>
    </row>
    <row r="2908" spans="1:3" x14ac:dyDescent="0.25">
      <c r="A2908" t="s">
        <v>6882</v>
      </c>
      <c r="B2908" t="s">
        <v>6963</v>
      </c>
      <c r="C2908" s="1"/>
    </row>
    <row r="2909" spans="1:3" x14ac:dyDescent="0.25">
      <c r="A2909" t="s">
        <v>6883</v>
      </c>
      <c r="B2909" t="s">
        <v>6963</v>
      </c>
      <c r="C2909" s="1"/>
    </row>
    <row r="2910" spans="1:3" x14ac:dyDescent="0.25">
      <c r="A2910" t="s">
        <v>6884</v>
      </c>
      <c r="B2910" t="s">
        <v>6965</v>
      </c>
      <c r="C2910" s="1">
        <v>45921</v>
      </c>
    </row>
    <row r="2911" spans="1:3" x14ac:dyDescent="0.25">
      <c r="A2911" t="s">
        <v>6885</v>
      </c>
      <c r="B2911" t="s">
        <v>6965</v>
      </c>
      <c r="C2911" s="1">
        <v>45913</v>
      </c>
    </row>
    <row r="2912" spans="1:3" x14ac:dyDescent="0.25">
      <c r="A2912" t="s">
        <v>6886</v>
      </c>
      <c r="B2912" t="s">
        <v>6963</v>
      </c>
      <c r="C2912" s="1"/>
    </row>
    <row r="2913" spans="1:3" x14ac:dyDescent="0.25">
      <c r="A2913" t="s">
        <v>6887</v>
      </c>
      <c r="B2913" t="s">
        <v>6965</v>
      </c>
      <c r="C2913" s="1">
        <v>45921</v>
      </c>
    </row>
    <row r="2914" spans="1:3" x14ac:dyDescent="0.25">
      <c r="A2914" t="s">
        <v>6888</v>
      </c>
      <c r="B2914" t="s">
        <v>6965</v>
      </c>
      <c r="C2914" s="1">
        <v>45921</v>
      </c>
    </row>
    <row r="2915" spans="1:3" x14ac:dyDescent="0.25">
      <c r="A2915" t="s">
        <v>6889</v>
      </c>
      <c r="B2915" t="s">
        <v>6965</v>
      </c>
      <c r="C2915" s="1">
        <v>45957</v>
      </c>
    </row>
    <row r="2916" spans="1:3" x14ac:dyDescent="0.25">
      <c r="A2916" t="s">
        <v>6890</v>
      </c>
      <c r="B2916" t="s">
        <v>6965</v>
      </c>
      <c r="C2916" s="1">
        <v>45913</v>
      </c>
    </row>
    <row r="2917" spans="1:3" x14ac:dyDescent="0.25">
      <c r="A2917" t="s">
        <v>6891</v>
      </c>
      <c r="B2917" t="s">
        <v>6965</v>
      </c>
      <c r="C2917" s="1">
        <v>45915</v>
      </c>
    </row>
    <row r="2918" spans="1:3" x14ac:dyDescent="0.25">
      <c r="A2918" t="s">
        <v>6892</v>
      </c>
      <c r="B2918" t="s">
        <v>6963</v>
      </c>
      <c r="C2918" s="1"/>
    </row>
    <row r="2919" spans="1:3" x14ac:dyDescent="0.25">
      <c r="A2919" t="s">
        <v>6893</v>
      </c>
      <c r="B2919" t="s">
        <v>6965</v>
      </c>
      <c r="C2919" s="1">
        <v>45915</v>
      </c>
    </row>
    <row r="2920" spans="1:3" x14ac:dyDescent="0.25">
      <c r="A2920" t="s">
        <v>6894</v>
      </c>
      <c r="B2920" t="s">
        <v>6965</v>
      </c>
      <c r="C2920" s="1">
        <v>45915</v>
      </c>
    </row>
    <row r="2921" spans="1:3" x14ac:dyDescent="0.25">
      <c r="A2921" t="s">
        <v>6895</v>
      </c>
      <c r="B2921" t="s">
        <v>6965</v>
      </c>
      <c r="C2921" s="1">
        <v>45918</v>
      </c>
    </row>
    <row r="2922" spans="1:3" x14ac:dyDescent="0.25">
      <c r="A2922" t="s">
        <v>6896</v>
      </c>
      <c r="B2922" t="s">
        <v>6965</v>
      </c>
      <c r="C2922" s="1">
        <v>45915</v>
      </c>
    </row>
    <row r="2923" spans="1:3" x14ac:dyDescent="0.25">
      <c r="A2923" t="s">
        <v>6897</v>
      </c>
      <c r="B2923" t="s">
        <v>6965</v>
      </c>
      <c r="C2923" s="1">
        <v>45915</v>
      </c>
    </row>
    <row r="2924" spans="1:3" x14ac:dyDescent="0.25">
      <c r="A2924" t="s">
        <v>6898</v>
      </c>
      <c r="B2924" t="s">
        <v>6965</v>
      </c>
      <c r="C2924" s="1">
        <v>45915</v>
      </c>
    </row>
    <row r="2925" spans="1:3" x14ac:dyDescent="0.25">
      <c r="A2925" t="s">
        <v>6899</v>
      </c>
      <c r="B2925" t="s">
        <v>6962</v>
      </c>
      <c r="C2925" s="1"/>
    </row>
    <row r="2926" spans="1:3" x14ac:dyDescent="0.25">
      <c r="A2926" t="s">
        <v>4280</v>
      </c>
      <c r="B2926" t="s">
        <v>6962</v>
      </c>
      <c r="C2926" s="1">
        <v>45892</v>
      </c>
    </row>
    <row r="2927" spans="1:3" x14ac:dyDescent="0.25">
      <c r="A2927" t="s">
        <v>4279</v>
      </c>
      <c r="B2927" t="s">
        <v>6962</v>
      </c>
      <c r="C2927" s="1">
        <v>45890</v>
      </c>
    </row>
    <row r="2928" spans="1:3" x14ac:dyDescent="0.25">
      <c r="A2928" t="s">
        <v>4278</v>
      </c>
      <c r="B2928" t="s">
        <v>6962</v>
      </c>
      <c r="C2928" s="1">
        <v>45894</v>
      </c>
    </row>
    <row r="2929" spans="1:3" x14ac:dyDescent="0.25">
      <c r="A2929" t="s">
        <v>4277</v>
      </c>
      <c r="B2929" t="s">
        <v>6962</v>
      </c>
      <c r="C2929" s="1">
        <v>45895</v>
      </c>
    </row>
    <row r="2930" spans="1:3" x14ac:dyDescent="0.25">
      <c r="A2930" t="s">
        <v>2747</v>
      </c>
      <c r="B2930" t="s">
        <v>6962</v>
      </c>
      <c r="C2930" s="1">
        <v>45895</v>
      </c>
    </row>
    <row r="2931" spans="1:3" x14ac:dyDescent="0.25">
      <c r="A2931" t="s">
        <v>6900</v>
      </c>
      <c r="B2931" t="s">
        <v>6963</v>
      </c>
      <c r="C2931" s="1"/>
    </row>
    <row r="2932" spans="1:3" x14ac:dyDescent="0.25">
      <c r="A2932" t="s">
        <v>6901</v>
      </c>
      <c r="B2932" t="s">
        <v>6965</v>
      </c>
      <c r="C2932" s="1">
        <v>45902</v>
      </c>
    </row>
    <row r="2933" spans="1:3" x14ac:dyDescent="0.25">
      <c r="A2933" t="s">
        <v>6902</v>
      </c>
      <c r="B2933" t="s">
        <v>6963</v>
      </c>
      <c r="C2933" s="1"/>
    </row>
    <row r="2934" spans="1:3" x14ac:dyDescent="0.25">
      <c r="A2934" t="s">
        <v>6903</v>
      </c>
      <c r="B2934" t="s">
        <v>6965</v>
      </c>
      <c r="C2934" s="1">
        <v>45915</v>
      </c>
    </row>
    <row r="2935" spans="1:3" x14ac:dyDescent="0.25">
      <c r="A2935" t="s">
        <v>6904</v>
      </c>
      <c r="B2935" t="s">
        <v>6963</v>
      </c>
      <c r="C2935" s="1"/>
    </row>
    <row r="2936" spans="1:3" x14ac:dyDescent="0.25">
      <c r="A2936" t="s">
        <v>6905</v>
      </c>
      <c r="B2936" t="s">
        <v>6965</v>
      </c>
      <c r="C2936" s="1">
        <v>45915</v>
      </c>
    </row>
    <row r="2937" spans="1:3" x14ac:dyDescent="0.25">
      <c r="A2937" t="s">
        <v>6906</v>
      </c>
      <c r="B2937" t="s">
        <v>6965</v>
      </c>
      <c r="C2937" s="1">
        <v>45915</v>
      </c>
    </row>
    <row r="2938" spans="1:3" x14ac:dyDescent="0.25">
      <c r="A2938" t="s">
        <v>6907</v>
      </c>
      <c r="B2938" t="s">
        <v>6963</v>
      </c>
      <c r="C2938" s="1"/>
    </row>
    <row r="2939" spans="1:3" x14ac:dyDescent="0.25">
      <c r="A2939" t="s">
        <v>6908</v>
      </c>
      <c r="B2939" t="s">
        <v>6965</v>
      </c>
      <c r="C2939" s="1">
        <v>45921</v>
      </c>
    </row>
    <row r="2940" spans="1:3" x14ac:dyDescent="0.25">
      <c r="A2940" t="s">
        <v>6909</v>
      </c>
      <c r="B2940" t="s">
        <v>6963</v>
      </c>
      <c r="C2940" s="1"/>
    </row>
    <row r="2941" spans="1:3" x14ac:dyDescent="0.25">
      <c r="A2941" t="s">
        <v>6910</v>
      </c>
      <c r="B2941" t="s">
        <v>6963</v>
      </c>
      <c r="C2941" s="1"/>
    </row>
    <row r="2942" spans="1:3" x14ac:dyDescent="0.25">
      <c r="A2942" t="s">
        <v>6911</v>
      </c>
      <c r="B2942" t="s">
        <v>6963</v>
      </c>
      <c r="C2942" s="1"/>
    </row>
    <row r="2943" spans="1:3" x14ac:dyDescent="0.25">
      <c r="A2943" t="s">
        <v>6912</v>
      </c>
      <c r="B2943" t="s">
        <v>6965</v>
      </c>
      <c r="C2943" s="1">
        <v>45912</v>
      </c>
    </row>
    <row r="2944" spans="1:3" x14ac:dyDescent="0.25">
      <c r="A2944" t="s">
        <v>6913</v>
      </c>
      <c r="B2944" t="s">
        <v>6965</v>
      </c>
      <c r="C2944" s="1">
        <v>45912</v>
      </c>
    </row>
    <row r="2945" spans="1:3" x14ac:dyDescent="0.25">
      <c r="A2945" t="s">
        <v>6914</v>
      </c>
      <c r="B2945" t="s">
        <v>6965</v>
      </c>
      <c r="C2945" s="1">
        <v>45911</v>
      </c>
    </row>
    <row r="2946" spans="1:3" x14ac:dyDescent="0.25">
      <c r="A2946" t="s">
        <v>6915</v>
      </c>
      <c r="B2946" t="s">
        <v>6965</v>
      </c>
      <c r="C2946" s="1">
        <v>45911</v>
      </c>
    </row>
    <row r="2947" spans="1:3" x14ac:dyDescent="0.25">
      <c r="A2947" t="s">
        <v>6916</v>
      </c>
      <c r="B2947" t="s">
        <v>6963</v>
      </c>
      <c r="C2947" s="1"/>
    </row>
    <row r="2948" spans="1:3" x14ac:dyDescent="0.25">
      <c r="A2948" t="s">
        <v>6917</v>
      </c>
      <c r="B2948" t="s">
        <v>6965</v>
      </c>
      <c r="C2948" s="1">
        <v>45911</v>
      </c>
    </row>
    <row r="2949" spans="1:3" x14ac:dyDescent="0.25">
      <c r="A2949" t="s">
        <v>6918</v>
      </c>
      <c r="B2949" t="s">
        <v>6965</v>
      </c>
      <c r="C2949" s="1">
        <v>45921</v>
      </c>
    </row>
    <row r="2950" spans="1:3" x14ac:dyDescent="0.25">
      <c r="A2950" t="s">
        <v>6919</v>
      </c>
      <c r="B2950" t="s">
        <v>6965</v>
      </c>
      <c r="C2950" s="1">
        <v>45910</v>
      </c>
    </row>
    <row r="2951" spans="1:3" x14ac:dyDescent="0.25">
      <c r="A2951" t="s">
        <v>6920</v>
      </c>
      <c r="B2951" t="s">
        <v>6965</v>
      </c>
      <c r="C2951" s="1">
        <v>45910</v>
      </c>
    </row>
    <row r="2952" spans="1:3" x14ac:dyDescent="0.25">
      <c r="A2952" t="s">
        <v>6921</v>
      </c>
      <c r="B2952" t="s">
        <v>6963</v>
      </c>
      <c r="C2952" s="1"/>
    </row>
    <row r="2953" spans="1:3" x14ac:dyDescent="0.25">
      <c r="A2953" t="s">
        <v>4281</v>
      </c>
      <c r="B2953" t="s">
        <v>6962</v>
      </c>
      <c r="C2953" s="1">
        <v>45891</v>
      </c>
    </row>
    <row r="2954" spans="1:3" x14ac:dyDescent="0.25">
      <c r="A2954" t="s">
        <v>3155</v>
      </c>
      <c r="B2954" t="s">
        <v>6962</v>
      </c>
      <c r="C2954" s="1">
        <v>45895</v>
      </c>
    </row>
    <row r="2955" spans="1:3" x14ac:dyDescent="0.25">
      <c r="A2955" t="s">
        <v>3155</v>
      </c>
      <c r="B2955" t="s">
        <v>6962</v>
      </c>
      <c r="C2955" s="1">
        <v>45895</v>
      </c>
    </row>
    <row r="2956" spans="1:3" x14ac:dyDescent="0.25">
      <c r="A2956" t="s">
        <v>3157</v>
      </c>
      <c r="B2956" t="s">
        <v>6962</v>
      </c>
      <c r="C2956" s="1">
        <v>45891</v>
      </c>
    </row>
    <row r="2957" spans="1:3" x14ac:dyDescent="0.25">
      <c r="A2957" t="s">
        <v>3157</v>
      </c>
      <c r="B2957" t="s">
        <v>6962</v>
      </c>
      <c r="C2957" s="1">
        <v>45891</v>
      </c>
    </row>
    <row r="2958" spans="1:3" x14ac:dyDescent="0.25">
      <c r="A2958" t="s">
        <v>3905</v>
      </c>
      <c r="B2958" t="s">
        <v>6962</v>
      </c>
      <c r="C2958" s="1">
        <v>45891</v>
      </c>
    </row>
    <row r="2959" spans="1:3" x14ac:dyDescent="0.25">
      <c r="A2959" t="s">
        <v>3159</v>
      </c>
      <c r="B2959" t="s">
        <v>6962</v>
      </c>
      <c r="C2959" s="1">
        <v>45897</v>
      </c>
    </row>
    <row r="2960" spans="1:3" x14ac:dyDescent="0.25">
      <c r="A2960" t="s">
        <v>3159</v>
      </c>
      <c r="B2960" t="s">
        <v>6962</v>
      </c>
      <c r="C2960" s="1">
        <v>45897</v>
      </c>
    </row>
    <row r="2961" spans="1:3" x14ac:dyDescent="0.25">
      <c r="A2961" t="s">
        <v>4282</v>
      </c>
      <c r="B2961" t="s">
        <v>6962</v>
      </c>
      <c r="C2961" s="1">
        <v>45891</v>
      </c>
    </row>
    <row r="2962" spans="1:3" x14ac:dyDescent="0.25">
      <c r="A2962" t="s">
        <v>2750</v>
      </c>
      <c r="B2962" t="s">
        <v>6962</v>
      </c>
      <c r="C2962" s="1">
        <v>45898</v>
      </c>
    </row>
    <row r="2963" spans="1:3" x14ac:dyDescent="0.25">
      <c r="A2963" t="s">
        <v>2749</v>
      </c>
      <c r="B2963" t="s">
        <v>6962</v>
      </c>
      <c r="C2963" s="1">
        <v>45897</v>
      </c>
    </row>
    <row r="2964" spans="1:3" x14ac:dyDescent="0.25">
      <c r="A2964" t="s">
        <v>2748</v>
      </c>
      <c r="B2964" t="s">
        <v>6962</v>
      </c>
      <c r="C2964" s="1">
        <v>45895</v>
      </c>
    </row>
    <row r="2965" spans="1:3" x14ac:dyDescent="0.25">
      <c r="A2965" t="s">
        <v>4286</v>
      </c>
      <c r="B2965" t="s">
        <v>6962</v>
      </c>
      <c r="C2965" s="1">
        <v>45894</v>
      </c>
    </row>
    <row r="2966" spans="1:3" x14ac:dyDescent="0.25">
      <c r="A2966" t="s">
        <v>2752</v>
      </c>
      <c r="B2966" t="s">
        <v>6962</v>
      </c>
      <c r="C2966" s="1">
        <v>45891</v>
      </c>
    </row>
    <row r="2967" spans="1:3" x14ac:dyDescent="0.25">
      <c r="A2967" t="s">
        <v>4285</v>
      </c>
      <c r="B2967" t="s">
        <v>6962</v>
      </c>
      <c r="C2967" s="1">
        <v>45899</v>
      </c>
    </row>
    <row r="2968" spans="1:3" x14ac:dyDescent="0.25">
      <c r="A2968" t="s">
        <v>4284</v>
      </c>
      <c r="B2968" t="s">
        <v>6962</v>
      </c>
      <c r="C2968" s="1">
        <v>45890</v>
      </c>
    </row>
    <row r="2969" spans="1:3" x14ac:dyDescent="0.25">
      <c r="A2969" t="s">
        <v>2751</v>
      </c>
      <c r="B2969" t="s">
        <v>6962</v>
      </c>
      <c r="C2969" s="1">
        <v>45899</v>
      </c>
    </row>
    <row r="2970" spans="1:3" x14ac:dyDescent="0.25">
      <c r="A2970" t="s">
        <v>2754</v>
      </c>
      <c r="B2970" t="s">
        <v>6962</v>
      </c>
      <c r="C2970" s="1">
        <v>45899</v>
      </c>
    </row>
    <row r="2971" spans="1:3" x14ac:dyDescent="0.25">
      <c r="A2971" t="s">
        <v>5555</v>
      </c>
      <c r="B2971" t="s">
        <v>6962</v>
      </c>
      <c r="C2971" s="1">
        <v>45890</v>
      </c>
    </row>
    <row r="2972" spans="1:3" x14ac:dyDescent="0.25">
      <c r="A2972" t="s">
        <v>4287</v>
      </c>
      <c r="B2972" t="s">
        <v>6962</v>
      </c>
      <c r="C2972" s="1">
        <v>45895</v>
      </c>
    </row>
    <row r="2973" spans="1:3" x14ac:dyDescent="0.25">
      <c r="A2973" t="s">
        <v>4288</v>
      </c>
      <c r="B2973" t="s">
        <v>6962</v>
      </c>
      <c r="C2973" s="1">
        <v>45897</v>
      </c>
    </row>
    <row r="2974" spans="1:3" x14ac:dyDescent="0.25">
      <c r="A2974" t="s">
        <v>4290</v>
      </c>
      <c r="B2974" t="s">
        <v>6962</v>
      </c>
      <c r="C2974" s="1">
        <v>45892</v>
      </c>
    </row>
    <row r="2975" spans="1:3" x14ac:dyDescent="0.25">
      <c r="A2975" t="s">
        <v>4289</v>
      </c>
      <c r="B2975" t="s">
        <v>6964</v>
      </c>
      <c r="C2975" s="1">
        <v>45894</v>
      </c>
    </row>
    <row r="2976" spans="1:3" x14ac:dyDescent="0.25">
      <c r="A2976" t="s">
        <v>4291</v>
      </c>
      <c r="B2976" t="s">
        <v>6962</v>
      </c>
      <c r="C2976" s="1">
        <v>45895</v>
      </c>
    </row>
    <row r="2977" spans="1:3" x14ac:dyDescent="0.25">
      <c r="A2977" t="s">
        <v>4291</v>
      </c>
      <c r="B2977" t="s">
        <v>6962</v>
      </c>
      <c r="C2977" s="1">
        <v>45894</v>
      </c>
    </row>
    <row r="2978" spans="1:3" x14ac:dyDescent="0.25">
      <c r="A2978" t="s">
        <v>4291</v>
      </c>
      <c r="B2978" t="s">
        <v>6962</v>
      </c>
      <c r="C2978" s="1">
        <v>45894</v>
      </c>
    </row>
    <row r="2979" spans="1:3" x14ac:dyDescent="0.25">
      <c r="A2979" t="s">
        <v>4291</v>
      </c>
      <c r="B2979" t="s">
        <v>6962</v>
      </c>
      <c r="C2979" s="1">
        <v>45897</v>
      </c>
    </row>
    <row r="2980" spans="1:3" x14ac:dyDescent="0.25">
      <c r="A2980" t="s">
        <v>4291</v>
      </c>
      <c r="B2980" t="s">
        <v>6962</v>
      </c>
      <c r="C2980" s="1">
        <v>45895</v>
      </c>
    </row>
    <row r="2981" spans="1:3" x14ac:dyDescent="0.25">
      <c r="A2981" t="s">
        <v>4293</v>
      </c>
      <c r="B2981" t="s">
        <v>6962</v>
      </c>
      <c r="C2981" s="1">
        <v>45897</v>
      </c>
    </row>
    <row r="2982" spans="1:3" x14ac:dyDescent="0.25">
      <c r="A2982" t="s">
        <v>2756</v>
      </c>
      <c r="B2982" t="s">
        <v>39</v>
      </c>
      <c r="C2982" s="1"/>
    </row>
    <row r="2983" spans="1:3" x14ac:dyDescent="0.25">
      <c r="A2983" t="s">
        <v>2755</v>
      </c>
      <c r="B2983" t="s">
        <v>6962</v>
      </c>
      <c r="C2983" s="1">
        <v>45891</v>
      </c>
    </row>
    <row r="2984" spans="1:3" x14ac:dyDescent="0.25">
      <c r="A2984" t="s">
        <v>4292</v>
      </c>
      <c r="B2984" t="s">
        <v>6962</v>
      </c>
      <c r="C2984" s="1">
        <v>45897</v>
      </c>
    </row>
    <row r="2985" spans="1:3" x14ac:dyDescent="0.25">
      <c r="A2985" t="s">
        <v>4293</v>
      </c>
      <c r="B2985" t="s">
        <v>6962</v>
      </c>
      <c r="C2985" s="1">
        <v>45895</v>
      </c>
    </row>
    <row r="2986" spans="1:3" x14ac:dyDescent="0.25">
      <c r="A2986" t="s">
        <v>4294</v>
      </c>
      <c r="B2986" t="s">
        <v>6962</v>
      </c>
      <c r="C2986" s="1">
        <v>45898</v>
      </c>
    </row>
    <row r="2987" spans="1:3" x14ac:dyDescent="0.25">
      <c r="A2987" t="s">
        <v>4297</v>
      </c>
      <c r="B2987" t="s">
        <v>6962</v>
      </c>
      <c r="C2987" s="1">
        <v>45897</v>
      </c>
    </row>
    <row r="2988" spans="1:3" x14ac:dyDescent="0.25">
      <c r="A2988" t="s">
        <v>4296</v>
      </c>
      <c r="B2988" t="s">
        <v>6962</v>
      </c>
      <c r="C2988" s="1">
        <v>45898</v>
      </c>
    </row>
    <row r="2989" spans="1:3" x14ac:dyDescent="0.25">
      <c r="A2989" t="s">
        <v>4299</v>
      </c>
      <c r="B2989" t="s">
        <v>6962</v>
      </c>
      <c r="C2989" s="1">
        <v>45897</v>
      </c>
    </row>
    <row r="2990" spans="1:3" x14ac:dyDescent="0.25">
      <c r="A2990" t="s">
        <v>6922</v>
      </c>
      <c r="B2990" t="s">
        <v>6962</v>
      </c>
      <c r="C2990" s="1">
        <v>45892</v>
      </c>
    </row>
    <row r="2991" spans="1:3" x14ac:dyDescent="0.25">
      <c r="A2991" t="s">
        <v>2757</v>
      </c>
      <c r="B2991" t="s">
        <v>39</v>
      </c>
      <c r="C2991" s="1"/>
    </row>
    <row r="2992" spans="1:3" x14ac:dyDescent="0.25">
      <c r="A2992" t="s">
        <v>3160</v>
      </c>
      <c r="B2992" t="s">
        <v>6962</v>
      </c>
      <c r="C2992" s="1">
        <v>45895</v>
      </c>
    </row>
    <row r="2993" spans="1:3" x14ac:dyDescent="0.25">
      <c r="A2993" t="s">
        <v>2758</v>
      </c>
      <c r="B2993" t="s">
        <v>6962</v>
      </c>
      <c r="C2993" s="1">
        <v>45902</v>
      </c>
    </row>
    <row r="2994" spans="1:3" x14ac:dyDescent="0.25">
      <c r="A2994" t="s">
        <v>4300</v>
      </c>
      <c r="B2994" t="s">
        <v>6962</v>
      </c>
      <c r="C2994" s="1">
        <v>45897</v>
      </c>
    </row>
    <row r="2995" spans="1:3" x14ac:dyDescent="0.25">
      <c r="A2995" t="s">
        <v>2741</v>
      </c>
      <c r="B2995" t="s">
        <v>6962</v>
      </c>
      <c r="C2995" s="1">
        <v>45898</v>
      </c>
    </row>
    <row r="2996" spans="1:3" x14ac:dyDescent="0.25">
      <c r="A2996" t="s">
        <v>2760</v>
      </c>
      <c r="B2996" t="s">
        <v>6962</v>
      </c>
      <c r="C2996" s="1">
        <v>45898</v>
      </c>
    </row>
    <row r="2997" spans="1:3" x14ac:dyDescent="0.25">
      <c r="A2997" t="s">
        <v>4307</v>
      </c>
      <c r="B2997" t="s">
        <v>6962</v>
      </c>
      <c r="C2997" s="1">
        <v>45898</v>
      </c>
    </row>
    <row r="2998" spans="1:3" x14ac:dyDescent="0.25">
      <c r="A2998" t="s">
        <v>2759</v>
      </c>
      <c r="B2998" t="s">
        <v>6962</v>
      </c>
      <c r="C2998" s="1">
        <v>45902</v>
      </c>
    </row>
    <row r="2999" spans="1:3" x14ac:dyDescent="0.25">
      <c r="A2999" t="s">
        <v>4306</v>
      </c>
      <c r="B2999" t="s">
        <v>6962</v>
      </c>
      <c r="C2999" s="1">
        <v>45895</v>
      </c>
    </row>
    <row r="3000" spans="1:3" x14ac:dyDescent="0.25">
      <c r="A3000" t="s">
        <v>4305</v>
      </c>
      <c r="B3000" t="s">
        <v>39</v>
      </c>
      <c r="C3000" s="1"/>
    </row>
    <row r="3001" spans="1:3" x14ac:dyDescent="0.25">
      <c r="A3001" t="s">
        <v>4304</v>
      </c>
      <c r="B3001" t="s">
        <v>6962</v>
      </c>
      <c r="C3001" s="1">
        <v>45899</v>
      </c>
    </row>
    <row r="3002" spans="1:3" x14ac:dyDescent="0.25">
      <c r="A3002" t="s">
        <v>4303</v>
      </c>
      <c r="B3002" t="s">
        <v>6962</v>
      </c>
      <c r="C3002" s="1">
        <v>45903</v>
      </c>
    </row>
    <row r="3003" spans="1:3" x14ac:dyDescent="0.25">
      <c r="A3003" t="s">
        <v>4302</v>
      </c>
      <c r="B3003" t="s">
        <v>6962</v>
      </c>
      <c r="C3003" s="1">
        <v>45903</v>
      </c>
    </row>
    <row r="3004" spans="1:3" x14ac:dyDescent="0.25">
      <c r="A3004" t="s">
        <v>4301</v>
      </c>
      <c r="B3004" t="s">
        <v>6962</v>
      </c>
      <c r="C3004" s="1">
        <v>45894</v>
      </c>
    </row>
    <row r="3005" spans="1:3" x14ac:dyDescent="0.25">
      <c r="A3005" t="s">
        <v>4301</v>
      </c>
      <c r="B3005" t="s">
        <v>6962</v>
      </c>
      <c r="C3005" s="1">
        <v>45899</v>
      </c>
    </row>
    <row r="3006" spans="1:3" x14ac:dyDescent="0.25">
      <c r="A3006" t="s">
        <v>2762</v>
      </c>
      <c r="B3006" t="s">
        <v>6962</v>
      </c>
      <c r="C3006" s="1">
        <v>45902</v>
      </c>
    </row>
    <row r="3007" spans="1:3" x14ac:dyDescent="0.25">
      <c r="A3007" t="s">
        <v>4311</v>
      </c>
      <c r="B3007" t="s">
        <v>6962</v>
      </c>
      <c r="C3007" s="1">
        <v>45897</v>
      </c>
    </row>
    <row r="3008" spans="1:3" x14ac:dyDescent="0.25">
      <c r="A3008" t="s">
        <v>4310</v>
      </c>
      <c r="B3008" t="s">
        <v>6962</v>
      </c>
      <c r="C3008" s="1">
        <v>45903</v>
      </c>
    </row>
    <row r="3009" spans="1:3" x14ac:dyDescent="0.25">
      <c r="A3009" t="s">
        <v>4309</v>
      </c>
      <c r="B3009" t="s">
        <v>6964</v>
      </c>
      <c r="C3009" s="1">
        <v>45903</v>
      </c>
    </row>
    <row r="3010" spans="1:3" x14ac:dyDescent="0.25">
      <c r="A3010" t="s">
        <v>4308</v>
      </c>
      <c r="B3010" t="s">
        <v>6962</v>
      </c>
      <c r="C3010" s="1">
        <v>45895</v>
      </c>
    </row>
    <row r="3011" spans="1:3" x14ac:dyDescent="0.25">
      <c r="A3011" t="s">
        <v>2761</v>
      </c>
      <c r="B3011" t="s">
        <v>6962</v>
      </c>
      <c r="C3011" s="1">
        <v>45898</v>
      </c>
    </row>
    <row r="3012" spans="1:3" x14ac:dyDescent="0.25">
      <c r="A3012" t="s">
        <v>4313</v>
      </c>
      <c r="B3012" t="s">
        <v>6962</v>
      </c>
      <c r="C3012" s="1">
        <v>45898</v>
      </c>
    </row>
    <row r="3013" spans="1:3" x14ac:dyDescent="0.25">
      <c r="A3013" t="s">
        <v>4314</v>
      </c>
      <c r="B3013" t="s">
        <v>6962</v>
      </c>
      <c r="C3013" s="1">
        <v>45900</v>
      </c>
    </row>
    <row r="3014" spans="1:3" x14ac:dyDescent="0.25">
      <c r="A3014" t="s">
        <v>4315</v>
      </c>
      <c r="B3014" t="s">
        <v>6962</v>
      </c>
      <c r="C3014" s="1">
        <v>45894</v>
      </c>
    </row>
    <row r="3015" spans="1:3" x14ac:dyDescent="0.25">
      <c r="A3015" t="s">
        <v>2763</v>
      </c>
      <c r="B3015" t="s">
        <v>6962</v>
      </c>
      <c r="C3015" s="1">
        <v>45903</v>
      </c>
    </row>
    <row r="3016" spans="1:3" x14ac:dyDescent="0.25">
      <c r="A3016" t="s">
        <v>4316</v>
      </c>
      <c r="B3016" t="s">
        <v>6962</v>
      </c>
      <c r="C3016" s="1">
        <v>45905</v>
      </c>
    </row>
    <row r="3017" spans="1:3" x14ac:dyDescent="0.25">
      <c r="A3017" t="s">
        <v>2764</v>
      </c>
      <c r="B3017" t="s">
        <v>39</v>
      </c>
      <c r="C3017" s="1"/>
    </row>
    <row r="3018" spans="1:3" x14ac:dyDescent="0.25">
      <c r="A3018" t="s">
        <v>4318</v>
      </c>
      <c r="B3018" t="s">
        <v>6962</v>
      </c>
      <c r="C3018" s="1">
        <v>45904</v>
      </c>
    </row>
    <row r="3019" spans="1:3" x14ac:dyDescent="0.25">
      <c r="A3019" t="s">
        <v>4317</v>
      </c>
      <c r="B3019" t="s">
        <v>6962</v>
      </c>
      <c r="C3019" s="1">
        <v>45900</v>
      </c>
    </row>
    <row r="3020" spans="1:3" x14ac:dyDescent="0.25">
      <c r="A3020" t="s">
        <v>4319</v>
      </c>
      <c r="B3020" t="s">
        <v>6962</v>
      </c>
      <c r="C3020" s="1">
        <v>45910</v>
      </c>
    </row>
    <row r="3021" spans="1:3" x14ac:dyDescent="0.25">
      <c r="A3021" t="s">
        <v>4327</v>
      </c>
      <c r="B3021" t="s">
        <v>6962</v>
      </c>
      <c r="C3021" s="1">
        <v>45898</v>
      </c>
    </row>
    <row r="3022" spans="1:3" x14ac:dyDescent="0.25">
      <c r="A3022" t="s">
        <v>4326</v>
      </c>
      <c r="B3022" t="s">
        <v>6962</v>
      </c>
      <c r="C3022" s="1">
        <v>45895</v>
      </c>
    </row>
    <row r="3023" spans="1:3" x14ac:dyDescent="0.25">
      <c r="A3023" t="s">
        <v>4325</v>
      </c>
      <c r="B3023" t="s">
        <v>6962</v>
      </c>
      <c r="C3023" s="1">
        <v>45904</v>
      </c>
    </row>
    <row r="3024" spans="1:3" x14ac:dyDescent="0.25">
      <c r="A3024" t="s">
        <v>4323</v>
      </c>
      <c r="B3024" t="s">
        <v>6962</v>
      </c>
      <c r="C3024" s="1">
        <v>45895</v>
      </c>
    </row>
    <row r="3025" spans="1:3" x14ac:dyDescent="0.25">
      <c r="A3025" t="s">
        <v>3161</v>
      </c>
      <c r="B3025" t="s">
        <v>6962</v>
      </c>
      <c r="C3025" s="1">
        <v>45899</v>
      </c>
    </row>
    <row r="3026" spans="1:3" x14ac:dyDescent="0.25">
      <c r="A3026" t="s">
        <v>3161</v>
      </c>
      <c r="B3026" t="s">
        <v>6962</v>
      </c>
      <c r="C3026" s="1">
        <v>45899</v>
      </c>
    </row>
    <row r="3027" spans="1:3" x14ac:dyDescent="0.25">
      <c r="A3027" t="s">
        <v>4328</v>
      </c>
      <c r="B3027" t="s">
        <v>6962</v>
      </c>
      <c r="C3027" s="1">
        <v>45908</v>
      </c>
    </row>
    <row r="3028" spans="1:3" x14ac:dyDescent="0.25">
      <c r="A3028" t="s">
        <v>2765</v>
      </c>
      <c r="B3028" t="s">
        <v>6962</v>
      </c>
      <c r="C3028" s="1">
        <v>45904</v>
      </c>
    </row>
    <row r="3029" spans="1:3" x14ac:dyDescent="0.25">
      <c r="A3029" t="s">
        <v>4330</v>
      </c>
      <c r="B3029" t="s">
        <v>6962</v>
      </c>
      <c r="C3029" s="1">
        <v>45897</v>
      </c>
    </row>
    <row r="3030" spans="1:3" x14ac:dyDescent="0.25">
      <c r="A3030" t="s">
        <v>4329</v>
      </c>
      <c r="B3030" t="s">
        <v>39</v>
      </c>
      <c r="C3030" s="1"/>
    </row>
    <row r="3031" spans="1:3" x14ac:dyDescent="0.25">
      <c r="A3031" t="s">
        <v>4331</v>
      </c>
      <c r="B3031" t="s">
        <v>6962</v>
      </c>
      <c r="C3031" s="1">
        <v>45908</v>
      </c>
    </row>
    <row r="3032" spans="1:3" x14ac:dyDescent="0.25">
      <c r="A3032" t="s">
        <v>3162</v>
      </c>
      <c r="B3032" t="s">
        <v>6964</v>
      </c>
      <c r="C3032" s="1">
        <v>45904</v>
      </c>
    </row>
    <row r="3033" spans="1:3" x14ac:dyDescent="0.25">
      <c r="A3033" t="s">
        <v>3162</v>
      </c>
      <c r="B3033" t="s">
        <v>6962</v>
      </c>
      <c r="C3033" s="1">
        <v>45904</v>
      </c>
    </row>
    <row r="3034" spans="1:3" x14ac:dyDescent="0.25">
      <c r="A3034" t="s">
        <v>4333</v>
      </c>
      <c r="B3034" t="s">
        <v>6962</v>
      </c>
      <c r="C3034" s="1">
        <v>45904</v>
      </c>
    </row>
    <row r="3035" spans="1:3" x14ac:dyDescent="0.25">
      <c r="A3035" t="s">
        <v>4332</v>
      </c>
      <c r="B3035" t="s">
        <v>6962</v>
      </c>
      <c r="C3035" s="1">
        <v>45909</v>
      </c>
    </row>
    <row r="3036" spans="1:3" x14ac:dyDescent="0.25">
      <c r="A3036" t="s">
        <v>2767</v>
      </c>
      <c r="B3036" t="s">
        <v>6962</v>
      </c>
      <c r="C3036" s="1">
        <v>45903</v>
      </c>
    </row>
    <row r="3037" spans="1:3" x14ac:dyDescent="0.25">
      <c r="A3037" t="s">
        <v>4335</v>
      </c>
      <c r="B3037" t="s">
        <v>6962</v>
      </c>
      <c r="C3037" s="1">
        <v>45900</v>
      </c>
    </row>
    <row r="3038" spans="1:3" x14ac:dyDescent="0.25">
      <c r="A3038" t="s">
        <v>4334</v>
      </c>
      <c r="B3038" t="s">
        <v>6962</v>
      </c>
      <c r="C3038" s="1">
        <v>45903</v>
      </c>
    </row>
    <row r="3039" spans="1:3" x14ac:dyDescent="0.25">
      <c r="A3039" t="s">
        <v>4334</v>
      </c>
      <c r="B3039" t="s">
        <v>6962</v>
      </c>
      <c r="C3039" s="1">
        <v>45898</v>
      </c>
    </row>
    <row r="3040" spans="1:3" x14ac:dyDescent="0.25">
      <c r="A3040" t="s">
        <v>2768</v>
      </c>
      <c r="B3040" t="s">
        <v>39</v>
      </c>
      <c r="C3040" s="1"/>
    </row>
    <row r="3041" spans="1:3" x14ac:dyDescent="0.25">
      <c r="A3041" t="s">
        <v>4337</v>
      </c>
      <c r="B3041" t="s">
        <v>6962</v>
      </c>
      <c r="C3041" s="1">
        <v>45905</v>
      </c>
    </row>
    <row r="3042" spans="1:3" x14ac:dyDescent="0.25">
      <c r="A3042" t="s">
        <v>4336</v>
      </c>
      <c r="B3042" t="s">
        <v>6962</v>
      </c>
      <c r="C3042" s="1">
        <v>45898</v>
      </c>
    </row>
    <row r="3043" spans="1:3" x14ac:dyDescent="0.25">
      <c r="A3043" t="s">
        <v>4339</v>
      </c>
      <c r="B3043" t="s">
        <v>6962</v>
      </c>
      <c r="C3043" s="1">
        <v>45900</v>
      </c>
    </row>
    <row r="3044" spans="1:3" x14ac:dyDescent="0.25">
      <c r="A3044" t="s">
        <v>4339</v>
      </c>
      <c r="B3044" t="s">
        <v>6962</v>
      </c>
      <c r="C3044" s="1">
        <v>45900</v>
      </c>
    </row>
    <row r="3045" spans="1:3" x14ac:dyDescent="0.25">
      <c r="A3045" t="s">
        <v>4338</v>
      </c>
      <c r="B3045" t="s">
        <v>6962</v>
      </c>
      <c r="C3045" s="1">
        <v>45897</v>
      </c>
    </row>
    <row r="3046" spans="1:3" x14ac:dyDescent="0.25">
      <c r="A3046" t="s">
        <v>2769</v>
      </c>
      <c r="B3046" t="s">
        <v>6962</v>
      </c>
      <c r="C3046" s="1">
        <v>45897</v>
      </c>
    </row>
    <row r="3047" spans="1:3" x14ac:dyDescent="0.25">
      <c r="A3047" t="s">
        <v>6923</v>
      </c>
      <c r="B3047" t="s">
        <v>6963</v>
      </c>
      <c r="C3047" s="1">
        <v>45897</v>
      </c>
    </row>
    <row r="3048" spans="1:3" x14ac:dyDescent="0.25">
      <c r="A3048" t="s">
        <v>4340</v>
      </c>
      <c r="B3048" t="s">
        <v>39</v>
      </c>
      <c r="C3048" s="1"/>
    </row>
    <row r="3049" spans="1:3" x14ac:dyDescent="0.25">
      <c r="A3049" t="s">
        <v>4341</v>
      </c>
      <c r="B3049" t="s">
        <v>6962</v>
      </c>
      <c r="C3049" s="1">
        <v>45899</v>
      </c>
    </row>
    <row r="3050" spans="1:3" x14ac:dyDescent="0.25">
      <c r="A3050" t="s">
        <v>4342</v>
      </c>
      <c r="B3050" t="s">
        <v>6962</v>
      </c>
      <c r="C3050" s="1">
        <v>45913</v>
      </c>
    </row>
    <row r="3051" spans="1:3" x14ac:dyDescent="0.25">
      <c r="A3051" t="s">
        <v>3163</v>
      </c>
      <c r="B3051" t="s">
        <v>6962</v>
      </c>
      <c r="C3051" s="1">
        <v>45902</v>
      </c>
    </row>
    <row r="3052" spans="1:3" x14ac:dyDescent="0.25">
      <c r="A3052" t="s">
        <v>3163</v>
      </c>
      <c r="B3052" t="s">
        <v>6962</v>
      </c>
      <c r="C3052" s="1">
        <v>45902</v>
      </c>
    </row>
    <row r="3053" spans="1:3" x14ac:dyDescent="0.25">
      <c r="A3053" t="s">
        <v>4343</v>
      </c>
      <c r="B3053" t="s">
        <v>6962</v>
      </c>
      <c r="C3053" s="1">
        <v>45904</v>
      </c>
    </row>
    <row r="3054" spans="1:3" x14ac:dyDescent="0.25">
      <c r="A3054" t="s">
        <v>4343</v>
      </c>
      <c r="B3054" t="s">
        <v>6962</v>
      </c>
      <c r="C3054" s="1">
        <v>45899</v>
      </c>
    </row>
    <row r="3055" spans="1:3" x14ac:dyDescent="0.25">
      <c r="A3055" t="s">
        <v>4343</v>
      </c>
      <c r="B3055" t="s">
        <v>6962</v>
      </c>
      <c r="C3055" s="1">
        <v>45900</v>
      </c>
    </row>
    <row r="3056" spans="1:3" x14ac:dyDescent="0.25">
      <c r="A3056" t="s">
        <v>4344</v>
      </c>
      <c r="B3056" t="s">
        <v>6962</v>
      </c>
      <c r="C3056" s="1">
        <v>45910</v>
      </c>
    </row>
    <row r="3057" spans="1:3" x14ac:dyDescent="0.25">
      <c r="A3057" t="s">
        <v>4345</v>
      </c>
      <c r="B3057" t="s">
        <v>6962</v>
      </c>
      <c r="C3057" s="1">
        <v>45904</v>
      </c>
    </row>
    <row r="3058" spans="1:3" x14ac:dyDescent="0.25">
      <c r="A3058" t="s">
        <v>4345</v>
      </c>
      <c r="B3058" t="s">
        <v>6962</v>
      </c>
      <c r="C3058" s="1">
        <v>45904</v>
      </c>
    </row>
    <row r="3059" spans="1:3" x14ac:dyDescent="0.25">
      <c r="A3059" t="s">
        <v>2770</v>
      </c>
      <c r="B3059" t="s">
        <v>6962</v>
      </c>
      <c r="C3059" s="1">
        <v>45903</v>
      </c>
    </row>
    <row r="3060" spans="1:3" x14ac:dyDescent="0.25">
      <c r="A3060" t="s">
        <v>4349</v>
      </c>
      <c r="B3060" t="s">
        <v>6962</v>
      </c>
      <c r="C3060" s="1">
        <v>45899</v>
      </c>
    </row>
    <row r="3061" spans="1:3" x14ac:dyDescent="0.25">
      <c r="A3061" t="s">
        <v>4350</v>
      </c>
      <c r="B3061" t="s">
        <v>6962</v>
      </c>
      <c r="C3061" s="1">
        <v>45898</v>
      </c>
    </row>
    <row r="3062" spans="1:3" x14ac:dyDescent="0.25">
      <c r="A3062" t="s">
        <v>4353</v>
      </c>
      <c r="B3062" t="s">
        <v>6962</v>
      </c>
      <c r="C3062" s="1">
        <v>45916</v>
      </c>
    </row>
    <row r="3063" spans="1:3" x14ac:dyDescent="0.25">
      <c r="A3063" t="s">
        <v>2771</v>
      </c>
      <c r="B3063" t="s">
        <v>39</v>
      </c>
      <c r="C3063" s="1"/>
    </row>
    <row r="3064" spans="1:3" x14ac:dyDescent="0.25">
      <c r="A3064" t="s">
        <v>4352</v>
      </c>
      <c r="B3064" t="s">
        <v>6962</v>
      </c>
      <c r="C3064" s="1">
        <v>45898</v>
      </c>
    </row>
    <row r="3065" spans="1:3" x14ac:dyDescent="0.25">
      <c r="A3065" t="s">
        <v>4355</v>
      </c>
      <c r="B3065" t="s">
        <v>6962</v>
      </c>
      <c r="C3065" s="1">
        <v>45911</v>
      </c>
    </row>
    <row r="3066" spans="1:3" x14ac:dyDescent="0.25">
      <c r="A3066" t="s">
        <v>2772</v>
      </c>
      <c r="B3066" t="s">
        <v>6962</v>
      </c>
      <c r="C3066" s="1">
        <v>45904</v>
      </c>
    </row>
    <row r="3067" spans="1:3" x14ac:dyDescent="0.25">
      <c r="A3067" t="s">
        <v>4356</v>
      </c>
      <c r="B3067" t="s">
        <v>6962</v>
      </c>
      <c r="C3067" s="1">
        <v>45900</v>
      </c>
    </row>
    <row r="3068" spans="1:3" x14ac:dyDescent="0.25">
      <c r="A3068" t="s">
        <v>4357</v>
      </c>
      <c r="B3068" t="s">
        <v>6962</v>
      </c>
      <c r="C3068" s="1">
        <v>45899</v>
      </c>
    </row>
    <row r="3069" spans="1:3" x14ac:dyDescent="0.25">
      <c r="A3069" t="s">
        <v>4357</v>
      </c>
      <c r="B3069" t="s">
        <v>6962</v>
      </c>
      <c r="C3069" s="1">
        <v>45899</v>
      </c>
    </row>
    <row r="3070" spans="1:3" x14ac:dyDescent="0.25">
      <c r="A3070" t="s">
        <v>4358</v>
      </c>
      <c r="B3070" t="s">
        <v>6962</v>
      </c>
      <c r="C3070" s="1">
        <v>45903</v>
      </c>
    </row>
    <row r="3071" spans="1:3" x14ac:dyDescent="0.25">
      <c r="A3071" t="s">
        <v>2773</v>
      </c>
      <c r="B3071" t="s">
        <v>6962</v>
      </c>
      <c r="C3071" s="1">
        <v>45903</v>
      </c>
    </row>
    <row r="3072" spans="1:3" x14ac:dyDescent="0.25">
      <c r="A3072" t="s">
        <v>6924</v>
      </c>
      <c r="B3072" t="s">
        <v>6962</v>
      </c>
      <c r="C3072" s="1">
        <v>45897</v>
      </c>
    </row>
    <row r="3073" spans="1:3" x14ac:dyDescent="0.25">
      <c r="A3073" t="s">
        <v>2774</v>
      </c>
      <c r="B3073" t="s">
        <v>6962</v>
      </c>
      <c r="C3073" s="1">
        <v>45904</v>
      </c>
    </row>
    <row r="3074" spans="1:3" x14ac:dyDescent="0.25">
      <c r="A3074" t="s">
        <v>2753</v>
      </c>
      <c r="B3074" t="s">
        <v>6962</v>
      </c>
      <c r="C3074" s="1">
        <v>45902</v>
      </c>
    </row>
    <row r="3075" spans="1:3" x14ac:dyDescent="0.25">
      <c r="A3075" t="s">
        <v>2775</v>
      </c>
      <c r="B3075" t="s">
        <v>39</v>
      </c>
      <c r="C3075" s="1"/>
    </row>
    <row r="3076" spans="1:3" x14ac:dyDescent="0.25">
      <c r="A3076" t="s">
        <v>4360</v>
      </c>
      <c r="B3076" t="s">
        <v>6962</v>
      </c>
      <c r="C3076" s="1">
        <v>45904</v>
      </c>
    </row>
    <row r="3077" spans="1:3" x14ac:dyDescent="0.25">
      <c r="A3077" t="s">
        <v>4361</v>
      </c>
      <c r="B3077" t="s">
        <v>6962</v>
      </c>
      <c r="C3077" s="1">
        <v>45900</v>
      </c>
    </row>
    <row r="3078" spans="1:3" x14ac:dyDescent="0.25">
      <c r="A3078" t="s">
        <v>4361</v>
      </c>
      <c r="B3078" t="s">
        <v>6962</v>
      </c>
      <c r="C3078" s="1">
        <v>45900</v>
      </c>
    </row>
    <row r="3079" spans="1:3" x14ac:dyDescent="0.25">
      <c r="A3079" t="s">
        <v>4361</v>
      </c>
      <c r="B3079" t="s">
        <v>6962</v>
      </c>
      <c r="C3079" s="1">
        <v>45900</v>
      </c>
    </row>
    <row r="3080" spans="1:3" x14ac:dyDescent="0.25">
      <c r="A3080" t="s">
        <v>4361</v>
      </c>
      <c r="B3080" t="s">
        <v>6962</v>
      </c>
      <c r="C3080" s="1">
        <v>45900</v>
      </c>
    </row>
    <row r="3081" spans="1:3" x14ac:dyDescent="0.25">
      <c r="A3081" t="s">
        <v>4361</v>
      </c>
      <c r="B3081" t="s">
        <v>6962</v>
      </c>
      <c r="C3081" s="1">
        <v>45899</v>
      </c>
    </row>
    <row r="3082" spans="1:3" x14ac:dyDescent="0.25">
      <c r="A3082" t="s">
        <v>6925</v>
      </c>
      <c r="B3082" t="s">
        <v>6962</v>
      </c>
      <c r="C3082" s="1">
        <v>45904</v>
      </c>
    </row>
    <row r="3083" spans="1:3" x14ac:dyDescent="0.25">
      <c r="A3083" t="s">
        <v>3164</v>
      </c>
      <c r="B3083" t="s">
        <v>6962</v>
      </c>
      <c r="C3083" s="1">
        <v>45908</v>
      </c>
    </row>
    <row r="3084" spans="1:3" x14ac:dyDescent="0.25">
      <c r="A3084" t="s">
        <v>3164</v>
      </c>
      <c r="B3084" t="s">
        <v>6962</v>
      </c>
      <c r="C3084" s="1">
        <v>45908</v>
      </c>
    </row>
    <row r="3085" spans="1:3" x14ac:dyDescent="0.25">
      <c r="A3085" t="s">
        <v>4363</v>
      </c>
      <c r="B3085" t="s">
        <v>6962</v>
      </c>
      <c r="C3085" s="1">
        <v>45917</v>
      </c>
    </row>
    <row r="3086" spans="1:3" x14ac:dyDescent="0.25">
      <c r="A3086" t="s">
        <v>4364</v>
      </c>
      <c r="B3086" t="s">
        <v>6962</v>
      </c>
      <c r="C3086" s="1">
        <v>45911</v>
      </c>
    </row>
    <row r="3087" spans="1:3" x14ac:dyDescent="0.25">
      <c r="A3087" t="s">
        <v>4365</v>
      </c>
      <c r="B3087" t="s">
        <v>6962</v>
      </c>
      <c r="C3087" s="1">
        <v>45913</v>
      </c>
    </row>
    <row r="3088" spans="1:3" x14ac:dyDescent="0.25">
      <c r="A3088" t="s">
        <v>2776</v>
      </c>
      <c r="B3088" t="s">
        <v>39</v>
      </c>
      <c r="C3088" s="1"/>
    </row>
    <row r="3089" spans="1:3" x14ac:dyDescent="0.25">
      <c r="A3089" t="s">
        <v>2777</v>
      </c>
      <c r="B3089" t="s">
        <v>6962</v>
      </c>
      <c r="C3089" s="1">
        <v>45903</v>
      </c>
    </row>
    <row r="3090" spans="1:3" x14ac:dyDescent="0.25">
      <c r="A3090" t="s">
        <v>2779</v>
      </c>
      <c r="B3090" t="s">
        <v>6965</v>
      </c>
      <c r="C3090" s="1">
        <v>45879</v>
      </c>
    </row>
    <row r="3091" spans="1:3" x14ac:dyDescent="0.25">
      <c r="A3091" t="s">
        <v>2778</v>
      </c>
      <c r="B3091" t="s">
        <v>6962</v>
      </c>
      <c r="C3091" s="1">
        <v>45904</v>
      </c>
    </row>
    <row r="3092" spans="1:3" x14ac:dyDescent="0.25">
      <c r="A3092" t="s">
        <v>4366</v>
      </c>
      <c r="B3092" t="s">
        <v>6962</v>
      </c>
      <c r="C3092" s="1">
        <v>45902</v>
      </c>
    </row>
    <row r="3093" spans="1:3" x14ac:dyDescent="0.25">
      <c r="A3093" t="s">
        <v>4367</v>
      </c>
      <c r="B3093" t="s">
        <v>6962</v>
      </c>
      <c r="C3093" s="1">
        <v>45913</v>
      </c>
    </row>
    <row r="3094" spans="1:3" x14ac:dyDescent="0.25">
      <c r="A3094" t="s">
        <v>4368</v>
      </c>
      <c r="B3094" t="s">
        <v>6962</v>
      </c>
      <c r="C3094" s="1">
        <v>45909</v>
      </c>
    </row>
    <row r="3095" spans="1:3" x14ac:dyDescent="0.25">
      <c r="A3095" t="s">
        <v>4369</v>
      </c>
      <c r="B3095" t="s">
        <v>6962</v>
      </c>
      <c r="C3095" s="1">
        <v>45909</v>
      </c>
    </row>
    <row r="3096" spans="1:3" x14ac:dyDescent="0.25">
      <c r="A3096" t="s">
        <v>4370</v>
      </c>
      <c r="B3096" t="s">
        <v>6962</v>
      </c>
      <c r="C3096" s="1">
        <v>45908</v>
      </c>
    </row>
    <row r="3097" spans="1:3" x14ac:dyDescent="0.25">
      <c r="A3097" t="s">
        <v>4371</v>
      </c>
      <c r="B3097" t="s">
        <v>6962</v>
      </c>
      <c r="C3097" s="1">
        <v>45900</v>
      </c>
    </row>
    <row r="3098" spans="1:3" x14ac:dyDescent="0.25">
      <c r="A3098" t="s">
        <v>4372</v>
      </c>
      <c r="B3098" t="s">
        <v>6962</v>
      </c>
      <c r="C3098" s="1">
        <v>45912</v>
      </c>
    </row>
    <row r="3099" spans="1:3" x14ac:dyDescent="0.25">
      <c r="A3099" t="s">
        <v>4375</v>
      </c>
      <c r="B3099" t="s">
        <v>6962</v>
      </c>
      <c r="C3099" s="1">
        <v>45906</v>
      </c>
    </row>
    <row r="3100" spans="1:3" x14ac:dyDescent="0.25">
      <c r="A3100" t="s">
        <v>4374</v>
      </c>
      <c r="B3100" t="s">
        <v>6964</v>
      </c>
      <c r="C3100" s="1">
        <v>45910</v>
      </c>
    </row>
    <row r="3101" spans="1:3" x14ac:dyDescent="0.25">
      <c r="A3101" t="s">
        <v>2781</v>
      </c>
      <c r="B3101" t="s">
        <v>39</v>
      </c>
      <c r="C3101" s="1"/>
    </row>
    <row r="3102" spans="1:3" x14ac:dyDescent="0.25">
      <c r="A3102" t="s">
        <v>4373</v>
      </c>
      <c r="B3102" t="s">
        <v>6962</v>
      </c>
      <c r="C3102" s="1">
        <v>45902</v>
      </c>
    </row>
    <row r="3103" spans="1:3" x14ac:dyDescent="0.25">
      <c r="A3103" t="s">
        <v>6926</v>
      </c>
      <c r="B3103" t="s">
        <v>6962</v>
      </c>
      <c r="C3103" s="1">
        <v>45898</v>
      </c>
    </row>
    <row r="3104" spans="1:3" x14ac:dyDescent="0.25">
      <c r="A3104" t="s">
        <v>4376</v>
      </c>
      <c r="B3104" t="s">
        <v>6962</v>
      </c>
      <c r="C3104" s="1">
        <v>45909</v>
      </c>
    </row>
    <row r="3105" spans="1:3" x14ac:dyDescent="0.25">
      <c r="A3105" t="s">
        <v>4377</v>
      </c>
      <c r="B3105" t="s">
        <v>6962</v>
      </c>
      <c r="C3105" s="1">
        <v>45900</v>
      </c>
    </row>
    <row r="3106" spans="1:3" x14ac:dyDescent="0.25">
      <c r="A3106" t="s">
        <v>4378</v>
      </c>
      <c r="B3106" t="s">
        <v>6962</v>
      </c>
      <c r="C3106" s="1">
        <v>45900</v>
      </c>
    </row>
    <row r="3107" spans="1:3" x14ac:dyDescent="0.25">
      <c r="A3107" t="s">
        <v>4380</v>
      </c>
      <c r="B3107" t="s">
        <v>6962</v>
      </c>
      <c r="C3107" s="1">
        <v>45913</v>
      </c>
    </row>
    <row r="3108" spans="1:3" x14ac:dyDescent="0.25">
      <c r="A3108" t="s">
        <v>4379</v>
      </c>
      <c r="B3108" t="s">
        <v>6962</v>
      </c>
      <c r="C3108" s="1">
        <v>45912</v>
      </c>
    </row>
    <row r="3109" spans="1:3" x14ac:dyDescent="0.25">
      <c r="A3109" t="s">
        <v>3710</v>
      </c>
      <c r="B3109" t="s">
        <v>6962</v>
      </c>
      <c r="C3109" s="1">
        <v>45899</v>
      </c>
    </row>
    <row r="3110" spans="1:3" x14ac:dyDescent="0.25">
      <c r="A3110" t="s">
        <v>4382</v>
      </c>
      <c r="B3110" t="s">
        <v>6962</v>
      </c>
      <c r="C3110" s="1">
        <v>45904</v>
      </c>
    </row>
    <row r="3111" spans="1:3" x14ac:dyDescent="0.25">
      <c r="A3111" t="s">
        <v>4381</v>
      </c>
      <c r="B3111" t="s">
        <v>6962</v>
      </c>
      <c r="C3111" s="1">
        <v>45905</v>
      </c>
    </row>
    <row r="3112" spans="1:3" x14ac:dyDescent="0.25">
      <c r="A3112" t="s">
        <v>4284</v>
      </c>
      <c r="B3112" t="s">
        <v>6962</v>
      </c>
      <c r="C3112" s="1">
        <v>45898</v>
      </c>
    </row>
    <row r="3113" spans="1:3" x14ac:dyDescent="0.25">
      <c r="A3113" t="s">
        <v>2782</v>
      </c>
      <c r="B3113" t="s">
        <v>6962</v>
      </c>
      <c r="C3113" s="1">
        <v>45909</v>
      </c>
    </row>
    <row r="3114" spans="1:3" x14ac:dyDescent="0.25">
      <c r="A3114" t="s">
        <v>4383</v>
      </c>
      <c r="B3114" t="s">
        <v>6962</v>
      </c>
      <c r="C3114" s="1">
        <v>45902</v>
      </c>
    </row>
    <row r="3115" spans="1:3" x14ac:dyDescent="0.25">
      <c r="A3115" t="s">
        <v>2783</v>
      </c>
      <c r="B3115" t="s">
        <v>6962</v>
      </c>
      <c r="C3115" s="1">
        <v>45903</v>
      </c>
    </row>
    <row r="3116" spans="1:3" x14ac:dyDescent="0.25">
      <c r="A3116" t="s">
        <v>2784</v>
      </c>
      <c r="B3116" t="s">
        <v>6962</v>
      </c>
      <c r="C3116" s="1">
        <v>45904</v>
      </c>
    </row>
    <row r="3117" spans="1:3" x14ac:dyDescent="0.25">
      <c r="A3117" t="s">
        <v>2785</v>
      </c>
      <c r="B3117" t="s">
        <v>6962</v>
      </c>
      <c r="C3117" s="1">
        <v>45904</v>
      </c>
    </row>
    <row r="3118" spans="1:3" x14ac:dyDescent="0.25">
      <c r="A3118" t="s">
        <v>3067</v>
      </c>
      <c r="B3118" t="s">
        <v>6962</v>
      </c>
      <c r="C3118" s="1">
        <v>45908</v>
      </c>
    </row>
    <row r="3119" spans="1:3" x14ac:dyDescent="0.25">
      <c r="A3119" t="s">
        <v>4385</v>
      </c>
      <c r="B3119" t="s">
        <v>6962</v>
      </c>
      <c r="C3119" s="1">
        <v>45900</v>
      </c>
    </row>
    <row r="3120" spans="1:3" x14ac:dyDescent="0.25">
      <c r="A3120" t="s">
        <v>4384</v>
      </c>
      <c r="B3120" t="s">
        <v>6962</v>
      </c>
      <c r="C3120" s="1">
        <v>45912</v>
      </c>
    </row>
    <row r="3121" spans="1:3" x14ac:dyDescent="0.25">
      <c r="A3121" t="s">
        <v>4384</v>
      </c>
      <c r="B3121" t="s">
        <v>6962</v>
      </c>
      <c r="C3121" s="1">
        <v>45903</v>
      </c>
    </row>
    <row r="3122" spans="1:3" x14ac:dyDescent="0.25">
      <c r="A3122" t="s">
        <v>4362</v>
      </c>
      <c r="B3122" t="s">
        <v>6962</v>
      </c>
      <c r="C3122" s="1">
        <v>45900</v>
      </c>
    </row>
    <row r="3123" spans="1:3" x14ac:dyDescent="0.25">
      <c r="A3123" t="s">
        <v>4248</v>
      </c>
      <c r="B3123" t="s">
        <v>6962</v>
      </c>
      <c r="C3123" s="1">
        <v>45900</v>
      </c>
    </row>
    <row r="3124" spans="1:3" x14ac:dyDescent="0.25">
      <c r="A3124" t="s">
        <v>3168</v>
      </c>
      <c r="B3124" t="s">
        <v>6962</v>
      </c>
      <c r="C3124" s="1">
        <v>45908</v>
      </c>
    </row>
    <row r="3125" spans="1:3" x14ac:dyDescent="0.25">
      <c r="A3125" t="s">
        <v>3168</v>
      </c>
      <c r="B3125" t="s">
        <v>6962</v>
      </c>
      <c r="C3125" s="1">
        <v>45908</v>
      </c>
    </row>
    <row r="3126" spans="1:3" x14ac:dyDescent="0.25">
      <c r="A3126" t="s">
        <v>3167</v>
      </c>
      <c r="B3126" t="s">
        <v>6962</v>
      </c>
      <c r="C3126" s="1">
        <v>45904</v>
      </c>
    </row>
    <row r="3127" spans="1:3" x14ac:dyDescent="0.25">
      <c r="A3127" t="s">
        <v>3166</v>
      </c>
      <c r="B3127" t="s">
        <v>6962</v>
      </c>
      <c r="C3127" s="1">
        <v>45908</v>
      </c>
    </row>
    <row r="3128" spans="1:3" x14ac:dyDescent="0.25">
      <c r="A3128" t="s">
        <v>3166</v>
      </c>
      <c r="B3128" t="s">
        <v>6962</v>
      </c>
      <c r="C3128" s="1">
        <v>45908</v>
      </c>
    </row>
    <row r="3129" spans="1:3" x14ac:dyDescent="0.25">
      <c r="A3129" t="s">
        <v>4391</v>
      </c>
      <c r="B3129" t="s">
        <v>6962</v>
      </c>
      <c r="C3129" s="1">
        <v>45903</v>
      </c>
    </row>
    <row r="3130" spans="1:3" x14ac:dyDescent="0.25">
      <c r="A3130" t="s">
        <v>4390</v>
      </c>
      <c r="B3130" t="s">
        <v>6962</v>
      </c>
      <c r="C3130" s="1">
        <v>45911</v>
      </c>
    </row>
    <row r="3131" spans="1:3" x14ac:dyDescent="0.25">
      <c r="A3131" t="s">
        <v>4389</v>
      </c>
      <c r="B3131" t="s">
        <v>6962</v>
      </c>
      <c r="C3131" s="1">
        <v>45903</v>
      </c>
    </row>
    <row r="3132" spans="1:3" x14ac:dyDescent="0.25">
      <c r="A3132" t="s">
        <v>4388</v>
      </c>
      <c r="B3132" t="s">
        <v>6962</v>
      </c>
      <c r="C3132" s="1">
        <v>45903</v>
      </c>
    </row>
    <row r="3133" spans="1:3" x14ac:dyDescent="0.25">
      <c r="A3133" t="s">
        <v>4387</v>
      </c>
      <c r="B3133" t="s">
        <v>6962</v>
      </c>
      <c r="C3133" s="1">
        <v>45905</v>
      </c>
    </row>
    <row r="3134" spans="1:3" x14ac:dyDescent="0.25">
      <c r="A3134" t="s">
        <v>4395</v>
      </c>
      <c r="B3134" t="s">
        <v>39</v>
      </c>
      <c r="C3134" s="1"/>
    </row>
    <row r="3135" spans="1:3" x14ac:dyDescent="0.25">
      <c r="A3135" t="s">
        <v>4394</v>
      </c>
      <c r="B3135" t="s">
        <v>6962</v>
      </c>
      <c r="C3135" s="1">
        <v>45918</v>
      </c>
    </row>
    <row r="3136" spans="1:3" x14ac:dyDescent="0.25">
      <c r="A3136" t="s">
        <v>2786</v>
      </c>
      <c r="B3136" t="s">
        <v>6962</v>
      </c>
      <c r="C3136" s="1">
        <v>45910</v>
      </c>
    </row>
    <row r="3137" spans="1:3" x14ac:dyDescent="0.25">
      <c r="A3137" t="s">
        <v>4396</v>
      </c>
      <c r="B3137" t="s">
        <v>6962</v>
      </c>
      <c r="C3137" s="1">
        <v>45908</v>
      </c>
    </row>
    <row r="3138" spans="1:3" x14ac:dyDescent="0.25">
      <c r="A3138" t="s">
        <v>4396</v>
      </c>
      <c r="B3138" t="s">
        <v>6964</v>
      </c>
      <c r="C3138" s="1">
        <v>45916</v>
      </c>
    </row>
    <row r="3139" spans="1:3" x14ac:dyDescent="0.25">
      <c r="A3139" t="s">
        <v>4396</v>
      </c>
      <c r="B3139" t="s">
        <v>6962</v>
      </c>
      <c r="C3139" s="1">
        <v>45905</v>
      </c>
    </row>
    <row r="3140" spans="1:3" x14ac:dyDescent="0.25">
      <c r="A3140" t="s">
        <v>4396</v>
      </c>
      <c r="B3140" t="s">
        <v>6962</v>
      </c>
      <c r="C3140" s="1">
        <v>45911</v>
      </c>
    </row>
    <row r="3141" spans="1:3" x14ac:dyDescent="0.25">
      <c r="A3141" t="s">
        <v>4399</v>
      </c>
      <c r="B3141" t="s">
        <v>6962</v>
      </c>
      <c r="C3141" s="1">
        <v>45904</v>
      </c>
    </row>
    <row r="3142" spans="1:3" x14ac:dyDescent="0.25">
      <c r="A3142" t="s">
        <v>4398</v>
      </c>
      <c r="B3142" t="s">
        <v>6962</v>
      </c>
      <c r="C3142" s="1">
        <v>45906</v>
      </c>
    </row>
    <row r="3143" spans="1:3" x14ac:dyDescent="0.25">
      <c r="A3143" t="s">
        <v>4397</v>
      </c>
      <c r="B3143" t="s">
        <v>6962</v>
      </c>
      <c r="C3143" s="1">
        <v>45938</v>
      </c>
    </row>
    <row r="3144" spans="1:3" x14ac:dyDescent="0.25">
      <c r="A3144" t="s">
        <v>4402</v>
      </c>
      <c r="B3144" t="s">
        <v>6962</v>
      </c>
      <c r="C3144" s="1">
        <v>45913</v>
      </c>
    </row>
    <row r="3145" spans="1:3" x14ac:dyDescent="0.25">
      <c r="A3145" t="s">
        <v>2787</v>
      </c>
      <c r="B3145" t="s">
        <v>39</v>
      </c>
      <c r="C3145" s="1"/>
    </row>
    <row r="3146" spans="1:3" x14ac:dyDescent="0.25">
      <c r="A3146" t="s">
        <v>4401</v>
      </c>
      <c r="B3146" t="s">
        <v>6962</v>
      </c>
      <c r="C3146" s="1">
        <v>45904</v>
      </c>
    </row>
    <row r="3147" spans="1:3" x14ac:dyDescent="0.25">
      <c r="A3147" t="s">
        <v>4400</v>
      </c>
      <c r="B3147" t="s">
        <v>6962</v>
      </c>
      <c r="C3147" s="1">
        <v>45910</v>
      </c>
    </row>
    <row r="3148" spans="1:3" x14ac:dyDescent="0.25">
      <c r="A3148" t="s">
        <v>4404</v>
      </c>
      <c r="B3148" t="s">
        <v>6962</v>
      </c>
      <c r="C3148" s="1">
        <v>45913</v>
      </c>
    </row>
    <row r="3149" spans="1:3" x14ac:dyDescent="0.25">
      <c r="A3149" t="s">
        <v>4403</v>
      </c>
      <c r="B3149" t="s">
        <v>6962</v>
      </c>
      <c r="C3149" s="1">
        <v>45936</v>
      </c>
    </row>
    <row r="3150" spans="1:3" x14ac:dyDescent="0.25">
      <c r="A3150" t="s">
        <v>3169</v>
      </c>
      <c r="B3150" t="s">
        <v>6962</v>
      </c>
      <c r="C3150" s="1">
        <v>45911</v>
      </c>
    </row>
    <row r="3151" spans="1:3" x14ac:dyDescent="0.25">
      <c r="A3151" t="s">
        <v>3169</v>
      </c>
      <c r="B3151" t="s">
        <v>6962</v>
      </c>
      <c r="C3151" s="1">
        <v>45911</v>
      </c>
    </row>
    <row r="3152" spans="1:3" x14ac:dyDescent="0.25">
      <c r="A3152" t="s">
        <v>4405</v>
      </c>
      <c r="B3152" t="s">
        <v>6962</v>
      </c>
      <c r="C3152" s="1">
        <v>45915</v>
      </c>
    </row>
    <row r="3153" spans="1:3" x14ac:dyDescent="0.25">
      <c r="A3153" t="s">
        <v>4409</v>
      </c>
      <c r="B3153" t="s">
        <v>6962</v>
      </c>
      <c r="C3153" s="1">
        <v>45911</v>
      </c>
    </row>
    <row r="3154" spans="1:3" x14ac:dyDescent="0.25">
      <c r="A3154" t="s">
        <v>4409</v>
      </c>
      <c r="B3154" t="s">
        <v>6962</v>
      </c>
      <c r="C3154" s="1">
        <v>45910</v>
      </c>
    </row>
    <row r="3155" spans="1:3" x14ac:dyDescent="0.25">
      <c r="A3155" t="s">
        <v>4408</v>
      </c>
      <c r="B3155" t="s">
        <v>6962</v>
      </c>
      <c r="C3155" s="1">
        <v>45904</v>
      </c>
    </row>
    <row r="3156" spans="1:3" x14ac:dyDescent="0.25">
      <c r="A3156" t="s">
        <v>4407</v>
      </c>
      <c r="B3156" t="s">
        <v>6962</v>
      </c>
      <c r="C3156" s="1">
        <v>45916</v>
      </c>
    </row>
    <row r="3157" spans="1:3" x14ac:dyDescent="0.25">
      <c r="A3157" t="s">
        <v>4406</v>
      </c>
      <c r="B3157" t="s">
        <v>6962</v>
      </c>
      <c r="C3157" s="1">
        <v>45915</v>
      </c>
    </row>
    <row r="3158" spans="1:3" x14ac:dyDescent="0.25">
      <c r="A3158" t="s">
        <v>4413</v>
      </c>
      <c r="B3158" t="s">
        <v>6962</v>
      </c>
      <c r="C3158" s="1">
        <v>45906</v>
      </c>
    </row>
    <row r="3159" spans="1:3" x14ac:dyDescent="0.25">
      <c r="A3159" t="s">
        <v>2788</v>
      </c>
      <c r="B3159" t="s">
        <v>6962</v>
      </c>
      <c r="C3159" s="1">
        <v>45904</v>
      </c>
    </row>
    <row r="3160" spans="1:3" x14ac:dyDescent="0.25">
      <c r="A3160" t="s">
        <v>4414</v>
      </c>
      <c r="B3160" t="s">
        <v>6962</v>
      </c>
      <c r="C3160" s="1">
        <v>45906</v>
      </c>
    </row>
    <row r="3161" spans="1:3" x14ac:dyDescent="0.25">
      <c r="A3161" t="s">
        <v>4415</v>
      </c>
      <c r="B3161" t="s">
        <v>6962</v>
      </c>
      <c r="C3161" s="1">
        <v>45906</v>
      </c>
    </row>
    <row r="3162" spans="1:3" x14ac:dyDescent="0.25">
      <c r="A3162" t="s">
        <v>2789</v>
      </c>
      <c r="B3162" t="s">
        <v>6962</v>
      </c>
      <c r="C3162" s="1">
        <v>45910</v>
      </c>
    </row>
    <row r="3163" spans="1:3" x14ac:dyDescent="0.25">
      <c r="A3163" t="s">
        <v>4416</v>
      </c>
      <c r="B3163" t="s">
        <v>6962</v>
      </c>
      <c r="C3163" s="1">
        <v>45908</v>
      </c>
    </row>
    <row r="3164" spans="1:3" x14ac:dyDescent="0.25">
      <c r="A3164" t="s">
        <v>4417</v>
      </c>
      <c r="B3164" t="s">
        <v>6962</v>
      </c>
      <c r="C3164" s="1">
        <v>45916</v>
      </c>
    </row>
    <row r="3165" spans="1:3" x14ac:dyDescent="0.25">
      <c r="A3165" t="s">
        <v>3068</v>
      </c>
      <c r="B3165" t="s">
        <v>6962</v>
      </c>
      <c r="C3165" s="1">
        <v>45924</v>
      </c>
    </row>
    <row r="3166" spans="1:3" x14ac:dyDescent="0.25">
      <c r="A3166" t="s">
        <v>2790</v>
      </c>
      <c r="B3166" t="s">
        <v>6962</v>
      </c>
      <c r="C3166" s="1">
        <v>45909</v>
      </c>
    </row>
    <row r="3167" spans="1:3" x14ac:dyDescent="0.25">
      <c r="A3167" t="s">
        <v>4423</v>
      </c>
      <c r="B3167" t="s">
        <v>6962</v>
      </c>
      <c r="C3167" s="1">
        <v>45916</v>
      </c>
    </row>
    <row r="3168" spans="1:3" x14ac:dyDescent="0.25">
      <c r="A3168" t="s">
        <v>4422</v>
      </c>
      <c r="B3168" t="s">
        <v>6962</v>
      </c>
      <c r="C3168" s="1">
        <v>45909</v>
      </c>
    </row>
    <row r="3169" spans="1:3" x14ac:dyDescent="0.25">
      <c r="A3169" t="s">
        <v>4421</v>
      </c>
      <c r="B3169" t="s">
        <v>6962</v>
      </c>
      <c r="C3169" s="1">
        <v>45908</v>
      </c>
    </row>
    <row r="3170" spans="1:3" x14ac:dyDescent="0.25">
      <c r="A3170" t="s">
        <v>4420</v>
      </c>
      <c r="B3170" t="s">
        <v>6962</v>
      </c>
      <c r="C3170" s="1">
        <v>45916</v>
      </c>
    </row>
    <row r="3171" spans="1:3" x14ac:dyDescent="0.25">
      <c r="A3171" t="s">
        <v>2792</v>
      </c>
      <c r="B3171" t="s">
        <v>6962</v>
      </c>
      <c r="C3171" s="1">
        <v>45911</v>
      </c>
    </row>
    <row r="3172" spans="1:3" x14ac:dyDescent="0.25">
      <c r="A3172" t="s">
        <v>2791</v>
      </c>
      <c r="B3172" t="s">
        <v>6962</v>
      </c>
      <c r="C3172" s="1">
        <v>45905</v>
      </c>
    </row>
    <row r="3173" spans="1:3" x14ac:dyDescent="0.25">
      <c r="A3173" t="s">
        <v>4419</v>
      </c>
      <c r="B3173" t="s">
        <v>6962</v>
      </c>
      <c r="C3173" s="1">
        <v>45912</v>
      </c>
    </row>
    <row r="3174" spans="1:3" x14ac:dyDescent="0.25">
      <c r="A3174" t="s">
        <v>4418</v>
      </c>
      <c r="B3174" t="s">
        <v>6962</v>
      </c>
      <c r="C3174" s="1">
        <v>45908</v>
      </c>
    </row>
    <row r="3175" spans="1:3" x14ac:dyDescent="0.25">
      <c r="A3175" t="s">
        <v>4424</v>
      </c>
      <c r="B3175" t="s">
        <v>6962</v>
      </c>
      <c r="C3175" s="1">
        <v>45904</v>
      </c>
    </row>
    <row r="3176" spans="1:3" x14ac:dyDescent="0.25">
      <c r="A3176" t="s">
        <v>4425</v>
      </c>
      <c r="B3176" t="s">
        <v>6962</v>
      </c>
      <c r="C3176" s="1">
        <v>45911</v>
      </c>
    </row>
    <row r="3177" spans="1:3" x14ac:dyDescent="0.25">
      <c r="A3177" t="s">
        <v>4425</v>
      </c>
      <c r="B3177" t="s">
        <v>6962</v>
      </c>
      <c r="C3177" s="1">
        <v>45916</v>
      </c>
    </row>
    <row r="3178" spans="1:3" x14ac:dyDescent="0.25">
      <c r="A3178" t="s">
        <v>4425</v>
      </c>
      <c r="B3178" t="s">
        <v>6962</v>
      </c>
      <c r="C3178" s="1">
        <v>45916</v>
      </c>
    </row>
    <row r="3179" spans="1:3" x14ac:dyDescent="0.25">
      <c r="A3179" t="s">
        <v>4425</v>
      </c>
      <c r="B3179" t="s">
        <v>6962</v>
      </c>
      <c r="C3179" s="1">
        <v>45905</v>
      </c>
    </row>
    <row r="3180" spans="1:3" x14ac:dyDescent="0.25">
      <c r="A3180" t="s">
        <v>4425</v>
      </c>
      <c r="B3180" t="s">
        <v>6962</v>
      </c>
      <c r="C3180" s="1">
        <v>45905</v>
      </c>
    </row>
    <row r="3181" spans="1:3" x14ac:dyDescent="0.25">
      <c r="A3181" t="s">
        <v>3069</v>
      </c>
      <c r="B3181" t="s">
        <v>6962</v>
      </c>
      <c r="C3181" s="1">
        <v>45917</v>
      </c>
    </row>
    <row r="3182" spans="1:3" x14ac:dyDescent="0.25">
      <c r="A3182" t="s">
        <v>3070</v>
      </c>
      <c r="B3182" t="s">
        <v>6962</v>
      </c>
      <c r="C3182" s="1">
        <v>45910</v>
      </c>
    </row>
    <row r="3183" spans="1:3" x14ac:dyDescent="0.25">
      <c r="A3183" t="s">
        <v>3070</v>
      </c>
      <c r="B3183" t="s">
        <v>6962</v>
      </c>
      <c r="C3183" s="1">
        <v>45910</v>
      </c>
    </row>
    <row r="3184" spans="1:3" x14ac:dyDescent="0.25">
      <c r="A3184" t="s">
        <v>4426</v>
      </c>
      <c r="B3184" t="s">
        <v>6962</v>
      </c>
      <c r="C3184" s="1">
        <v>45918</v>
      </c>
    </row>
    <row r="3185" spans="1:3" x14ac:dyDescent="0.25">
      <c r="A3185" t="s">
        <v>6927</v>
      </c>
      <c r="B3185" t="s">
        <v>6962</v>
      </c>
      <c r="C3185" s="1">
        <v>45904</v>
      </c>
    </row>
    <row r="3186" spans="1:3" x14ac:dyDescent="0.25">
      <c r="A3186" t="s">
        <v>4429</v>
      </c>
      <c r="B3186" t="s">
        <v>39</v>
      </c>
      <c r="C3186" s="1"/>
    </row>
    <row r="3187" spans="1:3" x14ac:dyDescent="0.25">
      <c r="A3187" t="s">
        <v>2793</v>
      </c>
      <c r="B3187" t="s">
        <v>6964</v>
      </c>
      <c r="C3187" s="1">
        <v>45909</v>
      </c>
    </row>
    <row r="3188" spans="1:3" x14ac:dyDescent="0.25">
      <c r="A3188" t="s">
        <v>4428</v>
      </c>
      <c r="B3188" t="s">
        <v>6962</v>
      </c>
      <c r="C3188" s="1">
        <v>45909</v>
      </c>
    </row>
    <row r="3189" spans="1:3" x14ac:dyDescent="0.25">
      <c r="A3189" t="s">
        <v>4427</v>
      </c>
      <c r="B3189" t="s">
        <v>6962</v>
      </c>
      <c r="C3189" s="1">
        <v>45908</v>
      </c>
    </row>
    <row r="3190" spans="1:3" x14ac:dyDescent="0.25">
      <c r="A3190" t="s">
        <v>4430</v>
      </c>
      <c r="B3190" t="s">
        <v>6962</v>
      </c>
      <c r="C3190" s="1">
        <v>45908</v>
      </c>
    </row>
    <row r="3191" spans="1:3" x14ac:dyDescent="0.25">
      <c r="A3191" t="s">
        <v>3163</v>
      </c>
      <c r="B3191" t="s">
        <v>6962</v>
      </c>
      <c r="C3191" s="1">
        <v>45905</v>
      </c>
    </row>
    <row r="3192" spans="1:3" x14ac:dyDescent="0.25">
      <c r="A3192" t="s">
        <v>3163</v>
      </c>
      <c r="B3192" t="s">
        <v>6962</v>
      </c>
      <c r="C3192" s="1">
        <v>45905</v>
      </c>
    </row>
    <row r="3193" spans="1:3" x14ac:dyDescent="0.25">
      <c r="A3193" t="s">
        <v>4431</v>
      </c>
      <c r="B3193" t="s">
        <v>6962</v>
      </c>
      <c r="C3193" s="1">
        <v>45909</v>
      </c>
    </row>
    <row r="3194" spans="1:3" x14ac:dyDescent="0.25">
      <c r="A3194" t="s">
        <v>4432</v>
      </c>
      <c r="B3194" t="s">
        <v>6962</v>
      </c>
      <c r="C3194" s="1">
        <v>45910</v>
      </c>
    </row>
    <row r="3195" spans="1:3" x14ac:dyDescent="0.25">
      <c r="A3195" t="s">
        <v>3071</v>
      </c>
      <c r="B3195" t="s">
        <v>6962</v>
      </c>
      <c r="C3195" s="1">
        <v>45924</v>
      </c>
    </row>
    <row r="3196" spans="1:3" x14ac:dyDescent="0.25">
      <c r="A3196" t="s">
        <v>4433</v>
      </c>
      <c r="B3196" t="s">
        <v>6962</v>
      </c>
      <c r="C3196" s="1">
        <v>45911</v>
      </c>
    </row>
    <row r="3197" spans="1:3" x14ac:dyDescent="0.25">
      <c r="A3197" t="s">
        <v>4434</v>
      </c>
      <c r="B3197" t="s">
        <v>6962</v>
      </c>
      <c r="C3197" s="1">
        <v>45915</v>
      </c>
    </row>
    <row r="3198" spans="1:3" x14ac:dyDescent="0.25">
      <c r="A3198" t="s">
        <v>4436</v>
      </c>
      <c r="B3198" t="s">
        <v>6962</v>
      </c>
      <c r="C3198" s="1">
        <v>45910</v>
      </c>
    </row>
    <row r="3199" spans="1:3" x14ac:dyDescent="0.25">
      <c r="A3199" t="s">
        <v>6928</v>
      </c>
      <c r="B3199" t="s">
        <v>6962</v>
      </c>
      <c r="C3199" s="1">
        <v>45905</v>
      </c>
    </row>
    <row r="3200" spans="1:3" x14ac:dyDescent="0.25">
      <c r="A3200" t="s">
        <v>4437</v>
      </c>
      <c r="B3200" t="s">
        <v>6962</v>
      </c>
      <c r="C3200" s="1">
        <v>45906</v>
      </c>
    </row>
    <row r="3201" spans="1:3" x14ac:dyDescent="0.25">
      <c r="A3201" t="s">
        <v>4439</v>
      </c>
      <c r="B3201" t="s">
        <v>6962</v>
      </c>
      <c r="C3201" s="1">
        <v>45905</v>
      </c>
    </row>
    <row r="3202" spans="1:3" x14ac:dyDescent="0.25">
      <c r="A3202" t="s">
        <v>4438</v>
      </c>
      <c r="B3202" t="s">
        <v>6962</v>
      </c>
      <c r="C3202" s="1">
        <v>45911</v>
      </c>
    </row>
    <row r="3203" spans="1:3" x14ac:dyDescent="0.25">
      <c r="A3203" t="s">
        <v>4440</v>
      </c>
      <c r="B3203" t="s">
        <v>6962</v>
      </c>
      <c r="C3203" s="1">
        <v>45917</v>
      </c>
    </row>
    <row r="3204" spans="1:3" x14ac:dyDescent="0.25">
      <c r="A3204" t="s">
        <v>2794</v>
      </c>
      <c r="B3204" t="s">
        <v>6962</v>
      </c>
      <c r="C3204" s="1">
        <v>45912</v>
      </c>
    </row>
    <row r="3205" spans="1:3" x14ac:dyDescent="0.25">
      <c r="A3205" t="s">
        <v>4443</v>
      </c>
      <c r="B3205" t="s">
        <v>6963</v>
      </c>
      <c r="C3205" s="1">
        <v>45905</v>
      </c>
    </row>
    <row r="3206" spans="1:3" x14ac:dyDescent="0.25">
      <c r="A3206" t="s">
        <v>4442</v>
      </c>
      <c r="B3206" t="s">
        <v>6962</v>
      </c>
      <c r="C3206" s="1">
        <v>45916</v>
      </c>
    </row>
    <row r="3207" spans="1:3" x14ac:dyDescent="0.25">
      <c r="A3207" t="s">
        <v>4441</v>
      </c>
      <c r="B3207" t="s">
        <v>39</v>
      </c>
      <c r="C3207" s="1"/>
    </row>
    <row r="3208" spans="1:3" x14ac:dyDescent="0.25">
      <c r="A3208" t="s">
        <v>4448</v>
      </c>
      <c r="B3208" t="s">
        <v>6962</v>
      </c>
      <c r="C3208" s="1">
        <v>45911</v>
      </c>
    </row>
    <row r="3209" spans="1:3" x14ac:dyDescent="0.25">
      <c r="A3209" t="s">
        <v>4447</v>
      </c>
      <c r="B3209" t="s">
        <v>6962</v>
      </c>
      <c r="C3209" s="1">
        <v>45909</v>
      </c>
    </row>
    <row r="3210" spans="1:3" x14ac:dyDescent="0.25">
      <c r="A3210" t="s">
        <v>2795</v>
      </c>
      <c r="B3210" t="s">
        <v>6962</v>
      </c>
      <c r="C3210" s="1">
        <v>45905</v>
      </c>
    </row>
    <row r="3211" spans="1:3" x14ac:dyDescent="0.25">
      <c r="A3211" t="s">
        <v>4446</v>
      </c>
      <c r="B3211" t="s">
        <v>6962</v>
      </c>
      <c r="C3211" s="1">
        <v>45911</v>
      </c>
    </row>
    <row r="3212" spans="1:3" x14ac:dyDescent="0.25">
      <c r="A3212" t="s">
        <v>2788</v>
      </c>
      <c r="B3212" t="s">
        <v>6962</v>
      </c>
      <c r="C3212" s="1">
        <v>45904</v>
      </c>
    </row>
    <row r="3213" spans="1:3" x14ac:dyDescent="0.25">
      <c r="A3213" t="s">
        <v>6929</v>
      </c>
      <c r="B3213" t="s">
        <v>6962</v>
      </c>
      <c r="C3213" s="1">
        <v>45906</v>
      </c>
    </row>
    <row r="3214" spans="1:3" x14ac:dyDescent="0.25">
      <c r="A3214" t="s">
        <v>4450</v>
      </c>
      <c r="B3214" t="s">
        <v>6962</v>
      </c>
      <c r="C3214" s="1">
        <v>45906</v>
      </c>
    </row>
    <row r="3215" spans="1:3" x14ac:dyDescent="0.25">
      <c r="A3215" t="s">
        <v>4449</v>
      </c>
      <c r="B3215" t="s">
        <v>6962</v>
      </c>
      <c r="C3215" s="1">
        <v>45906</v>
      </c>
    </row>
    <row r="3216" spans="1:3" x14ac:dyDescent="0.25">
      <c r="A3216" t="s">
        <v>3173</v>
      </c>
      <c r="B3216" t="s">
        <v>6962</v>
      </c>
      <c r="C3216" s="1">
        <v>45913</v>
      </c>
    </row>
    <row r="3217" spans="1:3" x14ac:dyDescent="0.25">
      <c r="A3217" t="s">
        <v>3173</v>
      </c>
      <c r="B3217" t="s">
        <v>6962</v>
      </c>
      <c r="C3217" s="1">
        <v>45913</v>
      </c>
    </row>
    <row r="3218" spans="1:3" x14ac:dyDescent="0.25">
      <c r="A3218" t="s">
        <v>4451</v>
      </c>
      <c r="B3218" t="s">
        <v>6962</v>
      </c>
      <c r="C3218" s="1">
        <v>45919</v>
      </c>
    </row>
    <row r="3219" spans="1:3" x14ac:dyDescent="0.25">
      <c r="A3219" t="s">
        <v>4452</v>
      </c>
      <c r="B3219" t="s">
        <v>6962</v>
      </c>
      <c r="C3219" s="1">
        <v>45910</v>
      </c>
    </row>
    <row r="3220" spans="1:3" x14ac:dyDescent="0.25">
      <c r="A3220" t="s">
        <v>4453</v>
      </c>
      <c r="B3220" t="s">
        <v>6962</v>
      </c>
      <c r="C3220" s="1">
        <v>45909</v>
      </c>
    </row>
    <row r="3221" spans="1:3" x14ac:dyDescent="0.25">
      <c r="A3221" t="s">
        <v>4455</v>
      </c>
      <c r="B3221" t="s">
        <v>6962</v>
      </c>
      <c r="C3221" s="1">
        <v>45909</v>
      </c>
    </row>
    <row r="3222" spans="1:3" x14ac:dyDescent="0.25">
      <c r="A3222" t="s">
        <v>4454</v>
      </c>
      <c r="B3222" t="s">
        <v>6962</v>
      </c>
      <c r="C3222" s="1">
        <v>45909</v>
      </c>
    </row>
    <row r="3223" spans="1:3" x14ac:dyDescent="0.25">
      <c r="A3223" t="s">
        <v>2796</v>
      </c>
      <c r="B3223" t="s">
        <v>39</v>
      </c>
      <c r="C3223" s="1"/>
    </row>
    <row r="3224" spans="1:3" x14ac:dyDescent="0.25">
      <c r="A3224" t="s">
        <v>3174</v>
      </c>
      <c r="B3224" t="s">
        <v>6962</v>
      </c>
      <c r="C3224" s="1">
        <v>45913</v>
      </c>
    </row>
    <row r="3225" spans="1:3" x14ac:dyDescent="0.25">
      <c r="A3225" t="s">
        <v>3174</v>
      </c>
      <c r="B3225" t="s">
        <v>6962</v>
      </c>
      <c r="C3225" s="1">
        <v>45913</v>
      </c>
    </row>
    <row r="3226" spans="1:3" x14ac:dyDescent="0.25">
      <c r="A3226" t="s">
        <v>4457</v>
      </c>
      <c r="B3226" t="s">
        <v>6962</v>
      </c>
      <c r="C3226" s="1">
        <v>45909</v>
      </c>
    </row>
    <row r="3227" spans="1:3" x14ac:dyDescent="0.25">
      <c r="A3227" t="s">
        <v>4458</v>
      </c>
      <c r="B3227" t="s">
        <v>6962</v>
      </c>
      <c r="C3227" s="1">
        <v>45906</v>
      </c>
    </row>
    <row r="3228" spans="1:3" x14ac:dyDescent="0.25">
      <c r="A3228" t="s">
        <v>4461</v>
      </c>
      <c r="B3228" t="s">
        <v>6962</v>
      </c>
      <c r="C3228" s="1">
        <v>45913</v>
      </c>
    </row>
    <row r="3229" spans="1:3" x14ac:dyDescent="0.25">
      <c r="A3229" t="s">
        <v>4460</v>
      </c>
      <c r="B3229" t="s">
        <v>6962</v>
      </c>
      <c r="C3229" s="1">
        <v>45910</v>
      </c>
    </row>
    <row r="3230" spans="1:3" x14ac:dyDescent="0.25">
      <c r="A3230" t="s">
        <v>4463</v>
      </c>
      <c r="B3230" t="s">
        <v>6962</v>
      </c>
      <c r="C3230" s="1">
        <v>45909</v>
      </c>
    </row>
    <row r="3231" spans="1:3" x14ac:dyDescent="0.25">
      <c r="A3231" t="s">
        <v>4470</v>
      </c>
      <c r="B3231" t="s">
        <v>6963</v>
      </c>
      <c r="C3231" s="1"/>
    </row>
    <row r="3232" spans="1:3" x14ac:dyDescent="0.25">
      <c r="A3232" t="s">
        <v>4469</v>
      </c>
      <c r="B3232" t="s">
        <v>6963</v>
      </c>
      <c r="C3232" s="1"/>
    </row>
    <row r="3233" spans="1:3" x14ac:dyDescent="0.25">
      <c r="A3233" t="s">
        <v>4468</v>
      </c>
      <c r="B3233" t="s">
        <v>6963</v>
      </c>
      <c r="C3233" s="1"/>
    </row>
    <row r="3234" spans="1:3" x14ac:dyDescent="0.25">
      <c r="A3234" t="s">
        <v>4467</v>
      </c>
      <c r="B3234" t="s">
        <v>6963</v>
      </c>
      <c r="C3234" s="1"/>
    </row>
    <row r="3235" spans="1:3" x14ac:dyDescent="0.25">
      <c r="A3235" t="s">
        <v>4466</v>
      </c>
      <c r="B3235" t="s">
        <v>6963</v>
      </c>
      <c r="C3235" s="1"/>
    </row>
    <row r="3236" spans="1:3" x14ac:dyDescent="0.25">
      <c r="A3236" t="s">
        <v>4465</v>
      </c>
      <c r="B3236" t="s">
        <v>6963</v>
      </c>
      <c r="C3236" s="1"/>
    </row>
    <row r="3237" spans="1:3" x14ac:dyDescent="0.25">
      <c r="A3237" t="s">
        <v>4472</v>
      </c>
      <c r="B3237" t="s">
        <v>6963</v>
      </c>
      <c r="C3237" s="1"/>
    </row>
    <row r="3238" spans="1:3" x14ac:dyDescent="0.25">
      <c r="A3238" t="s">
        <v>4471</v>
      </c>
      <c r="B3238" t="s">
        <v>6963</v>
      </c>
      <c r="C3238" s="1"/>
    </row>
    <row r="3239" spans="1:3" x14ac:dyDescent="0.25">
      <c r="A3239" t="s">
        <v>4473</v>
      </c>
      <c r="B3239" t="s">
        <v>6963</v>
      </c>
      <c r="C3239" s="1"/>
    </row>
    <row r="3240" spans="1:3" x14ac:dyDescent="0.25">
      <c r="A3240" t="s">
        <v>4474</v>
      </c>
      <c r="B3240" t="s">
        <v>6963</v>
      </c>
      <c r="C3240" s="1"/>
    </row>
    <row r="3241" spans="1:3" x14ac:dyDescent="0.25">
      <c r="A3241" t="s">
        <v>4475</v>
      </c>
      <c r="B3241" t="s">
        <v>6963</v>
      </c>
      <c r="C3241" s="1"/>
    </row>
    <row r="3242" spans="1:3" x14ac:dyDescent="0.25">
      <c r="A3242" t="s">
        <v>4476</v>
      </c>
      <c r="B3242" t="s">
        <v>6963</v>
      </c>
      <c r="C3242" s="1"/>
    </row>
    <row r="3243" spans="1:3" x14ac:dyDescent="0.25">
      <c r="A3243" t="s">
        <v>4477</v>
      </c>
      <c r="B3243" t="s">
        <v>6962</v>
      </c>
      <c r="C3243" s="1">
        <v>45919</v>
      </c>
    </row>
    <row r="3244" spans="1:3" x14ac:dyDescent="0.25">
      <c r="A3244" t="s">
        <v>4478</v>
      </c>
      <c r="B3244" t="s">
        <v>6963</v>
      </c>
      <c r="C3244" s="1"/>
    </row>
    <row r="3245" spans="1:3" x14ac:dyDescent="0.25">
      <c r="A3245" t="s">
        <v>6930</v>
      </c>
      <c r="B3245" t="s">
        <v>6963</v>
      </c>
      <c r="C3245" s="1"/>
    </row>
    <row r="3246" spans="1:3" x14ac:dyDescent="0.25">
      <c r="A3246" t="s">
        <v>6930</v>
      </c>
      <c r="B3246" t="s">
        <v>6963</v>
      </c>
      <c r="C3246" s="1"/>
    </row>
    <row r="3247" spans="1:3" x14ac:dyDescent="0.25">
      <c r="A3247" t="s">
        <v>3175</v>
      </c>
      <c r="B3247" t="s">
        <v>6962</v>
      </c>
      <c r="C3247" s="1">
        <v>45917</v>
      </c>
    </row>
    <row r="3248" spans="1:3" x14ac:dyDescent="0.25">
      <c r="A3248" t="s">
        <v>3175</v>
      </c>
      <c r="B3248" t="s">
        <v>6962</v>
      </c>
      <c r="C3248" s="1">
        <v>45917</v>
      </c>
    </row>
    <row r="3249" spans="1:3" x14ac:dyDescent="0.25">
      <c r="A3249" t="s">
        <v>3176</v>
      </c>
      <c r="B3249" t="s">
        <v>6963</v>
      </c>
      <c r="C3249" s="1"/>
    </row>
    <row r="3250" spans="1:3" x14ac:dyDescent="0.25">
      <c r="A3250" t="s">
        <v>3176</v>
      </c>
      <c r="B3250" t="s">
        <v>6963</v>
      </c>
      <c r="C3250" s="1"/>
    </row>
    <row r="3251" spans="1:3" x14ac:dyDescent="0.25">
      <c r="A3251" t="s">
        <v>4479</v>
      </c>
      <c r="B3251" t="s">
        <v>6962</v>
      </c>
      <c r="C3251" s="1">
        <v>45918</v>
      </c>
    </row>
    <row r="3252" spans="1:3" x14ac:dyDescent="0.25">
      <c r="A3252" t="s">
        <v>4479</v>
      </c>
      <c r="B3252" t="s">
        <v>6962</v>
      </c>
      <c r="C3252" s="1">
        <v>45911</v>
      </c>
    </row>
    <row r="3253" spans="1:3" x14ac:dyDescent="0.25">
      <c r="A3253" t="s">
        <v>4479</v>
      </c>
      <c r="B3253" t="s">
        <v>6962</v>
      </c>
      <c r="C3253" s="1">
        <v>45910</v>
      </c>
    </row>
    <row r="3254" spans="1:3" x14ac:dyDescent="0.25">
      <c r="A3254" t="s">
        <v>3177</v>
      </c>
      <c r="B3254" t="s">
        <v>6962</v>
      </c>
      <c r="C3254" s="1">
        <v>45916</v>
      </c>
    </row>
    <row r="3255" spans="1:3" x14ac:dyDescent="0.25">
      <c r="A3255" t="s">
        <v>3177</v>
      </c>
      <c r="B3255" t="s">
        <v>6962</v>
      </c>
      <c r="C3255" s="1">
        <v>45916</v>
      </c>
    </row>
    <row r="3256" spans="1:3" x14ac:dyDescent="0.25">
      <c r="A3256" t="s">
        <v>3178</v>
      </c>
      <c r="B3256" t="s">
        <v>6962</v>
      </c>
      <c r="C3256" s="1">
        <v>45917</v>
      </c>
    </row>
    <row r="3257" spans="1:3" x14ac:dyDescent="0.25">
      <c r="A3257" t="s">
        <v>4480</v>
      </c>
      <c r="B3257" t="s">
        <v>6962</v>
      </c>
      <c r="C3257" s="1">
        <v>45911</v>
      </c>
    </row>
    <row r="3258" spans="1:3" x14ac:dyDescent="0.25">
      <c r="A3258" t="s">
        <v>2797</v>
      </c>
      <c r="B3258" t="s">
        <v>6962</v>
      </c>
      <c r="C3258" s="1">
        <v>45911</v>
      </c>
    </row>
    <row r="3259" spans="1:3" x14ac:dyDescent="0.25">
      <c r="A3259" t="s">
        <v>4481</v>
      </c>
      <c r="B3259" t="s">
        <v>6962</v>
      </c>
      <c r="C3259" s="1">
        <v>45922</v>
      </c>
    </row>
    <row r="3260" spans="1:3" x14ac:dyDescent="0.25">
      <c r="A3260" t="s">
        <v>4481</v>
      </c>
      <c r="B3260" t="s">
        <v>6962</v>
      </c>
      <c r="C3260" s="1">
        <v>45919</v>
      </c>
    </row>
    <row r="3261" spans="1:3" x14ac:dyDescent="0.25">
      <c r="A3261" t="s">
        <v>4482</v>
      </c>
      <c r="B3261" t="s">
        <v>6962</v>
      </c>
      <c r="C3261" s="1">
        <v>45918</v>
      </c>
    </row>
    <row r="3262" spans="1:3" x14ac:dyDescent="0.25">
      <c r="A3262" t="s">
        <v>4483</v>
      </c>
      <c r="B3262" t="s">
        <v>6962</v>
      </c>
      <c r="C3262" s="1">
        <v>45912</v>
      </c>
    </row>
    <row r="3263" spans="1:3" x14ac:dyDescent="0.25">
      <c r="A3263" t="s">
        <v>4484</v>
      </c>
      <c r="B3263" t="s">
        <v>6962</v>
      </c>
      <c r="C3263" s="1">
        <v>45912</v>
      </c>
    </row>
    <row r="3264" spans="1:3" x14ac:dyDescent="0.25">
      <c r="A3264" t="s">
        <v>2798</v>
      </c>
      <c r="B3264" t="s">
        <v>6962</v>
      </c>
      <c r="C3264" s="1">
        <v>45910</v>
      </c>
    </row>
    <row r="3265" spans="1:3" x14ac:dyDescent="0.25">
      <c r="A3265" t="s">
        <v>4485</v>
      </c>
      <c r="B3265" t="s">
        <v>39</v>
      </c>
      <c r="C3265" s="1"/>
    </row>
    <row r="3266" spans="1:3" x14ac:dyDescent="0.25">
      <c r="A3266" t="s">
        <v>3179</v>
      </c>
      <c r="B3266" t="s">
        <v>6962</v>
      </c>
      <c r="C3266" s="1">
        <v>45917</v>
      </c>
    </row>
    <row r="3267" spans="1:3" x14ac:dyDescent="0.25">
      <c r="A3267" t="s">
        <v>3179</v>
      </c>
      <c r="B3267" t="s">
        <v>6962</v>
      </c>
      <c r="C3267" s="1">
        <v>45917</v>
      </c>
    </row>
    <row r="3268" spans="1:3" x14ac:dyDescent="0.25">
      <c r="A3268" t="s">
        <v>4486</v>
      </c>
      <c r="B3268" t="s">
        <v>6962</v>
      </c>
      <c r="C3268" s="1">
        <v>45911</v>
      </c>
    </row>
    <row r="3269" spans="1:3" x14ac:dyDescent="0.25">
      <c r="A3269" t="s">
        <v>2799</v>
      </c>
      <c r="B3269" t="s">
        <v>6962</v>
      </c>
      <c r="C3269" s="1">
        <v>45912</v>
      </c>
    </row>
    <row r="3270" spans="1:3" x14ac:dyDescent="0.25">
      <c r="A3270" t="s">
        <v>6931</v>
      </c>
      <c r="B3270" t="s">
        <v>6962</v>
      </c>
      <c r="C3270" s="1">
        <v>45911</v>
      </c>
    </row>
    <row r="3271" spans="1:3" x14ac:dyDescent="0.25">
      <c r="A3271" t="s">
        <v>2800</v>
      </c>
      <c r="B3271" t="s">
        <v>39</v>
      </c>
      <c r="C3271" s="1"/>
    </row>
    <row r="3272" spans="1:3" x14ac:dyDescent="0.25">
      <c r="A3272" t="s">
        <v>4487</v>
      </c>
      <c r="B3272" t="s">
        <v>6962</v>
      </c>
      <c r="C3272" s="1">
        <v>45915</v>
      </c>
    </row>
    <row r="3273" spans="1:3" x14ac:dyDescent="0.25">
      <c r="A3273" t="s">
        <v>6932</v>
      </c>
      <c r="B3273" t="s">
        <v>6962</v>
      </c>
      <c r="C3273" s="1">
        <v>45911</v>
      </c>
    </row>
    <row r="3274" spans="1:3" x14ac:dyDescent="0.25">
      <c r="A3274" t="s">
        <v>3180</v>
      </c>
      <c r="B3274" t="s">
        <v>6962</v>
      </c>
      <c r="C3274" s="1">
        <v>45918</v>
      </c>
    </row>
    <row r="3275" spans="1:3" x14ac:dyDescent="0.25">
      <c r="A3275" t="s">
        <v>3180</v>
      </c>
      <c r="B3275" t="s">
        <v>6962</v>
      </c>
      <c r="C3275" s="1">
        <v>45918</v>
      </c>
    </row>
    <row r="3276" spans="1:3" x14ac:dyDescent="0.25">
      <c r="A3276" t="s">
        <v>4488</v>
      </c>
      <c r="B3276" t="s">
        <v>6962</v>
      </c>
      <c r="C3276" s="1">
        <v>45913</v>
      </c>
    </row>
    <row r="3277" spans="1:3" x14ac:dyDescent="0.25">
      <c r="A3277" t="s">
        <v>2801</v>
      </c>
      <c r="B3277" t="s">
        <v>6962</v>
      </c>
      <c r="C3277" s="1">
        <v>45911</v>
      </c>
    </row>
    <row r="3278" spans="1:3" x14ac:dyDescent="0.25">
      <c r="A3278" t="s">
        <v>3072</v>
      </c>
      <c r="B3278" t="s">
        <v>6962</v>
      </c>
      <c r="C3278" s="1">
        <v>45919</v>
      </c>
    </row>
    <row r="3279" spans="1:3" x14ac:dyDescent="0.25">
      <c r="A3279" t="s">
        <v>4489</v>
      </c>
      <c r="B3279" t="s">
        <v>6962</v>
      </c>
      <c r="C3279" s="1">
        <v>45913</v>
      </c>
    </row>
    <row r="3280" spans="1:3" x14ac:dyDescent="0.25">
      <c r="A3280" t="s">
        <v>4490</v>
      </c>
      <c r="B3280" t="s">
        <v>6962</v>
      </c>
      <c r="C3280" s="1">
        <v>45919</v>
      </c>
    </row>
    <row r="3281" spans="1:3" x14ac:dyDescent="0.25">
      <c r="A3281" t="s">
        <v>2802</v>
      </c>
      <c r="B3281" t="s">
        <v>6962</v>
      </c>
      <c r="C3281" s="1">
        <v>45916</v>
      </c>
    </row>
    <row r="3282" spans="1:3" x14ac:dyDescent="0.25">
      <c r="A3282" t="s">
        <v>2803</v>
      </c>
      <c r="B3282" t="s">
        <v>6962</v>
      </c>
      <c r="C3282" s="1">
        <v>45916</v>
      </c>
    </row>
    <row r="3283" spans="1:3" x14ac:dyDescent="0.25">
      <c r="A3283" t="s">
        <v>2805</v>
      </c>
      <c r="B3283" t="s">
        <v>6962</v>
      </c>
      <c r="C3283" s="1">
        <v>45912</v>
      </c>
    </row>
    <row r="3284" spans="1:3" x14ac:dyDescent="0.25">
      <c r="A3284" t="s">
        <v>4372</v>
      </c>
      <c r="B3284" t="s">
        <v>6962</v>
      </c>
      <c r="C3284" s="1">
        <v>45912</v>
      </c>
    </row>
    <row r="3285" spans="1:3" x14ac:dyDescent="0.25">
      <c r="A3285" t="s">
        <v>4448</v>
      </c>
      <c r="B3285" t="s">
        <v>6962</v>
      </c>
      <c r="C3285" s="1">
        <v>45916</v>
      </c>
    </row>
    <row r="3286" spans="1:3" x14ac:dyDescent="0.25">
      <c r="A3286" t="s">
        <v>2809</v>
      </c>
      <c r="B3286" t="s">
        <v>6962</v>
      </c>
      <c r="C3286" s="1">
        <v>45920</v>
      </c>
    </row>
    <row r="3287" spans="1:3" x14ac:dyDescent="0.25">
      <c r="A3287" t="s">
        <v>2808</v>
      </c>
      <c r="B3287" t="s">
        <v>39</v>
      </c>
      <c r="C3287" s="1"/>
    </row>
    <row r="3288" spans="1:3" x14ac:dyDescent="0.25">
      <c r="A3288" t="s">
        <v>2807</v>
      </c>
      <c r="B3288" t="s">
        <v>39</v>
      </c>
      <c r="C3288" s="1"/>
    </row>
    <row r="3289" spans="1:3" x14ac:dyDescent="0.25">
      <c r="A3289" t="s">
        <v>2806</v>
      </c>
      <c r="B3289" t="s">
        <v>39</v>
      </c>
      <c r="C3289" s="1"/>
    </row>
    <row r="3290" spans="1:3" x14ac:dyDescent="0.25">
      <c r="A3290" t="s">
        <v>4496</v>
      </c>
      <c r="B3290" t="s">
        <v>6962</v>
      </c>
      <c r="C3290" s="1">
        <v>45920</v>
      </c>
    </row>
    <row r="3291" spans="1:3" x14ac:dyDescent="0.25">
      <c r="A3291" t="s">
        <v>2810</v>
      </c>
      <c r="B3291" t="s">
        <v>39</v>
      </c>
      <c r="C3291" s="1"/>
    </row>
    <row r="3292" spans="1:3" x14ac:dyDescent="0.25">
      <c r="A3292" t="s">
        <v>3185</v>
      </c>
      <c r="B3292" t="s">
        <v>6963</v>
      </c>
      <c r="C3292" s="1"/>
    </row>
    <row r="3293" spans="1:3" x14ac:dyDescent="0.25">
      <c r="A3293" t="s">
        <v>3185</v>
      </c>
      <c r="B3293" t="s">
        <v>6963</v>
      </c>
      <c r="C3293" s="1"/>
    </row>
    <row r="3294" spans="1:3" x14ac:dyDescent="0.25">
      <c r="A3294" t="s">
        <v>2811</v>
      </c>
      <c r="B3294" t="s">
        <v>6962</v>
      </c>
      <c r="C3294" s="1">
        <v>45918</v>
      </c>
    </row>
    <row r="3295" spans="1:3" x14ac:dyDescent="0.25">
      <c r="A3295" t="s">
        <v>4500</v>
      </c>
      <c r="B3295" t="s">
        <v>6962</v>
      </c>
      <c r="C3295" s="1">
        <v>45920</v>
      </c>
    </row>
    <row r="3296" spans="1:3" x14ac:dyDescent="0.25">
      <c r="A3296" t="s">
        <v>4499</v>
      </c>
      <c r="B3296" t="s">
        <v>6962</v>
      </c>
      <c r="C3296" s="1">
        <v>45920</v>
      </c>
    </row>
    <row r="3297" spans="1:3" x14ac:dyDescent="0.25">
      <c r="A3297" t="s">
        <v>4498</v>
      </c>
      <c r="B3297" t="s">
        <v>6962</v>
      </c>
      <c r="C3297" s="1">
        <v>45913</v>
      </c>
    </row>
    <row r="3298" spans="1:3" x14ac:dyDescent="0.25">
      <c r="A3298" t="s">
        <v>4497</v>
      </c>
      <c r="B3298" t="s">
        <v>6962</v>
      </c>
      <c r="C3298" s="1">
        <v>45913</v>
      </c>
    </row>
    <row r="3299" spans="1:3" x14ac:dyDescent="0.25">
      <c r="A3299" t="s">
        <v>2813</v>
      </c>
      <c r="B3299" t="s">
        <v>6962</v>
      </c>
      <c r="C3299" s="1">
        <v>45916</v>
      </c>
    </row>
    <row r="3300" spans="1:3" x14ac:dyDescent="0.25">
      <c r="A3300" t="s">
        <v>2804</v>
      </c>
      <c r="B3300" t="s">
        <v>6962</v>
      </c>
      <c r="C3300" s="1">
        <v>45912</v>
      </c>
    </row>
    <row r="3301" spans="1:3" x14ac:dyDescent="0.25">
      <c r="A3301" t="s">
        <v>2812</v>
      </c>
      <c r="B3301" t="s">
        <v>6962</v>
      </c>
      <c r="C3301" s="1">
        <v>45924</v>
      </c>
    </row>
    <row r="3302" spans="1:3" x14ac:dyDescent="0.25">
      <c r="A3302" t="s">
        <v>3186</v>
      </c>
      <c r="B3302" t="s">
        <v>6962</v>
      </c>
      <c r="C3302" s="1">
        <v>45920</v>
      </c>
    </row>
    <row r="3303" spans="1:3" x14ac:dyDescent="0.25">
      <c r="A3303" t="s">
        <v>3186</v>
      </c>
      <c r="B3303" t="s">
        <v>6962</v>
      </c>
      <c r="C3303" s="1">
        <v>45920</v>
      </c>
    </row>
    <row r="3304" spans="1:3" x14ac:dyDescent="0.25">
      <c r="A3304" t="s">
        <v>2814</v>
      </c>
      <c r="B3304" t="s">
        <v>6962</v>
      </c>
      <c r="C3304" s="1">
        <v>45916</v>
      </c>
    </row>
    <row r="3305" spans="1:3" x14ac:dyDescent="0.25">
      <c r="A3305" t="s">
        <v>4502</v>
      </c>
      <c r="B3305" t="s">
        <v>6962</v>
      </c>
      <c r="C3305" s="1">
        <v>45917</v>
      </c>
    </row>
    <row r="3306" spans="1:3" x14ac:dyDescent="0.25">
      <c r="A3306" t="s">
        <v>4503</v>
      </c>
      <c r="B3306" t="s">
        <v>6962</v>
      </c>
      <c r="C3306" s="1">
        <v>45929</v>
      </c>
    </row>
    <row r="3307" spans="1:3" x14ac:dyDescent="0.25">
      <c r="A3307" t="s">
        <v>4503</v>
      </c>
      <c r="B3307" t="s">
        <v>6962</v>
      </c>
      <c r="C3307" s="1">
        <v>45933</v>
      </c>
    </row>
    <row r="3308" spans="1:3" x14ac:dyDescent="0.25">
      <c r="A3308" t="s">
        <v>4503</v>
      </c>
      <c r="B3308" t="s">
        <v>6962</v>
      </c>
      <c r="C3308" s="1">
        <v>45941</v>
      </c>
    </row>
    <row r="3309" spans="1:3" x14ac:dyDescent="0.25">
      <c r="A3309" t="s">
        <v>4503</v>
      </c>
      <c r="B3309" t="s">
        <v>6962</v>
      </c>
      <c r="C3309" s="1">
        <v>45929</v>
      </c>
    </row>
    <row r="3310" spans="1:3" x14ac:dyDescent="0.25">
      <c r="A3310" t="s">
        <v>4503</v>
      </c>
      <c r="B3310" t="s">
        <v>6962</v>
      </c>
      <c r="C3310" s="1">
        <v>45929</v>
      </c>
    </row>
    <row r="3311" spans="1:3" x14ac:dyDescent="0.25">
      <c r="A3311" t="s">
        <v>6933</v>
      </c>
      <c r="B3311" t="s">
        <v>39</v>
      </c>
      <c r="C3311" s="1"/>
    </row>
    <row r="3312" spans="1:3" x14ac:dyDescent="0.25">
      <c r="A3312" t="s">
        <v>4504</v>
      </c>
      <c r="B3312" t="s">
        <v>6962</v>
      </c>
      <c r="C3312" s="1">
        <v>45915</v>
      </c>
    </row>
    <row r="3313" spans="1:3" x14ac:dyDescent="0.25">
      <c r="A3313" t="s">
        <v>4504</v>
      </c>
      <c r="B3313" t="s">
        <v>6962</v>
      </c>
      <c r="C3313" s="1">
        <v>45920</v>
      </c>
    </row>
    <row r="3314" spans="1:3" x14ac:dyDescent="0.25">
      <c r="A3314" t="s">
        <v>4504</v>
      </c>
      <c r="B3314" t="s">
        <v>6962</v>
      </c>
      <c r="C3314" s="1">
        <v>45920</v>
      </c>
    </row>
    <row r="3315" spans="1:3" x14ac:dyDescent="0.25">
      <c r="A3315" t="s">
        <v>4504</v>
      </c>
      <c r="B3315" t="s">
        <v>6962</v>
      </c>
      <c r="C3315" s="1">
        <v>45926</v>
      </c>
    </row>
    <row r="3316" spans="1:3" x14ac:dyDescent="0.25">
      <c r="A3316" t="s">
        <v>2815</v>
      </c>
      <c r="B3316" t="s">
        <v>39</v>
      </c>
      <c r="C3316" s="1"/>
    </row>
    <row r="3317" spans="1:3" x14ac:dyDescent="0.25">
      <c r="A3317" t="s">
        <v>2818</v>
      </c>
      <c r="B3317" t="s">
        <v>6962</v>
      </c>
      <c r="C3317" s="1">
        <v>45916</v>
      </c>
    </row>
    <row r="3318" spans="1:3" x14ac:dyDescent="0.25">
      <c r="A3318" t="s">
        <v>2817</v>
      </c>
      <c r="B3318" t="s">
        <v>6962</v>
      </c>
      <c r="C3318" s="1">
        <v>45923</v>
      </c>
    </row>
    <row r="3319" spans="1:3" x14ac:dyDescent="0.25">
      <c r="A3319" t="s">
        <v>2816</v>
      </c>
      <c r="B3319" t="s">
        <v>6962</v>
      </c>
      <c r="C3319" s="1">
        <v>45916</v>
      </c>
    </row>
    <row r="3320" spans="1:3" x14ac:dyDescent="0.25">
      <c r="A3320" t="s">
        <v>4505</v>
      </c>
      <c r="B3320" t="s">
        <v>6962</v>
      </c>
      <c r="C3320" s="1">
        <v>45919</v>
      </c>
    </row>
    <row r="3321" spans="1:3" x14ac:dyDescent="0.25">
      <c r="A3321" t="s">
        <v>4506</v>
      </c>
      <c r="B3321" t="s">
        <v>6962</v>
      </c>
      <c r="C3321" s="1">
        <v>45922</v>
      </c>
    </row>
    <row r="3322" spans="1:3" x14ac:dyDescent="0.25">
      <c r="A3322" t="s">
        <v>4507</v>
      </c>
      <c r="B3322" t="s">
        <v>6962</v>
      </c>
      <c r="C3322" s="1">
        <v>45918</v>
      </c>
    </row>
    <row r="3323" spans="1:3" x14ac:dyDescent="0.25">
      <c r="A3323" t="s">
        <v>4508</v>
      </c>
      <c r="B3323" t="s">
        <v>6962</v>
      </c>
      <c r="C3323" s="1">
        <v>45917</v>
      </c>
    </row>
    <row r="3324" spans="1:3" x14ac:dyDescent="0.25">
      <c r="A3324" t="s">
        <v>6934</v>
      </c>
      <c r="B3324" t="s">
        <v>6963</v>
      </c>
      <c r="C3324" s="1"/>
    </row>
    <row r="3325" spans="1:3" x14ac:dyDescent="0.25">
      <c r="A3325" t="s">
        <v>4509</v>
      </c>
      <c r="B3325" t="s">
        <v>6962</v>
      </c>
      <c r="C3325" s="1">
        <v>45919</v>
      </c>
    </row>
    <row r="3326" spans="1:3" x14ac:dyDescent="0.25">
      <c r="A3326" t="s">
        <v>4510</v>
      </c>
      <c r="B3326" t="s">
        <v>6963</v>
      </c>
      <c r="C3326" s="1"/>
    </row>
    <row r="3327" spans="1:3" x14ac:dyDescent="0.25">
      <c r="A3327" t="s">
        <v>4511</v>
      </c>
      <c r="B3327" t="s">
        <v>6962</v>
      </c>
      <c r="C3327" s="1">
        <v>45926</v>
      </c>
    </row>
    <row r="3328" spans="1:3" x14ac:dyDescent="0.25">
      <c r="A3328" t="s">
        <v>4511</v>
      </c>
      <c r="B3328" t="s">
        <v>6963</v>
      </c>
      <c r="C3328" s="1"/>
    </row>
    <row r="3329" spans="1:3" x14ac:dyDescent="0.25">
      <c r="A3329" t="s">
        <v>4512</v>
      </c>
      <c r="B3329" t="s">
        <v>6962</v>
      </c>
      <c r="C3329" s="1">
        <v>45922</v>
      </c>
    </row>
    <row r="3330" spans="1:3" x14ac:dyDescent="0.25">
      <c r="A3330" t="s">
        <v>4512</v>
      </c>
      <c r="B3330" t="s">
        <v>6962</v>
      </c>
      <c r="C3330" s="1">
        <v>45917</v>
      </c>
    </row>
    <row r="3331" spans="1:3" x14ac:dyDescent="0.25">
      <c r="A3331" t="s">
        <v>2819</v>
      </c>
      <c r="B3331" t="s">
        <v>6962</v>
      </c>
      <c r="C3331" s="1">
        <v>45917</v>
      </c>
    </row>
    <row r="3332" spans="1:3" x14ac:dyDescent="0.25">
      <c r="A3332" t="s">
        <v>4513</v>
      </c>
      <c r="B3332" t="s">
        <v>6962</v>
      </c>
      <c r="C3332" s="1">
        <v>45920</v>
      </c>
    </row>
    <row r="3333" spans="1:3" x14ac:dyDescent="0.25">
      <c r="A3333" t="s">
        <v>4516</v>
      </c>
      <c r="B3333" t="s">
        <v>6962</v>
      </c>
      <c r="C3333" s="1">
        <v>45922</v>
      </c>
    </row>
    <row r="3334" spans="1:3" x14ac:dyDescent="0.25">
      <c r="A3334" t="s">
        <v>2820</v>
      </c>
      <c r="B3334" t="s">
        <v>6963</v>
      </c>
      <c r="C3334" s="1"/>
    </row>
    <row r="3335" spans="1:3" x14ac:dyDescent="0.25">
      <c r="A3335" t="s">
        <v>4517</v>
      </c>
      <c r="B3335" t="s">
        <v>6962</v>
      </c>
      <c r="C3335" s="1">
        <v>45934</v>
      </c>
    </row>
    <row r="3336" spans="1:3" x14ac:dyDescent="0.25">
      <c r="A3336" t="s">
        <v>3187</v>
      </c>
      <c r="B3336" t="s">
        <v>6962</v>
      </c>
      <c r="C3336" s="1">
        <v>45925</v>
      </c>
    </row>
    <row r="3337" spans="1:3" x14ac:dyDescent="0.25">
      <c r="A3337" t="s">
        <v>4518</v>
      </c>
      <c r="B3337" t="s">
        <v>6962</v>
      </c>
      <c r="C3337" s="1">
        <v>45929</v>
      </c>
    </row>
    <row r="3338" spans="1:3" x14ac:dyDescent="0.25">
      <c r="A3338" t="s">
        <v>4518</v>
      </c>
      <c r="B3338" t="s">
        <v>6962</v>
      </c>
      <c r="C3338" s="1">
        <v>45946</v>
      </c>
    </row>
    <row r="3339" spans="1:3" x14ac:dyDescent="0.25">
      <c r="A3339" t="s">
        <v>3188</v>
      </c>
      <c r="B3339" t="s">
        <v>6962</v>
      </c>
      <c r="C3339" s="1">
        <v>45925</v>
      </c>
    </row>
    <row r="3340" spans="1:3" x14ac:dyDescent="0.25">
      <c r="A3340" t="s">
        <v>4522</v>
      </c>
      <c r="B3340" t="s">
        <v>6962</v>
      </c>
      <c r="C3340" s="1">
        <v>45920</v>
      </c>
    </row>
    <row r="3341" spans="1:3" x14ac:dyDescent="0.25">
      <c r="A3341" t="s">
        <v>4521</v>
      </c>
      <c r="B3341" t="s">
        <v>6962</v>
      </c>
      <c r="C3341" s="1">
        <v>45922</v>
      </c>
    </row>
    <row r="3342" spans="1:3" x14ac:dyDescent="0.25">
      <c r="A3342" t="s">
        <v>4520</v>
      </c>
      <c r="B3342" t="s">
        <v>6962</v>
      </c>
      <c r="C3342" s="1">
        <v>45921</v>
      </c>
    </row>
    <row r="3343" spans="1:3" x14ac:dyDescent="0.25">
      <c r="A3343" t="s">
        <v>4519</v>
      </c>
      <c r="B3343" t="s">
        <v>6962</v>
      </c>
      <c r="C3343" s="1">
        <v>45922</v>
      </c>
    </row>
    <row r="3344" spans="1:3" x14ac:dyDescent="0.25">
      <c r="A3344" t="s">
        <v>4525</v>
      </c>
      <c r="B3344" t="s">
        <v>39</v>
      </c>
      <c r="C3344" s="1"/>
    </row>
    <row r="3345" spans="1:3" x14ac:dyDescent="0.25">
      <c r="A3345" t="s">
        <v>2822</v>
      </c>
      <c r="B3345" t="s">
        <v>6962</v>
      </c>
      <c r="C3345" s="1">
        <v>45920</v>
      </c>
    </row>
    <row r="3346" spans="1:3" x14ac:dyDescent="0.25">
      <c r="A3346" t="s">
        <v>2821</v>
      </c>
      <c r="B3346" t="s">
        <v>39</v>
      </c>
      <c r="C3346" s="1"/>
    </row>
    <row r="3347" spans="1:3" x14ac:dyDescent="0.25">
      <c r="A3347" t="s">
        <v>4524</v>
      </c>
      <c r="B3347" t="s">
        <v>6962</v>
      </c>
      <c r="C3347" s="1">
        <v>45917</v>
      </c>
    </row>
    <row r="3348" spans="1:3" x14ac:dyDescent="0.25">
      <c r="A3348" t="s">
        <v>4524</v>
      </c>
      <c r="B3348" t="s">
        <v>6962</v>
      </c>
      <c r="C3348" s="1">
        <v>45920</v>
      </c>
    </row>
    <row r="3349" spans="1:3" x14ac:dyDescent="0.25">
      <c r="A3349" t="s">
        <v>4524</v>
      </c>
      <c r="B3349" t="s">
        <v>6962</v>
      </c>
      <c r="C3349" s="1">
        <v>45923</v>
      </c>
    </row>
    <row r="3350" spans="1:3" x14ac:dyDescent="0.25">
      <c r="A3350" t="s">
        <v>4523</v>
      </c>
      <c r="B3350" t="s">
        <v>6962</v>
      </c>
      <c r="C3350" s="1">
        <v>45923</v>
      </c>
    </row>
    <row r="3351" spans="1:3" x14ac:dyDescent="0.25">
      <c r="A3351" t="s">
        <v>4515</v>
      </c>
      <c r="B3351" t="s">
        <v>6962</v>
      </c>
      <c r="C3351" s="1">
        <v>45919</v>
      </c>
    </row>
    <row r="3352" spans="1:3" x14ac:dyDescent="0.25">
      <c r="A3352" t="s">
        <v>4529</v>
      </c>
      <c r="B3352" t="s">
        <v>6962</v>
      </c>
      <c r="C3352" s="1">
        <v>45923</v>
      </c>
    </row>
    <row r="3353" spans="1:3" x14ac:dyDescent="0.25">
      <c r="A3353" t="s">
        <v>4528</v>
      </c>
      <c r="B3353" t="s">
        <v>6962</v>
      </c>
      <c r="C3353" s="1">
        <v>45926</v>
      </c>
    </row>
    <row r="3354" spans="1:3" x14ac:dyDescent="0.25">
      <c r="A3354" t="s">
        <v>4527</v>
      </c>
      <c r="B3354" t="s">
        <v>6962</v>
      </c>
      <c r="C3354" s="1">
        <v>45922</v>
      </c>
    </row>
    <row r="3355" spans="1:3" x14ac:dyDescent="0.25">
      <c r="A3355" t="s">
        <v>2823</v>
      </c>
      <c r="B3355" t="s">
        <v>6962</v>
      </c>
      <c r="C3355" s="1">
        <v>45922</v>
      </c>
    </row>
    <row r="3356" spans="1:3" x14ac:dyDescent="0.25">
      <c r="A3356" t="s">
        <v>4526</v>
      </c>
      <c r="B3356" t="s">
        <v>6962</v>
      </c>
      <c r="C3356" s="1">
        <v>45922</v>
      </c>
    </row>
    <row r="3357" spans="1:3" x14ac:dyDescent="0.25">
      <c r="A3357" t="s">
        <v>4531</v>
      </c>
      <c r="B3357" t="s">
        <v>6962</v>
      </c>
      <c r="C3357" s="1">
        <v>45919</v>
      </c>
    </row>
    <row r="3358" spans="1:3" x14ac:dyDescent="0.25">
      <c r="A3358" t="s">
        <v>4532</v>
      </c>
      <c r="B3358" t="s">
        <v>6962</v>
      </c>
      <c r="C3358" s="1">
        <v>45927</v>
      </c>
    </row>
    <row r="3359" spans="1:3" x14ac:dyDescent="0.25">
      <c r="A3359" t="s">
        <v>4410</v>
      </c>
      <c r="B3359" t="s">
        <v>6962</v>
      </c>
      <c r="C3359" s="1">
        <v>45921</v>
      </c>
    </row>
    <row r="3360" spans="1:3" x14ac:dyDescent="0.25">
      <c r="A3360" t="s">
        <v>4410</v>
      </c>
      <c r="B3360" t="s">
        <v>6962</v>
      </c>
      <c r="C3360" s="1">
        <v>45921</v>
      </c>
    </row>
    <row r="3361" spans="1:3" x14ac:dyDescent="0.25">
      <c r="A3361" t="s">
        <v>4533</v>
      </c>
      <c r="B3361" t="s">
        <v>6962</v>
      </c>
      <c r="C3361" s="1">
        <v>45923</v>
      </c>
    </row>
    <row r="3362" spans="1:3" x14ac:dyDescent="0.25">
      <c r="A3362" t="s">
        <v>4534</v>
      </c>
      <c r="B3362" t="s">
        <v>6962</v>
      </c>
      <c r="C3362" s="1">
        <v>45926</v>
      </c>
    </row>
    <row r="3363" spans="1:3" x14ac:dyDescent="0.25">
      <c r="A3363" t="s">
        <v>4535</v>
      </c>
      <c r="B3363" t="s">
        <v>6962</v>
      </c>
      <c r="C3363" s="1">
        <v>45925</v>
      </c>
    </row>
    <row r="3364" spans="1:3" x14ac:dyDescent="0.25">
      <c r="A3364" t="s">
        <v>6935</v>
      </c>
      <c r="B3364" t="s">
        <v>6962</v>
      </c>
      <c r="C3364" s="1">
        <v>45918</v>
      </c>
    </row>
    <row r="3365" spans="1:3" x14ac:dyDescent="0.25">
      <c r="A3365" t="s">
        <v>2824</v>
      </c>
      <c r="B3365" t="s">
        <v>6962</v>
      </c>
      <c r="C3365" s="1">
        <v>45920</v>
      </c>
    </row>
    <row r="3366" spans="1:3" x14ac:dyDescent="0.25">
      <c r="A3366" t="s">
        <v>4537</v>
      </c>
      <c r="B3366" t="s">
        <v>6962</v>
      </c>
      <c r="C3366" s="1">
        <v>45918</v>
      </c>
    </row>
    <row r="3367" spans="1:3" x14ac:dyDescent="0.25">
      <c r="A3367" t="s">
        <v>4536</v>
      </c>
      <c r="B3367" t="s">
        <v>6963</v>
      </c>
      <c r="C3367" s="1"/>
    </row>
    <row r="3368" spans="1:3" x14ac:dyDescent="0.25">
      <c r="A3368" t="s">
        <v>4538</v>
      </c>
      <c r="B3368" t="s">
        <v>6962</v>
      </c>
      <c r="C3368" s="1">
        <v>45921</v>
      </c>
    </row>
    <row r="3369" spans="1:3" x14ac:dyDescent="0.25">
      <c r="A3369" t="s">
        <v>4540</v>
      </c>
      <c r="B3369" t="s">
        <v>6962</v>
      </c>
      <c r="C3369" s="1">
        <v>45921</v>
      </c>
    </row>
    <row r="3370" spans="1:3" x14ac:dyDescent="0.25">
      <c r="A3370" t="s">
        <v>2825</v>
      </c>
      <c r="B3370" t="s">
        <v>6962</v>
      </c>
      <c r="C3370" s="1">
        <v>45918</v>
      </c>
    </row>
    <row r="3371" spans="1:3" x14ac:dyDescent="0.25">
      <c r="A3371" t="s">
        <v>2826</v>
      </c>
      <c r="B3371" t="s">
        <v>6962</v>
      </c>
      <c r="C3371" s="1">
        <v>45920</v>
      </c>
    </row>
    <row r="3372" spans="1:3" x14ac:dyDescent="0.25">
      <c r="A3372" t="s">
        <v>4541</v>
      </c>
      <c r="B3372" t="s">
        <v>6962</v>
      </c>
      <c r="C3372" s="1">
        <v>45921</v>
      </c>
    </row>
    <row r="3373" spans="1:3" x14ac:dyDescent="0.25">
      <c r="A3373" t="s">
        <v>4541</v>
      </c>
      <c r="B3373" t="s">
        <v>6962</v>
      </c>
      <c r="C3373" s="1">
        <v>45933</v>
      </c>
    </row>
    <row r="3374" spans="1:3" x14ac:dyDescent="0.25">
      <c r="A3374" t="s">
        <v>4541</v>
      </c>
      <c r="B3374" t="s">
        <v>6962</v>
      </c>
      <c r="C3374" s="1">
        <v>45922</v>
      </c>
    </row>
    <row r="3375" spans="1:3" x14ac:dyDescent="0.25">
      <c r="A3375" t="s">
        <v>2827</v>
      </c>
      <c r="B3375" t="s">
        <v>6962</v>
      </c>
      <c r="C3375" s="1">
        <v>45920</v>
      </c>
    </row>
    <row r="3376" spans="1:3" x14ac:dyDescent="0.25">
      <c r="A3376" t="s">
        <v>4542</v>
      </c>
      <c r="B3376" t="s">
        <v>6963</v>
      </c>
      <c r="C3376" s="1"/>
    </row>
    <row r="3377" spans="1:3" x14ac:dyDescent="0.25">
      <c r="A3377" t="s">
        <v>4542</v>
      </c>
      <c r="B3377" t="s">
        <v>6962</v>
      </c>
      <c r="C3377" s="1">
        <v>45924</v>
      </c>
    </row>
    <row r="3378" spans="1:3" x14ac:dyDescent="0.25">
      <c r="A3378" t="s">
        <v>4542</v>
      </c>
      <c r="B3378" t="s">
        <v>6964</v>
      </c>
      <c r="C3378" s="1">
        <v>45926</v>
      </c>
    </row>
    <row r="3379" spans="1:3" x14ac:dyDescent="0.25">
      <c r="A3379" t="s">
        <v>4543</v>
      </c>
      <c r="B3379" t="s">
        <v>6962</v>
      </c>
      <c r="C3379" s="1">
        <v>45922</v>
      </c>
    </row>
    <row r="3380" spans="1:3" x14ac:dyDescent="0.25">
      <c r="A3380" t="s">
        <v>4544</v>
      </c>
      <c r="B3380" t="s">
        <v>39</v>
      </c>
      <c r="C3380" s="1"/>
    </row>
    <row r="3381" spans="1:3" x14ac:dyDescent="0.25">
      <c r="A3381" t="s">
        <v>4545</v>
      </c>
      <c r="B3381" t="s">
        <v>6962</v>
      </c>
      <c r="C3381" s="1">
        <v>45922</v>
      </c>
    </row>
    <row r="3382" spans="1:3" x14ac:dyDescent="0.25">
      <c r="A3382" t="s">
        <v>4546</v>
      </c>
      <c r="B3382" t="s">
        <v>6962</v>
      </c>
      <c r="C3382" s="1">
        <v>45920</v>
      </c>
    </row>
    <row r="3383" spans="1:3" x14ac:dyDescent="0.25">
      <c r="A3383" t="s">
        <v>4547</v>
      </c>
      <c r="B3383" t="s">
        <v>6962</v>
      </c>
      <c r="C3383" s="1">
        <v>45926</v>
      </c>
    </row>
    <row r="3384" spans="1:3" x14ac:dyDescent="0.25">
      <c r="A3384" t="s">
        <v>4548</v>
      </c>
      <c r="B3384" t="s">
        <v>6962</v>
      </c>
      <c r="C3384" s="1">
        <v>45922</v>
      </c>
    </row>
    <row r="3385" spans="1:3" x14ac:dyDescent="0.25">
      <c r="A3385" t="s">
        <v>4551</v>
      </c>
      <c r="B3385" t="s">
        <v>6962</v>
      </c>
      <c r="C3385" s="1">
        <v>45922</v>
      </c>
    </row>
    <row r="3386" spans="1:3" x14ac:dyDescent="0.25">
      <c r="A3386" t="s">
        <v>4550</v>
      </c>
      <c r="B3386" t="s">
        <v>6962</v>
      </c>
      <c r="C3386" s="1">
        <v>45926</v>
      </c>
    </row>
    <row r="3387" spans="1:3" x14ac:dyDescent="0.25">
      <c r="A3387" t="s">
        <v>4549</v>
      </c>
      <c r="B3387" t="s">
        <v>6962</v>
      </c>
      <c r="C3387" s="1">
        <v>45922</v>
      </c>
    </row>
    <row r="3388" spans="1:3" x14ac:dyDescent="0.25">
      <c r="A3388" t="s">
        <v>2828</v>
      </c>
      <c r="B3388" t="s">
        <v>6962</v>
      </c>
      <c r="C3388" s="1">
        <v>45918</v>
      </c>
    </row>
    <row r="3389" spans="1:3" x14ac:dyDescent="0.25">
      <c r="A3389" t="s">
        <v>4552</v>
      </c>
      <c r="B3389" t="s">
        <v>6962</v>
      </c>
      <c r="C3389" s="1">
        <v>45925</v>
      </c>
    </row>
    <row r="3390" spans="1:3" x14ac:dyDescent="0.25">
      <c r="A3390" t="s">
        <v>4553</v>
      </c>
      <c r="B3390" t="s">
        <v>6962</v>
      </c>
      <c r="C3390" s="1">
        <v>45920</v>
      </c>
    </row>
    <row r="3391" spans="1:3" x14ac:dyDescent="0.25">
      <c r="A3391" t="s">
        <v>2829</v>
      </c>
      <c r="B3391" t="s">
        <v>6962</v>
      </c>
      <c r="C3391" s="1">
        <v>45920</v>
      </c>
    </row>
    <row r="3392" spans="1:3" x14ac:dyDescent="0.25">
      <c r="A3392" t="s">
        <v>4554</v>
      </c>
      <c r="B3392" t="s">
        <v>6962</v>
      </c>
      <c r="C3392" s="1">
        <v>45925</v>
      </c>
    </row>
    <row r="3393" spans="1:3" x14ac:dyDescent="0.25">
      <c r="A3393" t="s">
        <v>4557</v>
      </c>
      <c r="B3393" t="s">
        <v>6962</v>
      </c>
      <c r="C3393" s="1">
        <v>45926</v>
      </c>
    </row>
    <row r="3394" spans="1:3" x14ac:dyDescent="0.25">
      <c r="A3394" t="s">
        <v>4556</v>
      </c>
      <c r="B3394" t="s">
        <v>6962</v>
      </c>
      <c r="C3394" s="1">
        <v>45925</v>
      </c>
    </row>
    <row r="3395" spans="1:3" x14ac:dyDescent="0.25">
      <c r="A3395" t="s">
        <v>4555</v>
      </c>
      <c r="B3395" t="s">
        <v>6962</v>
      </c>
      <c r="C3395" s="1">
        <v>45924</v>
      </c>
    </row>
    <row r="3396" spans="1:3" x14ac:dyDescent="0.25">
      <c r="A3396" t="s">
        <v>4558</v>
      </c>
      <c r="B3396" t="s">
        <v>6962</v>
      </c>
      <c r="C3396" s="1">
        <v>45929</v>
      </c>
    </row>
    <row r="3397" spans="1:3" x14ac:dyDescent="0.25">
      <c r="A3397" t="s">
        <v>4558</v>
      </c>
      <c r="B3397" t="s">
        <v>6962</v>
      </c>
      <c r="C3397" s="1">
        <v>45922</v>
      </c>
    </row>
    <row r="3398" spans="1:3" x14ac:dyDescent="0.25">
      <c r="A3398" t="s">
        <v>4558</v>
      </c>
      <c r="B3398" t="s">
        <v>6962</v>
      </c>
      <c r="C3398" s="1">
        <v>45922</v>
      </c>
    </row>
    <row r="3399" spans="1:3" x14ac:dyDescent="0.25">
      <c r="A3399" t="s">
        <v>4558</v>
      </c>
      <c r="B3399" t="s">
        <v>6962</v>
      </c>
      <c r="C3399" s="1">
        <v>45922</v>
      </c>
    </row>
    <row r="3400" spans="1:3" x14ac:dyDescent="0.25">
      <c r="A3400" t="s">
        <v>4558</v>
      </c>
      <c r="B3400" t="s">
        <v>6962</v>
      </c>
      <c r="C3400" s="1">
        <v>45924</v>
      </c>
    </row>
    <row r="3401" spans="1:3" x14ac:dyDescent="0.25">
      <c r="A3401" t="s">
        <v>4559</v>
      </c>
      <c r="B3401" t="s">
        <v>6962</v>
      </c>
      <c r="C3401" s="1">
        <v>45923</v>
      </c>
    </row>
    <row r="3402" spans="1:3" x14ac:dyDescent="0.25">
      <c r="A3402" t="s">
        <v>4560</v>
      </c>
      <c r="B3402" t="s">
        <v>6962</v>
      </c>
      <c r="C3402" s="1">
        <v>45924</v>
      </c>
    </row>
    <row r="3403" spans="1:3" x14ac:dyDescent="0.25">
      <c r="A3403" t="s">
        <v>4563</v>
      </c>
      <c r="B3403" t="s">
        <v>6962</v>
      </c>
      <c r="C3403" s="1">
        <v>45919</v>
      </c>
    </row>
    <row r="3404" spans="1:3" x14ac:dyDescent="0.25">
      <c r="A3404" t="s">
        <v>4562</v>
      </c>
      <c r="B3404" t="s">
        <v>6963</v>
      </c>
      <c r="C3404" s="1"/>
    </row>
    <row r="3405" spans="1:3" x14ac:dyDescent="0.25">
      <c r="A3405" t="s">
        <v>4561</v>
      </c>
      <c r="B3405" t="s">
        <v>6962</v>
      </c>
      <c r="C3405" s="1">
        <v>45922</v>
      </c>
    </row>
    <row r="3406" spans="1:3" x14ac:dyDescent="0.25">
      <c r="A3406" t="s">
        <v>3189</v>
      </c>
      <c r="B3406" t="s">
        <v>6962</v>
      </c>
      <c r="C3406" s="1">
        <v>45929</v>
      </c>
    </row>
    <row r="3407" spans="1:3" x14ac:dyDescent="0.25">
      <c r="A3407" t="s">
        <v>2831</v>
      </c>
      <c r="B3407" t="s">
        <v>6962</v>
      </c>
      <c r="C3407" s="1">
        <v>45925</v>
      </c>
    </row>
    <row r="3408" spans="1:3" x14ac:dyDescent="0.25">
      <c r="A3408" t="s">
        <v>4564</v>
      </c>
      <c r="B3408" t="s">
        <v>6962</v>
      </c>
      <c r="C3408" s="1">
        <v>45926</v>
      </c>
    </row>
    <row r="3409" spans="1:3" x14ac:dyDescent="0.25">
      <c r="A3409" t="s">
        <v>2832</v>
      </c>
      <c r="B3409" t="s">
        <v>39</v>
      </c>
      <c r="C3409" s="1"/>
    </row>
    <row r="3410" spans="1:3" x14ac:dyDescent="0.25">
      <c r="A3410" t="s">
        <v>4565</v>
      </c>
      <c r="B3410" t="s">
        <v>6962</v>
      </c>
      <c r="C3410" s="1">
        <v>45926</v>
      </c>
    </row>
    <row r="3411" spans="1:3" x14ac:dyDescent="0.25">
      <c r="A3411" t="s">
        <v>4566</v>
      </c>
      <c r="B3411" t="s">
        <v>6962</v>
      </c>
      <c r="C3411" s="1">
        <v>45924</v>
      </c>
    </row>
    <row r="3412" spans="1:3" x14ac:dyDescent="0.25">
      <c r="A3412" t="s">
        <v>4567</v>
      </c>
      <c r="B3412" t="s">
        <v>6962</v>
      </c>
      <c r="C3412" s="1">
        <v>45926</v>
      </c>
    </row>
    <row r="3413" spans="1:3" x14ac:dyDescent="0.25">
      <c r="A3413" t="s">
        <v>4568</v>
      </c>
      <c r="B3413" t="s">
        <v>6962</v>
      </c>
      <c r="C3413" s="1">
        <v>45922</v>
      </c>
    </row>
    <row r="3414" spans="1:3" x14ac:dyDescent="0.25">
      <c r="A3414" t="s">
        <v>4568</v>
      </c>
      <c r="B3414" t="s">
        <v>6962</v>
      </c>
      <c r="C3414" s="1">
        <v>45922</v>
      </c>
    </row>
    <row r="3415" spans="1:3" x14ac:dyDescent="0.25">
      <c r="A3415" t="s">
        <v>4569</v>
      </c>
      <c r="B3415" t="s">
        <v>6962</v>
      </c>
      <c r="C3415" s="1">
        <v>45927</v>
      </c>
    </row>
    <row r="3416" spans="1:3" x14ac:dyDescent="0.25">
      <c r="A3416" t="s">
        <v>4573</v>
      </c>
      <c r="B3416" t="s">
        <v>6962</v>
      </c>
      <c r="C3416" s="1">
        <v>45929</v>
      </c>
    </row>
    <row r="3417" spans="1:3" x14ac:dyDescent="0.25">
      <c r="A3417" t="s">
        <v>4572</v>
      </c>
      <c r="B3417" t="s">
        <v>6962</v>
      </c>
      <c r="C3417" s="1">
        <v>45927</v>
      </c>
    </row>
    <row r="3418" spans="1:3" x14ac:dyDescent="0.25">
      <c r="A3418" t="s">
        <v>4571</v>
      </c>
      <c r="B3418" t="s">
        <v>6962</v>
      </c>
      <c r="C3418" s="1">
        <v>45926</v>
      </c>
    </row>
    <row r="3419" spans="1:3" x14ac:dyDescent="0.25">
      <c r="A3419" t="s">
        <v>4571</v>
      </c>
      <c r="B3419" t="s">
        <v>6962</v>
      </c>
      <c r="C3419" s="1">
        <v>45922</v>
      </c>
    </row>
    <row r="3420" spans="1:3" x14ac:dyDescent="0.25">
      <c r="A3420" t="s">
        <v>4570</v>
      </c>
      <c r="B3420" t="s">
        <v>6962</v>
      </c>
      <c r="C3420" s="1">
        <v>45926</v>
      </c>
    </row>
    <row r="3421" spans="1:3" x14ac:dyDescent="0.25">
      <c r="A3421" t="s">
        <v>3073</v>
      </c>
      <c r="B3421" t="s">
        <v>6962</v>
      </c>
      <c r="C3421" s="1">
        <v>45930</v>
      </c>
    </row>
    <row r="3422" spans="1:3" x14ac:dyDescent="0.25">
      <c r="A3422" t="s">
        <v>4574</v>
      </c>
      <c r="B3422" t="s">
        <v>6962</v>
      </c>
      <c r="C3422" s="1">
        <v>45926</v>
      </c>
    </row>
    <row r="3423" spans="1:3" x14ac:dyDescent="0.25">
      <c r="A3423" t="s">
        <v>4576</v>
      </c>
      <c r="B3423" t="s">
        <v>39</v>
      </c>
      <c r="C3423" s="1"/>
    </row>
    <row r="3424" spans="1:3" x14ac:dyDescent="0.25">
      <c r="A3424" t="s">
        <v>4575</v>
      </c>
      <c r="B3424" t="s">
        <v>6962</v>
      </c>
      <c r="C3424" s="1">
        <v>45927</v>
      </c>
    </row>
    <row r="3425" spans="1:3" x14ac:dyDescent="0.25">
      <c r="A3425" t="s">
        <v>4577</v>
      </c>
      <c r="B3425" t="s">
        <v>6962</v>
      </c>
      <c r="C3425" s="1">
        <v>45926</v>
      </c>
    </row>
    <row r="3426" spans="1:3" x14ac:dyDescent="0.25">
      <c r="A3426" t="s">
        <v>4578</v>
      </c>
      <c r="B3426" t="s">
        <v>6962</v>
      </c>
      <c r="C3426" s="1">
        <v>45934</v>
      </c>
    </row>
    <row r="3427" spans="1:3" x14ac:dyDescent="0.25">
      <c r="A3427" t="s">
        <v>4579</v>
      </c>
      <c r="B3427" t="s">
        <v>6962</v>
      </c>
      <c r="C3427" s="1">
        <v>45926</v>
      </c>
    </row>
    <row r="3428" spans="1:3" x14ac:dyDescent="0.25">
      <c r="A3428" t="s">
        <v>4580</v>
      </c>
      <c r="B3428" t="s">
        <v>6962</v>
      </c>
      <c r="C3428" s="1">
        <v>45924</v>
      </c>
    </row>
    <row r="3429" spans="1:3" x14ac:dyDescent="0.25">
      <c r="A3429" t="s">
        <v>4583</v>
      </c>
      <c r="B3429" t="s">
        <v>6962</v>
      </c>
      <c r="C3429" s="1">
        <v>45920</v>
      </c>
    </row>
    <row r="3430" spans="1:3" x14ac:dyDescent="0.25">
      <c r="A3430" t="s">
        <v>4582</v>
      </c>
      <c r="B3430" t="s">
        <v>6962</v>
      </c>
      <c r="C3430" s="1">
        <v>45920</v>
      </c>
    </row>
    <row r="3431" spans="1:3" x14ac:dyDescent="0.25">
      <c r="A3431" t="s">
        <v>4581</v>
      </c>
      <c r="B3431" t="s">
        <v>6962</v>
      </c>
      <c r="C3431" s="1">
        <v>45930</v>
      </c>
    </row>
    <row r="3432" spans="1:3" x14ac:dyDescent="0.25">
      <c r="A3432" t="s">
        <v>4584</v>
      </c>
      <c r="B3432" t="s">
        <v>6962</v>
      </c>
      <c r="C3432" s="1">
        <v>45929</v>
      </c>
    </row>
    <row r="3433" spans="1:3" x14ac:dyDescent="0.25">
      <c r="A3433" t="s">
        <v>4585</v>
      </c>
      <c r="B3433" t="s">
        <v>6962</v>
      </c>
      <c r="C3433" s="1">
        <v>45926</v>
      </c>
    </row>
    <row r="3434" spans="1:3" x14ac:dyDescent="0.25">
      <c r="A3434" t="s">
        <v>4586</v>
      </c>
      <c r="B3434" t="s">
        <v>6962</v>
      </c>
      <c r="C3434" s="1">
        <v>45930</v>
      </c>
    </row>
    <row r="3435" spans="1:3" x14ac:dyDescent="0.25">
      <c r="A3435" t="s">
        <v>3127</v>
      </c>
      <c r="B3435" t="s">
        <v>6962</v>
      </c>
      <c r="C3435" s="1">
        <v>45921</v>
      </c>
    </row>
    <row r="3436" spans="1:3" x14ac:dyDescent="0.25">
      <c r="A3436" t="s">
        <v>3127</v>
      </c>
      <c r="B3436" t="s">
        <v>6962</v>
      </c>
      <c r="C3436" s="1">
        <v>45921</v>
      </c>
    </row>
    <row r="3437" spans="1:3" x14ac:dyDescent="0.25">
      <c r="A3437" t="s">
        <v>4589</v>
      </c>
      <c r="B3437" t="s">
        <v>6962</v>
      </c>
      <c r="C3437" s="1">
        <v>45926</v>
      </c>
    </row>
    <row r="3438" spans="1:3" x14ac:dyDescent="0.25">
      <c r="A3438" t="s">
        <v>4588</v>
      </c>
      <c r="B3438" t="s">
        <v>6962</v>
      </c>
      <c r="C3438" s="1">
        <v>45923</v>
      </c>
    </row>
    <row r="3439" spans="1:3" x14ac:dyDescent="0.25">
      <c r="A3439" t="s">
        <v>4587</v>
      </c>
      <c r="B3439" t="s">
        <v>6962</v>
      </c>
      <c r="C3439" s="1">
        <v>45923</v>
      </c>
    </row>
    <row r="3440" spans="1:3" x14ac:dyDescent="0.25">
      <c r="A3440" t="s">
        <v>4590</v>
      </c>
      <c r="B3440" t="s">
        <v>6962</v>
      </c>
      <c r="C3440" s="1">
        <v>45933</v>
      </c>
    </row>
    <row r="3441" spans="1:3" x14ac:dyDescent="0.25">
      <c r="A3441" t="s">
        <v>2834</v>
      </c>
      <c r="B3441" t="s">
        <v>6962</v>
      </c>
      <c r="C3441" s="1">
        <v>45926</v>
      </c>
    </row>
    <row r="3442" spans="1:3" x14ac:dyDescent="0.25">
      <c r="A3442" t="s">
        <v>4591</v>
      </c>
      <c r="B3442" t="s">
        <v>6962</v>
      </c>
      <c r="C3442" s="1">
        <v>45929</v>
      </c>
    </row>
    <row r="3443" spans="1:3" x14ac:dyDescent="0.25">
      <c r="A3443" t="s">
        <v>2835</v>
      </c>
      <c r="B3443" t="s">
        <v>6962</v>
      </c>
      <c r="C3443" s="1">
        <v>45926</v>
      </c>
    </row>
    <row r="3444" spans="1:3" x14ac:dyDescent="0.25">
      <c r="A3444" t="s">
        <v>2837</v>
      </c>
      <c r="B3444" t="s">
        <v>6962</v>
      </c>
      <c r="C3444" s="1">
        <v>45936</v>
      </c>
    </row>
    <row r="3445" spans="1:3" x14ac:dyDescent="0.25">
      <c r="A3445" t="s">
        <v>2836</v>
      </c>
      <c r="B3445" t="s">
        <v>39</v>
      </c>
      <c r="C3445" s="1"/>
    </row>
    <row r="3446" spans="1:3" x14ac:dyDescent="0.25">
      <c r="A3446" t="s">
        <v>4593</v>
      </c>
      <c r="B3446" t="s">
        <v>6962</v>
      </c>
      <c r="C3446" s="1">
        <v>45926</v>
      </c>
    </row>
    <row r="3447" spans="1:3" x14ac:dyDescent="0.25">
      <c r="A3447" t="s">
        <v>6936</v>
      </c>
      <c r="B3447" t="s">
        <v>6962</v>
      </c>
      <c r="C3447" s="1"/>
    </row>
    <row r="3448" spans="1:3" x14ac:dyDescent="0.25">
      <c r="A3448" t="s">
        <v>4595</v>
      </c>
      <c r="B3448" t="s">
        <v>6962</v>
      </c>
      <c r="C3448" s="1">
        <v>45926</v>
      </c>
    </row>
    <row r="3449" spans="1:3" x14ac:dyDescent="0.25">
      <c r="A3449" t="s">
        <v>4596</v>
      </c>
      <c r="B3449" t="s">
        <v>6962</v>
      </c>
      <c r="C3449" s="1">
        <v>45926</v>
      </c>
    </row>
    <row r="3450" spans="1:3" x14ac:dyDescent="0.25">
      <c r="A3450" t="s">
        <v>3190</v>
      </c>
      <c r="B3450" t="s">
        <v>6962</v>
      </c>
      <c r="C3450" s="1">
        <v>45929</v>
      </c>
    </row>
    <row r="3451" spans="1:3" x14ac:dyDescent="0.25">
      <c r="A3451" t="s">
        <v>4597</v>
      </c>
      <c r="B3451" t="s">
        <v>6962</v>
      </c>
      <c r="C3451" s="1">
        <v>45930</v>
      </c>
    </row>
    <row r="3452" spans="1:3" x14ac:dyDescent="0.25">
      <c r="A3452" t="s">
        <v>4598</v>
      </c>
      <c r="B3452" t="s">
        <v>6962</v>
      </c>
      <c r="C3452" s="1">
        <v>45926</v>
      </c>
    </row>
    <row r="3453" spans="1:3" x14ac:dyDescent="0.25">
      <c r="A3453" t="s">
        <v>2830</v>
      </c>
      <c r="B3453" t="s">
        <v>6962</v>
      </c>
      <c r="C3453" s="1">
        <v>45924</v>
      </c>
    </row>
    <row r="3454" spans="1:3" x14ac:dyDescent="0.25">
      <c r="A3454" t="s">
        <v>3191</v>
      </c>
      <c r="B3454" t="s">
        <v>6962</v>
      </c>
      <c r="C3454" s="1">
        <v>45929</v>
      </c>
    </row>
    <row r="3455" spans="1:3" x14ac:dyDescent="0.25">
      <c r="A3455" t="s">
        <v>4604</v>
      </c>
      <c r="B3455" t="s">
        <v>6962</v>
      </c>
      <c r="C3455" s="1">
        <v>45934</v>
      </c>
    </row>
    <row r="3456" spans="1:3" x14ac:dyDescent="0.25">
      <c r="A3456" t="s">
        <v>4603</v>
      </c>
      <c r="B3456" t="s">
        <v>6962</v>
      </c>
      <c r="C3456" s="1">
        <v>45926</v>
      </c>
    </row>
    <row r="3457" spans="1:3" x14ac:dyDescent="0.25">
      <c r="A3457" t="s">
        <v>4602</v>
      </c>
      <c r="B3457" t="s">
        <v>6962</v>
      </c>
      <c r="C3457" s="1">
        <v>45938</v>
      </c>
    </row>
    <row r="3458" spans="1:3" x14ac:dyDescent="0.25">
      <c r="A3458" t="s">
        <v>4601</v>
      </c>
      <c r="B3458" t="s">
        <v>6962</v>
      </c>
      <c r="C3458" s="1">
        <v>45933</v>
      </c>
    </row>
    <row r="3459" spans="1:3" x14ac:dyDescent="0.25">
      <c r="A3459" t="s">
        <v>2838</v>
      </c>
      <c r="B3459" t="s">
        <v>39</v>
      </c>
      <c r="C3459" s="1"/>
    </row>
    <row r="3460" spans="1:3" x14ac:dyDescent="0.25">
      <c r="A3460" t="s">
        <v>4605</v>
      </c>
      <c r="B3460" t="s">
        <v>39</v>
      </c>
      <c r="C3460" s="1"/>
    </row>
    <row r="3461" spans="1:3" x14ac:dyDescent="0.25">
      <c r="A3461" t="s">
        <v>4607</v>
      </c>
      <c r="B3461" t="s">
        <v>6962</v>
      </c>
      <c r="C3461" s="1">
        <v>45930</v>
      </c>
    </row>
    <row r="3462" spans="1:3" x14ac:dyDescent="0.25">
      <c r="A3462" t="s">
        <v>4608</v>
      </c>
      <c r="B3462" t="s">
        <v>6962</v>
      </c>
      <c r="C3462" s="1">
        <v>45927</v>
      </c>
    </row>
    <row r="3463" spans="1:3" x14ac:dyDescent="0.25">
      <c r="A3463" t="s">
        <v>4609</v>
      </c>
      <c r="B3463" t="s">
        <v>6962</v>
      </c>
      <c r="C3463" s="1">
        <v>45927</v>
      </c>
    </row>
    <row r="3464" spans="1:3" x14ac:dyDescent="0.25">
      <c r="A3464" t="s">
        <v>4609</v>
      </c>
      <c r="B3464" t="s">
        <v>6962</v>
      </c>
      <c r="C3464" s="1">
        <v>45927</v>
      </c>
    </row>
    <row r="3465" spans="1:3" x14ac:dyDescent="0.25">
      <c r="A3465" t="s">
        <v>4609</v>
      </c>
      <c r="B3465" t="s">
        <v>6962</v>
      </c>
      <c r="C3465" s="1">
        <v>45927</v>
      </c>
    </row>
    <row r="3466" spans="1:3" x14ac:dyDescent="0.25">
      <c r="A3466" t="s">
        <v>4610</v>
      </c>
      <c r="B3466" t="s">
        <v>6962</v>
      </c>
      <c r="C3466" s="1">
        <v>45927</v>
      </c>
    </row>
    <row r="3467" spans="1:3" x14ac:dyDescent="0.25">
      <c r="A3467" t="s">
        <v>4611</v>
      </c>
      <c r="B3467" t="s">
        <v>6962</v>
      </c>
      <c r="C3467" s="1">
        <v>45927</v>
      </c>
    </row>
    <row r="3468" spans="1:3" x14ac:dyDescent="0.25">
      <c r="A3468" t="s">
        <v>4612</v>
      </c>
      <c r="B3468" t="s">
        <v>6962</v>
      </c>
      <c r="C3468" s="1">
        <v>45930</v>
      </c>
    </row>
    <row r="3469" spans="1:3" x14ac:dyDescent="0.25">
      <c r="A3469" t="s">
        <v>4613</v>
      </c>
      <c r="B3469" t="s">
        <v>6962</v>
      </c>
      <c r="C3469" s="1">
        <v>45929</v>
      </c>
    </row>
    <row r="3470" spans="1:3" x14ac:dyDescent="0.25">
      <c r="A3470" t="s">
        <v>4613</v>
      </c>
      <c r="B3470" t="s">
        <v>6962</v>
      </c>
      <c r="C3470" s="1">
        <v>45930</v>
      </c>
    </row>
    <row r="3471" spans="1:3" x14ac:dyDescent="0.25">
      <c r="A3471" t="s">
        <v>2839</v>
      </c>
      <c r="B3471" t="s">
        <v>6962</v>
      </c>
      <c r="C3471" s="1">
        <v>45933</v>
      </c>
    </row>
    <row r="3472" spans="1:3" x14ac:dyDescent="0.25">
      <c r="A3472" t="s">
        <v>2840</v>
      </c>
      <c r="B3472" t="s">
        <v>6964</v>
      </c>
      <c r="C3472" s="1">
        <v>45934</v>
      </c>
    </row>
    <row r="3473" spans="1:3" x14ac:dyDescent="0.25">
      <c r="A3473" t="s">
        <v>4614</v>
      </c>
      <c r="B3473" t="s">
        <v>6962</v>
      </c>
      <c r="C3473" s="1">
        <v>45938</v>
      </c>
    </row>
    <row r="3474" spans="1:3" x14ac:dyDescent="0.25">
      <c r="A3474" t="s">
        <v>4614</v>
      </c>
      <c r="B3474" t="s">
        <v>6962</v>
      </c>
      <c r="C3474" s="1">
        <v>45929</v>
      </c>
    </row>
    <row r="3475" spans="1:3" x14ac:dyDescent="0.25">
      <c r="A3475" t="s">
        <v>4614</v>
      </c>
      <c r="B3475" t="s">
        <v>6962</v>
      </c>
      <c r="C3475" s="1">
        <v>45933</v>
      </c>
    </row>
    <row r="3476" spans="1:3" x14ac:dyDescent="0.25">
      <c r="A3476" t="s">
        <v>4614</v>
      </c>
      <c r="B3476" t="s">
        <v>6962</v>
      </c>
      <c r="C3476" s="1">
        <v>45933</v>
      </c>
    </row>
    <row r="3477" spans="1:3" x14ac:dyDescent="0.25">
      <c r="A3477" t="s">
        <v>4614</v>
      </c>
      <c r="B3477" t="s">
        <v>6962</v>
      </c>
      <c r="C3477" s="1">
        <v>45929</v>
      </c>
    </row>
    <row r="3478" spans="1:3" x14ac:dyDescent="0.25">
      <c r="A3478" t="s">
        <v>4615</v>
      </c>
      <c r="B3478" t="s">
        <v>6962</v>
      </c>
      <c r="C3478" s="1">
        <v>45933</v>
      </c>
    </row>
    <row r="3479" spans="1:3" x14ac:dyDescent="0.25">
      <c r="A3479" t="s">
        <v>2841</v>
      </c>
      <c r="B3479" t="s">
        <v>6962</v>
      </c>
      <c r="C3479" s="1">
        <v>45934</v>
      </c>
    </row>
    <row r="3480" spans="1:3" x14ac:dyDescent="0.25">
      <c r="A3480" t="s">
        <v>4616</v>
      </c>
      <c r="B3480" t="s">
        <v>6962</v>
      </c>
      <c r="C3480" s="1">
        <v>45930</v>
      </c>
    </row>
    <row r="3481" spans="1:3" x14ac:dyDescent="0.25">
      <c r="A3481" t="s">
        <v>4616</v>
      </c>
      <c r="B3481" t="s">
        <v>6962</v>
      </c>
      <c r="C3481" s="1">
        <v>45933</v>
      </c>
    </row>
    <row r="3482" spans="1:3" x14ac:dyDescent="0.25">
      <c r="A3482" t="s">
        <v>4617</v>
      </c>
      <c r="B3482" t="s">
        <v>6962</v>
      </c>
      <c r="C3482" s="1">
        <v>45929</v>
      </c>
    </row>
    <row r="3483" spans="1:3" x14ac:dyDescent="0.25">
      <c r="A3483" t="s">
        <v>4618</v>
      </c>
      <c r="B3483" t="s">
        <v>6962</v>
      </c>
      <c r="C3483" s="1">
        <v>45930</v>
      </c>
    </row>
    <row r="3484" spans="1:3" x14ac:dyDescent="0.25">
      <c r="A3484" t="s">
        <v>4619</v>
      </c>
      <c r="B3484" t="s">
        <v>6962</v>
      </c>
      <c r="C3484" s="1">
        <v>45930</v>
      </c>
    </row>
    <row r="3485" spans="1:3" x14ac:dyDescent="0.25">
      <c r="A3485" t="s">
        <v>4620</v>
      </c>
      <c r="B3485" t="s">
        <v>6962</v>
      </c>
      <c r="C3485" s="1">
        <v>45929</v>
      </c>
    </row>
    <row r="3486" spans="1:3" x14ac:dyDescent="0.25">
      <c r="A3486" t="s">
        <v>4621</v>
      </c>
      <c r="B3486" t="s">
        <v>6962</v>
      </c>
      <c r="C3486" s="1">
        <v>45933</v>
      </c>
    </row>
    <row r="3487" spans="1:3" x14ac:dyDescent="0.25">
      <c r="A3487" t="s">
        <v>4622</v>
      </c>
      <c r="B3487" t="s">
        <v>6962</v>
      </c>
      <c r="C3487" s="1">
        <v>45936</v>
      </c>
    </row>
    <row r="3488" spans="1:3" x14ac:dyDescent="0.25">
      <c r="A3488" t="s">
        <v>4624</v>
      </c>
      <c r="B3488" t="s">
        <v>6962</v>
      </c>
      <c r="C3488" s="1">
        <v>45934</v>
      </c>
    </row>
    <row r="3489" spans="1:3" x14ac:dyDescent="0.25">
      <c r="A3489" t="s">
        <v>2842</v>
      </c>
      <c r="B3489" t="s">
        <v>6962</v>
      </c>
      <c r="C3489" s="1">
        <v>45933</v>
      </c>
    </row>
    <row r="3490" spans="1:3" x14ac:dyDescent="0.25">
      <c r="A3490" t="s">
        <v>4625</v>
      </c>
      <c r="B3490" t="s">
        <v>6962</v>
      </c>
      <c r="C3490" s="1">
        <v>45933</v>
      </c>
    </row>
    <row r="3491" spans="1:3" x14ac:dyDescent="0.25">
      <c r="A3491" t="s">
        <v>2843</v>
      </c>
      <c r="B3491" t="s">
        <v>39</v>
      </c>
      <c r="C3491" s="1"/>
    </row>
    <row r="3492" spans="1:3" x14ac:dyDescent="0.25">
      <c r="A3492" t="s">
        <v>4626</v>
      </c>
      <c r="B3492" t="s">
        <v>6962</v>
      </c>
      <c r="C3492" s="1">
        <v>45934</v>
      </c>
    </row>
    <row r="3493" spans="1:3" x14ac:dyDescent="0.25">
      <c r="A3493" t="s">
        <v>4627</v>
      </c>
      <c r="B3493" t="s">
        <v>6962</v>
      </c>
      <c r="C3493" s="1">
        <v>45936</v>
      </c>
    </row>
    <row r="3494" spans="1:3" x14ac:dyDescent="0.25">
      <c r="A3494" t="s">
        <v>4631</v>
      </c>
      <c r="B3494" t="s">
        <v>6962</v>
      </c>
      <c r="C3494" s="1">
        <v>45934</v>
      </c>
    </row>
    <row r="3495" spans="1:3" x14ac:dyDescent="0.25">
      <c r="A3495" t="s">
        <v>4630</v>
      </c>
      <c r="B3495" t="s">
        <v>6962</v>
      </c>
      <c r="C3495" s="1">
        <v>45938</v>
      </c>
    </row>
    <row r="3496" spans="1:3" x14ac:dyDescent="0.25">
      <c r="A3496" t="s">
        <v>4629</v>
      </c>
      <c r="B3496" t="s">
        <v>6962</v>
      </c>
      <c r="C3496" s="1">
        <v>45934</v>
      </c>
    </row>
    <row r="3497" spans="1:3" x14ac:dyDescent="0.25">
      <c r="A3497" t="s">
        <v>4628</v>
      </c>
      <c r="B3497" t="s">
        <v>6962</v>
      </c>
      <c r="C3497" s="1">
        <v>45943</v>
      </c>
    </row>
    <row r="3498" spans="1:3" x14ac:dyDescent="0.25">
      <c r="A3498" t="s">
        <v>4632</v>
      </c>
      <c r="B3498" t="s">
        <v>6962</v>
      </c>
      <c r="C3498" s="1">
        <v>45930</v>
      </c>
    </row>
    <row r="3499" spans="1:3" x14ac:dyDescent="0.25">
      <c r="A3499" t="s">
        <v>4635</v>
      </c>
      <c r="B3499" t="s">
        <v>6962</v>
      </c>
      <c r="C3499" s="1">
        <v>45931</v>
      </c>
    </row>
    <row r="3500" spans="1:3" x14ac:dyDescent="0.25">
      <c r="A3500" t="s">
        <v>4634</v>
      </c>
      <c r="B3500" t="s">
        <v>6962</v>
      </c>
      <c r="C3500" s="1">
        <v>45933</v>
      </c>
    </row>
    <row r="3501" spans="1:3" x14ac:dyDescent="0.25">
      <c r="A3501" t="s">
        <v>4633</v>
      </c>
      <c r="B3501" t="s">
        <v>6962</v>
      </c>
      <c r="C3501" s="1">
        <v>45938</v>
      </c>
    </row>
    <row r="3502" spans="1:3" x14ac:dyDescent="0.25">
      <c r="A3502" t="s">
        <v>4633</v>
      </c>
      <c r="B3502" t="s">
        <v>6962</v>
      </c>
      <c r="C3502" s="1">
        <v>45931</v>
      </c>
    </row>
    <row r="3503" spans="1:3" x14ac:dyDescent="0.25">
      <c r="A3503" t="s">
        <v>4636</v>
      </c>
      <c r="B3503" t="s">
        <v>6962</v>
      </c>
      <c r="C3503" s="1">
        <v>45935</v>
      </c>
    </row>
    <row r="3504" spans="1:3" x14ac:dyDescent="0.25">
      <c r="A3504" t="s">
        <v>3127</v>
      </c>
      <c r="B3504" t="s">
        <v>6962</v>
      </c>
      <c r="C3504" s="1">
        <v>45930</v>
      </c>
    </row>
    <row r="3505" spans="1:3" x14ac:dyDescent="0.25">
      <c r="A3505" t="s">
        <v>4637</v>
      </c>
      <c r="B3505" t="s">
        <v>6962</v>
      </c>
      <c r="C3505" s="1">
        <v>45933</v>
      </c>
    </row>
    <row r="3506" spans="1:3" x14ac:dyDescent="0.25">
      <c r="A3506" t="s">
        <v>4638</v>
      </c>
      <c r="B3506" t="s">
        <v>6962</v>
      </c>
      <c r="C3506" s="1">
        <v>45930</v>
      </c>
    </row>
    <row r="3507" spans="1:3" x14ac:dyDescent="0.25">
      <c r="A3507" t="s">
        <v>4639</v>
      </c>
      <c r="B3507" t="s">
        <v>6962</v>
      </c>
      <c r="C3507" s="1">
        <v>45944</v>
      </c>
    </row>
    <row r="3508" spans="1:3" x14ac:dyDescent="0.25">
      <c r="A3508" t="s">
        <v>4641</v>
      </c>
      <c r="B3508" t="s">
        <v>6962</v>
      </c>
      <c r="C3508" s="1">
        <v>45934</v>
      </c>
    </row>
    <row r="3509" spans="1:3" x14ac:dyDescent="0.25">
      <c r="A3509" t="s">
        <v>4642</v>
      </c>
      <c r="B3509" t="s">
        <v>39</v>
      </c>
      <c r="C3509" s="1"/>
    </row>
    <row r="3510" spans="1:3" x14ac:dyDescent="0.25">
      <c r="A3510" t="s">
        <v>4643</v>
      </c>
      <c r="B3510" t="s">
        <v>6962</v>
      </c>
      <c r="C3510" s="1">
        <v>45934</v>
      </c>
    </row>
    <row r="3511" spans="1:3" x14ac:dyDescent="0.25">
      <c r="A3511" t="s">
        <v>4644</v>
      </c>
      <c r="B3511" t="s">
        <v>6962</v>
      </c>
      <c r="C3511" s="1">
        <v>45935</v>
      </c>
    </row>
    <row r="3512" spans="1:3" x14ac:dyDescent="0.25">
      <c r="A3512" t="s">
        <v>4645</v>
      </c>
      <c r="B3512" t="s">
        <v>6962</v>
      </c>
      <c r="C3512" s="1">
        <v>45934</v>
      </c>
    </row>
    <row r="3513" spans="1:3" x14ac:dyDescent="0.25">
      <c r="A3513" t="s">
        <v>4646</v>
      </c>
      <c r="B3513" t="s">
        <v>6962</v>
      </c>
      <c r="C3513" s="1">
        <v>45938</v>
      </c>
    </row>
    <row r="3514" spans="1:3" x14ac:dyDescent="0.25">
      <c r="A3514" t="s">
        <v>4647</v>
      </c>
      <c r="B3514" t="s">
        <v>6962</v>
      </c>
      <c r="C3514" s="1">
        <v>45940</v>
      </c>
    </row>
    <row r="3515" spans="1:3" x14ac:dyDescent="0.25">
      <c r="A3515" t="s">
        <v>4648</v>
      </c>
      <c r="B3515" t="s">
        <v>6962</v>
      </c>
      <c r="C3515" s="1">
        <v>45944</v>
      </c>
    </row>
    <row r="3516" spans="1:3" x14ac:dyDescent="0.25">
      <c r="A3516" t="s">
        <v>4649</v>
      </c>
      <c r="B3516" t="s">
        <v>6962</v>
      </c>
      <c r="C3516" s="1">
        <v>45936</v>
      </c>
    </row>
    <row r="3517" spans="1:3" x14ac:dyDescent="0.25">
      <c r="A3517" t="s">
        <v>4650</v>
      </c>
      <c r="B3517" t="s">
        <v>6962</v>
      </c>
      <c r="C3517" s="1">
        <v>45938</v>
      </c>
    </row>
    <row r="3518" spans="1:3" x14ac:dyDescent="0.25">
      <c r="A3518" t="s">
        <v>4651</v>
      </c>
      <c r="B3518" t="s">
        <v>6962</v>
      </c>
      <c r="C3518" s="1">
        <v>45933</v>
      </c>
    </row>
    <row r="3519" spans="1:3" x14ac:dyDescent="0.25">
      <c r="A3519" t="s">
        <v>4652</v>
      </c>
      <c r="B3519" t="s">
        <v>6962</v>
      </c>
      <c r="C3519" s="1">
        <v>45936</v>
      </c>
    </row>
    <row r="3520" spans="1:3" x14ac:dyDescent="0.25">
      <c r="A3520" t="s">
        <v>4653</v>
      </c>
      <c r="B3520" t="s">
        <v>39</v>
      </c>
      <c r="C3520" s="1"/>
    </row>
    <row r="3521" spans="1:3" x14ac:dyDescent="0.25">
      <c r="A3521" t="s">
        <v>4654</v>
      </c>
      <c r="B3521" t="s">
        <v>6962</v>
      </c>
      <c r="C3521" s="1">
        <v>45934</v>
      </c>
    </row>
    <row r="3522" spans="1:3" x14ac:dyDescent="0.25">
      <c r="A3522" t="s">
        <v>4655</v>
      </c>
      <c r="B3522" t="s">
        <v>6962</v>
      </c>
      <c r="C3522" s="1">
        <v>45937</v>
      </c>
    </row>
    <row r="3523" spans="1:3" x14ac:dyDescent="0.25">
      <c r="A3523" t="s">
        <v>4656</v>
      </c>
      <c r="B3523" t="s">
        <v>6962</v>
      </c>
      <c r="C3523" s="1">
        <v>45933</v>
      </c>
    </row>
    <row r="3524" spans="1:3" x14ac:dyDescent="0.25">
      <c r="A3524" t="s">
        <v>4657</v>
      </c>
      <c r="B3524" t="s">
        <v>6962</v>
      </c>
      <c r="C3524" s="1">
        <v>45937</v>
      </c>
    </row>
    <row r="3525" spans="1:3" x14ac:dyDescent="0.25">
      <c r="A3525" t="s">
        <v>4659</v>
      </c>
      <c r="B3525" t="s">
        <v>6962</v>
      </c>
      <c r="C3525" s="1">
        <v>45935</v>
      </c>
    </row>
    <row r="3526" spans="1:3" x14ac:dyDescent="0.25">
      <c r="A3526" t="s">
        <v>4658</v>
      </c>
      <c r="B3526" t="s">
        <v>6962</v>
      </c>
      <c r="C3526" s="1">
        <v>45935</v>
      </c>
    </row>
    <row r="3527" spans="1:3" x14ac:dyDescent="0.25">
      <c r="A3527" t="s">
        <v>3193</v>
      </c>
      <c r="B3527" t="s">
        <v>6962</v>
      </c>
      <c r="C3527" s="1">
        <v>45935</v>
      </c>
    </row>
    <row r="3528" spans="1:3" x14ac:dyDescent="0.25">
      <c r="A3528" t="s">
        <v>4660</v>
      </c>
      <c r="B3528" t="s">
        <v>39</v>
      </c>
      <c r="C3528" s="1"/>
    </row>
    <row r="3529" spans="1:3" x14ac:dyDescent="0.25">
      <c r="A3529" t="s">
        <v>2846</v>
      </c>
      <c r="B3529" t="s">
        <v>6962</v>
      </c>
      <c r="C3529" s="1">
        <v>45934</v>
      </c>
    </row>
    <row r="3530" spans="1:3" x14ac:dyDescent="0.25">
      <c r="A3530" t="s">
        <v>4661</v>
      </c>
      <c r="B3530" t="s">
        <v>6962</v>
      </c>
      <c r="C3530" s="1">
        <v>45938</v>
      </c>
    </row>
    <row r="3531" spans="1:3" x14ac:dyDescent="0.25">
      <c r="A3531" t="s">
        <v>4662</v>
      </c>
      <c r="B3531" t="s">
        <v>6962</v>
      </c>
      <c r="C3531" s="1">
        <v>45934</v>
      </c>
    </row>
    <row r="3532" spans="1:3" x14ac:dyDescent="0.25">
      <c r="A3532" t="s">
        <v>4663</v>
      </c>
      <c r="B3532" t="s">
        <v>6962</v>
      </c>
      <c r="C3532" s="1">
        <v>45934</v>
      </c>
    </row>
    <row r="3533" spans="1:3" x14ac:dyDescent="0.25">
      <c r="A3533" t="s">
        <v>4664</v>
      </c>
      <c r="B3533" t="s">
        <v>6962</v>
      </c>
      <c r="C3533" s="1">
        <v>45935</v>
      </c>
    </row>
    <row r="3534" spans="1:3" x14ac:dyDescent="0.25">
      <c r="A3534" t="s">
        <v>4665</v>
      </c>
      <c r="B3534" t="s">
        <v>6962</v>
      </c>
      <c r="C3534" s="1">
        <v>45937</v>
      </c>
    </row>
    <row r="3535" spans="1:3" x14ac:dyDescent="0.25">
      <c r="A3535" t="s">
        <v>4666</v>
      </c>
      <c r="B3535" t="s">
        <v>6962</v>
      </c>
      <c r="C3535" s="1">
        <v>45934</v>
      </c>
    </row>
    <row r="3536" spans="1:3" x14ac:dyDescent="0.25">
      <c r="A3536" t="s">
        <v>4667</v>
      </c>
      <c r="B3536" t="s">
        <v>6962</v>
      </c>
      <c r="C3536" s="1">
        <v>45937</v>
      </c>
    </row>
    <row r="3537" spans="1:3" x14ac:dyDescent="0.25">
      <c r="A3537" t="s">
        <v>4668</v>
      </c>
      <c r="B3537" t="s">
        <v>6962</v>
      </c>
      <c r="C3537" s="1">
        <v>45936</v>
      </c>
    </row>
    <row r="3538" spans="1:3" x14ac:dyDescent="0.25">
      <c r="A3538" t="s">
        <v>4669</v>
      </c>
      <c r="B3538" t="s">
        <v>6962</v>
      </c>
      <c r="C3538" s="1">
        <v>45935</v>
      </c>
    </row>
    <row r="3539" spans="1:3" x14ac:dyDescent="0.25">
      <c r="A3539" t="s">
        <v>4670</v>
      </c>
      <c r="B3539" t="s">
        <v>6962</v>
      </c>
      <c r="C3539" s="1">
        <v>45943</v>
      </c>
    </row>
    <row r="3540" spans="1:3" x14ac:dyDescent="0.25">
      <c r="A3540" t="s">
        <v>4671</v>
      </c>
      <c r="B3540" t="s">
        <v>39</v>
      </c>
      <c r="C3540" s="1"/>
    </row>
    <row r="3541" spans="1:3" x14ac:dyDescent="0.25">
      <c r="A3541" t="s">
        <v>4672</v>
      </c>
      <c r="B3541" t="s">
        <v>6962</v>
      </c>
      <c r="C3541" s="1">
        <v>45943</v>
      </c>
    </row>
    <row r="3542" spans="1:3" x14ac:dyDescent="0.25">
      <c r="A3542" t="s">
        <v>4673</v>
      </c>
      <c r="B3542" t="s">
        <v>6962</v>
      </c>
      <c r="C3542" s="1">
        <v>45936</v>
      </c>
    </row>
    <row r="3543" spans="1:3" x14ac:dyDescent="0.25">
      <c r="A3543" t="s">
        <v>4674</v>
      </c>
      <c r="B3543" t="s">
        <v>6962</v>
      </c>
      <c r="C3543" s="1">
        <v>45939</v>
      </c>
    </row>
    <row r="3544" spans="1:3" x14ac:dyDescent="0.25">
      <c r="A3544" t="s">
        <v>4675</v>
      </c>
      <c r="B3544" t="s">
        <v>6962</v>
      </c>
      <c r="C3544" s="1">
        <v>45938</v>
      </c>
    </row>
    <row r="3545" spans="1:3" x14ac:dyDescent="0.25">
      <c r="A3545" t="s">
        <v>4676</v>
      </c>
      <c r="B3545" t="s">
        <v>6962</v>
      </c>
      <c r="C3545" s="1">
        <v>45943</v>
      </c>
    </row>
    <row r="3546" spans="1:3" x14ac:dyDescent="0.25">
      <c r="A3546" t="s">
        <v>4678</v>
      </c>
      <c r="B3546" t="s">
        <v>6962</v>
      </c>
      <c r="C3546" s="1">
        <v>45936</v>
      </c>
    </row>
    <row r="3547" spans="1:3" x14ac:dyDescent="0.25">
      <c r="A3547" t="s">
        <v>2833</v>
      </c>
      <c r="B3547" t="s">
        <v>6962</v>
      </c>
      <c r="C3547" s="1">
        <v>45931</v>
      </c>
    </row>
    <row r="3548" spans="1:3" x14ac:dyDescent="0.25">
      <c r="A3548" t="s">
        <v>4679</v>
      </c>
      <c r="B3548" t="s">
        <v>6962</v>
      </c>
      <c r="C3548" s="1">
        <v>45944</v>
      </c>
    </row>
    <row r="3549" spans="1:3" x14ac:dyDescent="0.25">
      <c r="A3549" t="s">
        <v>4680</v>
      </c>
      <c r="B3549" t="s">
        <v>39</v>
      </c>
      <c r="C3549" s="1"/>
    </row>
    <row r="3550" spans="1:3" x14ac:dyDescent="0.25">
      <c r="A3550" t="s">
        <v>4681</v>
      </c>
      <c r="B3550" t="s">
        <v>6962</v>
      </c>
      <c r="C3550" s="1">
        <v>45938</v>
      </c>
    </row>
    <row r="3551" spans="1:3" x14ac:dyDescent="0.25">
      <c r="A3551" t="s">
        <v>4682</v>
      </c>
      <c r="B3551" t="s">
        <v>6962</v>
      </c>
      <c r="C3551" s="1">
        <v>45936</v>
      </c>
    </row>
    <row r="3552" spans="1:3" x14ac:dyDescent="0.25">
      <c r="A3552" t="s">
        <v>4683</v>
      </c>
      <c r="B3552" t="s">
        <v>39</v>
      </c>
      <c r="C3552" s="1"/>
    </row>
    <row r="3553" spans="1:3" x14ac:dyDescent="0.25">
      <c r="A3553" t="s">
        <v>4684</v>
      </c>
      <c r="B3553" t="s">
        <v>6962</v>
      </c>
      <c r="C3553" s="1">
        <v>45937</v>
      </c>
    </row>
    <row r="3554" spans="1:3" x14ac:dyDescent="0.25">
      <c r="A3554" t="s">
        <v>4685</v>
      </c>
      <c r="B3554" t="s">
        <v>6962</v>
      </c>
      <c r="C3554" s="1">
        <v>45934</v>
      </c>
    </row>
    <row r="3555" spans="1:3" x14ac:dyDescent="0.25">
      <c r="A3555" t="s">
        <v>4686</v>
      </c>
      <c r="B3555" t="s">
        <v>39</v>
      </c>
      <c r="C3555" s="1"/>
    </row>
    <row r="3556" spans="1:3" x14ac:dyDescent="0.25">
      <c r="A3556" t="s">
        <v>4687</v>
      </c>
      <c r="B3556" t="s">
        <v>6962</v>
      </c>
      <c r="C3556" s="1">
        <v>45940</v>
      </c>
    </row>
    <row r="3557" spans="1:3" x14ac:dyDescent="0.25">
      <c r="A3557" t="s">
        <v>4688</v>
      </c>
      <c r="B3557" t="s">
        <v>6962</v>
      </c>
      <c r="C3557" s="1">
        <v>45937</v>
      </c>
    </row>
    <row r="3558" spans="1:3" x14ac:dyDescent="0.25">
      <c r="A3558" t="s">
        <v>4688</v>
      </c>
      <c r="B3558" t="s">
        <v>6962</v>
      </c>
      <c r="C3558" s="1">
        <v>45937</v>
      </c>
    </row>
    <row r="3559" spans="1:3" x14ac:dyDescent="0.25">
      <c r="A3559" t="s">
        <v>4688</v>
      </c>
      <c r="B3559" t="s">
        <v>6962</v>
      </c>
      <c r="C3559" s="1">
        <v>45937</v>
      </c>
    </row>
    <row r="3560" spans="1:3" x14ac:dyDescent="0.25">
      <c r="A3560" t="s">
        <v>4689</v>
      </c>
      <c r="B3560" t="s">
        <v>6962</v>
      </c>
      <c r="C3560" s="1">
        <v>45945</v>
      </c>
    </row>
    <row r="3561" spans="1:3" x14ac:dyDescent="0.25">
      <c r="A3561" t="s">
        <v>4690</v>
      </c>
      <c r="B3561" t="s">
        <v>6962</v>
      </c>
      <c r="C3561" s="1">
        <v>45939</v>
      </c>
    </row>
    <row r="3562" spans="1:3" x14ac:dyDescent="0.25">
      <c r="A3562" t="s">
        <v>4691</v>
      </c>
      <c r="B3562" t="s">
        <v>6962</v>
      </c>
      <c r="C3562" s="1">
        <v>45944</v>
      </c>
    </row>
    <row r="3563" spans="1:3" x14ac:dyDescent="0.25">
      <c r="A3563" t="s">
        <v>4692</v>
      </c>
      <c r="B3563" t="s">
        <v>6962</v>
      </c>
      <c r="C3563" s="1">
        <v>45941</v>
      </c>
    </row>
    <row r="3564" spans="1:3" x14ac:dyDescent="0.25">
      <c r="A3564" t="s">
        <v>4693</v>
      </c>
      <c r="B3564" t="s">
        <v>6962</v>
      </c>
      <c r="C3564" s="1">
        <v>45947</v>
      </c>
    </row>
    <row r="3565" spans="1:3" x14ac:dyDescent="0.25">
      <c r="A3565" t="s">
        <v>2847</v>
      </c>
      <c r="B3565" t="s">
        <v>6962</v>
      </c>
      <c r="C3565" s="1">
        <v>45934</v>
      </c>
    </row>
    <row r="3566" spans="1:3" x14ac:dyDescent="0.25">
      <c r="A3566" t="s">
        <v>6937</v>
      </c>
      <c r="B3566" t="s">
        <v>6962</v>
      </c>
      <c r="C3566" s="1">
        <v>45962</v>
      </c>
    </row>
    <row r="3567" spans="1:3" x14ac:dyDescent="0.25">
      <c r="A3567" t="s">
        <v>2845</v>
      </c>
      <c r="B3567" t="s">
        <v>6962</v>
      </c>
      <c r="C3567" s="1">
        <v>45934</v>
      </c>
    </row>
    <row r="3568" spans="1:3" x14ac:dyDescent="0.25">
      <c r="A3568" t="s">
        <v>2844</v>
      </c>
      <c r="B3568" t="s">
        <v>6962</v>
      </c>
      <c r="C3568" s="1">
        <v>45934</v>
      </c>
    </row>
    <row r="3569" spans="1:3" x14ac:dyDescent="0.25">
      <c r="A3569" t="s">
        <v>3074</v>
      </c>
      <c r="B3569" t="s">
        <v>6962</v>
      </c>
      <c r="C3569" s="1">
        <v>45938</v>
      </c>
    </row>
    <row r="3570" spans="1:3" x14ac:dyDescent="0.25">
      <c r="A3570" t="s">
        <v>4695</v>
      </c>
      <c r="B3570" t="s">
        <v>6962</v>
      </c>
      <c r="C3570" s="1">
        <v>45939</v>
      </c>
    </row>
    <row r="3571" spans="1:3" x14ac:dyDescent="0.25">
      <c r="A3571" t="s">
        <v>4696</v>
      </c>
      <c r="B3571" t="s">
        <v>6962</v>
      </c>
      <c r="C3571" s="1">
        <v>45944</v>
      </c>
    </row>
    <row r="3572" spans="1:3" x14ac:dyDescent="0.25">
      <c r="A3572" t="s">
        <v>4697</v>
      </c>
      <c r="B3572" t="s">
        <v>6962</v>
      </c>
      <c r="C3572" s="1">
        <v>45936</v>
      </c>
    </row>
    <row r="3573" spans="1:3" x14ac:dyDescent="0.25">
      <c r="A3573" t="s">
        <v>4698</v>
      </c>
      <c r="B3573" t="s">
        <v>6962</v>
      </c>
      <c r="C3573" s="1">
        <v>45939</v>
      </c>
    </row>
    <row r="3574" spans="1:3" x14ac:dyDescent="0.25">
      <c r="A3574" t="s">
        <v>4699</v>
      </c>
      <c r="B3574" t="s">
        <v>6962</v>
      </c>
      <c r="C3574" s="1">
        <v>45935</v>
      </c>
    </row>
    <row r="3575" spans="1:3" x14ac:dyDescent="0.25">
      <c r="A3575" t="s">
        <v>4700</v>
      </c>
      <c r="B3575" t="s">
        <v>6962</v>
      </c>
      <c r="C3575" s="1">
        <v>45939</v>
      </c>
    </row>
    <row r="3576" spans="1:3" x14ac:dyDescent="0.25">
      <c r="A3576" t="s">
        <v>4700</v>
      </c>
      <c r="B3576" t="s">
        <v>6962</v>
      </c>
      <c r="C3576" s="1">
        <v>45939</v>
      </c>
    </row>
    <row r="3577" spans="1:3" x14ac:dyDescent="0.25">
      <c r="A3577" t="s">
        <v>4701</v>
      </c>
      <c r="B3577" t="s">
        <v>6962</v>
      </c>
      <c r="C3577" s="1">
        <v>45938</v>
      </c>
    </row>
    <row r="3578" spans="1:3" x14ac:dyDescent="0.25">
      <c r="A3578" t="s">
        <v>4702</v>
      </c>
      <c r="B3578" t="s">
        <v>6962</v>
      </c>
      <c r="C3578" s="1">
        <v>45940</v>
      </c>
    </row>
    <row r="3579" spans="1:3" x14ac:dyDescent="0.25">
      <c r="A3579" t="s">
        <v>4703</v>
      </c>
      <c r="B3579" t="s">
        <v>6962</v>
      </c>
      <c r="C3579" s="1">
        <v>45943</v>
      </c>
    </row>
    <row r="3580" spans="1:3" x14ac:dyDescent="0.25">
      <c r="A3580" t="s">
        <v>4704</v>
      </c>
      <c r="B3580" t="s">
        <v>6962</v>
      </c>
      <c r="C3580" s="1">
        <v>45937</v>
      </c>
    </row>
    <row r="3581" spans="1:3" x14ac:dyDescent="0.25">
      <c r="A3581" t="s">
        <v>4705</v>
      </c>
      <c r="B3581" t="s">
        <v>6962</v>
      </c>
      <c r="C3581" s="1">
        <v>45937</v>
      </c>
    </row>
    <row r="3582" spans="1:3" x14ac:dyDescent="0.25">
      <c r="A3582" t="s">
        <v>4706</v>
      </c>
      <c r="B3582" t="s">
        <v>6962</v>
      </c>
      <c r="C3582" s="1">
        <v>45940</v>
      </c>
    </row>
    <row r="3583" spans="1:3" x14ac:dyDescent="0.25">
      <c r="A3583" t="s">
        <v>4707</v>
      </c>
      <c r="B3583" t="s">
        <v>39</v>
      </c>
      <c r="C3583" s="1"/>
    </row>
    <row r="3584" spans="1:3" x14ac:dyDescent="0.25">
      <c r="A3584" t="s">
        <v>4709</v>
      </c>
      <c r="B3584" t="s">
        <v>6962</v>
      </c>
      <c r="C3584" s="1">
        <v>45938</v>
      </c>
    </row>
    <row r="3585" spans="1:3" x14ac:dyDescent="0.25">
      <c r="A3585" t="s">
        <v>4710</v>
      </c>
      <c r="B3585" t="s">
        <v>6962</v>
      </c>
      <c r="C3585" s="1">
        <v>45936</v>
      </c>
    </row>
    <row r="3586" spans="1:3" x14ac:dyDescent="0.25">
      <c r="A3586" t="s">
        <v>4711</v>
      </c>
      <c r="B3586" t="s">
        <v>6962</v>
      </c>
      <c r="C3586" s="1">
        <v>45936</v>
      </c>
    </row>
    <row r="3587" spans="1:3" x14ac:dyDescent="0.25">
      <c r="A3587" t="s">
        <v>4712</v>
      </c>
      <c r="B3587" t="s">
        <v>6962</v>
      </c>
      <c r="C3587" s="1">
        <v>45939</v>
      </c>
    </row>
    <row r="3588" spans="1:3" x14ac:dyDescent="0.25">
      <c r="A3588" t="s">
        <v>4713</v>
      </c>
      <c r="B3588" t="s">
        <v>6962</v>
      </c>
      <c r="C3588" s="1">
        <v>45936</v>
      </c>
    </row>
    <row r="3589" spans="1:3" x14ac:dyDescent="0.25">
      <c r="A3589" t="s">
        <v>4714</v>
      </c>
      <c r="B3589" t="s">
        <v>6962</v>
      </c>
      <c r="C3589" s="1">
        <v>45945</v>
      </c>
    </row>
    <row r="3590" spans="1:3" x14ac:dyDescent="0.25">
      <c r="A3590" t="s">
        <v>3075</v>
      </c>
      <c r="B3590" t="s">
        <v>6962</v>
      </c>
      <c r="C3590" s="1">
        <v>45938</v>
      </c>
    </row>
    <row r="3591" spans="1:3" x14ac:dyDescent="0.25">
      <c r="A3591" t="s">
        <v>4715</v>
      </c>
      <c r="B3591" t="s">
        <v>6962</v>
      </c>
      <c r="C3591" s="1">
        <v>45938</v>
      </c>
    </row>
    <row r="3592" spans="1:3" x14ac:dyDescent="0.25">
      <c r="A3592" t="s">
        <v>4715</v>
      </c>
      <c r="B3592" t="s">
        <v>6962</v>
      </c>
      <c r="C3592" s="1">
        <v>45946</v>
      </c>
    </row>
    <row r="3593" spans="1:3" x14ac:dyDescent="0.25">
      <c r="A3593" t="s">
        <v>4716</v>
      </c>
      <c r="B3593" t="s">
        <v>6962</v>
      </c>
      <c r="C3593" s="1">
        <v>45939</v>
      </c>
    </row>
    <row r="3594" spans="1:3" x14ac:dyDescent="0.25">
      <c r="A3594" t="s">
        <v>4716</v>
      </c>
      <c r="B3594" t="s">
        <v>6962</v>
      </c>
      <c r="C3594" s="1">
        <v>45939</v>
      </c>
    </row>
    <row r="3595" spans="1:3" x14ac:dyDescent="0.25">
      <c r="A3595" t="s">
        <v>4717</v>
      </c>
      <c r="B3595" t="s">
        <v>6962</v>
      </c>
      <c r="C3595" s="1">
        <v>45936</v>
      </c>
    </row>
    <row r="3596" spans="1:3" x14ac:dyDescent="0.25">
      <c r="A3596" t="s">
        <v>4665</v>
      </c>
      <c r="B3596" t="s">
        <v>6962</v>
      </c>
      <c r="C3596" s="1">
        <v>45939</v>
      </c>
    </row>
    <row r="3597" spans="1:3" x14ac:dyDescent="0.25">
      <c r="A3597" t="s">
        <v>2848</v>
      </c>
      <c r="B3597" t="s">
        <v>6962</v>
      </c>
      <c r="C3597" s="1">
        <v>45937</v>
      </c>
    </row>
    <row r="3598" spans="1:3" x14ac:dyDescent="0.25">
      <c r="A3598" t="s">
        <v>4718</v>
      </c>
      <c r="B3598" t="s">
        <v>6962</v>
      </c>
      <c r="C3598" s="1">
        <v>45939</v>
      </c>
    </row>
    <row r="3599" spans="1:3" x14ac:dyDescent="0.25">
      <c r="A3599" t="s">
        <v>4719</v>
      </c>
      <c r="B3599" t="s">
        <v>6962</v>
      </c>
      <c r="C3599" s="1">
        <v>45944</v>
      </c>
    </row>
    <row r="3600" spans="1:3" x14ac:dyDescent="0.25">
      <c r="A3600" t="s">
        <v>4720</v>
      </c>
      <c r="B3600" t="s">
        <v>6962</v>
      </c>
      <c r="C3600" s="1">
        <v>45938</v>
      </c>
    </row>
    <row r="3601" spans="1:3" x14ac:dyDescent="0.25">
      <c r="A3601" t="s">
        <v>4720</v>
      </c>
      <c r="B3601" t="s">
        <v>6962</v>
      </c>
      <c r="C3601" s="1">
        <v>45938</v>
      </c>
    </row>
    <row r="3602" spans="1:3" x14ac:dyDescent="0.25">
      <c r="A3602" t="s">
        <v>4721</v>
      </c>
      <c r="B3602" t="s">
        <v>6962</v>
      </c>
      <c r="C3602" s="1">
        <v>45939</v>
      </c>
    </row>
    <row r="3603" spans="1:3" x14ac:dyDescent="0.25">
      <c r="A3603" t="s">
        <v>4722</v>
      </c>
      <c r="B3603" t="s">
        <v>6962</v>
      </c>
      <c r="C3603" s="1">
        <v>45939</v>
      </c>
    </row>
    <row r="3604" spans="1:3" x14ac:dyDescent="0.25">
      <c r="A3604" t="s">
        <v>4723</v>
      </c>
      <c r="B3604" t="s">
        <v>6962</v>
      </c>
      <c r="C3604" s="1">
        <v>45944</v>
      </c>
    </row>
    <row r="3605" spans="1:3" x14ac:dyDescent="0.25">
      <c r="A3605" t="s">
        <v>4723</v>
      </c>
      <c r="B3605" t="s">
        <v>6962</v>
      </c>
      <c r="C3605" s="1">
        <v>45939</v>
      </c>
    </row>
    <row r="3606" spans="1:3" x14ac:dyDescent="0.25">
      <c r="A3606" t="s">
        <v>4725</v>
      </c>
      <c r="B3606" t="s">
        <v>6962</v>
      </c>
      <c r="C3606" s="1">
        <v>45966</v>
      </c>
    </row>
    <row r="3607" spans="1:3" x14ac:dyDescent="0.25">
      <c r="A3607" t="s">
        <v>4726</v>
      </c>
      <c r="B3607" t="s">
        <v>6962</v>
      </c>
      <c r="C3607" s="1">
        <v>45938</v>
      </c>
    </row>
    <row r="3608" spans="1:3" x14ac:dyDescent="0.25">
      <c r="A3608" t="s">
        <v>4727</v>
      </c>
      <c r="B3608" t="s">
        <v>6962</v>
      </c>
      <c r="C3608" s="1">
        <v>45944</v>
      </c>
    </row>
    <row r="3609" spans="1:3" x14ac:dyDescent="0.25">
      <c r="A3609" t="s">
        <v>4728</v>
      </c>
      <c r="B3609" t="s">
        <v>6962</v>
      </c>
      <c r="C3609" s="1">
        <v>45946</v>
      </c>
    </row>
    <row r="3610" spans="1:3" x14ac:dyDescent="0.25">
      <c r="A3610" t="s">
        <v>4729</v>
      </c>
      <c r="B3610" t="s">
        <v>6962</v>
      </c>
      <c r="C3610" s="1">
        <v>45941</v>
      </c>
    </row>
    <row r="3611" spans="1:3" x14ac:dyDescent="0.25">
      <c r="A3611" t="s">
        <v>4731</v>
      </c>
      <c r="B3611" t="s">
        <v>6962</v>
      </c>
      <c r="C3611" s="1">
        <v>45950</v>
      </c>
    </row>
    <row r="3612" spans="1:3" x14ac:dyDescent="0.25">
      <c r="A3612" t="s">
        <v>4733</v>
      </c>
      <c r="B3612" t="s">
        <v>6962</v>
      </c>
      <c r="C3612" s="1">
        <v>45947</v>
      </c>
    </row>
    <row r="3613" spans="1:3" x14ac:dyDescent="0.25">
      <c r="A3613" t="s">
        <v>4734</v>
      </c>
      <c r="B3613" t="s">
        <v>6962</v>
      </c>
      <c r="C3613" s="1">
        <v>45939</v>
      </c>
    </row>
    <row r="3614" spans="1:3" x14ac:dyDescent="0.25">
      <c r="A3614" t="s">
        <v>4690</v>
      </c>
      <c r="B3614" t="s">
        <v>6962</v>
      </c>
      <c r="C3614" s="1">
        <v>45946</v>
      </c>
    </row>
    <row r="3615" spans="1:3" x14ac:dyDescent="0.25">
      <c r="A3615" t="s">
        <v>4736</v>
      </c>
      <c r="B3615" t="s">
        <v>6962</v>
      </c>
      <c r="C3615" s="1">
        <v>45946</v>
      </c>
    </row>
    <row r="3616" spans="1:3" x14ac:dyDescent="0.25">
      <c r="A3616" t="s">
        <v>4738</v>
      </c>
      <c r="B3616" t="s">
        <v>6962</v>
      </c>
      <c r="C3616" s="1">
        <v>45947</v>
      </c>
    </row>
    <row r="3617" spans="1:3" x14ac:dyDescent="0.25">
      <c r="A3617" t="s">
        <v>3194</v>
      </c>
      <c r="B3617" t="s">
        <v>6962</v>
      </c>
      <c r="C3617" s="1">
        <v>45947</v>
      </c>
    </row>
    <row r="3618" spans="1:3" x14ac:dyDescent="0.25">
      <c r="A3618" t="s">
        <v>4739</v>
      </c>
      <c r="B3618" t="s">
        <v>6962</v>
      </c>
      <c r="C3618" s="1">
        <v>45941</v>
      </c>
    </row>
    <row r="3619" spans="1:3" x14ac:dyDescent="0.25">
      <c r="A3619" t="s">
        <v>4740</v>
      </c>
      <c r="B3619" t="s">
        <v>6962</v>
      </c>
      <c r="C3619" s="1">
        <v>45939</v>
      </c>
    </row>
    <row r="3620" spans="1:3" x14ac:dyDescent="0.25">
      <c r="A3620" t="s">
        <v>2849</v>
      </c>
      <c r="B3620" t="s">
        <v>6962</v>
      </c>
      <c r="C3620" s="1">
        <v>45939</v>
      </c>
    </row>
    <row r="3621" spans="1:3" x14ac:dyDescent="0.25">
      <c r="A3621" t="s">
        <v>2851</v>
      </c>
      <c r="B3621" t="s">
        <v>6962</v>
      </c>
      <c r="C3621" s="1">
        <v>45939</v>
      </c>
    </row>
    <row r="3622" spans="1:3" x14ac:dyDescent="0.25">
      <c r="A3622" t="s">
        <v>4741</v>
      </c>
      <c r="B3622" t="s">
        <v>6962</v>
      </c>
      <c r="C3622" s="1">
        <v>45948</v>
      </c>
    </row>
    <row r="3623" spans="1:3" x14ac:dyDescent="0.25">
      <c r="A3623" t="s">
        <v>4742</v>
      </c>
      <c r="B3623" t="s">
        <v>6962</v>
      </c>
      <c r="C3623" s="1">
        <v>45940</v>
      </c>
    </row>
    <row r="3624" spans="1:3" x14ac:dyDescent="0.25">
      <c r="A3624" t="s">
        <v>4742</v>
      </c>
      <c r="B3624" t="s">
        <v>6962</v>
      </c>
      <c r="C3624" s="1">
        <v>45947</v>
      </c>
    </row>
    <row r="3625" spans="1:3" x14ac:dyDescent="0.25">
      <c r="A3625" t="s">
        <v>4743</v>
      </c>
      <c r="B3625" t="s">
        <v>6962</v>
      </c>
      <c r="C3625" s="1">
        <v>45939</v>
      </c>
    </row>
    <row r="3626" spans="1:3" x14ac:dyDescent="0.25">
      <c r="A3626" t="s">
        <v>4744</v>
      </c>
      <c r="B3626" t="s">
        <v>6962</v>
      </c>
      <c r="C3626" s="1">
        <v>45966</v>
      </c>
    </row>
    <row r="3627" spans="1:3" x14ac:dyDescent="0.25">
      <c r="A3627" t="s">
        <v>4746</v>
      </c>
      <c r="B3627" t="s">
        <v>6962</v>
      </c>
      <c r="C3627" s="1">
        <v>45941</v>
      </c>
    </row>
    <row r="3628" spans="1:3" x14ac:dyDescent="0.25">
      <c r="A3628" t="s">
        <v>4748</v>
      </c>
      <c r="B3628" t="s">
        <v>39</v>
      </c>
      <c r="C3628" s="1"/>
    </row>
    <row r="3629" spans="1:3" x14ac:dyDescent="0.25">
      <c r="A3629" t="s">
        <v>2852</v>
      </c>
      <c r="B3629" t="s">
        <v>6962</v>
      </c>
      <c r="C3629" s="1">
        <v>45943</v>
      </c>
    </row>
    <row r="3630" spans="1:3" x14ac:dyDescent="0.25">
      <c r="A3630" t="s">
        <v>3195</v>
      </c>
      <c r="B3630" t="s">
        <v>6962</v>
      </c>
      <c r="C3630" s="1">
        <v>45946</v>
      </c>
    </row>
    <row r="3631" spans="1:3" x14ac:dyDescent="0.25">
      <c r="A3631" t="s">
        <v>3195</v>
      </c>
      <c r="B3631" t="s">
        <v>6962</v>
      </c>
      <c r="C3631" s="1">
        <v>45946</v>
      </c>
    </row>
    <row r="3632" spans="1:3" x14ac:dyDescent="0.25">
      <c r="A3632" t="s">
        <v>4747</v>
      </c>
      <c r="B3632" t="s">
        <v>6963</v>
      </c>
      <c r="C3632" s="1"/>
    </row>
    <row r="3633" spans="1:3" x14ac:dyDescent="0.25">
      <c r="A3633" t="s">
        <v>2853</v>
      </c>
      <c r="B3633" t="s">
        <v>39</v>
      </c>
      <c r="C3633" s="1"/>
    </row>
    <row r="3634" spans="1:3" x14ac:dyDescent="0.25">
      <c r="A3634" t="s">
        <v>2854</v>
      </c>
      <c r="B3634" t="s">
        <v>6962</v>
      </c>
      <c r="C3634" s="1">
        <v>45939</v>
      </c>
    </row>
    <row r="3635" spans="1:3" x14ac:dyDescent="0.25">
      <c r="A3635" t="s">
        <v>2855</v>
      </c>
      <c r="B3635" t="s">
        <v>6962</v>
      </c>
      <c r="C3635" s="1">
        <v>45953</v>
      </c>
    </row>
    <row r="3636" spans="1:3" x14ac:dyDescent="0.25">
      <c r="A3636" t="s">
        <v>3196</v>
      </c>
      <c r="B3636" t="s">
        <v>6962</v>
      </c>
      <c r="C3636" s="1">
        <v>45945</v>
      </c>
    </row>
    <row r="3637" spans="1:3" x14ac:dyDescent="0.25">
      <c r="A3637" t="s">
        <v>3196</v>
      </c>
      <c r="B3637" t="s">
        <v>6962</v>
      </c>
      <c r="C3637" s="1">
        <v>45945</v>
      </c>
    </row>
    <row r="3638" spans="1:3" x14ac:dyDescent="0.25">
      <c r="A3638" t="s">
        <v>4750</v>
      </c>
      <c r="B3638" t="s">
        <v>6962</v>
      </c>
      <c r="C3638" s="1">
        <v>45940</v>
      </c>
    </row>
    <row r="3639" spans="1:3" x14ac:dyDescent="0.25">
      <c r="A3639" t="s">
        <v>6938</v>
      </c>
      <c r="B3639" t="s">
        <v>6962</v>
      </c>
      <c r="C3639" s="1">
        <v>45948</v>
      </c>
    </row>
    <row r="3640" spans="1:3" x14ac:dyDescent="0.25">
      <c r="A3640" t="s">
        <v>4751</v>
      </c>
      <c r="B3640" t="s">
        <v>6962</v>
      </c>
      <c r="C3640" s="1">
        <v>45940</v>
      </c>
    </row>
    <row r="3641" spans="1:3" x14ac:dyDescent="0.25">
      <c r="A3641" t="s">
        <v>4751</v>
      </c>
      <c r="B3641" t="s">
        <v>6962</v>
      </c>
      <c r="C3641" s="1">
        <v>45940</v>
      </c>
    </row>
    <row r="3642" spans="1:3" x14ac:dyDescent="0.25">
      <c r="A3642" t="s">
        <v>4752</v>
      </c>
      <c r="B3642" t="s">
        <v>6962</v>
      </c>
      <c r="C3642" s="1">
        <v>45948</v>
      </c>
    </row>
    <row r="3643" spans="1:3" x14ac:dyDescent="0.25">
      <c r="A3643" t="s">
        <v>4753</v>
      </c>
      <c r="B3643" t="s">
        <v>6964</v>
      </c>
      <c r="C3643" s="1">
        <v>45952</v>
      </c>
    </row>
    <row r="3644" spans="1:3" x14ac:dyDescent="0.25">
      <c r="A3644" t="s">
        <v>4754</v>
      </c>
      <c r="B3644" t="s">
        <v>6962</v>
      </c>
      <c r="C3644" s="1">
        <v>45941</v>
      </c>
    </row>
    <row r="3645" spans="1:3" x14ac:dyDescent="0.25">
      <c r="A3645" t="s">
        <v>4757</v>
      </c>
      <c r="B3645" t="s">
        <v>6962</v>
      </c>
      <c r="C3645" s="1">
        <v>45941</v>
      </c>
    </row>
    <row r="3646" spans="1:3" x14ac:dyDescent="0.25">
      <c r="A3646" t="s">
        <v>4756</v>
      </c>
      <c r="B3646" t="s">
        <v>6962</v>
      </c>
      <c r="C3646" s="1">
        <v>45948</v>
      </c>
    </row>
    <row r="3647" spans="1:3" x14ac:dyDescent="0.25">
      <c r="A3647" t="s">
        <v>4755</v>
      </c>
      <c r="B3647" t="s">
        <v>6962</v>
      </c>
      <c r="C3647" s="1">
        <v>45940</v>
      </c>
    </row>
    <row r="3648" spans="1:3" x14ac:dyDescent="0.25">
      <c r="A3648" t="s">
        <v>2856</v>
      </c>
      <c r="B3648" t="s">
        <v>6962</v>
      </c>
      <c r="C3648" s="1">
        <v>45941</v>
      </c>
    </row>
    <row r="3649" spans="1:3" x14ac:dyDescent="0.25">
      <c r="A3649" t="s">
        <v>4759</v>
      </c>
      <c r="B3649" t="s">
        <v>6962</v>
      </c>
      <c r="C3649" s="1">
        <v>45943</v>
      </c>
    </row>
    <row r="3650" spans="1:3" x14ac:dyDescent="0.25">
      <c r="A3650" t="s">
        <v>4759</v>
      </c>
      <c r="B3650" t="s">
        <v>6962</v>
      </c>
      <c r="C3650" s="1">
        <v>45943</v>
      </c>
    </row>
    <row r="3651" spans="1:3" x14ac:dyDescent="0.25">
      <c r="A3651" t="s">
        <v>4759</v>
      </c>
      <c r="B3651" t="s">
        <v>6962</v>
      </c>
      <c r="C3651" s="1">
        <v>45943</v>
      </c>
    </row>
    <row r="3652" spans="1:3" x14ac:dyDescent="0.25">
      <c r="A3652" t="s">
        <v>4759</v>
      </c>
      <c r="B3652" t="s">
        <v>6962</v>
      </c>
      <c r="C3652" s="1">
        <v>45941</v>
      </c>
    </row>
    <row r="3653" spans="1:3" x14ac:dyDescent="0.25">
      <c r="A3653" t="s">
        <v>4759</v>
      </c>
      <c r="B3653" t="s">
        <v>6962</v>
      </c>
      <c r="C3653" s="1">
        <v>45941</v>
      </c>
    </row>
    <row r="3654" spans="1:3" x14ac:dyDescent="0.25">
      <c r="A3654" t="s">
        <v>4760</v>
      </c>
      <c r="B3654" t="s">
        <v>6962</v>
      </c>
      <c r="C3654" s="1">
        <v>45946</v>
      </c>
    </row>
    <row r="3655" spans="1:3" x14ac:dyDescent="0.25">
      <c r="A3655" t="s">
        <v>2858</v>
      </c>
      <c r="B3655" t="s">
        <v>39</v>
      </c>
      <c r="C3655" s="1"/>
    </row>
    <row r="3656" spans="1:3" x14ac:dyDescent="0.25">
      <c r="A3656" t="s">
        <v>2857</v>
      </c>
      <c r="B3656" t="s">
        <v>6962</v>
      </c>
      <c r="C3656" s="1">
        <v>45944</v>
      </c>
    </row>
    <row r="3657" spans="1:3" x14ac:dyDescent="0.25">
      <c r="A3657" t="s">
        <v>3199</v>
      </c>
      <c r="B3657" t="s">
        <v>6962</v>
      </c>
      <c r="C3657" s="1">
        <v>45954</v>
      </c>
    </row>
    <row r="3658" spans="1:3" x14ac:dyDescent="0.25">
      <c r="A3658" t="s">
        <v>3199</v>
      </c>
      <c r="B3658" t="s">
        <v>6962</v>
      </c>
      <c r="C3658" s="1">
        <v>45954</v>
      </c>
    </row>
    <row r="3659" spans="1:3" x14ac:dyDescent="0.25">
      <c r="A3659" t="s">
        <v>3198</v>
      </c>
      <c r="B3659" t="s">
        <v>6962</v>
      </c>
      <c r="C3659" s="1">
        <v>45946</v>
      </c>
    </row>
    <row r="3660" spans="1:3" x14ac:dyDescent="0.25">
      <c r="A3660" t="s">
        <v>3198</v>
      </c>
      <c r="B3660" t="s">
        <v>6962</v>
      </c>
      <c r="C3660" s="1">
        <v>45946</v>
      </c>
    </row>
    <row r="3661" spans="1:3" x14ac:dyDescent="0.25">
      <c r="A3661" t="s">
        <v>4761</v>
      </c>
      <c r="B3661" t="s">
        <v>6962</v>
      </c>
      <c r="C3661" s="1">
        <v>45948</v>
      </c>
    </row>
    <row r="3662" spans="1:3" x14ac:dyDescent="0.25">
      <c r="A3662" t="s">
        <v>4762</v>
      </c>
      <c r="B3662" t="s">
        <v>6962</v>
      </c>
      <c r="C3662" s="1">
        <v>45944</v>
      </c>
    </row>
    <row r="3663" spans="1:3" x14ac:dyDescent="0.25">
      <c r="A3663" t="s">
        <v>4763</v>
      </c>
      <c r="B3663" t="s">
        <v>6962</v>
      </c>
      <c r="C3663" s="1">
        <v>45943</v>
      </c>
    </row>
    <row r="3664" spans="1:3" x14ac:dyDescent="0.25">
      <c r="A3664" t="s">
        <v>4764</v>
      </c>
      <c r="B3664" t="s">
        <v>6962</v>
      </c>
      <c r="C3664" s="1">
        <v>45948</v>
      </c>
    </row>
    <row r="3665" spans="1:3" x14ac:dyDescent="0.25">
      <c r="A3665" t="s">
        <v>2850</v>
      </c>
      <c r="B3665" t="s">
        <v>6962</v>
      </c>
      <c r="C3665" s="1">
        <v>45940</v>
      </c>
    </row>
    <row r="3666" spans="1:3" x14ac:dyDescent="0.25">
      <c r="A3666" t="s">
        <v>4765</v>
      </c>
      <c r="B3666" t="s">
        <v>6962</v>
      </c>
      <c r="C3666" s="1">
        <v>45941</v>
      </c>
    </row>
    <row r="3667" spans="1:3" x14ac:dyDescent="0.25">
      <c r="A3667" t="s">
        <v>4766</v>
      </c>
      <c r="B3667" t="s">
        <v>6962</v>
      </c>
      <c r="C3667" s="1">
        <v>45950</v>
      </c>
    </row>
    <row r="3668" spans="1:3" x14ac:dyDescent="0.25">
      <c r="A3668" t="s">
        <v>4767</v>
      </c>
      <c r="B3668" t="s">
        <v>6962</v>
      </c>
      <c r="C3668" s="1">
        <v>45944</v>
      </c>
    </row>
    <row r="3669" spans="1:3" x14ac:dyDescent="0.25">
      <c r="A3669" t="s">
        <v>2860</v>
      </c>
      <c r="B3669" t="s">
        <v>6962</v>
      </c>
      <c r="C3669" s="1">
        <v>45946</v>
      </c>
    </row>
    <row r="3670" spans="1:3" x14ac:dyDescent="0.25">
      <c r="A3670" t="s">
        <v>2859</v>
      </c>
      <c r="B3670" t="s">
        <v>6962</v>
      </c>
      <c r="C3670" s="1">
        <v>45941</v>
      </c>
    </row>
    <row r="3671" spans="1:3" x14ac:dyDescent="0.25">
      <c r="A3671" t="s">
        <v>2861</v>
      </c>
      <c r="B3671" t="s">
        <v>6962</v>
      </c>
      <c r="C3671" s="1">
        <v>45941</v>
      </c>
    </row>
    <row r="3672" spans="1:3" x14ac:dyDescent="0.25">
      <c r="A3672" t="s">
        <v>4768</v>
      </c>
      <c r="B3672" t="s">
        <v>6962</v>
      </c>
      <c r="C3672" s="1">
        <v>45944</v>
      </c>
    </row>
    <row r="3673" spans="1:3" x14ac:dyDescent="0.25">
      <c r="A3673" t="s">
        <v>4690</v>
      </c>
      <c r="B3673" t="s">
        <v>6962</v>
      </c>
      <c r="C3673" s="1">
        <v>45943</v>
      </c>
    </row>
    <row r="3674" spans="1:3" x14ac:dyDescent="0.25">
      <c r="A3674" t="s">
        <v>2862</v>
      </c>
      <c r="B3674" t="s">
        <v>6962</v>
      </c>
      <c r="C3674" s="1">
        <v>45944</v>
      </c>
    </row>
    <row r="3675" spans="1:3" x14ac:dyDescent="0.25">
      <c r="A3675" t="s">
        <v>4769</v>
      </c>
      <c r="B3675" t="s">
        <v>6962</v>
      </c>
      <c r="C3675" s="1">
        <v>45946</v>
      </c>
    </row>
    <row r="3676" spans="1:3" x14ac:dyDescent="0.25">
      <c r="A3676" t="s">
        <v>4731</v>
      </c>
      <c r="B3676" t="s">
        <v>6962</v>
      </c>
      <c r="C3676" s="1">
        <v>45953</v>
      </c>
    </row>
    <row r="3677" spans="1:3" x14ac:dyDescent="0.25">
      <c r="A3677" t="s">
        <v>4770</v>
      </c>
      <c r="B3677" t="s">
        <v>6962</v>
      </c>
      <c r="C3677" s="1">
        <v>45945</v>
      </c>
    </row>
    <row r="3678" spans="1:3" x14ac:dyDescent="0.25">
      <c r="A3678" t="s">
        <v>6939</v>
      </c>
      <c r="B3678" t="s">
        <v>6963</v>
      </c>
      <c r="C3678" s="1"/>
    </row>
    <row r="3679" spans="1:3" x14ac:dyDescent="0.25">
      <c r="A3679" t="s">
        <v>4771</v>
      </c>
      <c r="B3679" t="s">
        <v>6962</v>
      </c>
      <c r="C3679" s="1">
        <v>45947</v>
      </c>
    </row>
    <row r="3680" spans="1:3" x14ac:dyDescent="0.25">
      <c r="A3680" t="s">
        <v>4772</v>
      </c>
      <c r="B3680" t="s">
        <v>6962</v>
      </c>
      <c r="C3680" s="1">
        <v>45945</v>
      </c>
    </row>
    <row r="3681" spans="1:3" x14ac:dyDescent="0.25">
      <c r="A3681" t="s">
        <v>4773</v>
      </c>
      <c r="B3681" t="s">
        <v>6962</v>
      </c>
      <c r="C3681" s="1">
        <v>45944</v>
      </c>
    </row>
    <row r="3682" spans="1:3" x14ac:dyDescent="0.25">
      <c r="A3682" t="s">
        <v>4774</v>
      </c>
      <c r="B3682" t="s">
        <v>6962</v>
      </c>
      <c r="C3682" s="1">
        <v>45945</v>
      </c>
    </row>
    <row r="3683" spans="1:3" x14ac:dyDescent="0.25">
      <c r="A3683" t="s">
        <v>2863</v>
      </c>
      <c r="B3683" t="s">
        <v>6962</v>
      </c>
      <c r="C3683" s="1">
        <v>45944</v>
      </c>
    </row>
    <row r="3684" spans="1:3" x14ac:dyDescent="0.25">
      <c r="A3684" t="s">
        <v>4777</v>
      </c>
      <c r="B3684" t="s">
        <v>39</v>
      </c>
      <c r="C3684" s="1"/>
    </row>
    <row r="3685" spans="1:3" x14ac:dyDescent="0.25">
      <c r="A3685" t="s">
        <v>4778</v>
      </c>
      <c r="B3685" t="s">
        <v>6962</v>
      </c>
      <c r="C3685" s="1">
        <v>45948</v>
      </c>
    </row>
    <row r="3686" spans="1:3" x14ac:dyDescent="0.25">
      <c r="A3686" t="s">
        <v>4779</v>
      </c>
      <c r="B3686" t="s">
        <v>6962</v>
      </c>
      <c r="C3686" s="1">
        <v>45947</v>
      </c>
    </row>
    <row r="3687" spans="1:3" x14ac:dyDescent="0.25">
      <c r="A3687" t="s">
        <v>2864</v>
      </c>
      <c r="B3687" t="s">
        <v>6962</v>
      </c>
      <c r="C3687" s="1">
        <v>45944</v>
      </c>
    </row>
    <row r="3688" spans="1:3" x14ac:dyDescent="0.25">
      <c r="A3688" t="s">
        <v>4780</v>
      </c>
      <c r="B3688" t="s">
        <v>6962</v>
      </c>
      <c r="C3688" s="1">
        <v>45947</v>
      </c>
    </row>
    <row r="3689" spans="1:3" x14ac:dyDescent="0.25">
      <c r="A3689" t="s">
        <v>4781</v>
      </c>
      <c r="B3689" t="s">
        <v>6962</v>
      </c>
      <c r="C3689" s="1">
        <v>45944</v>
      </c>
    </row>
    <row r="3690" spans="1:3" x14ac:dyDescent="0.25">
      <c r="A3690" t="s">
        <v>2865</v>
      </c>
      <c r="B3690" t="s">
        <v>6962</v>
      </c>
      <c r="C3690" s="1">
        <v>45945</v>
      </c>
    </row>
    <row r="3691" spans="1:3" x14ac:dyDescent="0.25">
      <c r="A3691" t="s">
        <v>2866</v>
      </c>
      <c r="B3691" t="s">
        <v>6962</v>
      </c>
      <c r="C3691" s="1">
        <v>45945</v>
      </c>
    </row>
    <row r="3692" spans="1:3" x14ac:dyDescent="0.25">
      <c r="A3692" t="s">
        <v>4776</v>
      </c>
      <c r="B3692" t="s">
        <v>6964</v>
      </c>
      <c r="C3692" s="1">
        <v>45948</v>
      </c>
    </row>
    <row r="3693" spans="1:3" x14ac:dyDescent="0.25">
      <c r="A3693" t="s">
        <v>4745</v>
      </c>
      <c r="B3693" t="s">
        <v>39</v>
      </c>
      <c r="C3693" s="1"/>
    </row>
    <row r="3694" spans="1:3" x14ac:dyDescent="0.25">
      <c r="A3694" t="s">
        <v>4735</v>
      </c>
      <c r="B3694" t="s">
        <v>39</v>
      </c>
      <c r="C3694" s="1"/>
    </row>
    <row r="3695" spans="1:3" x14ac:dyDescent="0.25">
      <c r="A3695" t="s">
        <v>4724</v>
      </c>
      <c r="B3695" t="s">
        <v>39</v>
      </c>
      <c r="C3695" s="1"/>
    </row>
    <row r="3696" spans="1:3" x14ac:dyDescent="0.25">
      <c r="A3696" t="s">
        <v>4782</v>
      </c>
      <c r="B3696" t="s">
        <v>6962</v>
      </c>
      <c r="C3696" s="1">
        <v>45948</v>
      </c>
    </row>
    <row r="3697" spans="1:3" x14ac:dyDescent="0.25">
      <c r="A3697" t="s">
        <v>6940</v>
      </c>
      <c r="B3697" t="s">
        <v>6962</v>
      </c>
      <c r="C3697" s="1">
        <v>45944</v>
      </c>
    </row>
    <row r="3698" spans="1:3" x14ac:dyDescent="0.25">
      <c r="A3698" t="s">
        <v>4783</v>
      </c>
      <c r="B3698" t="s">
        <v>6962</v>
      </c>
      <c r="C3698" s="1">
        <v>45946</v>
      </c>
    </row>
    <row r="3699" spans="1:3" x14ac:dyDescent="0.25">
      <c r="A3699" t="s">
        <v>3161</v>
      </c>
      <c r="B3699" t="s">
        <v>6962</v>
      </c>
      <c r="C3699" s="1">
        <v>45944</v>
      </c>
    </row>
    <row r="3700" spans="1:3" x14ac:dyDescent="0.25">
      <c r="A3700" t="s">
        <v>3161</v>
      </c>
      <c r="B3700" t="s">
        <v>6962</v>
      </c>
      <c r="C3700" s="1">
        <v>45944</v>
      </c>
    </row>
    <row r="3701" spans="1:3" x14ac:dyDescent="0.25">
      <c r="A3701" t="s">
        <v>4784</v>
      </c>
      <c r="B3701" t="s">
        <v>6962</v>
      </c>
      <c r="C3701" s="1">
        <v>45946</v>
      </c>
    </row>
    <row r="3702" spans="1:3" x14ac:dyDescent="0.25">
      <c r="A3702" t="s">
        <v>4785</v>
      </c>
      <c r="B3702" t="s">
        <v>6962</v>
      </c>
      <c r="C3702" s="1">
        <v>45948</v>
      </c>
    </row>
    <row r="3703" spans="1:3" x14ac:dyDescent="0.25">
      <c r="A3703" t="s">
        <v>2867</v>
      </c>
      <c r="B3703" t="s">
        <v>6962</v>
      </c>
      <c r="C3703" s="1">
        <v>45944</v>
      </c>
    </row>
    <row r="3704" spans="1:3" x14ac:dyDescent="0.25">
      <c r="A3704" t="s">
        <v>6941</v>
      </c>
      <c r="B3704" t="s">
        <v>6962</v>
      </c>
      <c r="C3704" s="1">
        <v>45944</v>
      </c>
    </row>
    <row r="3705" spans="1:3" x14ac:dyDescent="0.25">
      <c r="A3705" t="s">
        <v>4786</v>
      </c>
      <c r="B3705" t="s">
        <v>39</v>
      </c>
      <c r="C3705" s="1"/>
    </row>
    <row r="3706" spans="1:3" x14ac:dyDescent="0.25">
      <c r="A3706" t="s">
        <v>4791</v>
      </c>
      <c r="B3706" t="s">
        <v>6962</v>
      </c>
      <c r="C3706" s="1">
        <v>45950</v>
      </c>
    </row>
    <row r="3707" spans="1:3" x14ac:dyDescent="0.25">
      <c r="A3707" t="s">
        <v>2869</v>
      </c>
      <c r="B3707" t="s">
        <v>39</v>
      </c>
      <c r="C3707" s="1"/>
    </row>
    <row r="3708" spans="1:3" x14ac:dyDescent="0.25">
      <c r="A3708" t="s">
        <v>2868</v>
      </c>
      <c r="B3708" t="s">
        <v>6962</v>
      </c>
      <c r="C3708" s="1">
        <v>45946</v>
      </c>
    </row>
    <row r="3709" spans="1:3" x14ac:dyDescent="0.25">
      <c r="A3709" t="s">
        <v>4790</v>
      </c>
      <c r="B3709" t="s">
        <v>6962</v>
      </c>
      <c r="C3709" s="1">
        <v>45957</v>
      </c>
    </row>
    <row r="3710" spans="1:3" x14ac:dyDescent="0.25">
      <c r="A3710" t="s">
        <v>4789</v>
      </c>
      <c r="B3710" t="s">
        <v>6962</v>
      </c>
      <c r="C3710" s="1">
        <v>45947</v>
      </c>
    </row>
    <row r="3711" spans="1:3" x14ac:dyDescent="0.25">
      <c r="A3711" t="s">
        <v>4788</v>
      </c>
      <c r="B3711" t="s">
        <v>6962</v>
      </c>
      <c r="C3711" s="1">
        <v>45947</v>
      </c>
    </row>
    <row r="3712" spans="1:3" x14ac:dyDescent="0.25">
      <c r="A3712" t="s">
        <v>4787</v>
      </c>
      <c r="B3712" t="s">
        <v>6962</v>
      </c>
      <c r="C3712" s="1">
        <v>45948</v>
      </c>
    </row>
    <row r="3713" spans="1:3" x14ac:dyDescent="0.25">
      <c r="A3713" t="s">
        <v>6942</v>
      </c>
      <c r="B3713" t="s">
        <v>39</v>
      </c>
      <c r="C3713" s="1">
        <v>45944</v>
      </c>
    </row>
    <row r="3714" spans="1:3" x14ac:dyDescent="0.25">
      <c r="A3714" t="s">
        <v>2870</v>
      </c>
      <c r="B3714" t="s">
        <v>6962</v>
      </c>
      <c r="C3714" s="1">
        <v>45947</v>
      </c>
    </row>
    <row r="3715" spans="1:3" x14ac:dyDescent="0.25">
      <c r="A3715" t="s">
        <v>3201</v>
      </c>
      <c r="B3715" t="s">
        <v>6962</v>
      </c>
      <c r="C3715" s="1">
        <v>45952</v>
      </c>
    </row>
    <row r="3716" spans="1:3" x14ac:dyDescent="0.25">
      <c r="A3716" t="s">
        <v>3201</v>
      </c>
      <c r="B3716" t="s">
        <v>6962</v>
      </c>
      <c r="C3716" s="1">
        <v>45952</v>
      </c>
    </row>
    <row r="3717" spans="1:3" x14ac:dyDescent="0.25">
      <c r="A3717" t="s">
        <v>4792</v>
      </c>
      <c r="B3717" t="s">
        <v>6962</v>
      </c>
      <c r="C3717" s="1">
        <v>45947</v>
      </c>
    </row>
    <row r="3718" spans="1:3" x14ac:dyDescent="0.25">
      <c r="A3718" t="s">
        <v>4793</v>
      </c>
      <c r="B3718" t="s">
        <v>6962</v>
      </c>
      <c r="C3718" s="1">
        <v>45952</v>
      </c>
    </row>
    <row r="3719" spans="1:3" x14ac:dyDescent="0.25">
      <c r="A3719" t="s">
        <v>4795</v>
      </c>
      <c r="B3719" t="s">
        <v>6962</v>
      </c>
      <c r="C3719" s="1">
        <v>45950</v>
      </c>
    </row>
    <row r="3720" spans="1:3" x14ac:dyDescent="0.25">
      <c r="A3720" t="s">
        <v>4796</v>
      </c>
      <c r="B3720" t="s">
        <v>6962</v>
      </c>
      <c r="C3720" s="1">
        <v>45952</v>
      </c>
    </row>
    <row r="3721" spans="1:3" x14ac:dyDescent="0.25">
      <c r="A3721" t="s">
        <v>4796</v>
      </c>
      <c r="B3721" t="s">
        <v>6962</v>
      </c>
      <c r="C3721" s="1">
        <v>45950</v>
      </c>
    </row>
    <row r="3722" spans="1:3" x14ac:dyDescent="0.25">
      <c r="A3722" t="s">
        <v>4799</v>
      </c>
      <c r="B3722" t="s">
        <v>6962</v>
      </c>
      <c r="C3722" s="1">
        <v>45950</v>
      </c>
    </row>
    <row r="3723" spans="1:3" x14ac:dyDescent="0.25">
      <c r="A3723" t="s">
        <v>4798</v>
      </c>
      <c r="B3723" t="s">
        <v>6962</v>
      </c>
      <c r="C3723" s="1">
        <v>45946</v>
      </c>
    </row>
    <row r="3724" spans="1:3" x14ac:dyDescent="0.25">
      <c r="A3724" t="s">
        <v>4797</v>
      </c>
      <c r="B3724" t="s">
        <v>6962</v>
      </c>
      <c r="C3724" s="1">
        <v>45948</v>
      </c>
    </row>
    <row r="3725" spans="1:3" x14ac:dyDescent="0.25">
      <c r="A3725" t="s">
        <v>4803</v>
      </c>
      <c r="B3725" t="s">
        <v>6962</v>
      </c>
      <c r="C3725" s="1">
        <v>45946</v>
      </c>
    </row>
    <row r="3726" spans="1:3" x14ac:dyDescent="0.25">
      <c r="A3726" t="s">
        <v>4802</v>
      </c>
      <c r="B3726" t="s">
        <v>6962</v>
      </c>
      <c r="C3726" s="1">
        <v>45952</v>
      </c>
    </row>
    <row r="3727" spans="1:3" x14ac:dyDescent="0.25">
      <c r="A3727" t="s">
        <v>4801</v>
      </c>
      <c r="B3727" t="s">
        <v>6962</v>
      </c>
      <c r="C3727" s="1">
        <v>45950</v>
      </c>
    </row>
    <row r="3728" spans="1:3" x14ac:dyDescent="0.25">
      <c r="A3728" t="s">
        <v>4800</v>
      </c>
      <c r="B3728" t="s">
        <v>39</v>
      </c>
      <c r="C3728" s="1"/>
    </row>
    <row r="3729" spans="1:3" x14ac:dyDescent="0.25">
      <c r="A3729" t="s">
        <v>2871</v>
      </c>
      <c r="B3729" t="s">
        <v>6962</v>
      </c>
      <c r="C3729" s="1">
        <v>45954</v>
      </c>
    </row>
    <row r="3730" spans="1:3" x14ac:dyDescent="0.25">
      <c r="A3730" t="s">
        <v>6943</v>
      </c>
      <c r="B3730" t="s">
        <v>6962</v>
      </c>
      <c r="C3730" s="1">
        <v>45945</v>
      </c>
    </row>
    <row r="3731" spans="1:3" x14ac:dyDescent="0.25">
      <c r="A3731" t="s">
        <v>2872</v>
      </c>
      <c r="B3731" t="s">
        <v>6962</v>
      </c>
      <c r="C3731" s="1">
        <v>45946</v>
      </c>
    </row>
    <row r="3732" spans="1:3" x14ac:dyDescent="0.25">
      <c r="A3732" t="s">
        <v>3202</v>
      </c>
      <c r="B3732" t="s">
        <v>6962</v>
      </c>
      <c r="C3732" s="1">
        <v>45952</v>
      </c>
    </row>
    <row r="3733" spans="1:3" x14ac:dyDescent="0.25">
      <c r="A3733" t="s">
        <v>3202</v>
      </c>
      <c r="B3733" t="s">
        <v>6962</v>
      </c>
      <c r="C3733" s="1">
        <v>45952</v>
      </c>
    </row>
    <row r="3734" spans="1:3" x14ac:dyDescent="0.25">
      <c r="A3734" t="s">
        <v>4804</v>
      </c>
      <c r="B3734" t="s">
        <v>6963</v>
      </c>
      <c r="C3734" s="1"/>
    </row>
    <row r="3735" spans="1:3" x14ac:dyDescent="0.25">
      <c r="A3735" t="s">
        <v>4804</v>
      </c>
      <c r="B3735" t="s">
        <v>6963</v>
      </c>
      <c r="C3735" s="1"/>
    </row>
    <row r="3736" spans="1:3" x14ac:dyDescent="0.25">
      <c r="A3736" t="s">
        <v>4805</v>
      </c>
      <c r="B3736" t="s">
        <v>6962</v>
      </c>
      <c r="C3736" s="1">
        <v>45954</v>
      </c>
    </row>
    <row r="3737" spans="1:3" x14ac:dyDescent="0.25">
      <c r="A3737" t="s">
        <v>3203</v>
      </c>
      <c r="B3737" t="s">
        <v>39</v>
      </c>
      <c r="C3737" s="1"/>
    </row>
    <row r="3738" spans="1:3" x14ac:dyDescent="0.25">
      <c r="A3738" t="s">
        <v>4806</v>
      </c>
      <c r="B3738" t="s">
        <v>6962</v>
      </c>
      <c r="C3738" s="1">
        <v>45948</v>
      </c>
    </row>
    <row r="3739" spans="1:3" x14ac:dyDescent="0.25">
      <c r="A3739" t="s">
        <v>4807</v>
      </c>
      <c r="B3739" t="s">
        <v>6962</v>
      </c>
      <c r="C3739" s="1">
        <v>45957</v>
      </c>
    </row>
    <row r="3740" spans="1:3" x14ac:dyDescent="0.25">
      <c r="A3740" t="s">
        <v>2873</v>
      </c>
      <c r="B3740" t="s">
        <v>6962</v>
      </c>
      <c r="C3740" s="1">
        <v>45946</v>
      </c>
    </row>
    <row r="3741" spans="1:3" x14ac:dyDescent="0.25">
      <c r="A3741" t="s">
        <v>3204</v>
      </c>
      <c r="B3741" t="s">
        <v>6962</v>
      </c>
      <c r="C3741" s="1">
        <v>45952</v>
      </c>
    </row>
    <row r="3742" spans="1:3" x14ac:dyDescent="0.25">
      <c r="A3742" t="s">
        <v>3204</v>
      </c>
      <c r="B3742" t="s">
        <v>6962</v>
      </c>
      <c r="C3742" s="1">
        <v>45952</v>
      </c>
    </row>
    <row r="3743" spans="1:3" x14ac:dyDescent="0.25">
      <c r="A3743" t="s">
        <v>4812</v>
      </c>
      <c r="B3743" t="s">
        <v>6962</v>
      </c>
      <c r="C3743" s="1">
        <v>45948</v>
      </c>
    </row>
    <row r="3744" spans="1:3" x14ac:dyDescent="0.25">
      <c r="A3744" t="s">
        <v>4812</v>
      </c>
      <c r="B3744" t="s">
        <v>6962</v>
      </c>
      <c r="C3744" s="1">
        <v>45948</v>
      </c>
    </row>
    <row r="3745" spans="1:3" x14ac:dyDescent="0.25">
      <c r="A3745" t="s">
        <v>4811</v>
      </c>
      <c r="B3745" t="s">
        <v>6962</v>
      </c>
      <c r="C3745" s="1">
        <v>45954</v>
      </c>
    </row>
    <row r="3746" spans="1:3" x14ac:dyDescent="0.25">
      <c r="A3746" t="s">
        <v>4811</v>
      </c>
      <c r="B3746" t="s">
        <v>6962</v>
      </c>
      <c r="C3746" s="1">
        <v>45948</v>
      </c>
    </row>
    <row r="3747" spans="1:3" x14ac:dyDescent="0.25">
      <c r="A3747" t="s">
        <v>4811</v>
      </c>
      <c r="B3747" t="s">
        <v>6962</v>
      </c>
      <c r="C3747" s="1">
        <v>45957</v>
      </c>
    </row>
    <row r="3748" spans="1:3" x14ac:dyDescent="0.25">
      <c r="A3748" t="s">
        <v>4811</v>
      </c>
      <c r="B3748" t="s">
        <v>6962</v>
      </c>
      <c r="C3748" s="1">
        <v>45946</v>
      </c>
    </row>
    <row r="3749" spans="1:3" x14ac:dyDescent="0.25">
      <c r="A3749" t="s">
        <v>4810</v>
      </c>
      <c r="B3749" t="s">
        <v>6962</v>
      </c>
      <c r="C3749" s="1">
        <v>45948</v>
      </c>
    </row>
    <row r="3750" spans="1:3" x14ac:dyDescent="0.25">
      <c r="A3750" t="s">
        <v>2874</v>
      </c>
      <c r="B3750" t="s">
        <v>6962</v>
      </c>
      <c r="C3750" s="1">
        <v>45947</v>
      </c>
    </row>
    <row r="3751" spans="1:3" x14ac:dyDescent="0.25">
      <c r="A3751" t="s">
        <v>4809</v>
      </c>
      <c r="B3751" t="s">
        <v>6962</v>
      </c>
      <c r="C3751" s="1">
        <v>45957</v>
      </c>
    </row>
    <row r="3752" spans="1:3" x14ac:dyDescent="0.25">
      <c r="A3752" t="s">
        <v>4814</v>
      </c>
      <c r="B3752" t="s">
        <v>6963</v>
      </c>
      <c r="C3752" s="1"/>
    </row>
    <row r="3753" spans="1:3" x14ac:dyDescent="0.25">
      <c r="A3753" t="s">
        <v>4813</v>
      </c>
      <c r="B3753" t="s">
        <v>6962</v>
      </c>
      <c r="C3753" s="1">
        <v>45958</v>
      </c>
    </row>
    <row r="3754" spans="1:3" x14ac:dyDescent="0.25">
      <c r="A3754" t="s">
        <v>3205</v>
      </c>
      <c r="B3754" t="s">
        <v>6962</v>
      </c>
      <c r="C3754" s="1">
        <v>45952</v>
      </c>
    </row>
    <row r="3755" spans="1:3" x14ac:dyDescent="0.25">
      <c r="A3755" t="s">
        <v>3205</v>
      </c>
      <c r="B3755" t="s">
        <v>6962</v>
      </c>
      <c r="C3755" s="1">
        <v>45952</v>
      </c>
    </row>
    <row r="3756" spans="1:3" x14ac:dyDescent="0.25">
      <c r="A3756" t="s">
        <v>2876</v>
      </c>
      <c r="B3756" t="s">
        <v>39</v>
      </c>
      <c r="C3756" s="1"/>
    </row>
    <row r="3757" spans="1:3" x14ac:dyDescent="0.25">
      <c r="A3757" t="s">
        <v>2877</v>
      </c>
      <c r="B3757" t="s">
        <v>6962</v>
      </c>
      <c r="C3757" s="1">
        <v>45947</v>
      </c>
    </row>
    <row r="3758" spans="1:3" x14ac:dyDescent="0.25">
      <c r="A3758" t="s">
        <v>4818</v>
      </c>
      <c r="B3758" t="s">
        <v>6962</v>
      </c>
      <c r="C3758" s="1">
        <v>45946</v>
      </c>
    </row>
    <row r="3759" spans="1:3" x14ac:dyDescent="0.25">
      <c r="A3759" t="s">
        <v>4817</v>
      </c>
      <c r="B3759" t="s">
        <v>6962</v>
      </c>
      <c r="C3759" s="1">
        <v>45946</v>
      </c>
    </row>
    <row r="3760" spans="1:3" x14ac:dyDescent="0.25">
      <c r="A3760" t="s">
        <v>4816</v>
      </c>
      <c r="B3760" t="s">
        <v>6962</v>
      </c>
      <c r="C3760" s="1">
        <v>45946</v>
      </c>
    </row>
    <row r="3761" spans="1:3" x14ac:dyDescent="0.25">
      <c r="A3761" t="s">
        <v>4821</v>
      </c>
      <c r="B3761" t="s">
        <v>6962</v>
      </c>
      <c r="C3761" s="1">
        <v>45946</v>
      </c>
    </row>
    <row r="3762" spans="1:3" x14ac:dyDescent="0.25">
      <c r="A3762" t="s">
        <v>4815</v>
      </c>
      <c r="B3762" t="s">
        <v>6964</v>
      </c>
      <c r="C3762" s="1">
        <v>45954</v>
      </c>
    </row>
    <row r="3763" spans="1:3" x14ac:dyDescent="0.25">
      <c r="A3763" t="s">
        <v>2878</v>
      </c>
      <c r="B3763" t="s">
        <v>6962</v>
      </c>
      <c r="C3763" s="1">
        <v>45947</v>
      </c>
    </row>
    <row r="3764" spans="1:3" x14ac:dyDescent="0.25">
      <c r="A3764" t="s">
        <v>3077</v>
      </c>
      <c r="B3764" t="s">
        <v>6962</v>
      </c>
      <c r="C3764" s="1">
        <v>45952</v>
      </c>
    </row>
    <row r="3765" spans="1:3" x14ac:dyDescent="0.25">
      <c r="A3765" t="s">
        <v>4820</v>
      </c>
      <c r="B3765" t="s">
        <v>6962</v>
      </c>
      <c r="C3765" s="1">
        <v>45947</v>
      </c>
    </row>
    <row r="3766" spans="1:3" x14ac:dyDescent="0.25">
      <c r="A3766" t="s">
        <v>4819</v>
      </c>
      <c r="B3766" t="s">
        <v>39</v>
      </c>
      <c r="C3766" s="1"/>
    </row>
    <row r="3767" spans="1:3" x14ac:dyDescent="0.25">
      <c r="A3767" t="s">
        <v>4826</v>
      </c>
      <c r="B3767" t="s">
        <v>6962</v>
      </c>
      <c r="C3767" s="1">
        <v>45957</v>
      </c>
    </row>
    <row r="3768" spans="1:3" x14ac:dyDescent="0.25">
      <c r="A3768" t="s">
        <v>4825</v>
      </c>
      <c r="B3768" t="s">
        <v>6962</v>
      </c>
      <c r="C3768" s="1">
        <v>45953</v>
      </c>
    </row>
    <row r="3769" spans="1:3" x14ac:dyDescent="0.25">
      <c r="A3769" t="s">
        <v>4824</v>
      </c>
      <c r="B3769" t="s">
        <v>6962</v>
      </c>
      <c r="C3769" s="1">
        <v>45947</v>
      </c>
    </row>
    <row r="3770" spans="1:3" x14ac:dyDescent="0.25">
      <c r="A3770" t="s">
        <v>4823</v>
      </c>
      <c r="B3770" t="s">
        <v>6962</v>
      </c>
      <c r="C3770" s="1">
        <v>45953</v>
      </c>
    </row>
    <row r="3771" spans="1:3" x14ac:dyDescent="0.25">
      <c r="A3771" t="s">
        <v>4822</v>
      </c>
      <c r="B3771" t="s">
        <v>6963</v>
      </c>
      <c r="C3771" s="1"/>
    </row>
    <row r="3772" spans="1:3" x14ac:dyDescent="0.25">
      <c r="A3772" t="s">
        <v>4828</v>
      </c>
      <c r="B3772" t="s">
        <v>6962</v>
      </c>
      <c r="C3772" s="1">
        <v>45959</v>
      </c>
    </row>
    <row r="3773" spans="1:3" x14ac:dyDescent="0.25">
      <c r="A3773" t="s">
        <v>4827</v>
      </c>
      <c r="B3773" t="s">
        <v>6962</v>
      </c>
      <c r="C3773" s="1">
        <v>45957</v>
      </c>
    </row>
    <row r="3774" spans="1:3" x14ac:dyDescent="0.25">
      <c r="A3774" t="s">
        <v>2880</v>
      </c>
      <c r="B3774" t="s">
        <v>6962</v>
      </c>
      <c r="C3774" s="1">
        <v>45947</v>
      </c>
    </row>
    <row r="3775" spans="1:3" x14ac:dyDescent="0.25">
      <c r="A3775" t="s">
        <v>2879</v>
      </c>
      <c r="B3775" t="s">
        <v>6962</v>
      </c>
      <c r="C3775" s="1">
        <v>45947</v>
      </c>
    </row>
    <row r="3776" spans="1:3" x14ac:dyDescent="0.25">
      <c r="A3776" t="s">
        <v>4829</v>
      </c>
      <c r="B3776" t="s">
        <v>6962</v>
      </c>
      <c r="C3776" s="1">
        <v>45959</v>
      </c>
    </row>
    <row r="3777" spans="1:3" x14ac:dyDescent="0.25">
      <c r="A3777" t="s">
        <v>4831</v>
      </c>
      <c r="B3777" t="s">
        <v>6962</v>
      </c>
      <c r="C3777" s="1">
        <v>45953</v>
      </c>
    </row>
    <row r="3778" spans="1:3" x14ac:dyDescent="0.25">
      <c r="A3778" t="s">
        <v>4830</v>
      </c>
      <c r="B3778" t="s">
        <v>6962</v>
      </c>
      <c r="C3778" s="1">
        <v>45959</v>
      </c>
    </row>
    <row r="3779" spans="1:3" x14ac:dyDescent="0.25">
      <c r="A3779" t="s">
        <v>2883</v>
      </c>
      <c r="B3779" t="s">
        <v>6962</v>
      </c>
      <c r="C3779" s="1">
        <v>45947</v>
      </c>
    </row>
    <row r="3780" spans="1:3" x14ac:dyDescent="0.25">
      <c r="A3780" t="s">
        <v>2882</v>
      </c>
      <c r="B3780" t="s">
        <v>6962</v>
      </c>
      <c r="C3780" s="1">
        <v>45953</v>
      </c>
    </row>
    <row r="3781" spans="1:3" x14ac:dyDescent="0.25">
      <c r="A3781" t="s">
        <v>2881</v>
      </c>
      <c r="B3781" t="s">
        <v>6962</v>
      </c>
      <c r="C3781" s="1">
        <v>45952</v>
      </c>
    </row>
    <row r="3782" spans="1:3" x14ac:dyDescent="0.25">
      <c r="A3782" t="s">
        <v>4833</v>
      </c>
      <c r="B3782" t="s">
        <v>6963</v>
      </c>
      <c r="C3782" s="1">
        <v>45954</v>
      </c>
    </row>
    <row r="3783" spans="1:3" x14ac:dyDescent="0.25">
      <c r="A3783" t="s">
        <v>3207</v>
      </c>
      <c r="B3783" t="s">
        <v>6962</v>
      </c>
      <c r="C3783" s="1">
        <v>45955</v>
      </c>
    </row>
    <row r="3784" spans="1:3" x14ac:dyDescent="0.25">
      <c r="A3784" t="s">
        <v>3207</v>
      </c>
      <c r="B3784" t="s">
        <v>6962</v>
      </c>
      <c r="C3784" s="1">
        <v>45955</v>
      </c>
    </row>
    <row r="3785" spans="1:3" x14ac:dyDescent="0.25">
      <c r="A3785" t="s">
        <v>4834</v>
      </c>
      <c r="B3785" t="s">
        <v>6962</v>
      </c>
      <c r="C3785" s="1">
        <v>45955</v>
      </c>
    </row>
    <row r="3786" spans="1:3" x14ac:dyDescent="0.25">
      <c r="A3786" t="s">
        <v>4834</v>
      </c>
      <c r="B3786" t="s">
        <v>6962</v>
      </c>
      <c r="C3786" s="1">
        <v>45955</v>
      </c>
    </row>
    <row r="3787" spans="1:3" x14ac:dyDescent="0.25">
      <c r="A3787" t="s">
        <v>4834</v>
      </c>
      <c r="B3787" t="s">
        <v>6963</v>
      </c>
      <c r="C3787" s="1"/>
    </row>
    <row r="3788" spans="1:3" x14ac:dyDescent="0.25">
      <c r="A3788" t="s">
        <v>4835</v>
      </c>
      <c r="B3788" t="s">
        <v>6962</v>
      </c>
      <c r="C3788" s="1">
        <v>45953</v>
      </c>
    </row>
    <row r="3789" spans="1:3" x14ac:dyDescent="0.25">
      <c r="A3789" t="s">
        <v>4836</v>
      </c>
      <c r="B3789" t="s">
        <v>6962</v>
      </c>
      <c r="C3789" s="1">
        <v>45947</v>
      </c>
    </row>
    <row r="3790" spans="1:3" x14ac:dyDescent="0.25">
      <c r="A3790" t="s">
        <v>4837</v>
      </c>
      <c r="B3790" t="s">
        <v>6962</v>
      </c>
      <c r="C3790" s="1">
        <v>45953</v>
      </c>
    </row>
    <row r="3791" spans="1:3" x14ac:dyDescent="0.25">
      <c r="A3791" t="s">
        <v>4838</v>
      </c>
      <c r="B3791" t="s">
        <v>6962</v>
      </c>
      <c r="C3791" s="1">
        <v>45953</v>
      </c>
    </row>
    <row r="3792" spans="1:3" x14ac:dyDescent="0.25">
      <c r="A3792" t="s">
        <v>4841</v>
      </c>
      <c r="B3792" t="s">
        <v>6962</v>
      </c>
      <c r="C3792" s="1">
        <v>45954</v>
      </c>
    </row>
    <row r="3793" spans="1:3" x14ac:dyDescent="0.25">
      <c r="A3793" t="s">
        <v>4840</v>
      </c>
      <c r="B3793" t="s">
        <v>6962</v>
      </c>
      <c r="C3793" s="1">
        <v>45950</v>
      </c>
    </row>
    <row r="3794" spans="1:3" x14ac:dyDescent="0.25">
      <c r="A3794" t="s">
        <v>4839</v>
      </c>
      <c r="B3794" t="s">
        <v>6962</v>
      </c>
      <c r="C3794" s="1">
        <v>45950</v>
      </c>
    </row>
    <row r="3795" spans="1:3" x14ac:dyDescent="0.25">
      <c r="A3795" t="s">
        <v>4845</v>
      </c>
      <c r="B3795" t="s">
        <v>6962</v>
      </c>
      <c r="C3795" s="1">
        <v>45953</v>
      </c>
    </row>
    <row r="3796" spans="1:3" x14ac:dyDescent="0.25">
      <c r="A3796" t="s">
        <v>4844</v>
      </c>
      <c r="B3796" t="s">
        <v>6962</v>
      </c>
      <c r="C3796" s="1">
        <v>45950</v>
      </c>
    </row>
    <row r="3797" spans="1:3" x14ac:dyDescent="0.25">
      <c r="A3797" t="s">
        <v>4843</v>
      </c>
      <c r="B3797" t="s">
        <v>6962</v>
      </c>
      <c r="C3797" s="1">
        <v>45955</v>
      </c>
    </row>
    <row r="3798" spans="1:3" x14ac:dyDescent="0.25">
      <c r="A3798" t="s">
        <v>4842</v>
      </c>
      <c r="B3798" t="s">
        <v>6962</v>
      </c>
      <c r="C3798" s="1">
        <v>45950</v>
      </c>
    </row>
    <row r="3799" spans="1:3" x14ac:dyDescent="0.25">
      <c r="A3799" t="s">
        <v>4846</v>
      </c>
      <c r="B3799" t="s">
        <v>6962</v>
      </c>
      <c r="C3799" s="1">
        <v>45957</v>
      </c>
    </row>
    <row r="3800" spans="1:3" x14ac:dyDescent="0.25">
      <c r="A3800" t="s">
        <v>4848</v>
      </c>
      <c r="B3800" t="s">
        <v>6962</v>
      </c>
      <c r="C3800" s="1">
        <v>45958</v>
      </c>
    </row>
    <row r="3801" spans="1:3" x14ac:dyDescent="0.25">
      <c r="A3801" t="s">
        <v>4847</v>
      </c>
      <c r="B3801" t="s">
        <v>6962</v>
      </c>
      <c r="C3801" s="1">
        <v>45953</v>
      </c>
    </row>
    <row r="3802" spans="1:3" x14ac:dyDescent="0.25">
      <c r="A3802" t="s">
        <v>3196</v>
      </c>
      <c r="B3802" t="s">
        <v>6962</v>
      </c>
      <c r="C3802" s="1">
        <v>45948</v>
      </c>
    </row>
    <row r="3803" spans="1:3" x14ac:dyDescent="0.25">
      <c r="A3803" t="s">
        <v>3196</v>
      </c>
      <c r="B3803" t="s">
        <v>6962</v>
      </c>
      <c r="C3803" s="1">
        <v>45948</v>
      </c>
    </row>
    <row r="3804" spans="1:3" x14ac:dyDescent="0.25">
      <c r="A3804" t="s">
        <v>3209</v>
      </c>
      <c r="B3804" t="s">
        <v>6962</v>
      </c>
      <c r="C3804" s="1">
        <v>45958</v>
      </c>
    </row>
    <row r="3805" spans="1:3" x14ac:dyDescent="0.25">
      <c r="A3805" t="s">
        <v>3209</v>
      </c>
      <c r="B3805" t="s">
        <v>6962</v>
      </c>
      <c r="C3805" s="1">
        <v>45958</v>
      </c>
    </row>
    <row r="3806" spans="1:3" x14ac:dyDescent="0.25">
      <c r="A3806" t="s">
        <v>2884</v>
      </c>
      <c r="B3806" t="s">
        <v>39</v>
      </c>
      <c r="C3806" s="1"/>
    </row>
    <row r="3807" spans="1:3" x14ac:dyDescent="0.25">
      <c r="A3807" t="s">
        <v>6944</v>
      </c>
      <c r="B3807" t="s">
        <v>6962</v>
      </c>
      <c r="C3807" s="1">
        <v>45950</v>
      </c>
    </row>
    <row r="3808" spans="1:3" x14ac:dyDescent="0.25">
      <c r="A3808" t="s">
        <v>2885</v>
      </c>
      <c r="B3808" t="s">
        <v>6962</v>
      </c>
      <c r="C3808" s="1">
        <v>45952</v>
      </c>
    </row>
    <row r="3809" spans="1:3" x14ac:dyDescent="0.25">
      <c r="A3809" t="s">
        <v>4853</v>
      </c>
      <c r="B3809" t="s">
        <v>6962</v>
      </c>
      <c r="C3809" s="1">
        <v>45952</v>
      </c>
    </row>
    <row r="3810" spans="1:3" x14ac:dyDescent="0.25">
      <c r="A3810" t="s">
        <v>4852</v>
      </c>
      <c r="B3810" t="s">
        <v>6962</v>
      </c>
      <c r="C3810" s="1">
        <v>45953</v>
      </c>
    </row>
    <row r="3811" spans="1:3" x14ac:dyDescent="0.25">
      <c r="A3811" t="s">
        <v>4851</v>
      </c>
      <c r="B3811" t="s">
        <v>6962</v>
      </c>
      <c r="C3811" s="1">
        <v>45955</v>
      </c>
    </row>
    <row r="3812" spans="1:3" x14ac:dyDescent="0.25">
      <c r="A3812" t="s">
        <v>4850</v>
      </c>
      <c r="B3812" t="s">
        <v>39</v>
      </c>
      <c r="C3812" s="1"/>
    </row>
    <row r="3813" spans="1:3" x14ac:dyDescent="0.25">
      <c r="A3813" t="s">
        <v>4849</v>
      </c>
      <c r="B3813" t="s">
        <v>6962</v>
      </c>
      <c r="C3813" s="1">
        <v>45955</v>
      </c>
    </row>
    <row r="3814" spans="1:3" x14ac:dyDescent="0.25">
      <c r="A3814" t="s">
        <v>2886</v>
      </c>
      <c r="B3814" t="s">
        <v>6962</v>
      </c>
      <c r="C3814" s="1">
        <v>45954</v>
      </c>
    </row>
    <row r="3815" spans="1:3" x14ac:dyDescent="0.25">
      <c r="A3815" t="s">
        <v>4855</v>
      </c>
      <c r="B3815" t="s">
        <v>6962</v>
      </c>
      <c r="C3815" s="1">
        <v>45957</v>
      </c>
    </row>
    <row r="3816" spans="1:3" x14ac:dyDescent="0.25">
      <c r="A3816" t="s">
        <v>4856</v>
      </c>
      <c r="B3816" t="s">
        <v>6962</v>
      </c>
      <c r="C3816" s="1">
        <v>45961</v>
      </c>
    </row>
    <row r="3817" spans="1:3" x14ac:dyDescent="0.25">
      <c r="A3817" t="s">
        <v>2889</v>
      </c>
      <c r="B3817" t="s">
        <v>6964</v>
      </c>
      <c r="C3817" s="1">
        <v>45955</v>
      </c>
    </row>
    <row r="3818" spans="1:3" x14ac:dyDescent="0.25">
      <c r="A3818" t="s">
        <v>4858</v>
      </c>
      <c r="B3818" t="s">
        <v>6962</v>
      </c>
      <c r="C3818" s="1">
        <v>45961</v>
      </c>
    </row>
    <row r="3819" spans="1:3" x14ac:dyDescent="0.25">
      <c r="A3819" t="s">
        <v>4857</v>
      </c>
      <c r="B3819" t="s">
        <v>6962</v>
      </c>
      <c r="C3819" s="1">
        <v>45959</v>
      </c>
    </row>
    <row r="3820" spans="1:3" x14ac:dyDescent="0.25">
      <c r="A3820" t="s">
        <v>2888</v>
      </c>
      <c r="B3820" t="s">
        <v>39</v>
      </c>
      <c r="C3820" s="1"/>
    </row>
    <row r="3821" spans="1:3" x14ac:dyDescent="0.25">
      <c r="A3821" t="s">
        <v>2887</v>
      </c>
      <c r="B3821" t="s">
        <v>6962</v>
      </c>
      <c r="C3821" s="1">
        <v>45954</v>
      </c>
    </row>
    <row r="3822" spans="1:3" x14ac:dyDescent="0.25">
      <c r="A3822" t="s">
        <v>4860</v>
      </c>
      <c r="B3822" t="s">
        <v>6962</v>
      </c>
      <c r="C3822" s="1">
        <v>45953</v>
      </c>
    </row>
    <row r="3823" spans="1:3" x14ac:dyDescent="0.25">
      <c r="A3823" t="s">
        <v>4859</v>
      </c>
      <c r="B3823" t="s">
        <v>6962</v>
      </c>
      <c r="C3823" s="1">
        <v>45959</v>
      </c>
    </row>
    <row r="3824" spans="1:3" x14ac:dyDescent="0.25">
      <c r="A3824" t="s">
        <v>4861</v>
      </c>
      <c r="B3824" t="s">
        <v>6962</v>
      </c>
      <c r="C3824" s="1">
        <v>45961</v>
      </c>
    </row>
    <row r="3825" spans="1:3" x14ac:dyDescent="0.25">
      <c r="A3825" t="s">
        <v>4863</v>
      </c>
      <c r="B3825" t="s">
        <v>6962</v>
      </c>
      <c r="C3825" s="1">
        <v>45955</v>
      </c>
    </row>
    <row r="3826" spans="1:3" x14ac:dyDescent="0.25">
      <c r="A3826" t="s">
        <v>4862</v>
      </c>
      <c r="B3826" t="s">
        <v>6963</v>
      </c>
      <c r="C3826" s="1"/>
    </row>
    <row r="3827" spans="1:3" x14ac:dyDescent="0.25">
      <c r="A3827" t="s">
        <v>4864</v>
      </c>
      <c r="B3827" t="s">
        <v>6962</v>
      </c>
      <c r="C3827" s="1">
        <v>45955</v>
      </c>
    </row>
    <row r="3828" spans="1:3" x14ac:dyDescent="0.25">
      <c r="A3828" t="s">
        <v>4865</v>
      </c>
      <c r="B3828" t="s">
        <v>6962</v>
      </c>
      <c r="C3828" s="1">
        <v>45959</v>
      </c>
    </row>
    <row r="3829" spans="1:3" x14ac:dyDescent="0.25">
      <c r="A3829" t="s">
        <v>2890</v>
      </c>
      <c r="B3829" t="s">
        <v>6962</v>
      </c>
      <c r="C3829" s="1">
        <v>45954</v>
      </c>
    </row>
    <row r="3830" spans="1:3" x14ac:dyDescent="0.25">
      <c r="A3830" t="s">
        <v>4866</v>
      </c>
      <c r="B3830" t="s">
        <v>6962</v>
      </c>
      <c r="C3830" s="1">
        <v>45955</v>
      </c>
    </row>
    <row r="3831" spans="1:3" x14ac:dyDescent="0.25">
      <c r="A3831" t="s">
        <v>2875</v>
      </c>
      <c r="B3831" t="s">
        <v>6962</v>
      </c>
      <c r="C3831" s="1">
        <v>45952</v>
      </c>
    </row>
    <row r="3832" spans="1:3" x14ac:dyDescent="0.25">
      <c r="A3832" t="s">
        <v>4869</v>
      </c>
      <c r="B3832" t="s">
        <v>6962</v>
      </c>
      <c r="C3832" s="1">
        <v>45964</v>
      </c>
    </row>
    <row r="3833" spans="1:3" x14ac:dyDescent="0.25">
      <c r="A3833" t="s">
        <v>4868</v>
      </c>
      <c r="B3833" t="s">
        <v>6962</v>
      </c>
      <c r="C3833" s="1">
        <v>45961</v>
      </c>
    </row>
    <row r="3834" spans="1:3" x14ac:dyDescent="0.25">
      <c r="A3834" t="s">
        <v>4870</v>
      </c>
      <c r="B3834" t="s">
        <v>6962</v>
      </c>
      <c r="C3834" s="1">
        <v>45964</v>
      </c>
    </row>
    <row r="3835" spans="1:3" x14ac:dyDescent="0.25">
      <c r="A3835" t="s">
        <v>4871</v>
      </c>
      <c r="B3835" t="s">
        <v>6962</v>
      </c>
      <c r="C3835" s="1">
        <v>45959</v>
      </c>
    </row>
    <row r="3836" spans="1:3" x14ac:dyDescent="0.25">
      <c r="A3836" t="s">
        <v>4872</v>
      </c>
      <c r="B3836" t="s">
        <v>6962</v>
      </c>
      <c r="C3836" s="1">
        <v>45958</v>
      </c>
    </row>
    <row r="3837" spans="1:3" x14ac:dyDescent="0.25">
      <c r="A3837" t="s">
        <v>4873</v>
      </c>
      <c r="B3837" t="s">
        <v>6963</v>
      </c>
      <c r="C3837" s="1"/>
    </row>
    <row r="3838" spans="1:3" x14ac:dyDescent="0.25">
      <c r="A3838" t="s">
        <v>4876</v>
      </c>
      <c r="B3838" t="s">
        <v>6962</v>
      </c>
      <c r="C3838" s="1">
        <v>45955</v>
      </c>
    </row>
    <row r="3839" spans="1:3" x14ac:dyDescent="0.25">
      <c r="A3839" t="s">
        <v>4875</v>
      </c>
      <c r="B3839" t="s">
        <v>39</v>
      </c>
      <c r="C3839" s="1"/>
    </row>
    <row r="3840" spans="1:3" x14ac:dyDescent="0.25">
      <c r="A3840" t="s">
        <v>4874</v>
      </c>
      <c r="B3840" t="s">
        <v>6962</v>
      </c>
      <c r="C3840" s="1">
        <v>45965</v>
      </c>
    </row>
    <row r="3841" spans="1:3" x14ac:dyDescent="0.25">
      <c r="A3841" t="s">
        <v>4877</v>
      </c>
      <c r="B3841" t="s">
        <v>39</v>
      </c>
      <c r="C3841" s="1"/>
    </row>
    <row r="3842" spans="1:3" x14ac:dyDescent="0.25">
      <c r="A3842" t="s">
        <v>4878</v>
      </c>
      <c r="B3842" t="s">
        <v>6964</v>
      </c>
      <c r="C3842" s="1">
        <v>45955</v>
      </c>
    </row>
    <row r="3843" spans="1:3" x14ac:dyDescent="0.25">
      <c r="A3843" t="s">
        <v>4879</v>
      </c>
      <c r="B3843" t="s">
        <v>6962</v>
      </c>
      <c r="C3843" s="1">
        <v>45965</v>
      </c>
    </row>
    <row r="3844" spans="1:3" x14ac:dyDescent="0.25">
      <c r="A3844" t="s">
        <v>4880</v>
      </c>
      <c r="B3844" t="s">
        <v>39</v>
      </c>
      <c r="C3844" s="1"/>
    </row>
    <row r="3845" spans="1:3" x14ac:dyDescent="0.25">
      <c r="A3845" t="s">
        <v>4881</v>
      </c>
      <c r="B3845" t="s">
        <v>6962</v>
      </c>
      <c r="C3845" s="1">
        <v>45968</v>
      </c>
    </row>
    <row r="3846" spans="1:3" x14ac:dyDescent="0.25">
      <c r="A3846" t="s">
        <v>4882</v>
      </c>
      <c r="B3846" t="s">
        <v>6962</v>
      </c>
      <c r="C3846" s="1">
        <v>45957</v>
      </c>
    </row>
    <row r="3847" spans="1:3" x14ac:dyDescent="0.25">
      <c r="A3847" t="s">
        <v>2893</v>
      </c>
      <c r="B3847" t="s">
        <v>6962</v>
      </c>
      <c r="C3847" s="1">
        <v>45955</v>
      </c>
    </row>
    <row r="3848" spans="1:3" x14ac:dyDescent="0.25">
      <c r="A3848" t="s">
        <v>4889</v>
      </c>
      <c r="B3848" t="s">
        <v>6962</v>
      </c>
      <c r="C3848" s="1">
        <v>45961</v>
      </c>
    </row>
    <row r="3849" spans="1:3" x14ac:dyDescent="0.25">
      <c r="A3849" t="s">
        <v>4888</v>
      </c>
      <c r="B3849" t="s">
        <v>6964</v>
      </c>
      <c r="C3849" s="1">
        <v>45957</v>
      </c>
    </row>
    <row r="3850" spans="1:3" x14ac:dyDescent="0.25">
      <c r="A3850" t="s">
        <v>4887</v>
      </c>
      <c r="B3850" t="s">
        <v>6962</v>
      </c>
      <c r="C3850" s="1">
        <v>45957</v>
      </c>
    </row>
    <row r="3851" spans="1:3" x14ac:dyDescent="0.25">
      <c r="A3851" t="s">
        <v>4886</v>
      </c>
      <c r="B3851" t="s">
        <v>6962</v>
      </c>
      <c r="C3851" s="1">
        <v>45968</v>
      </c>
    </row>
    <row r="3852" spans="1:3" x14ac:dyDescent="0.25">
      <c r="A3852" t="s">
        <v>4885</v>
      </c>
      <c r="B3852" t="s">
        <v>6962</v>
      </c>
      <c r="C3852" s="1">
        <v>45957</v>
      </c>
    </row>
    <row r="3853" spans="1:3" x14ac:dyDescent="0.25">
      <c r="A3853" t="s">
        <v>4884</v>
      </c>
      <c r="B3853" t="s">
        <v>6962</v>
      </c>
      <c r="C3853" s="1">
        <v>45961</v>
      </c>
    </row>
    <row r="3854" spans="1:3" x14ac:dyDescent="0.25">
      <c r="A3854" t="s">
        <v>2891</v>
      </c>
      <c r="B3854" t="s">
        <v>6962</v>
      </c>
      <c r="C3854" s="1">
        <v>45958</v>
      </c>
    </row>
    <row r="3855" spans="1:3" x14ac:dyDescent="0.25">
      <c r="A3855" t="s">
        <v>4883</v>
      </c>
      <c r="B3855" t="s">
        <v>6962</v>
      </c>
      <c r="C3855" s="1">
        <v>45961</v>
      </c>
    </row>
    <row r="3856" spans="1:3" x14ac:dyDescent="0.25">
      <c r="A3856" t="s">
        <v>4890</v>
      </c>
      <c r="B3856" t="s">
        <v>6962</v>
      </c>
      <c r="C3856" s="1">
        <v>45959</v>
      </c>
    </row>
    <row r="3857" spans="1:3" x14ac:dyDescent="0.25">
      <c r="A3857" t="s">
        <v>4890</v>
      </c>
      <c r="B3857" t="s">
        <v>6962</v>
      </c>
      <c r="C3857" s="1">
        <v>45960</v>
      </c>
    </row>
    <row r="3858" spans="1:3" x14ac:dyDescent="0.25">
      <c r="A3858" t="s">
        <v>4890</v>
      </c>
      <c r="B3858" t="s">
        <v>6962</v>
      </c>
      <c r="C3858" s="1">
        <v>45964</v>
      </c>
    </row>
    <row r="3859" spans="1:3" x14ac:dyDescent="0.25">
      <c r="A3859" t="s">
        <v>4890</v>
      </c>
      <c r="B3859" t="s">
        <v>6962</v>
      </c>
      <c r="C3859" s="1">
        <v>45959</v>
      </c>
    </row>
    <row r="3860" spans="1:3" x14ac:dyDescent="0.25">
      <c r="A3860" t="s">
        <v>4890</v>
      </c>
      <c r="B3860" t="s">
        <v>6962</v>
      </c>
      <c r="C3860" s="1">
        <v>45958</v>
      </c>
    </row>
    <row r="3861" spans="1:3" x14ac:dyDescent="0.25">
      <c r="A3861" t="s">
        <v>4891</v>
      </c>
      <c r="B3861" t="s">
        <v>6962</v>
      </c>
      <c r="C3861" s="1">
        <v>45962</v>
      </c>
    </row>
    <row r="3862" spans="1:3" x14ac:dyDescent="0.25">
      <c r="A3862" t="s">
        <v>2894</v>
      </c>
      <c r="B3862" t="s">
        <v>6962</v>
      </c>
      <c r="C3862" s="1">
        <v>45955</v>
      </c>
    </row>
    <row r="3863" spans="1:3" x14ac:dyDescent="0.25">
      <c r="A3863" t="s">
        <v>4897</v>
      </c>
      <c r="B3863" t="s">
        <v>6962</v>
      </c>
      <c r="C3863" s="1">
        <v>45961</v>
      </c>
    </row>
    <row r="3864" spans="1:3" x14ac:dyDescent="0.25">
      <c r="A3864" t="s">
        <v>4897</v>
      </c>
      <c r="B3864" t="s">
        <v>6962</v>
      </c>
      <c r="C3864" s="1">
        <v>45961</v>
      </c>
    </row>
    <row r="3865" spans="1:3" x14ac:dyDescent="0.25">
      <c r="A3865" t="s">
        <v>4896</v>
      </c>
      <c r="B3865" t="s">
        <v>6962</v>
      </c>
      <c r="C3865" s="1">
        <v>45958</v>
      </c>
    </row>
    <row r="3866" spans="1:3" x14ac:dyDescent="0.25">
      <c r="A3866" t="s">
        <v>4894</v>
      </c>
      <c r="B3866" t="s">
        <v>6962</v>
      </c>
      <c r="C3866" s="1">
        <v>45965</v>
      </c>
    </row>
    <row r="3867" spans="1:3" x14ac:dyDescent="0.25">
      <c r="A3867" t="s">
        <v>4893</v>
      </c>
      <c r="B3867" t="s">
        <v>6962</v>
      </c>
      <c r="C3867" s="1">
        <v>45959</v>
      </c>
    </row>
    <row r="3868" spans="1:3" x14ac:dyDescent="0.25">
      <c r="A3868" t="s">
        <v>4898</v>
      </c>
      <c r="B3868" t="s">
        <v>6962</v>
      </c>
      <c r="C3868" s="1">
        <v>45968</v>
      </c>
    </row>
    <row r="3869" spans="1:3" x14ac:dyDescent="0.25">
      <c r="A3869" t="s">
        <v>4899</v>
      </c>
      <c r="B3869" t="s">
        <v>39</v>
      </c>
      <c r="C3869" s="1"/>
    </row>
    <row r="3870" spans="1:3" x14ac:dyDescent="0.25">
      <c r="A3870" t="s">
        <v>4899</v>
      </c>
      <c r="B3870" t="s">
        <v>39</v>
      </c>
      <c r="C3870" s="1"/>
    </row>
    <row r="3871" spans="1:3" x14ac:dyDescent="0.25">
      <c r="A3871" t="s">
        <v>4899</v>
      </c>
      <c r="B3871" t="s">
        <v>39</v>
      </c>
      <c r="C3871" s="1"/>
    </row>
    <row r="3872" spans="1:3" x14ac:dyDescent="0.25">
      <c r="A3872" t="s">
        <v>4899</v>
      </c>
      <c r="B3872" t="s">
        <v>39</v>
      </c>
      <c r="C3872" s="1"/>
    </row>
    <row r="3873" spans="1:3" x14ac:dyDescent="0.25">
      <c r="A3873" t="s">
        <v>3210</v>
      </c>
      <c r="B3873" t="s">
        <v>39</v>
      </c>
      <c r="C3873" s="1"/>
    </row>
    <row r="3874" spans="1:3" x14ac:dyDescent="0.25">
      <c r="A3874" t="s">
        <v>2895</v>
      </c>
      <c r="B3874" t="s">
        <v>6962</v>
      </c>
      <c r="C3874" s="1">
        <v>45960</v>
      </c>
    </row>
    <row r="3875" spans="1:3" x14ac:dyDescent="0.25">
      <c r="A3875" t="s">
        <v>3213</v>
      </c>
      <c r="B3875" t="s">
        <v>6962</v>
      </c>
      <c r="C3875" s="1">
        <v>45959</v>
      </c>
    </row>
    <row r="3876" spans="1:3" x14ac:dyDescent="0.25">
      <c r="A3876" t="s">
        <v>3212</v>
      </c>
      <c r="B3876" t="s">
        <v>6962</v>
      </c>
      <c r="C3876" s="1">
        <v>45959</v>
      </c>
    </row>
    <row r="3877" spans="1:3" x14ac:dyDescent="0.25">
      <c r="A3877" t="s">
        <v>3211</v>
      </c>
      <c r="B3877" t="s">
        <v>6962</v>
      </c>
      <c r="C3877" s="1">
        <v>45959</v>
      </c>
    </row>
    <row r="3878" spans="1:3" x14ac:dyDescent="0.25">
      <c r="A3878" t="s">
        <v>4900</v>
      </c>
      <c r="B3878" t="s">
        <v>6962</v>
      </c>
      <c r="C3878" s="1">
        <v>45962</v>
      </c>
    </row>
    <row r="3879" spans="1:3" x14ac:dyDescent="0.25">
      <c r="A3879" t="s">
        <v>4901</v>
      </c>
      <c r="B3879" t="s">
        <v>6962</v>
      </c>
      <c r="C3879" s="1">
        <v>45960</v>
      </c>
    </row>
    <row r="3880" spans="1:3" x14ac:dyDescent="0.25">
      <c r="A3880" t="s">
        <v>4903</v>
      </c>
      <c r="B3880" t="s">
        <v>6962</v>
      </c>
      <c r="C3880" s="1">
        <v>45959</v>
      </c>
    </row>
    <row r="3881" spans="1:3" x14ac:dyDescent="0.25">
      <c r="A3881" t="s">
        <v>2896</v>
      </c>
      <c r="B3881" t="s">
        <v>6962</v>
      </c>
      <c r="C3881" s="1">
        <v>45958</v>
      </c>
    </row>
    <row r="3882" spans="1:3" x14ac:dyDescent="0.25">
      <c r="A3882" t="s">
        <v>4902</v>
      </c>
      <c r="B3882" t="s">
        <v>6962</v>
      </c>
      <c r="C3882" s="1">
        <v>45959</v>
      </c>
    </row>
    <row r="3883" spans="1:3" x14ac:dyDescent="0.25">
      <c r="A3883" t="s">
        <v>4904</v>
      </c>
      <c r="B3883" t="s">
        <v>6962</v>
      </c>
      <c r="C3883" s="1">
        <v>45965</v>
      </c>
    </row>
    <row r="3884" spans="1:3" x14ac:dyDescent="0.25">
      <c r="A3884" t="s">
        <v>4908</v>
      </c>
      <c r="B3884" t="s">
        <v>6962</v>
      </c>
      <c r="C3884" s="1">
        <v>45966</v>
      </c>
    </row>
    <row r="3885" spans="1:3" x14ac:dyDescent="0.25">
      <c r="A3885" t="s">
        <v>4906</v>
      </c>
      <c r="B3885" t="s">
        <v>6962</v>
      </c>
      <c r="C3885" s="1">
        <v>45959</v>
      </c>
    </row>
    <row r="3886" spans="1:3" x14ac:dyDescent="0.25">
      <c r="A3886" t="s">
        <v>4905</v>
      </c>
      <c r="B3886" t="s">
        <v>6962</v>
      </c>
      <c r="C3886" s="1">
        <v>45960</v>
      </c>
    </row>
    <row r="3887" spans="1:3" x14ac:dyDescent="0.25">
      <c r="A3887" t="s">
        <v>6945</v>
      </c>
      <c r="B3887" t="s">
        <v>6964</v>
      </c>
      <c r="C3887" s="1">
        <v>45958</v>
      </c>
    </row>
    <row r="3888" spans="1:3" x14ac:dyDescent="0.25">
      <c r="A3888" t="s">
        <v>4909</v>
      </c>
      <c r="B3888" t="s">
        <v>6962</v>
      </c>
      <c r="C3888" s="1">
        <v>45960</v>
      </c>
    </row>
    <row r="3889" spans="1:3" x14ac:dyDescent="0.25">
      <c r="A3889" t="s">
        <v>4911</v>
      </c>
      <c r="B3889" t="s">
        <v>6962</v>
      </c>
      <c r="C3889" s="1">
        <v>45964</v>
      </c>
    </row>
    <row r="3890" spans="1:3" x14ac:dyDescent="0.25">
      <c r="A3890" t="s">
        <v>2897</v>
      </c>
      <c r="B3890" t="s">
        <v>6962</v>
      </c>
      <c r="C3890" s="1">
        <v>45962</v>
      </c>
    </row>
    <row r="3891" spans="1:3" x14ac:dyDescent="0.25">
      <c r="A3891" t="s">
        <v>4917</v>
      </c>
      <c r="B3891" t="s">
        <v>6962</v>
      </c>
      <c r="C3891" s="1">
        <v>45960</v>
      </c>
    </row>
    <row r="3892" spans="1:3" x14ac:dyDescent="0.25">
      <c r="A3892" t="s">
        <v>2898</v>
      </c>
      <c r="B3892" t="s">
        <v>39</v>
      </c>
      <c r="C3892" s="1"/>
    </row>
    <row r="3893" spans="1:3" x14ac:dyDescent="0.25">
      <c r="A3893" t="s">
        <v>3078</v>
      </c>
      <c r="B3893" t="s">
        <v>6962</v>
      </c>
      <c r="C3893" s="1">
        <v>45961</v>
      </c>
    </row>
    <row r="3894" spans="1:3" x14ac:dyDescent="0.25">
      <c r="A3894" t="s">
        <v>4922</v>
      </c>
      <c r="B3894" t="s">
        <v>6962</v>
      </c>
      <c r="C3894" s="1">
        <v>45962</v>
      </c>
    </row>
    <row r="3895" spans="1:3" x14ac:dyDescent="0.25">
      <c r="A3895" t="s">
        <v>4923</v>
      </c>
      <c r="B3895" t="s">
        <v>6962</v>
      </c>
      <c r="C3895" s="1">
        <v>45961</v>
      </c>
    </row>
    <row r="3896" spans="1:3" x14ac:dyDescent="0.25">
      <c r="A3896" t="s">
        <v>4925</v>
      </c>
      <c r="B3896" t="s">
        <v>6962</v>
      </c>
      <c r="C3896" s="1">
        <v>45959</v>
      </c>
    </row>
    <row r="3897" spans="1:3" x14ac:dyDescent="0.25">
      <c r="A3897" t="s">
        <v>4926</v>
      </c>
      <c r="B3897" t="s">
        <v>6962</v>
      </c>
      <c r="C3897" s="1">
        <v>45960</v>
      </c>
    </row>
    <row r="3898" spans="1:3" x14ac:dyDescent="0.25">
      <c r="A3898" t="s">
        <v>4928</v>
      </c>
      <c r="B3898" t="s">
        <v>6962</v>
      </c>
      <c r="C3898" s="1">
        <v>45962</v>
      </c>
    </row>
    <row r="3899" spans="1:3" x14ac:dyDescent="0.25">
      <c r="A3899" t="s">
        <v>4927</v>
      </c>
      <c r="B3899" t="s">
        <v>6962</v>
      </c>
      <c r="C3899" s="1">
        <v>45961</v>
      </c>
    </row>
    <row r="3900" spans="1:3" x14ac:dyDescent="0.25">
      <c r="A3900" t="s">
        <v>2899</v>
      </c>
      <c r="B3900" t="s">
        <v>6962</v>
      </c>
      <c r="C3900" s="1">
        <v>45959</v>
      </c>
    </row>
    <row r="3901" spans="1:3" x14ac:dyDescent="0.25">
      <c r="A3901" t="s">
        <v>4929</v>
      </c>
      <c r="B3901" t="s">
        <v>39</v>
      </c>
      <c r="C3901" s="1"/>
    </row>
    <row r="3902" spans="1:3" x14ac:dyDescent="0.25">
      <c r="A3902" t="s">
        <v>2900</v>
      </c>
      <c r="B3902" t="s">
        <v>39</v>
      </c>
      <c r="C3902" s="1"/>
    </row>
    <row r="3903" spans="1:3" x14ac:dyDescent="0.25">
      <c r="A3903" t="s">
        <v>2901</v>
      </c>
      <c r="B3903" t="s">
        <v>39</v>
      </c>
      <c r="C3903" s="1"/>
    </row>
    <row r="3904" spans="1:3" x14ac:dyDescent="0.25">
      <c r="A3904" t="s">
        <v>2902</v>
      </c>
      <c r="B3904" t="s">
        <v>6962</v>
      </c>
      <c r="C3904" s="1">
        <v>45960</v>
      </c>
    </row>
    <row r="3905" spans="1:3" x14ac:dyDescent="0.25">
      <c r="A3905" t="s">
        <v>6946</v>
      </c>
      <c r="B3905" t="s">
        <v>39</v>
      </c>
      <c r="C3905" s="1"/>
    </row>
    <row r="3906" spans="1:3" x14ac:dyDescent="0.25">
      <c r="A3906" t="s">
        <v>2903</v>
      </c>
      <c r="B3906" t="s">
        <v>6962</v>
      </c>
      <c r="C3906" s="1">
        <v>45960</v>
      </c>
    </row>
    <row r="3907" spans="1:3" x14ac:dyDescent="0.25">
      <c r="A3907" t="s">
        <v>2906</v>
      </c>
      <c r="B3907" t="s">
        <v>6962</v>
      </c>
      <c r="C3907" s="1">
        <v>45962</v>
      </c>
    </row>
    <row r="3908" spans="1:3" x14ac:dyDescent="0.25">
      <c r="A3908" t="s">
        <v>2907</v>
      </c>
      <c r="B3908" t="s">
        <v>6962</v>
      </c>
      <c r="C3908" s="1">
        <v>45966</v>
      </c>
    </row>
    <row r="3909" spans="1:3" x14ac:dyDescent="0.25">
      <c r="A3909" t="s">
        <v>4931</v>
      </c>
      <c r="B3909" t="s">
        <v>6962</v>
      </c>
      <c r="C3909" s="1">
        <v>45962</v>
      </c>
    </row>
    <row r="3910" spans="1:3" x14ac:dyDescent="0.25">
      <c r="A3910" t="s">
        <v>2908</v>
      </c>
      <c r="B3910" t="s">
        <v>6962</v>
      </c>
      <c r="C3910" s="1">
        <v>45962</v>
      </c>
    </row>
    <row r="3911" spans="1:3" x14ac:dyDescent="0.25">
      <c r="A3911" t="s">
        <v>2909</v>
      </c>
      <c r="B3911" t="s">
        <v>39</v>
      </c>
      <c r="C3911" s="1"/>
    </row>
    <row r="3912" spans="1:3" x14ac:dyDescent="0.25">
      <c r="A3912" t="s">
        <v>4932</v>
      </c>
      <c r="B3912" t="s">
        <v>6962</v>
      </c>
      <c r="C3912" s="1">
        <v>45971</v>
      </c>
    </row>
    <row r="3913" spans="1:3" x14ac:dyDescent="0.25">
      <c r="A3913" t="s">
        <v>4937</v>
      </c>
      <c r="B3913" t="s">
        <v>6964</v>
      </c>
      <c r="C3913" s="1">
        <v>45961</v>
      </c>
    </row>
    <row r="3914" spans="1:3" x14ac:dyDescent="0.25">
      <c r="A3914" t="s">
        <v>4936</v>
      </c>
      <c r="B3914" t="s">
        <v>6962</v>
      </c>
      <c r="C3914" s="1">
        <v>45968</v>
      </c>
    </row>
    <row r="3915" spans="1:3" x14ac:dyDescent="0.25">
      <c r="A3915" t="s">
        <v>4935</v>
      </c>
      <c r="B3915" t="s">
        <v>6962</v>
      </c>
      <c r="C3915" s="1">
        <v>45960</v>
      </c>
    </row>
    <row r="3916" spans="1:3" x14ac:dyDescent="0.25">
      <c r="A3916" t="s">
        <v>4934</v>
      </c>
      <c r="B3916" t="s">
        <v>6962</v>
      </c>
      <c r="C3916" s="1">
        <v>45959</v>
      </c>
    </row>
    <row r="3917" spans="1:3" x14ac:dyDescent="0.25">
      <c r="A3917" t="s">
        <v>4933</v>
      </c>
      <c r="B3917" t="s">
        <v>6962</v>
      </c>
      <c r="C3917" s="1">
        <v>45961</v>
      </c>
    </row>
    <row r="3918" spans="1:3" x14ac:dyDescent="0.25">
      <c r="A3918" t="s">
        <v>4939</v>
      </c>
      <c r="B3918" t="s">
        <v>6962</v>
      </c>
      <c r="C3918" s="1">
        <v>45964</v>
      </c>
    </row>
    <row r="3919" spans="1:3" x14ac:dyDescent="0.25">
      <c r="A3919" t="s">
        <v>4938</v>
      </c>
      <c r="B3919" t="s">
        <v>6962</v>
      </c>
      <c r="C3919" s="1">
        <v>45961</v>
      </c>
    </row>
    <row r="3920" spans="1:3" x14ac:dyDescent="0.25">
      <c r="A3920" t="s">
        <v>2910</v>
      </c>
      <c r="B3920" t="s">
        <v>6962</v>
      </c>
      <c r="C3920" s="1">
        <v>45961</v>
      </c>
    </row>
    <row r="3921" spans="1:3" x14ac:dyDescent="0.25">
      <c r="A3921" t="s">
        <v>4940</v>
      </c>
      <c r="B3921" t="s">
        <v>6962</v>
      </c>
      <c r="C3921" s="1">
        <v>45964</v>
      </c>
    </row>
    <row r="3922" spans="1:3" x14ac:dyDescent="0.25">
      <c r="A3922" t="s">
        <v>2911</v>
      </c>
      <c r="B3922" t="s">
        <v>39</v>
      </c>
      <c r="C3922" s="1"/>
    </row>
    <row r="3923" spans="1:3" x14ac:dyDescent="0.25">
      <c r="A3923" t="s">
        <v>2912</v>
      </c>
      <c r="B3923" t="s">
        <v>6962</v>
      </c>
      <c r="C3923" s="1">
        <v>45961</v>
      </c>
    </row>
    <row r="3924" spans="1:3" x14ac:dyDescent="0.25">
      <c r="A3924" t="s">
        <v>2913</v>
      </c>
      <c r="B3924" t="s">
        <v>6962</v>
      </c>
      <c r="C3924" s="1">
        <v>45961</v>
      </c>
    </row>
    <row r="3925" spans="1:3" x14ac:dyDescent="0.25">
      <c r="A3925" t="s">
        <v>4942</v>
      </c>
      <c r="B3925" t="s">
        <v>6962</v>
      </c>
      <c r="C3925" s="1">
        <v>45961</v>
      </c>
    </row>
    <row r="3926" spans="1:3" x14ac:dyDescent="0.25">
      <c r="A3926" t="s">
        <v>3216</v>
      </c>
      <c r="B3926" t="s">
        <v>6962</v>
      </c>
      <c r="C3926" s="1">
        <v>45967</v>
      </c>
    </row>
    <row r="3927" spans="1:3" x14ac:dyDescent="0.25">
      <c r="A3927" t="s">
        <v>3216</v>
      </c>
      <c r="B3927" t="s">
        <v>6962</v>
      </c>
      <c r="C3927" s="1">
        <v>45967</v>
      </c>
    </row>
    <row r="3928" spans="1:3" x14ac:dyDescent="0.25">
      <c r="A3928" t="s">
        <v>4943</v>
      </c>
      <c r="B3928" t="s">
        <v>6962</v>
      </c>
      <c r="C3928" s="1">
        <v>45969</v>
      </c>
    </row>
    <row r="3929" spans="1:3" x14ac:dyDescent="0.25">
      <c r="A3929" t="s">
        <v>2916</v>
      </c>
      <c r="B3929" t="s">
        <v>6962</v>
      </c>
      <c r="C3929" s="1">
        <v>45961</v>
      </c>
    </row>
    <row r="3930" spans="1:3" x14ac:dyDescent="0.25">
      <c r="A3930" t="s">
        <v>4944</v>
      </c>
      <c r="B3930" t="s">
        <v>6963</v>
      </c>
      <c r="C3930" s="1"/>
    </row>
    <row r="3931" spans="1:3" x14ac:dyDescent="0.25">
      <c r="A3931" t="s">
        <v>4944</v>
      </c>
      <c r="B3931" t="s">
        <v>6962</v>
      </c>
      <c r="C3931" s="1">
        <v>45969</v>
      </c>
    </row>
    <row r="3932" spans="1:3" x14ac:dyDescent="0.25">
      <c r="A3932" t="s">
        <v>4945</v>
      </c>
      <c r="B3932" t="s">
        <v>6962</v>
      </c>
      <c r="C3932" s="1">
        <v>45969</v>
      </c>
    </row>
    <row r="3933" spans="1:3" x14ac:dyDescent="0.25">
      <c r="A3933" t="s">
        <v>4946</v>
      </c>
      <c r="B3933" t="s">
        <v>6962</v>
      </c>
      <c r="C3933" s="1">
        <v>45972</v>
      </c>
    </row>
    <row r="3934" spans="1:3" x14ac:dyDescent="0.25">
      <c r="A3934" t="s">
        <v>4946</v>
      </c>
      <c r="B3934" t="s">
        <v>6962</v>
      </c>
      <c r="C3934" s="1">
        <v>45971</v>
      </c>
    </row>
    <row r="3935" spans="1:3" x14ac:dyDescent="0.25">
      <c r="A3935" t="s">
        <v>4947</v>
      </c>
      <c r="B3935" t="s">
        <v>6962</v>
      </c>
      <c r="C3935" s="1">
        <v>45972</v>
      </c>
    </row>
    <row r="3936" spans="1:3" x14ac:dyDescent="0.25">
      <c r="A3936" t="s">
        <v>4947</v>
      </c>
      <c r="B3936" t="s">
        <v>6962</v>
      </c>
      <c r="C3936" s="1">
        <v>45971</v>
      </c>
    </row>
    <row r="3937" spans="1:3" x14ac:dyDescent="0.25">
      <c r="A3937" t="s">
        <v>4948</v>
      </c>
      <c r="B3937" t="s">
        <v>6962</v>
      </c>
      <c r="C3937" s="1">
        <v>45966</v>
      </c>
    </row>
    <row r="3938" spans="1:3" x14ac:dyDescent="0.25">
      <c r="A3938" t="s">
        <v>4948</v>
      </c>
      <c r="B3938" t="s">
        <v>6962</v>
      </c>
      <c r="C3938" s="1">
        <v>45968</v>
      </c>
    </row>
    <row r="3939" spans="1:3" x14ac:dyDescent="0.25">
      <c r="A3939" t="s">
        <v>4948</v>
      </c>
      <c r="B3939" t="s">
        <v>6962</v>
      </c>
      <c r="C3939" s="1">
        <v>45968</v>
      </c>
    </row>
    <row r="3940" spans="1:3" x14ac:dyDescent="0.25">
      <c r="A3940" t="s">
        <v>4948</v>
      </c>
      <c r="B3940" t="s">
        <v>6962</v>
      </c>
      <c r="C3940" s="1">
        <v>45962</v>
      </c>
    </row>
    <row r="3941" spans="1:3" x14ac:dyDescent="0.25">
      <c r="A3941" t="s">
        <v>4948</v>
      </c>
      <c r="B3941" t="s">
        <v>6962</v>
      </c>
      <c r="C3941" s="1">
        <v>45962</v>
      </c>
    </row>
    <row r="3942" spans="1:3" x14ac:dyDescent="0.25">
      <c r="A3942" t="s">
        <v>4949</v>
      </c>
      <c r="B3942" t="s">
        <v>6962</v>
      </c>
      <c r="C3942" s="1">
        <v>45967</v>
      </c>
    </row>
    <row r="3943" spans="1:3" x14ac:dyDescent="0.25">
      <c r="A3943" t="s">
        <v>3217</v>
      </c>
      <c r="B3943" t="s">
        <v>6962</v>
      </c>
      <c r="C3943" s="1">
        <v>45968</v>
      </c>
    </row>
    <row r="3944" spans="1:3" x14ac:dyDescent="0.25">
      <c r="A3944" t="s">
        <v>3217</v>
      </c>
      <c r="B3944" t="s">
        <v>6962</v>
      </c>
      <c r="C3944" s="1">
        <v>45968</v>
      </c>
    </row>
    <row r="3945" spans="1:3" x14ac:dyDescent="0.25">
      <c r="A3945" t="s">
        <v>4950</v>
      </c>
      <c r="B3945" t="s">
        <v>6962</v>
      </c>
      <c r="C3945" s="1">
        <v>45975</v>
      </c>
    </row>
    <row r="3946" spans="1:3" x14ac:dyDescent="0.25">
      <c r="A3946" t="s">
        <v>4950</v>
      </c>
      <c r="B3946" t="s">
        <v>6962</v>
      </c>
      <c r="C3946" s="1">
        <v>45967</v>
      </c>
    </row>
    <row r="3947" spans="1:3" x14ac:dyDescent="0.25">
      <c r="A3947" t="s">
        <v>4951</v>
      </c>
      <c r="B3947" t="s">
        <v>6962</v>
      </c>
      <c r="C3947" s="1">
        <v>45966</v>
      </c>
    </row>
    <row r="3948" spans="1:3" x14ac:dyDescent="0.25">
      <c r="A3948" t="s">
        <v>2917</v>
      </c>
      <c r="B3948" t="s">
        <v>6962</v>
      </c>
      <c r="C3948" s="1">
        <v>45968</v>
      </c>
    </row>
    <row r="3949" spans="1:3" x14ac:dyDescent="0.25">
      <c r="A3949" t="s">
        <v>2918</v>
      </c>
      <c r="B3949" t="s">
        <v>6962</v>
      </c>
      <c r="C3949" s="1">
        <v>45969</v>
      </c>
    </row>
    <row r="3950" spans="1:3" x14ac:dyDescent="0.25">
      <c r="A3950" t="s">
        <v>4952</v>
      </c>
      <c r="B3950" t="s">
        <v>6962</v>
      </c>
      <c r="C3950" s="1">
        <v>45971</v>
      </c>
    </row>
    <row r="3951" spans="1:3" x14ac:dyDescent="0.25">
      <c r="A3951" t="s">
        <v>2919</v>
      </c>
      <c r="B3951" t="s">
        <v>6962</v>
      </c>
      <c r="C3951" s="1">
        <v>45962</v>
      </c>
    </row>
    <row r="3952" spans="1:3" x14ac:dyDescent="0.25">
      <c r="A3952" t="s">
        <v>4954</v>
      </c>
      <c r="B3952" t="s">
        <v>6962</v>
      </c>
      <c r="C3952" s="1">
        <v>45973</v>
      </c>
    </row>
    <row r="3953" spans="1:3" x14ac:dyDescent="0.25">
      <c r="A3953" t="s">
        <v>4954</v>
      </c>
      <c r="B3953" t="s">
        <v>6962</v>
      </c>
      <c r="C3953" s="1">
        <v>45968</v>
      </c>
    </row>
    <row r="3954" spans="1:3" x14ac:dyDescent="0.25">
      <c r="A3954" t="s">
        <v>2920</v>
      </c>
      <c r="B3954" t="s">
        <v>6962</v>
      </c>
      <c r="C3954" s="1">
        <v>45968</v>
      </c>
    </row>
    <row r="3955" spans="1:3" x14ac:dyDescent="0.25">
      <c r="A3955" t="s">
        <v>4955</v>
      </c>
      <c r="B3955" t="s">
        <v>6962</v>
      </c>
      <c r="C3955" s="1">
        <v>45971</v>
      </c>
    </row>
    <row r="3956" spans="1:3" x14ac:dyDescent="0.25">
      <c r="A3956" t="s">
        <v>2922</v>
      </c>
      <c r="B3956" t="s">
        <v>6962</v>
      </c>
      <c r="C3956" s="1">
        <v>45962</v>
      </c>
    </row>
    <row r="3957" spans="1:3" x14ac:dyDescent="0.25">
      <c r="A3957" t="s">
        <v>4956</v>
      </c>
      <c r="B3957" t="s">
        <v>6962</v>
      </c>
      <c r="C3957" s="1">
        <v>45971</v>
      </c>
    </row>
    <row r="3958" spans="1:3" x14ac:dyDescent="0.25">
      <c r="A3958" t="s">
        <v>4957</v>
      </c>
      <c r="B3958" t="s">
        <v>6962</v>
      </c>
      <c r="C3958" s="1">
        <v>45964</v>
      </c>
    </row>
    <row r="3959" spans="1:3" x14ac:dyDescent="0.25">
      <c r="A3959" t="s">
        <v>4958</v>
      </c>
      <c r="B3959" t="s">
        <v>6962</v>
      </c>
      <c r="C3959" s="1">
        <v>45967</v>
      </c>
    </row>
    <row r="3960" spans="1:3" x14ac:dyDescent="0.25">
      <c r="A3960" t="s">
        <v>4959</v>
      </c>
      <c r="B3960" t="s">
        <v>6962</v>
      </c>
      <c r="C3960" s="1">
        <v>45964</v>
      </c>
    </row>
    <row r="3961" spans="1:3" x14ac:dyDescent="0.25">
      <c r="A3961" t="s">
        <v>2925</v>
      </c>
      <c r="B3961" t="s">
        <v>6962</v>
      </c>
      <c r="C3961" s="1">
        <v>45968</v>
      </c>
    </row>
    <row r="3962" spans="1:3" x14ac:dyDescent="0.25">
      <c r="A3962" t="s">
        <v>2924</v>
      </c>
      <c r="B3962" t="s">
        <v>39</v>
      </c>
      <c r="C3962" s="1"/>
    </row>
    <row r="3963" spans="1:3" x14ac:dyDescent="0.25">
      <c r="A3963" t="s">
        <v>2923</v>
      </c>
      <c r="B3963" t="s">
        <v>6962</v>
      </c>
      <c r="C3963" s="1">
        <v>45972</v>
      </c>
    </row>
    <row r="3964" spans="1:3" x14ac:dyDescent="0.25">
      <c r="A3964" t="s">
        <v>4960</v>
      </c>
      <c r="B3964" t="s">
        <v>6962</v>
      </c>
      <c r="C3964" s="1">
        <v>45966</v>
      </c>
    </row>
    <row r="3965" spans="1:3" x14ac:dyDescent="0.25">
      <c r="A3965" t="s">
        <v>2928</v>
      </c>
      <c r="B3965" t="s">
        <v>6962</v>
      </c>
      <c r="C3965" s="1">
        <v>45968</v>
      </c>
    </row>
    <row r="3966" spans="1:3" x14ac:dyDescent="0.25">
      <c r="A3966" t="s">
        <v>2927</v>
      </c>
      <c r="B3966" t="s">
        <v>6962</v>
      </c>
      <c r="C3966" s="1">
        <v>45968</v>
      </c>
    </row>
    <row r="3967" spans="1:3" x14ac:dyDescent="0.25">
      <c r="A3967" t="s">
        <v>4962</v>
      </c>
      <c r="B3967" t="s">
        <v>6962</v>
      </c>
      <c r="C3967" s="1">
        <v>45967</v>
      </c>
    </row>
    <row r="3968" spans="1:3" x14ac:dyDescent="0.25">
      <c r="A3968" t="s">
        <v>3079</v>
      </c>
      <c r="B3968" t="s">
        <v>6962</v>
      </c>
      <c r="C3968" s="1">
        <v>45967</v>
      </c>
    </row>
    <row r="3969" spans="1:3" x14ac:dyDescent="0.25">
      <c r="A3969" t="s">
        <v>2930</v>
      </c>
      <c r="B3969" t="s">
        <v>6964</v>
      </c>
      <c r="C3969" s="1">
        <v>45972</v>
      </c>
    </row>
    <row r="3970" spans="1:3" x14ac:dyDescent="0.25">
      <c r="A3970" t="s">
        <v>2929</v>
      </c>
      <c r="B3970" t="s">
        <v>6962</v>
      </c>
      <c r="C3970" s="1">
        <v>45968</v>
      </c>
    </row>
    <row r="3971" spans="1:3" x14ac:dyDescent="0.25">
      <c r="A3971" t="s">
        <v>4964</v>
      </c>
      <c r="B3971" t="s">
        <v>6962</v>
      </c>
      <c r="C3971" s="1">
        <v>45968</v>
      </c>
    </row>
    <row r="3972" spans="1:3" x14ac:dyDescent="0.25">
      <c r="A3972" t="s">
        <v>4963</v>
      </c>
      <c r="B3972" t="s">
        <v>6962</v>
      </c>
      <c r="C3972" s="1">
        <v>45972</v>
      </c>
    </row>
    <row r="3973" spans="1:3" x14ac:dyDescent="0.25">
      <c r="A3973" t="s">
        <v>4964</v>
      </c>
      <c r="B3973" t="s">
        <v>6962</v>
      </c>
      <c r="C3973" s="1">
        <v>45971</v>
      </c>
    </row>
    <row r="3974" spans="1:3" x14ac:dyDescent="0.25">
      <c r="A3974" t="s">
        <v>4964</v>
      </c>
      <c r="B3974" t="s">
        <v>6962</v>
      </c>
      <c r="C3974" s="1">
        <v>45968</v>
      </c>
    </row>
    <row r="3975" spans="1:3" x14ac:dyDescent="0.25">
      <c r="A3975" t="s">
        <v>4965</v>
      </c>
      <c r="B3975" t="s">
        <v>6962</v>
      </c>
      <c r="C3975" s="1">
        <v>45966</v>
      </c>
    </row>
    <row r="3976" spans="1:3" x14ac:dyDescent="0.25">
      <c r="A3976" t="s">
        <v>4966</v>
      </c>
      <c r="B3976" t="s">
        <v>6962</v>
      </c>
      <c r="C3976" s="1">
        <v>45968</v>
      </c>
    </row>
    <row r="3977" spans="1:3" x14ac:dyDescent="0.25">
      <c r="A3977" t="s">
        <v>4967</v>
      </c>
      <c r="B3977" t="s">
        <v>6962</v>
      </c>
      <c r="C3977" s="1">
        <v>45967</v>
      </c>
    </row>
    <row r="3978" spans="1:3" x14ac:dyDescent="0.25">
      <c r="A3978" t="s">
        <v>4968</v>
      </c>
      <c r="B3978" t="s">
        <v>6962</v>
      </c>
      <c r="C3978" s="1">
        <v>45966</v>
      </c>
    </row>
    <row r="3979" spans="1:3" x14ac:dyDescent="0.25">
      <c r="A3979" t="s">
        <v>4969</v>
      </c>
      <c r="B3979" t="s">
        <v>6962</v>
      </c>
      <c r="C3979" s="1">
        <v>45966</v>
      </c>
    </row>
    <row r="3980" spans="1:3" x14ac:dyDescent="0.25">
      <c r="A3980" t="s">
        <v>4969</v>
      </c>
      <c r="B3980" t="s">
        <v>6962</v>
      </c>
      <c r="C3980" s="1">
        <v>45968</v>
      </c>
    </row>
    <row r="3981" spans="1:3" x14ac:dyDescent="0.25">
      <c r="A3981" t="s">
        <v>4969</v>
      </c>
      <c r="B3981" t="s">
        <v>6962</v>
      </c>
      <c r="C3981" s="1">
        <v>45968</v>
      </c>
    </row>
    <row r="3982" spans="1:3" x14ac:dyDescent="0.25">
      <c r="A3982" t="s">
        <v>2931</v>
      </c>
      <c r="B3982" t="s">
        <v>39</v>
      </c>
      <c r="C3982" s="1"/>
    </row>
    <row r="3983" spans="1:3" x14ac:dyDescent="0.25">
      <c r="A3983" t="s">
        <v>4970</v>
      </c>
      <c r="B3983" t="s">
        <v>6962</v>
      </c>
      <c r="C3983" s="1">
        <v>45966</v>
      </c>
    </row>
    <row r="3984" spans="1:3" x14ac:dyDescent="0.25">
      <c r="A3984" t="s">
        <v>4972</v>
      </c>
      <c r="B3984" t="s">
        <v>6962</v>
      </c>
      <c r="C3984" s="1">
        <v>45968</v>
      </c>
    </row>
    <row r="3985" spans="1:3" x14ac:dyDescent="0.25">
      <c r="A3985" t="s">
        <v>4976</v>
      </c>
      <c r="B3985" t="s">
        <v>6962</v>
      </c>
      <c r="C3985" s="1">
        <v>45971</v>
      </c>
    </row>
    <row r="3986" spans="1:3" x14ac:dyDescent="0.25">
      <c r="A3986" t="s">
        <v>4975</v>
      </c>
      <c r="B3986" t="s">
        <v>6962</v>
      </c>
      <c r="C3986" s="1">
        <v>45969</v>
      </c>
    </row>
    <row r="3987" spans="1:3" x14ac:dyDescent="0.25">
      <c r="A3987" t="s">
        <v>4974</v>
      </c>
      <c r="B3987" t="s">
        <v>6962</v>
      </c>
      <c r="C3987" s="1">
        <v>45967</v>
      </c>
    </row>
    <row r="3988" spans="1:3" x14ac:dyDescent="0.25">
      <c r="A3988" t="s">
        <v>4977</v>
      </c>
      <c r="B3988" t="s">
        <v>6962</v>
      </c>
      <c r="C3988" s="1">
        <v>45967</v>
      </c>
    </row>
    <row r="3989" spans="1:3" x14ac:dyDescent="0.25">
      <c r="A3989" t="s">
        <v>4978</v>
      </c>
      <c r="B3989" t="s">
        <v>6962</v>
      </c>
      <c r="C3989" s="1">
        <v>45971</v>
      </c>
    </row>
    <row r="3990" spans="1:3" x14ac:dyDescent="0.25">
      <c r="A3990" t="s">
        <v>4980</v>
      </c>
      <c r="B3990" t="s">
        <v>6962</v>
      </c>
      <c r="C3990" s="1">
        <v>45971</v>
      </c>
    </row>
    <row r="3991" spans="1:3" x14ac:dyDescent="0.25">
      <c r="A3991" t="s">
        <v>4982</v>
      </c>
      <c r="B3991" t="s">
        <v>6962</v>
      </c>
      <c r="C3991" s="1">
        <v>45969</v>
      </c>
    </row>
    <row r="3992" spans="1:3" x14ac:dyDescent="0.25">
      <c r="A3992" t="s">
        <v>4982</v>
      </c>
      <c r="B3992" t="s">
        <v>6962</v>
      </c>
      <c r="C3992" s="1">
        <v>45969</v>
      </c>
    </row>
    <row r="3993" spans="1:3" x14ac:dyDescent="0.25">
      <c r="A3993" t="s">
        <v>2934</v>
      </c>
      <c r="B3993" t="s">
        <v>39</v>
      </c>
      <c r="C3993" s="1"/>
    </row>
    <row r="3994" spans="1:3" x14ac:dyDescent="0.25">
      <c r="A3994" t="s">
        <v>4984</v>
      </c>
      <c r="B3994" t="s">
        <v>39</v>
      </c>
      <c r="C3994" s="1"/>
    </row>
    <row r="3995" spans="1:3" x14ac:dyDescent="0.25">
      <c r="A3995" t="s">
        <v>4985</v>
      </c>
      <c r="B3995" t="s">
        <v>6962</v>
      </c>
      <c r="C3995" s="1">
        <v>45971</v>
      </c>
    </row>
    <row r="3996" spans="1:3" x14ac:dyDescent="0.25">
      <c r="A3996" t="s">
        <v>4987</v>
      </c>
      <c r="B3996" t="s">
        <v>6962</v>
      </c>
      <c r="C3996" s="1">
        <v>45968</v>
      </c>
    </row>
    <row r="3997" spans="1:3" x14ac:dyDescent="0.25">
      <c r="A3997" t="s">
        <v>4988</v>
      </c>
      <c r="B3997" t="s">
        <v>39</v>
      </c>
      <c r="C3997" s="1"/>
    </row>
    <row r="3998" spans="1:3" x14ac:dyDescent="0.25">
      <c r="A3998" t="s">
        <v>4991</v>
      </c>
      <c r="B3998" t="s">
        <v>6962</v>
      </c>
      <c r="C3998" s="1">
        <v>45972</v>
      </c>
    </row>
    <row r="3999" spans="1:3" x14ac:dyDescent="0.25">
      <c r="A3999" t="s">
        <v>4990</v>
      </c>
      <c r="B3999" t="s">
        <v>6962</v>
      </c>
      <c r="C3999" s="1">
        <v>45971</v>
      </c>
    </row>
    <row r="4000" spans="1:3" x14ac:dyDescent="0.25">
      <c r="A4000" t="s">
        <v>4989</v>
      </c>
      <c r="B4000" t="s">
        <v>6962</v>
      </c>
      <c r="C4000" s="1">
        <v>45967</v>
      </c>
    </row>
    <row r="4001" spans="1:3" x14ac:dyDescent="0.25">
      <c r="A4001" t="s">
        <v>4992</v>
      </c>
      <c r="B4001" t="s">
        <v>39</v>
      </c>
      <c r="C4001" s="1"/>
    </row>
    <row r="4002" spans="1:3" x14ac:dyDescent="0.25">
      <c r="A4002" t="s">
        <v>2921</v>
      </c>
      <c r="B4002" t="s">
        <v>6962</v>
      </c>
      <c r="C4002" s="1">
        <v>45966</v>
      </c>
    </row>
    <row r="4003" spans="1:3" x14ac:dyDescent="0.25">
      <c r="A4003" t="s">
        <v>4993</v>
      </c>
      <c r="B4003" t="s">
        <v>6962</v>
      </c>
      <c r="C4003" s="1">
        <v>45972</v>
      </c>
    </row>
    <row r="4004" spans="1:3" x14ac:dyDescent="0.25">
      <c r="A4004" t="s">
        <v>2940</v>
      </c>
      <c r="B4004" t="s">
        <v>6962</v>
      </c>
      <c r="C4004" s="1">
        <v>45969</v>
      </c>
    </row>
    <row r="4005" spans="1:3" x14ac:dyDescent="0.25">
      <c r="A4005" t="s">
        <v>2939</v>
      </c>
      <c r="B4005" t="s">
        <v>39</v>
      </c>
      <c r="C4005" s="1"/>
    </row>
    <row r="4006" spans="1:3" x14ac:dyDescent="0.25">
      <c r="A4006" t="s">
        <v>4994</v>
      </c>
      <c r="B4006" t="s">
        <v>6962</v>
      </c>
      <c r="C4006" s="1">
        <v>45972</v>
      </c>
    </row>
    <row r="4007" spans="1:3" x14ac:dyDescent="0.25">
      <c r="A4007" t="s">
        <v>3222</v>
      </c>
      <c r="B4007" t="s">
        <v>6962</v>
      </c>
      <c r="C4007" s="1">
        <v>45971</v>
      </c>
    </row>
    <row r="4008" spans="1:3" x14ac:dyDescent="0.25">
      <c r="A4008" t="s">
        <v>4995</v>
      </c>
      <c r="B4008" t="s">
        <v>6962</v>
      </c>
      <c r="C4008" s="1">
        <v>45971</v>
      </c>
    </row>
    <row r="4009" spans="1:3" x14ac:dyDescent="0.25">
      <c r="A4009" t="s">
        <v>4996</v>
      </c>
      <c r="B4009" t="s">
        <v>6962</v>
      </c>
      <c r="C4009" s="1">
        <v>45972</v>
      </c>
    </row>
    <row r="4010" spans="1:3" x14ac:dyDescent="0.25">
      <c r="A4010" t="s">
        <v>4997</v>
      </c>
      <c r="B4010" t="s">
        <v>6962</v>
      </c>
      <c r="C4010" s="1">
        <v>45968</v>
      </c>
    </row>
    <row r="4011" spans="1:3" x14ac:dyDescent="0.25">
      <c r="A4011" t="s">
        <v>4997</v>
      </c>
      <c r="B4011" t="s">
        <v>6963</v>
      </c>
      <c r="C4011" s="1"/>
    </row>
    <row r="4012" spans="1:3" x14ac:dyDescent="0.25">
      <c r="A4012" t="s">
        <v>5000</v>
      </c>
      <c r="B4012" t="s">
        <v>6962</v>
      </c>
      <c r="C4012" s="1">
        <v>45972</v>
      </c>
    </row>
    <row r="4013" spans="1:3" x14ac:dyDescent="0.25">
      <c r="A4013" t="s">
        <v>5001</v>
      </c>
      <c r="B4013" t="s">
        <v>6962</v>
      </c>
      <c r="C4013" s="1">
        <v>45969</v>
      </c>
    </row>
    <row r="4014" spans="1:3" x14ac:dyDescent="0.25">
      <c r="A4014" t="s">
        <v>5002</v>
      </c>
      <c r="B4014" t="s">
        <v>6962</v>
      </c>
      <c r="C4014" s="1">
        <v>45972</v>
      </c>
    </row>
    <row r="4015" spans="1:3" x14ac:dyDescent="0.25">
      <c r="A4015" t="s">
        <v>5003</v>
      </c>
      <c r="B4015" t="s">
        <v>6962</v>
      </c>
      <c r="C4015" s="1">
        <v>45972</v>
      </c>
    </row>
    <row r="4016" spans="1:3" x14ac:dyDescent="0.25">
      <c r="A4016" t="s">
        <v>5004</v>
      </c>
      <c r="B4016" t="s">
        <v>6962</v>
      </c>
      <c r="C4016" s="1">
        <v>45971</v>
      </c>
    </row>
    <row r="4017" spans="1:3" x14ac:dyDescent="0.25">
      <c r="A4017" t="s">
        <v>5004</v>
      </c>
      <c r="B4017" t="s">
        <v>6962</v>
      </c>
      <c r="C4017" s="1">
        <v>45973</v>
      </c>
    </row>
    <row r="4018" spans="1:3" x14ac:dyDescent="0.25">
      <c r="A4018" t="s">
        <v>5004</v>
      </c>
      <c r="B4018" t="s">
        <v>6962</v>
      </c>
      <c r="C4018" s="1">
        <v>45973</v>
      </c>
    </row>
    <row r="4019" spans="1:3" x14ac:dyDescent="0.25">
      <c r="A4019" t="s">
        <v>5004</v>
      </c>
      <c r="B4019" t="s">
        <v>6962</v>
      </c>
      <c r="C4019" s="1">
        <v>45971</v>
      </c>
    </row>
    <row r="4020" spans="1:3" x14ac:dyDescent="0.25">
      <c r="A4020" t="s">
        <v>5004</v>
      </c>
      <c r="B4020" t="s">
        <v>6962</v>
      </c>
      <c r="C4020" s="1">
        <v>45971</v>
      </c>
    </row>
    <row r="4021" spans="1:3" x14ac:dyDescent="0.25">
      <c r="A4021" t="s">
        <v>3224</v>
      </c>
      <c r="B4021" t="s">
        <v>6962</v>
      </c>
      <c r="C4021" s="1">
        <v>46064</v>
      </c>
    </row>
    <row r="4022" spans="1:3" x14ac:dyDescent="0.25">
      <c r="A4022" t="s">
        <v>2941</v>
      </c>
      <c r="B4022" t="s">
        <v>6962</v>
      </c>
      <c r="C4022" s="1">
        <v>45973</v>
      </c>
    </row>
    <row r="4023" spans="1:3" x14ac:dyDescent="0.25">
      <c r="A4023" t="s">
        <v>5005</v>
      </c>
      <c r="B4023" t="s">
        <v>6962</v>
      </c>
      <c r="C4023" s="1">
        <v>45972</v>
      </c>
    </row>
    <row r="4024" spans="1:3" x14ac:dyDescent="0.25">
      <c r="A4024" t="s">
        <v>5006</v>
      </c>
      <c r="B4024" t="s">
        <v>6962</v>
      </c>
      <c r="C4024" s="1">
        <v>45969</v>
      </c>
    </row>
    <row r="4025" spans="1:3" x14ac:dyDescent="0.25">
      <c r="A4025" t="s">
        <v>5006</v>
      </c>
      <c r="B4025" t="s">
        <v>6962</v>
      </c>
      <c r="C4025" s="1">
        <v>45972</v>
      </c>
    </row>
    <row r="4026" spans="1:3" x14ac:dyDescent="0.25">
      <c r="A4026" t="s">
        <v>5006</v>
      </c>
      <c r="B4026" t="s">
        <v>6962</v>
      </c>
      <c r="C4026" s="1">
        <v>45969</v>
      </c>
    </row>
    <row r="4027" spans="1:3" x14ac:dyDescent="0.25">
      <c r="A4027" t="s">
        <v>5007</v>
      </c>
      <c r="B4027" t="s">
        <v>6962</v>
      </c>
      <c r="C4027" s="1">
        <v>45971</v>
      </c>
    </row>
    <row r="4028" spans="1:3" x14ac:dyDescent="0.25">
      <c r="A4028" t="s">
        <v>5008</v>
      </c>
      <c r="B4028" t="s">
        <v>6962</v>
      </c>
      <c r="C4028" s="1">
        <v>45973</v>
      </c>
    </row>
    <row r="4029" spans="1:3" x14ac:dyDescent="0.25">
      <c r="A4029" t="s">
        <v>5009</v>
      </c>
      <c r="B4029" t="s">
        <v>6962</v>
      </c>
      <c r="C4029" s="1">
        <v>45969</v>
      </c>
    </row>
    <row r="4030" spans="1:3" x14ac:dyDescent="0.25">
      <c r="A4030" t="s">
        <v>5010</v>
      </c>
      <c r="B4030" t="s">
        <v>6962</v>
      </c>
      <c r="C4030" s="1">
        <v>45975</v>
      </c>
    </row>
    <row r="4031" spans="1:3" x14ac:dyDescent="0.25">
      <c r="A4031" t="s">
        <v>5011</v>
      </c>
      <c r="B4031" t="s">
        <v>39</v>
      </c>
      <c r="C4031" s="1"/>
    </row>
    <row r="4032" spans="1:3" x14ac:dyDescent="0.25">
      <c r="A4032" t="s">
        <v>5011</v>
      </c>
      <c r="B4032" t="s">
        <v>39</v>
      </c>
      <c r="C4032" s="1"/>
    </row>
    <row r="4033" spans="1:3" x14ac:dyDescent="0.25">
      <c r="A4033" t="s">
        <v>5011</v>
      </c>
      <c r="B4033" t="s">
        <v>39</v>
      </c>
      <c r="C4033" s="1"/>
    </row>
    <row r="4034" spans="1:3" x14ac:dyDescent="0.25">
      <c r="A4034" t="s">
        <v>5011</v>
      </c>
      <c r="B4034" t="s">
        <v>39</v>
      </c>
      <c r="C4034" s="1"/>
    </row>
    <row r="4035" spans="1:3" x14ac:dyDescent="0.25">
      <c r="A4035" t="s">
        <v>3225</v>
      </c>
      <c r="B4035" t="s">
        <v>39</v>
      </c>
      <c r="C4035" s="1"/>
    </row>
    <row r="4036" spans="1:3" x14ac:dyDescent="0.25">
      <c r="A4036" t="s">
        <v>5013</v>
      </c>
      <c r="B4036" t="s">
        <v>39</v>
      </c>
      <c r="C4036" s="1"/>
    </row>
    <row r="4037" spans="1:3" x14ac:dyDescent="0.25">
      <c r="A4037" t="s">
        <v>5015</v>
      </c>
      <c r="B4037" t="s">
        <v>6962</v>
      </c>
      <c r="C4037" s="1">
        <v>45973</v>
      </c>
    </row>
    <row r="4038" spans="1:3" x14ac:dyDescent="0.25">
      <c r="A4038" t="s">
        <v>3226</v>
      </c>
      <c r="B4038" t="s">
        <v>6962</v>
      </c>
      <c r="C4038" s="1">
        <v>45973</v>
      </c>
    </row>
    <row r="4039" spans="1:3" x14ac:dyDescent="0.25">
      <c r="A4039" t="s">
        <v>3226</v>
      </c>
      <c r="B4039" t="s">
        <v>6962</v>
      </c>
      <c r="C4039" s="1">
        <v>45973</v>
      </c>
    </row>
    <row r="4040" spans="1:3" x14ac:dyDescent="0.25">
      <c r="A4040" t="s">
        <v>5016</v>
      </c>
      <c r="B4040" t="s">
        <v>6962</v>
      </c>
      <c r="C4040" s="1">
        <v>45975</v>
      </c>
    </row>
    <row r="4041" spans="1:3" x14ac:dyDescent="0.25">
      <c r="A4041" t="s">
        <v>5019</v>
      </c>
      <c r="B4041" t="s">
        <v>6962</v>
      </c>
      <c r="C4041" s="1">
        <v>45973</v>
      </c>
    </row>
    <row r="4042" spans="1:3" x14ac:dyDescent="0.25">
      <c r="A4042" t="s">
        <v>5018</v>
      </c>
      <c r="B4042" t="s">
        <v>39</v>
      </c>
      <c r="C4042" s="1"/>
    </row>
    <row r="4043" spans="1:3" x14ac:dyDescent="0.25">
      <c r="A4043" t="s">
        <v>2944</v>
      </c>
      <c r="B4043" t="s">
        <v>6962</v>
      </c>
      <c r="C4043" s="1">
        <v>45969</v>
      </c>
    </row>
    <row r="4044" spans="1:3" x14ac:dyDescent="0.25">
      <c r="A4044" t="s">
        <v>2943</v>
      </c>
      <c r="B4044" t="s">
        <v>6962</v>
      </c>
      <c r="C4044" s="1">
        <v>45973</v>
      </c>
    </row>
    <row r="4045" spans="1:3" x14ac:dyDescent="0.25">
      <c r="A4045" t="s">
        <v>5017</v>
      </c>
      <c r="B4045" t="s">
        <v>6962</v>
      </c>
      <c r="C4045" s="1">
        <v>45975</v>
      </c>
    </row>
    <row r="4046" spans="1:3" x14ac:dyDescent="0.25">
      <c r="A4046" t="s">
        <v>5020</v>
      </c>
      <c r="B4046" t="s">
        <v>6962</v>
      </c>
      <c r="C4046" s="1">
        <v>45979</v>
      </c>
    </row>
    <row r="4047" spans="1:3" x14ac:dyDescent="0.25">
      <c r="A4047" t="s">
        <v>5021</v>
      </c>
      <c r="B4047" t="s">
        <v>39</v>
      </c>
      <c r="C4047" s="1"/>
    </row>
    <row r="4048" spans="1:3" x14ac:dyDescent="0.25">
      <c r="A4048" t="s">
        <v>5021</v>
      </c>
      <c r="B4048" t="s">
        <v>39</v>
      </c>
      <c r="C4048" s="1"/>
    </row>
    <row r="4049" spans="1:3" x14ac:dyDescent="0.25">
      <c r="A4049" t="s">
        <v>5022</v>
      </c>
      <c r="B4049" t="s">
        <v>6962</v>
      </c>
      <c r="C4049" s="1">
        <v>45969</v>
      </c>
    </row>
    <row r="4050" spans="1:3" x14ac:dyDescent="0.25">
      <c r="A4050" t="s">
        <v>5023</v>
      </c>
      <c r="B4050" t="s">
        <v>6962</v>
      </c>
      <c r="C4050" s="1">
        <v>45974</v>
      </c>
    </row>
    <row r="4051" spans="1:3" x14ac:dyDescent="0.25">
      <c r="A4051" t="s">
        <v>5024</v>
      </c>
      <c r="B4051" t="s">
        <v>6962</v>
      </c>
      <c r="C4051" s="1">
        <v>45973</v>
      </c>
    </row>
    <row r="4052" spans="1:3" x14ac:dyDescent="0.25">
      <c r="A4052" t="s">
        <v>5025</v>
      </c>
      <c r="B4052" t="s">
        <v>39</v>
      </c>
      <c r="C4052" s="1"/>
    </row>
    <row r="4053" spans="1:3" x14ac:dyDescent="0.25">
      <c r="A4053" t="s">
        <v>5026</v>
      </c>
      <c r="B4053" t="s">
        <v>6964</v>
      </c>
      <c r="C4053" s="1">
        <v>45976</v>
      </c>
    </row>
    <row r="4054" spans="1:3" x14ac:dyDescent="0.25">
      <c r="A4054" t="s">
        <v>5027</v>
      </c>
      <c r="B4054" t="s">
        <v>6962</v>
      </c>
      <c r="C4054" s="1">
        <v>45978</v>
      </c>
    </row>
    <row r="4055" spans="1:3" x14ac:dyDescent="0.25">
      <c r="A4055" t="s">
        <v>2948</v>
      </c>
      <c r="B4055" t="s">
        <v>6962</v>
      </c>
      <c r="C4055" s="1">
        <v>45975</v>
      </c>
    </row>
    <row r="4056" spans="1:3" x14ac:dyDescent="0.25">
      <c r="A4056" t="s">
        <v>2947</v>
      </c>
      <c r="B4056" t="s">
        <v>6962</v>
      </c>
      <c r="C4056" s="1">
        <v>45973</v>
      </c>
    </row>
    <row r="4057" spans="1:3" x14ac:dyDescent="0.25">
      <c r="A4057" t="s">
        <v>2946</v>
      </c>
      <c r="B4057" t="s">
        <v>39</v>
      </c>
      <c r="C4057" s="1"/>
    </row>
    <row r="4058" spans="1:3" x14ac:dyDescent="0.25">
      <c r="A4058" t="s">
        <v>2950</v>
      </c>
      <c r="B4058" t="s">
        <v>6962</v>
      </c>
      <c r="C4058" s="1">
        <v>45973</v>
      </c>
    </row>
    <row r="4059" spans="1:3" x14ac:dyDescent="0.25">
      <c r="A4059" t="s">
        <v>5029</v>
      </c>
      <c r="B4059" t="s">
        <v>6962</v>
      </c>
      <c r="C4059" s="1">
        <v>45978</v>
      </c>
    </row>
    <row r="4060" spans="1:3" x14ac:dyDescent="0.25">
      <c r="A4060" t="s">
        <v>5031</v>
      </c>
      <c r="B4060" t="s">
        <v>6962</v>
      </c>
      <c r="C4060" s="1">
        <v>45973</v>
      </c>
    </row>
    <row r="4061" spans="1:3" x14ac:dyDescent="0.25">
      <c r="A4061" t="s">
        <v>5032</v>
      </c>
      <c r="B4061" t="s">
        <v>39</v>
      </c>
      <c r="C4061" s="1"/>
    </row>
    <row r="4062" spans="1:3" x14ac:dyDescent="0.25">
      <c r="A4062" t="s">
        <v>2951</v>
      </c>
      <c r="B4062" t="s">
        <v>6962</v>
      </c>
      <c r="C4062" s="1">
        <v>45976</v>
      </c>
    </row>
    <row r="4063" spans="1:3" x14ac:dyDescent="0.25">
      <c r="A4063" t="s">
        <v>3227</v>
      </c>
      <c r="B4063" t="s">
        <v>6962</v>
      </c>
      <c r="C4063" s="1">
        <v>45981</v>
      </c>
    </row>
    <row r="4064" spans="1:3" x14ac:dyDescent="0.25">
      <c r="A4064" t="s">
        <v>4978</v>
      </c>
      <c r="B4064" t="s">
        <v>6962</v>
      </c>
      <c r="C4064" s="1">
        <v>45971</v>
      </c>
    </row>
    <row r="4065" spans="1:3" x14ac:dyDescent="0.25">
      <c r="A4065" t="s">
        <v>5035</v>
      </c>
      <c r="B4065" t="s">
        <v>6962</v>
      </c>
      <c r="C4065" s="1">
        <v>45975</v>
      </c>
    </row>
    <row r="4066" spans="1:3" x14ac:dyDescent="0.25">
      <c r="A4066" t="s">
        <v>2952</v>
      </c>
      <c r="B4066" t="s">
        <v>39</v>
      </c>
      <c r="C4066" s="1"/>
    </row>
    <row r="4067" spans="1:3" x14ac:dyDescent="0.25">
      <c r="A4067" t="s">
        <v>2954</v>
      </c>
      <c r="B4067" t="s">
        <v>6962</v>
      </c>
      <c r="C4067" s="1">
        <v>45975</v>
      </c>
    </row>
    <row r="4068" spans="1:3" x14ac:dyDescent="0.25">
      <c r="A4068" t="s">
        <v>5037</v>
      </c>
      <c r="B4068" t="s">
        <v>6962</v>
      </c>
      <c r="C4068" s="1">
        <v>45972</v>
      </c>
    </row>
    <row r="4069" spans="1:3" x14ac:dyDescent="0.25">
      <c r="A4069" t="s">
        <v>5039</v>
      </c>
      <c r="B4069" t="s">
        <v>6962</v>
      </c>
      <c r="C4069" s="1">
        <v>45974</v>
      </c>
    </row>
    <row r="4070" spans="1:3" x14ac:dyDescent="0.25">
      <c r="A4070" t="s">
        <v>5040</v>
      </c>
      <c r="B4070" t="s">
        <v>39</v>
      </c>
      <c r="C4070" s="1"/>
    </row>
    <row r="4071" spans="1:3" x14ac:dyDescent="0.25">
      <c r="A4071" t="s">
        <v>5041</v>
      </c>
      <c r="B4071" t="s">
        <v>6962</v>
      </c>
      <c r="C4071" s="1">
        <v>45976</v>
      </c>
    </row>
    <row r="4072" spans="1:3" x14ac:dyDescent="0.25">
      <c r="A4072" t="s">
        <v>5042</v>
      </c>
      <c r="B4072" t="s">
        <v>39</v>
      </c>
      <c r="C4072" s="1"/>
    </row>
    <row r="4073" spans="1:3" x14ac:dyDescent="0.25">
      <c r="A4073" t="s">
        <v>2955</v>
      </c>
      <c r="B4073" t="s">
        <v>6962</v>
      </c>
      <c r="C4073" s="1">
        <v>45973</v>
      </c>
    </row>
    <row r="4074" spans="1:3" x14ac:dyDescent="0.25">
      <c r="A4074" t="s">
        <v>4721</v>
      </c>
      <c r="B4074" t="s">
        <v>6962</v>
      </c>
      <c r="C4074" s="1">
        <v>45972</v>
      </c>
    </row>
    <row r="4075" spans="1:3" x14ac:dyDescent="0.25">
      <c r="A4075" t="s">
        <v>5043</v>
      </c>
      <c r="B4075" t="s">
        <v>6962</v>
      </c>
      <c r="C4075" s="1">
        <v>45981</v>
      </c>
    </row>
    <row r="4076" spans="1:3" x14ac:dyDescent="0.25">
      <c r="A4076" t="s">
        <v>5044</v>
      </c>
      <c r="B4076" t="s">
        <v>6963</v>
      </c>
      <c r="C4076" s="1"/>
    </row>
    <row r="4077" spans="1:3" x14ac:dyDescent="0.25">
      <c r="A4077" t="s">
        <v>5045</v>
      </c>
      <c r="B4077" t="s">
        <v>6962</v>
      </c>
      <c r="C4077" s="1">
        <v>45975</v>
      </c>
    </row>
    <row r="4078" spans="1:3" x14ac:dyDescent="0.25">
      <c r="A4078" t="s">
        <v>5046</v>
      </c>
      <c r="B4078" t="s">
        <v>6962</v>
      </c>
      <c r="C4078" s="1">
        <v>45973</v>
      </c>
    </row>
    <row r="4079" spans="1:3" x14ac:dyDescent="0.25">
      <c r="A4079" t="s">
        <v>5047</v>
      </c>
      <c r="B4079" t="s">
        <v>6962</v>
      </c>
      <c r="C4079" s="1">
        <v>45976</v>
      </c>
    </row>
    <row r="4080" spans="1:3" x14ac:dyDescent="0.25">
      <c r="A4080" t="s">
        <v>5048</v>
      </c>
      <c r="B4080" t="s">
        <v>6962</v>
      </c>
      <c r="C4080" s="1">
        <v>45975</v>
      </c>
    </row>
    <row r="4081" spans="1:3" x14ac:dyDescent="0.25">
      <c r="A4081" t="s">
        <v>5049</v>
      </c>
      <c r="B4081" t="s">
        <v>6962</v>
      </c>
      <c r="C4081" s="1">
        <v>45976</v>
      </c>
    </row>
    <row r="4082" spans="1:3" x14ac:dyDescent="0.25">
      <c r="A4082" t="s">
        <v>5050</v>
      </c>
      <c r="B4082" t="s">
        <v>6962</v>
      </c>
      <c r="C4082" s="1">
        <v>45979</v>
      </c>
    </row>
    <row r="4083" spans="1:3" x14ac:dyDescent="0.25">
      <c r="A4083" t="s">
        <v>5052</v>
      </c>
      <c r="B4083" t="s">
        <v>6964</v>
      </c>
      <c r="C4083" s="1">
        <v>45979</v>
      </c>
    </row>
    <row r="4084" spans="1:3" x14ac:dyDescent="0.25">
      <c r="A4084" t="s">
        <v>2957</v>
      </c>
      <c r="B4084" t="s">
        <v>39</v>
      </c>
      <c r="C4084" s="1"/>
    </row>
    <row r="4085" spans="1:3" x14ac:dyDescent="0.25">
      <c r="A4085" t="s">
        <v>5054</v>
      </c>
      <c r="B4085" t="s">
        <v>6962</v>
      </c>
      <c r="C4085" s="1">
        <v>45982</v>
      </c>
    </row>
    <row r="4086" spans="1:3" x14ac:dyDescent="0.25">
      <c r="A4086" t="s">
        <v>2958</v>
      </c>
      <c r="B4086" t="s">
        <v>39</v>
      </c>
      <c r="C4086" s="1"/>
    </row>
    <row r="4087" spans="1:3" x14ac:dyDescent="0.25">
      <c r="A4087" t="s">
        <v>5055</v>
      </c>
      <c r="B4087" t="s">
        <v>6962</v>
      </c>
      <c r="C4087" s="1">
        <v>45995</v>
      </c>
    </row>
    <row r="4088" spans="1:3" x14ac:dyDescent="0.25">
      <c r="A4088" t="s">
        <v>5056</v>
      </c>
      <c r="B4088" t="s">
        <v>6962</v>
      </c>
      <c r="C4088" s="1">
        <v>45981</v>
      </c>
    </row>
    <row r="4089" spans="1:3" x14ac:dyDescent="0.25">
      <c r="A4089" t="s">
        <v>5057</v>
      </c>
      <c r="B4089" t="s">
        <v>6962</v>
      </c>
      <c r="C4089" s="1">
        <v>45979</v>
      </c>
    </row>
    <row r="4090" spans="1:3" x14ac:dyDescent="0.25">
      <c r="A4090" t="s">
        <v>2959</v>
      </c>
      <c r="B4090" t="s">
        <v>6964</v>
      </c>
      <c r="C4090" s="1">
        <v>45974</v>
      </c>
    </row>
    <row r="4091" spans="1:3" x14ac:dyDescent="0.25">
      <c r="A4091" t="s">
        <v>5058</v>
      </c>
      <c r="B4091" t="s">
        <v>6962</v>
      </c>
      <c r="C4091" s="1">
        <v>45978</v>
      </c>
    </row>
    <row r="4092" spans="1:3" x14ac:dyDescent="0.25">
      <c r="A4092" t="s">
        <v>2960</v>
      </c>
      <c r="B4092" t="s">
        <v>6962</v>
      </c>
      <c r="C4092" s="1">
        <v>45978</v>
      </c>
    </row>
    <row r="4093" spans="1:3" x14ac:dyDescent="0.25">
      <c r="A4093" t="s">
        <v>5060</v>
      </c>
      <c r="B4093" t="s">
        <v>6962</v>
      </c>
      <c r="C4093" s="1">
        <v>45979</v>
      </c>
    </row>
    <row r="4094" spans="1:3" x14ac:dyDescent="0.25">
      <c r="A4094" t="s">
        <v>6947</v>
      </c>
      <c r="B4094" t="s">
        <v>6962</v>
      </c>
      <c r="C4094" s="1">
        <v>45973</v>
      </c>
    </row>
    <row r="4095" spans="1:3" x14ac:dyDescent="0.25">
      <c r="A4095" t="s">
        <v>2962</v>
      </c>
      <c r="B4095" t="s">
        <v>6962</v>
      </c>
      <c r="C4095" s="1">
        <v>45976</v>
      </c>
    </row>
    <row r="4096" spans="1:3" x14ac:dyDescent="0.25">
      <c r="A4096" t="s">
        <v>5061</v>
      </c>
      <c r="B4096" t="s">
        <v>6962</v>
      </c>
      <c r="C4096" s="1">
        <v>45980</v>
      </c>
    </row>
    <row r="4097" spans="1:3" x14ac:dyDescent="0.25">
      <c r="A4097" t="s">
        <v>2963</v>
      </c>
      <c r="B4097" t="s">
        <v>6962</v>
      </c>
      <c r="C4097" s="1">
        <v>45975</v>
      </c>
    </row>
    <row r="4098" spans="1:3" x14ac:dyDescent="0.25">
      <c r="A4098" t="s">
        <v>2964</v>
      </c>
      <c r="B4098" t="s">
        <v>39</v>
      </c>
      <c r="C4098" s="1"/>
    </row>
    <row r="4099" spans="1:3" x14ac:dyDescent="0.25">
      <c r="A4099" t="s">
        <v>2966</v>
      </c>
      <c r="B4099" t="s">
        <v>6962</v>
      </c>
      <c r="C4099" s="1">
        <v>45979</v>
      </c>
    </row>
    <row r="4100" spans="1:3" x14ac:dyDescent="0.25">
      <c r="A4100" t="s">
        <v>2970</v>
      </c>
      <c r="B4100" t="s">
        <v>39</v>
      </c>
      <c r="C4100" s="1"/>
    </row>
    <row r="4101" spans="1:3" x14ac:dyDescent="0.25">
      <c r="A4101" t="s">
        <v>2971</v>
      </c>
      <c r="B4101" t="s">
        <v>6962</v>
      </c>
      <c r="C4101" s="1">
        <v>45976</v>
      </c>
    </row>
    <row r="4102" spans="1:3" x14ac:dyDescent="0.25">
      <c r="A4102" t="s">
        <v>5063</v>
      </c>
      <c r="B4102" t="s">
        <v>6962</v>
      </c>
      <c r="C4102" s="1">
        <v>45975</v>
      </c>
    </row>
    <row r="4103" spans="1:3" x14ac:dyDescent="0.25">
      <c r="A4103" t="s">
        <v>2972</v>
      </c>
      <c r="B4103" t="s">
        <v>6962</v>
      </c>
      <c r="C4103" s="1">
        <v>45978</v>
      </c>
    </row>
    <row r="4104" spans="1:3" x14ac:dyDescent="0.25">
      <c r="A4104" t="s">
        <v>5064</v>
      </c>
      <c r="B4104" t="s">
        <v>6962</v>
      </c>
      <c r="C4104" s="1">
        <v>45981</v>
      </c>
    </row>
    <row r="4105" spans="1:3" x14ac:dyDescent="0.25">
      <c r="A4105" t="s">
        <v>6948</v>
      </c>
      <c r="B4105" t="s">
        <v>6963</v>
      </c>
      <c r="C4105" s="1"/>
    </row>
    <row r="4106" spans="1:3" x14ac:dyDescent="0.25">
      <c r="A4106" t="s">
        <v>5065</v>
      </c>
      <c r="B4106" t="s">
        <v>6962</v>
      </c>
      <c r="C4106" s="1">
        <v>45981</v>
      </c>
    </row>
    <row r="4107" spans="1:3" x14ac:dyDescent="0.25">
      <c r="A4107" t="s">
        <v>5066</v>
      </c>
      <c r="B4107" t="s">
        <v>6962</v>
      </c>
      <c r="C4107" s="1">
        <v>45979</v>
      </c>
    </row>
    <row r="4108" spans="1:3" x14ac:dyDescent="0.25">
      <c r="A4108" t="s">
        <v>5066</v>
      </c>
      <c r="B4108" t="s">
        <v>6962</v>
      </c>
      <c r="C4108" s="1">
        <v>45978</v>
      </c>
    </row>
    <row r="4109" spans="1:3" x14ac:dyDescent="0.25">
      <c r="A4109" t="s">
        <v>5066</v>
      </c>
      <c r="B4109" t="s">
        <v>6962</v>
      </c>
      <c r="C4109" s="1">
        <v>45979</v>
      </c>
    </row>
    <row r="4110" spans="1:3" x14ac:dyDescent="0.25">
      <c r="A4110" t="s">
        <v>5066</v>
      </c>
      <c r="B4110" t="s">
        <v>6962</v>
      </c>
      <c r="C4110" s="1">
        <v>45976</v>
      </c>
    </row>
    <row r="4111" spans="1:3" x14ac:dyDescent="0.25">
      <c r="A4111" t="s">
        <v>5066</v>
      </c>
      <c r="B4111" t="s">
        <v>6962</v>
      </c>
      <c r="C4111" s="1">
        <v>45979</v>
      </c>
    </row>
    <row r="4112" spans="1:3" x14ac:dyDescent="0.25">
      <c r="A4112" t="s">
        <v>2974</v>
      </c>
      <c r="B4112" t="s">
        <v>6962</v>
      </c>
      <c r="C4112" s="1">
        <v>45976</v>
      </c>
    </row>
    <row r="4113" spans="1:3" x14ac:dyDescent="0.25">
      <c r="A4113" t="s">
        <v>6949</v>
      </c>
      <c r="B4113" t="s">
        <v>6963</v>
      </c>
      <c r="C4113" s="1"/>
    </row>
    <row r="4114" spans="1:3" x14ac:dyDescent="0.25">
      <c r="A4114" t="s">
        <v>5069</v>
      </c>
      <c r="B4114" t="s">
        <v>6962</v>
      </c>
      <c r="C4114" s="1">
        <v>45982</v>
      </c>
    </row>
    <row r="4115" spans="1:3" x14ac:dyDescent="0.25">
      <c r="A4115" t="s">
        <v>5070</v>
      </c>
      <c r="B4115" t="s">
        <v>6962</v>
      </c>
      <c r="C4115" s="1">
        <v>45979</v>
      </c>
    </row>
    <row r="4116" spans="1:3" x14ac:dyDescent="0.25">
      <c r="A4116" t="s">
        <v>5071</v>
      </c>
      <c r="B4116" t="s">
        <v>6962</v>
      </c>
      <c r="C4116" s="1">
        <v>45975</v>
      </c>
    </row>
    <row r="4117" spans="1:3" x14ac:dyDescent="0.25">
      <c r="A4117" t="s">
        <v>5072</v>
      </c>
      <c r="B4117" t="s">
        <v>6962</v>
      </c>
      <c r="C4117" s="1">
        <v>45980</v>
      </c>
    </row>
    <row r="4118" spans="1:3" x14ac:dyDescent="0.25">
      <c r="A4118" t="s">
        <v>6950</v>
      </c>
      <c r="B4118" t="s">
        <v>6963</v>
      </c>
      <c r="C4118" s="1"/>
    </row>
    <row r="4119" spans="1:3" x14ac:dyDescent="0.25">
      <c r="A4119" t="s">
        <v>5074</v>
      </c>
      <c r="B4119" t="s">
        <v>6962</v>
      </c>
      <c r="C4119" s="1">
        <v>45979</v>
      </c>
    </row>
    <row r="4120" spans="1:3" x14ac:dyDescent="0.25">
      <c r="A4120" t="s">
        <v>5075</v>
      </c>
      <c r="B4120" t="s">
        <v>6962</v>
      </c>
      <c r="C4120" s="1">
        <v>45981</v>
      </c>
    </row>
    <row r="4121" spans="1:3" x14ac:dyDescent="0.25">
      <c r="A4121" t="s">
        <v>3078</v>
      </c>
      <c r="B4121" t="s">
        <v>6962</v>
      </c>
      <c r="C4121" s="1">
        <v>45978</v>
      </c>
    </row>
    <row r="4122" spans="1:3" x14ac:dyDescent="0.25">
      <c r="A4122" t="s">
        <v>5063</v>
      </c>
      <c r="B4122" t="s">
        <v>6962</v>
      </c>
      <c r="C4122" s="1">
        <v>45975</v>
      </c>
    </row>
    <row r="4123" spans="1:3" x14ac:dyDescent="0.25">
      <c r="A4123" t="s">
        <v>2975</v>
      </c>
      <c r="B4123" t="s">
        <v>6962</v>
      </c>
      <c r="C4123" s="1">
        <v>45978</v>
      </c>
    </row>
    <row r="4124" spans="1:3" x14ac:dyDescent="0.25">
      <c r="A4124" t="s">
        <v>5077</v>
      </c>
      <c r="B4124" t="s">
        <v>6962</v>
      </c>
      <c r="C4124" s="1">
        <v>45983</v>
      </c>
    </row>
    <row r="4125" spans="1:3" x14ac:dyDescent="0.25">
      <c r="A4125" t="s">
        <v>5078</v>
      </c>
      <c r="B4125" t="s">
        <v>6962</v>
      </c>
      <c r="C4125" s="1">
        <v>45983</v>
      </c>
    </row>
    <row r="4126" spans="1:3" x14ac:dyDescent="0.25">
      <c r="A4126" t="s">
        <v>5079</v>
      </c>
      <c r="B4126" t="s">
        <v>6962</v>
      </c>
      <c r="C4126" s="1">
        <v>45980</v>
      </c>
    </row>
    <row r="4127" spans="1:3" x14ac:dyDescent="0.25">
      <c r="A4127" t="s">
        <v>5080</v>
      </c>
      <c r="B4127" t="s">
        <v>6962</v>
      </c>
      <c r="C4127" s="1">
        <v>45981</v>
      </c>
    </row>
    <row r="4128" spans="1:3" x14ac:dyDescent="0.25">
      <c r="A4128" t="s">
        <v>2980</v>
      </c>
      <c r="B4128" t="s">
        <v>6962</v>
      </c>
      <c r="C4128" s="1">
        <v>45978</v>
      </c>
    </row>
    <row r="4129" spans="1:3" x14ac:dyDescent="0.25">
      <c r="A4129" t="s">
        <v>2981</v>
      </c>
      <c r="B4129" t="s">
        <v>39</v>
      </c>
      <c r="C4129" s="1"/>
    </row>
    <row r="4130" spans="1:3" x14ac:dyDescent="0.25">
      <c r="A4130" t="s">
        <v>2982</v>
      </c>
      <c r="B4130" t="s">
        <v>6962</v>
      </c>
      <c r="C4130" s="1">
        <v>45979</v>
      </c>
    </row>
    <row r="4131" spans="1:3" x14ac:dyDescent="0.25">
      <c r="A4131" t="s">
        <v>2983</v>
      </c>
      <c r="B4131" t="s">
        <v>6962</v>
      </c>
      <c r="C4131" s="1">
        <v>45976</v>
      </c>
    </row>
    <row r="4132" spans="1:3" x14ac:dyDescent="0.25">
      <c r="A4132" t="s">
        <v>5082</v>
      </c>
      <c r="B4132" t="s">
        <v>6962</v>
      </c>
      <c r="C4132" s="1">
        <v>45980</v>
      </c>
    </row>
    <row r="4133" spans="1:3" x14ac:dyDescent="0.25">
      <c r="A4133" t="s">
        <v>2984</v>
      </c>
      <c r="B4133" t="s">
        <v>6962</v>
      </c>
      <c r="C4133" s="1">
        <v>45978</v>
      </c>
    </row>
    <row r="4134" spans="1:3" x14ac:dyDescent="0.25">
      <c r="A4134" t="s">
        <v>5083</v>
      </c>
      <c r="B4134" t="s">
        <v>6962</v>
      </c>
      <c r="C4134" s="1">
        <v>45979</v>
      </c>
    </row>
    <row r="4135" spans="1:3" x14ac:dyDescent="0.25">
      <c r="A4135" t="s">
        <v>3081</v>
      </c>
      <c r="B4135" t="s">
        <v>39</v>
      </c>
      <c r="C4135" s="1"/>
    </row>
    <row r="4136" spans="1:3" x14ac:dyDescent="0.25">
      <c r="A4136" t="s">
        <v>5089</v>
      </c>
      <c r="B4136" t="s">
        <v>6962</v>
      </c>
      <c r="C4136" s="1">
        <v>45979</v>
      </c>
    </row>
    <row r="4137" spans="1:3" x14ac:dyDescent="0.25">
      <c r="A4137" t="s">
        <v>5088</v>
      </c>
      <c r="B4137" t="s">
        <v>6962</v>
      </c>
      <c r="C4137" s="1">
        <v>45979</v>
      </c>
    </row>
    <row r="4138" spans="1:3" x14ac:dyDescent="0.25">
      <c r="A4138" t="s">
        <v>5086</v>
      </c>
      <c r="B4138" t="s">
        <v>6962</v>
      </c>
      <c r="C4138" s="1">
        <v>45980</v>
      </c>
    </row>
    <row r="4139" spans="1:3" x14ac:dyDescent="0.25">
      <c r="A4139" t="s">
        <v>5085</v>
      </c>
      <c r="B4139" t="s">
        <v>6962</v>
      </c>
      <c r="C4139" s="1">
        <v>45979</v>
      </c>
    </row>
    <row r="4140" spans="1:3" x14ac:dyDescent="0.25">
      <c r="A4140" t="s">
        <v>2986</v>
      </c>
      <c r="B4140" t="s">
        <v>6964</v>
      </c>
      <c r="C4140" s="1">
        <v>45980</v>
      </c>
    </row>
    <row r="4141" spans="1:3" x14ac:dyDescent="0.25">
      <c r="A4141" t="s">
        <v>3228</v>
      </c>
      <c r="B4141" t="s">
        <v>6962</v>
      </c>
      <c r="C4141" s="1">
        <v>45980</v>
      </c>
    </row>
    <row r="4142" spans="1:3" x14ac:dyDescent="0.25">
      <c r="A4142" t="s">
        <v>3228</v>
      </c>
      <c r="B4142" t="s">
        <v>6962</v>
      </c>
      <c r="C4142" s="1">
        <v>45980</v>
      </c>
    </row>
    <row r="4143" spans="1:3" x14ac:dyDescent="0.25">
      <c r="A4143" t="s">
        <v>3229</v>
      </c>
      <c r="B4143" t="s">
        <v>6962</v>
      </c>
      <c r="C4143" s="1">
        <v>45981</v>
      </c>
    </row>
    <row r="4144" spans="1:3" x14ac:dyDescent="0.25">
      <c r="A4144" t="s">
        <v>3229</v>
      </c>
      <c r="B4144" t="s">
        <v>6962</v>
      </c>
      <c r="C4144" s="1">
        <v>45981</v>
      </c>
    </row>
    <row r="4145" spans="1:3" x14ac:dyDescent="0.25">
      <c r="A4145" t="s">
        <v>5090</v>
      </c>
      <c r="B4145" t="s">
        <v>6962</v>
      </c>
      <c r="C4145" s="1">
        <v>45980</v>
      </c>
    </row>
    <row r="4146" spans="1:3" x14ac:dyDescent="0.25">
      <c r="A4146" t="s">
        <v>5091</v>
      </c>
      <c r="B4146" t="s">
        <v>6962</v>
      </c>
      <c r="C4146" s="1">
        <v>45978</v>
      </c>
    </row>
    <row r="4147" spans="1:3" x14ac:dyDescent="0.25">
      <c r="A4147" t="s">
        <v>5092</v>
      </c>
      <c r="B4147" t="s">
        <v>6962</v>
      </c>
      <c r="C4147" s="1">
        <v>45978</v>
      </c>
    </row>
    <row r="4148" spans="1:3" x14ac:dyDescent="0.25">
      <c r="A4148" t="s">
        <v>5093</v>
      </c>
      <c r="B4148" t="s">
        <v>6962</v>
      </c>
      <c r="C4148" s="1">
        <v>45978</v>
      </c>
    </row>
    <row r="4149" spans="1:3" x14ac:dyDescent="0.25">
      <c r="A4149" t="s">
        <v>5102</v>
      </c>
      <c r="B4149" t="s">
        <v>39</v>
      </c>
      <c r="C4149" s="1"/>
    </row>
    <row r="4150" spans="1:3" x14ac:dyDescent="0.25">
      <c r="A4150" t="s">
        <v>5094</v>
      </c>
      <c r="B4150" t="s">
        <v>6962</v>
      </c>
      <c r="C4150" s="1">
        <v>45987</v>
      </c>
    </row>
    <row r="4151" spans="1:3" x14ac:dyDescent="0.25">
      <c r="A4151" t="s">
        <v>5094</v>
      </c>
      <c r="B4151" t="s">
        <v>6963</v>
      </c>
      <c r="C4151" s="1"/>
    </row>
    <row r="4152" spans="1:3" x14ac:dyDescent="0.25">
      <c r="A4152" t="s">
        <v>5097</v>
      </c>
      <c r="B4152" t="s">
        <v>6964</v>
      </c>
      <c r="C4152" s="1">
        <v>45986</v>
      </c>
    </row>
    <row r="4153" spans="1:3" x14ac:dyDescent="0.25">
      <c r="A4153" t="s">
        <v>5098</v>
      </c>
      <c r="B4153" t="s">
        <v>6962</v>
      </c>
      <c r="C4153" s="1">
        <v>45987</v>
      </c>
    </row>
    <row r="4154" spans="1:3" x14ac:dyDescent="0.25">
      <c r="A4154" t="s">
        <v>5100</v>
      </c>
      <c r="B4154" t="s">
        <v>6962</v>
      </c>
      <c r="C4154" s="1">
        <v>45987</v>
      </c>
    </row>
    <row r="4155" spans="1:3" x14ac:dyDescent="0.25">
      <c r="A4155" t="s">
        <v>5101</v>
      </c>
      <c r="B4155" t="s">
        <v>6962</v>
      </c>
      <c r="C4155" s="1">
        <v>45981</v>
      </c>
    </row>
    <row r="4156" spans="1:3" x14ac:dyDescent="0.25">
      <c r="A4156" t="s">
        <v>2961</v>
      </c>
      <c r="B4156" t="s">
        <v>6962</v>
      </c>
      <c r="C4156" s="1">
        <v>45979</v>
      </c>
    </row>
    <row r="4157" spans="1:3" x14ac:dyDescent="0.25">
      <c r="A4157" t="s">
        <v>2987</v>
      </c>
      <c r="B4157" t="s">
        <v>6962</v>
      </c>
      <c r="C4157" s="1">
        <v>45983</v>
      </c>
    </row>
    <row r="4158" spans="1:3" x14ac:dyDescent="0.25">
      <c r="A4158" t="s">
        <v>2988</v>
      </c>
      <c r="B4158" t="s">
        <v>6962</v>
      </c>
      <c r="C4158" s="1">
        <v>45980</v>
      </c>
    </row>
    <row r="4159" spans="1:3" x14ac:dyDescent="0.25">
      <c r="A4159" t="s">
        <v>5104</v>
      </c>
      <c r="B4159" t="s">
        <v>6962</v>
      </c>
      <c r="C4159" s="1">
        <v>45980</v>
      </c>
    </row>
    <row r="4160" spans="1:3" x14ac:dyDescent="0.25">
      <c r="A4160" t="s">
        <v>5105</v>
      </c>
      <c r="B4160" t="s">
        <v>6962</v>
      </c>
      <c r="C4160" s="1">
        <v>45980</v>
      </c>
    </row>
    <row r="4161" spans="1:3" x14ac:dyDescent="0.25">
      <c r="A4161" t="s">
        <v>5095</v>
      </c>
      <c r="B4161" t="s">
        <v>6962</v>
      </c>
      <c r="C4161" s="1">
        <v>45999</v>
      </c>
    </row>
    <row r="4162" spans="1:3" x14ac:dyDescent="0.25">
      <c r="A4162" t="s">
        <v>5095</v>
      </c>
      <c r="B4162" t="s">
        <v>6962</v>
      </c>
      <c r="C4162" s="1">
        <v>45987</v>
      </c>
    </row>
    <row r="4163" spans="1:3" x14ac:dyDescent="0.25">
      <c r="A4163" t="s">
        <v>5096</v>
      </c>
      <c r="B4163" t="s">
        <v>6962</v>
      </c>
      <c r="C4163" s="1">
        <v>45999</v>
      </c>
    </row>
    <row r="4164" spans="1:3" x14ac:dyDescent="0.25">
      <c r="A4164" t="s">
        <v>5096</v>
      </c>
      <c r="B4164" t="s">
        <v>6962</v>
      </c>
      <c r="C4164" s="1">
        <v>45987</v>
      </c>
    </row>
    <row r="4165" spans="1:3" x14ac:dyDescent="0.25">
      <c r="A4165" t="s">
        <v>5108</v>
      </c>
      <c r="B4165" t="s">
        <v>6962</v>
      </c>
      <c r="C4165" s="1">
        <v>45980</v>
      </c>
    </row>
    <row r="4166" spans="1:3" x14ac:dyDescent="0.25">
      <c r="A4166" t="s">
        <v>2989</v>
      </c>
      <c r="B4166" t="s">
        <v>6962</v>
      </c>
      <c r="C4166" s="1">
        <v>45981</v>
      </c>
    </row>
    <row r="4167" spans="1:3" x14ac:dyDescent="0.25">
      <c r="A4167" t="s">
        <v>2990</v>
      </c>
      <c r="B4167" t="s">
        <v>6962</v>
      </c>
      <c r="C4167" s="1">
        <v>45981</v>
      </c>
    </row>
    <row r="4168" spans="1:3" x14ac:dyDescent="0.25">
      <c r="A4168" t="s">
        <v>2991</v>
      </c>
      <c r="B4168" t="s">
        <v>6962</v>
      </c>
      <c r="C4168" s="1">
        <v>45983</v>
      </c>
    </row>
    <row r="4169" spans="1:3" x14ac:dyDescent="0.25">
      <c r="A4169" t="s">
        <v>3230</v>
      </c>
      <c r="B4169" t="s">
        <v>39</v>
      </c>
      <c r="C4169" s="1"/>
    </row>
    <row r="4170" spans="1:3" x14ac:dyDescent="0.25">
      <c r="A4170" t="s">
        <v>2992</v>
      </c>
      <c r="B4170" t="s">
        <v>6962</v>
      </c>
      <c r="C4170" s="1">
        <v>45982</v>
      </c>
    </row>
    <row r="4171" spans="1:3" x14ac:dyDescent="0.25">
      <c r="A4171" t="s">
        <v>2993</v>
      </c>
      <c r="B4171" t="s">
        <v>6962</v>
      </c>
      <c r="C4171" s="1">
        <v>45982</v>
      </c>
    </row>
    <row r="4172" spans="1:3" x14ac:dyDescent="0.25">
      <c r="A4172" t="s">
        <v>5109</v>
      </c>
      <c r="B4172" t="s">
        <v>39</v>
      </c>
      <c r="C4172" s="1"/>
    </row>
    <row r="4173" spans="1:3" x14ac:dyDescent="0.25">
      <c r="A4173" t="s">
        <v>5110</v>
      </c>
      <c r="B4173" t="s">
        <v>6962</v>
      </c>
      <c r="C4173" s="1">
        <v>45990</v>
      </c>
    </row>
    <row r="4174" spans="1:3" x14ac:dyDescent="0.25">
      <c r="A4174" t="s">
        <v>5110</v>
      </c>
      <c r="B4174" t="s">
        <v>6962</v>
      </c>
      <c r="C4174" s="1">
        <v>45990</v>
      </c>
    </row>
    <row r="4175" spans="1:3" x14ac:dyDescent="0.25">
      <c r="A4175" t="s">
        <v>5110</v>
      </c>
      <c r="B4175" t="s">
        <v>6962</v>
      </c>
      <c r="C4175" s="1">
        <v>45981</v>
      </c>
    </row>
    <row r="4176" spans="1:3" x14ac:dyDescent="0.25">
      <c r="A4176" t="s">
        <v>5110</v>
      </c>
      <c r="B4176" t="s">
        <v>6962</v>
      </c>
      <c r="C4176" s="1">
        <v>45985</v>
      </c>
    </row>
    <row r="4177" spans="1:3" x14ac:dyDescent="0.25">
      <c r="A4177" t="s">
        <v>3231</v>
      </c>
      <c r="B4177" t="s">
        <v>6962</v>
      </c>
      <c r="C4177" s="1">
        <v>45986</v>
      </c>
    </row>
    <row r="4178" spans="1:3" x14ac:dyDescent="0.25">
      <c r="A4178" t="s">
        <v>2994</v>
      </c>
      <c r="B4178" t="s">
        <v>6962</v>
      </c>
      <c r="C4178" s="1">
        <v>45981</v>
      </c>
    </row>
    <row r="4179" spans="1:3" x14ac:dyDescent="0.25">
      <c r="A4179" t="s">
        <v>2995</v>
      </c>
      <c r="B4179" t="s">
        <v>6962</v>
      </c>
      <c r="C4179" s="1">
        <v>45981</v>
      </c>
    </row>
    <row r="4180" spans="1:3" x14ac:dyDescent="0.25">
      <c r="A4180" t="s">
        <v>2998</v>
      </c>
      <c r="B4180" t="s">
        <v>6962</v>
      </c>
      <c r="C4180" s="1">
        <v>45981</v>
      </c>
    </row>
    <row r="4181" spans="1:3" x14ac:dyDescent="0.25">
      <c r="A4181" t="s">
        <v>2999</v>
      </c>
      <c r="B4181" t="s">
        <v>6962</v>
      </c>
      <c r="C4181" s="1">
        <v>45983</v>
      </c>
    </row>
    <row r="4182" spans="1:3" x14ac:dyDescent="0.25">
      <c r="A4182" t="s">
        <v>3001</v>
      </c>
      <c r="B4182" t="s">
        <v>6962</v>
      </c>
      <c r="C4182" s="1">
        <v>45986</v>
      </c>
    </row>
    <row r="4183" spans="1:3" x14ac:dyDescent="0.25">
      <c r="A4183" t="s">
        <v>5111</v>
      </c>
      <c r="B4183" t="s">
        <v>6962</v>
      </c>
      <c r="C4183" s="1">
        <v>45983</v>
      </c>
    </row>
    <row r="4184" spans="1:3" x14ac:dyDescent="0.25">
      <c r="A4184" t="s">
        <v>5112</v>
      </c>
      <c r="B4184" t="s">
        <v>6962</v>
      </c>
      <c r="C4184" s="1">
        <v>45987</v>
      </c>
    </row>
    <row r="4185" spans="1:3" x14ac:dyDescent="0.25">
      <c r="A4185" t="s">
        <v>5112</v>
      </c>
      <c r="B4185" t="s">
        <v>6962</v>
      </c>
      <c r="C4185" s="1">
        <v>45987</v>
      </c>
    </row>
    <row r="4186" spans="1:3" x14ac:dyDescent="0.25">
      <c r="A4186" t="s">
        <v>3003</v>
      </c>
      <c r="B4186" t="s">
        <v>6962</v>
      </c>
      <c r="C4186" s="1">
        <v>45981</v>
      </c>
    </row>
    <row r="4187" spans="1:3" x14ac:dyDescent="0.25">
      <c r="A4187" t="s">
        <v>3004</v>
      </c>
      <c r="B4187" t="s">
        <v>39</v>
      </c>
      <c r="C4187" s="1"/>
    </row>
    <row r="4188" spans="1:3" x14ac:dyDescent="0.25">
      <c r="A4188" t="s">
        <v>5113</v>
      </c>
      <c r="B4188" t="s">
        <v>6962</v>
      </c>
      <c r="C4188" s="1">
        <v>45987</v>
      </c>
    </row>
    <row r="4189" spans="1:3" x14ac:dyDescent="0.25">
      <c r="A4189" t="s">
        <v>3005</v>
      </c>
      <c r="B4189" t="s">
        <v>6963</v>
      </c>
      <c r="C4189" s="1"/>
    </row>
    <row r="4190" spans="1:3" x14ac:dyDescent="0.25">
      <c r="A4190" t="s">
        <v>5115</v>
      </c>
      <c r="B4190" t="s">
        <v>6962</v>
      </c>
      <c r="C4190" s="1">
        <v>45983</v>
      </c>
    </row>
    <row r="4191" spans="1:3" x14ac:dyDescent="0.25">
      <c r="A4191" t="s">
        <v>5114</v>
      </c>
      <c r="B4191" t="s">
        <v>6962</v>
      </c>
      <c r="C4191" s="1">
        <v>45982</v>
      </c>
    </row>
    <row r="4192" spans="1:3" x14ac:dyDescent="0.25">
      <c r="A4192" t="s">
        <v>5116</v>
      </c>
      <c r="B4192" t="s">
        <v>6962</v>
      </c>
      <c r="C4192" s="1">
        <v>45985</v>
      </c>
    </row>
    <row r="4193" spans="1:3" x14ac:dyDescent="0.25">
      <c r="A4193" t="s">
        <v>3006</v>
      </c>
      <c r="B4193" t="s">
        <v>6962</v>
      </c>
      <c r="C4193" s="1">
        <v>45983</v>
      </c>
    </row>
    <row r="4194" spans="1:3" x14ac:dyDescent="0.25">
      <c r="A4194" t="s">
        <v>5118</v>
      </c>
      <c r="B4194" t="s">
        <v>6962</v>
      </c>
      <c r="C4194" s="1">
        <v>45983</v>
      </c>
    </row>
    <row r="4195" spans="1:3" x14ac:dyDescent="0.25">
      <c r="A4195" t="s">
        <v>3232</v>
      </c>
      <c r="B4195" t="s">
        <v>6962</v>
      </c>
      <c r="C4195" s="1">
        <v>45982</v>
      </c>
    </row>
    <row r="4196" spans="1:3" x14ac:dyDescent="0.25">
      <c r="A4196" t="s">
        <v>3232</v>
      </c>
      <c r="B4196" t="s">
        <v>6962</v>
      </c>
      <c r="C4196" s="1">
        <v>45982</v>
      </c>
    </row>
    <row r="4197" spans="1:3" x14ac:dyDescent="0.25">
      <c r="A4197" t="s">
        <v>3007</v>
      </c>
      <c r="B4197" t="s">
        <v>6962</v>
      </c>
      <c r="C4197" s="1">
        <v>45983</v>
      </c>
    </row>
    <row r="4198" spans="1:3" x14ac:dyDescent="0.25">
      <c r="A4198" t="s">
        <v>5119</v>
      </c>
      <c r="B4198" t="s">
        <v>6962</v>
      </c>
      <c r="C4198" s="1">
        <v>45988</v>
      </c>
    </row>
    <row r="4199" spans="1:3" x14ac:dyDescent="0.25">
      <c r="A4199" t="s">
        <v>3002</v>
      </c>
      <c r="B4199" t="s">
        <v>6962</v>
      </c>
      <c r="C4199" s="1">
        <v>45982</v>
      </c>
    </row>
    <row r="4200" spans="1:3" x14ac:dyDescent="0.25">
      <c r="A4200" t="s">
        <v>5121</v>
      </c>
      <c r="B4200" t="s">
        <v>6962</v>
      </c>
      <c r="C4200" s="1">
        <v>45983</v>
      </c>
    </row>
    <row r="4201" spans="1:3" x14ac:dyDescent="0.25">
      <c r="A4201" t="s">
        <v>5121</v>
      </c>
      <c r="B4201" t="s">
        <v>6962</v>
      </c>
      <c r="C4201" s="1">
        <v>45983</v>
      </c>
    </row>
    <row r="4202" spans="1:3" x14ac:dyDescent="0.25">
      <c r="A4202" t="s">
        <v>5122</v>
      </c>
      <c r="B4202" t="s">
        <v>6962</v>
      </c>
      <c r="C4202" s="1">
        <v>45983</v>
      </c>
    </row>
    <row r="4203" spans="1:3" x14ac:dyDescent="0.25">
      <c r="A4203" t="s">
        <v>5124</v>
      </c>
      <c r="B4203" t="s">
        <v>6962</v>
      </c>
      <c r="C4203" s="1">
        <v>45983</v>
      </c>
    </row>
    <row r="4204" spans="1:3" x14ac:dyDescent="0.25">
      <c r="A4204" t="s">
        <v>5125</v>
      </c>
      <c r="B4204" t="s">
        <v>6962</v>
      </c>
      <c r="C4204" s="1">
        <v>45987</v>
      </c>
    </row>
    <row r="4205" spans="1:3" x14ac:dyDescent="0.25">
      <c r="A4205" t="s">
        <v>3008</v>
      </c>
      <c r="B4205" t="s">
        <v>6962</v>
      </c>
      <c r="C4205" s="1">
        <v>45983</v>
      </c>
    </row>
    <row r="4206" spans="1:3" x14ac:dyDescent="0.25">
      <c r="A4206" t="s">
        <v>5129</v>
      </c>
      <c r="B4206" t="s">
        <v>6962</v>
      </c>
      <c r="C4206" s="1">
        <v>45983</v>
      </c>
    </row>
    <row r="4207" spans="1:3" x14ac:dyDescent="0.25">
      <c r="A4207" t="s">
        <v>5128</v>
      </c>
      <c r="B4207" t="s">
        <v>6962</v>
      </c>
      <c r="C4207" s="1">
        <v>45983</v>
      </c>
    </row>
    <row r="4208" spans="1:3" x14ac:dyDescent="0.25">
      <c r="A4208" t="s">
        <v>3010</v>
      </c>
      <c r="B4208" t="s">
        <v>6962</v>
      </c>
      <c r="C4208" s="1">
        <v>45987</v>
      </c>
    </row>
    <row r="4209" spans="1:3" x14ac:dyDescent="0.25">
      <c r="A4209" t="s">
        <v>5127</v>
      </c>
      <c r="B4209" t="s">
        <v>6962</v>
      </c>
      <c r="C4209" s="1">
        <v>45986</v>
      </c>
    </row>
    <row r="4210" spans="1:3" x14ac:dyDescent="0.25">
      <c r="A4210" t="s">
        <v>3009</v>
      </c>
      <c r="B4210" t="s">
        <v>6962</v>
      </c>
      <c r="C4210" s="1">
        <v>45983</v>
      </c>
    </row>
    <row r="4211" spans="1:3" x14ac:dyDescent="0.25">
      <c r="A4211" t="s">
        <v>5126</v>
      </c>
      <c r="B4211" t="s">
        <v>6962</v>
      </c>
      <c r="C4211" s="1">
        <v>45983</v>
      </c>
    </row>
    <row r="4212" spans="1:3" x14ac:dyDescent="0.25">
      <c r="A4212" t="s">
        <v>5130</v>
      </c>
      <c r="B4212" t="s">
        <v>39</v>
      </c>
      <c r="C4212" s="1"/>
    </row>
    <row r="4213" spans="1:3" x14ac:dyDescent="0.25">
      <c r="A4213" t="s">
        <v>3011</v>
      </c>
      <c r="B4213" t="s">
        <v>6962</v>
      </c>
      <c r="C4213" s="1">
        <v>45987</v>
      </c>
    </row>
    <row r="4214" spans="1:3" x14ac:dyDescent="0.25">
      <c r="A4214" t="s">
        <v>5131</v>
      </c>
      <c r="B4214" t="s">
        <v>6962</v>
      </c>
      <c r="C4214" s="1">
        <v>45987</v>
      </c>
    </row>
    <row r="4215" spans="1:3" x14ac:dyDescent="0.25">
      <c r="A4215" t="s">
        <v>5132</v>
      </c>
      <c r="B4215" t="s">
        <v>6962</v>
      </c>
      <c r="C4215" s="1">
        <v>45992</v>
      </c>
    </row>
    <row r="4216" spans="1:3" x14ac:dyDescent="0.25">
      <c r="A4216" t="s">
        <v>3013</v>
      </c>
      <c r="B4216" t="s">
        <v>39</v>
      </c>
      <c r="C4216" s="1"/>
    </row>
    <row r="4217" spans="1:3" x14ac:dyDescent="0.25">
      <c r="A4217" t="s">
        <v>3014</v>
      </c>
      <c r="B4217" t="s">
        <v>6962</v>
      </c>
      <c r="C4217" s="1">
        <v>45987</v>
      </c>
    </row>
    <row r="4218" spans="1:3" x14ac:dyDescent="0.25">
      <c r="A4218" t="s">
        <v>5135</v>
      </c>
      <c r="B4218" t="s">
        <v>6962</v>
      </c>
      <c r="C4218" s="1">
        <v>45999</v>
      </c>
    </row>
    <row r="4219" spans="1:3" x14ac:dyDescent="0.25">
      <c r="A4219" t="s">
        <v>5135</v>
      </c>
      <c r="B4219" t="s">
        <v>6962</v>
      </c>
      <c r="C4219" s="1">
        <v>45992</v>
      </c>
    </row>
    <row r="4220" spans="1:3" x14ac:dyDescent="0.25">
      <c r="A4220" t="s">
        <v>5136</v>
      </c>
      <c r="B4220" t="s">
        <v>6962</v>
      </c>
      <c r="C4220" s="1">
        <v>45986</v>
      </c>
    </row>
    <row r="4221" spans="1:3" x14ac:dyDescent="0.25">
      <c r="A4221" t="s">
        <v>5137</v>
      </c>
      <c r="B4221" t="s">
        <v>6962</v>
      </c>
      <c r="C4221" s="1">
        <v>45989</v>
      </c>
    </row>
    <row r="4222" spans="1:3" x14ac:dyDescent="0.25">
      <c r="A4222" t="s">
        <v>5140</v>
      </c>
      <c r="B4222" t="s">
        <v>6962</v>
      </c>
      <c r="C4222" s="1">
        <v>45986</v>
      </c>
    </row>
    <row r="4223" spans="1:3" x14ac:dyDescent="0.25">
      <c r="A4223" t="s">
        <v>5141</v>
      </c>
      <c r="B4223" t="s">
        <v>6962</v>
      </c>
      <c r="C4223" s="1">
        <v>45985</v>
      </c>
    </row>
    <row r="4224" spans="1:3" x14ac:dyDescent="0.25">
      <c r="A4224" t="s">
        <v>5141</v>
      </c>
      <c r="B4224" t="s">
        <v>6962</v>
      </c>
      <c r="C4224" s="1">
        <v>45985</v>
      </c>
    </row>
    <row r="4225" spans="1:3" x14ac:dyDescent="0.25">
      <c r="A4225" t="s">
        <v>3233</v>
      </c>
      <c r="B4225" t="s">
        <v>6962</v>
      </c>
      <c r="C4225" s="1">
        <v>45987</v>
      </c>
    </row>
    <row r="4226" spans="1:3" x14ac:dyDescent="0.25">
      <c r="A4226" t="s">
        <v>5142</v>
      </c>
      <c r="B4226" t="s">
        <v>6962</v>
      </c>
      <c r="C4226" s="1">
        <v>45983</v>
      </c>
    </row>
    <row r="4227" spans="1:3" x14ac:dyDescent="0.25">
      <c r="A4227" t="s">
        <v>5144</v>
      </c>
      <c r="B4227" t="s">
        <v>6962</v>
      </c>
      <c r="C4227" s="1">
        <v>45986</v>
      </c>
    </row>
    <row r="4228" spans="1:3" x14ac:dyDescent="0.25">
      <c r="A4228" t="s">
        <v>5143</v>
      </c>
      <c r="B4228" t="s">
        <v>6962</v>
      </c>
      <c r="C4228" s="1">
        <v>45994</v>
      </c>
    </row>
    <row r="4229" spans="1:3" x14ac:dyDescent="0.25">
      <c r="A4229" t="s">
        <v>5133</v>
      </c>
      <c r="B4229" t="s">
        <v>6962</v>
      </c>
      <c r="C4229" s="1">
        <v>45986</v>
      </c>
    </row>
    <row r="4230" spans="1:3" x14ac:dyDescent="0.25">
      <c r="A4230" t="s">
        <v>5134</v>
      </c>
      <c r="B4230" t="s">
        <v>6964</v>
      </c>
      <c r="C4230" s="1">
        <v>45986</v>
      </c>
    </row>
    <row r="4231" spans="1:3" x14ac:dyDescent="0.25">
      <c r="A4231" t="s">
        <v>6951</v>
      </c>
      <c r="B4231" t="s">
        <v>6962</v>
      </c>
      <c r="C4231" s="1">
        <v>45986</v>
      </c>
    </row>
    <row r="4232" spans="1:3" x14ac:dyDescent="0.25">
      <c r="A4232" t="s">
        <v>5123</v>
      </c>
      <c r="B4232" t="s">
        <v>6962</v>
      </c>
      <c r="C4232" s="1">
        <v>45988</v>
      </c>
    </row>
    <row r="4233" spans="1:3" x14ac:dyDescent="0.25">
      <c r="A4233" t="s">
        <v>2996</v>
      </c>
      <c r="B4233" t="s">
        <v>6962</v>
      </c>
      <c r="C4233" s="1">
        <v>45987</v>
      </c>
    </row>
    <row r="4234" spans="1:3" x14ac:dyDescent="0.25">
      <c r="A4234" t="s">
        <v>2997</v>
      </c>
      <c r="B4234" t="s">
        <v>6962</v>
      </c>
      <c r="C4234" s="1">
        <v>45988</v>
      </c>
    </row>
    <row r="4235" spans="1:3" x14ac:dyDescent="0.25">
      <c r="A4235" t="s">
        <v>3082</v>
      </c>
      <c r="B4235" t="s">
        <v>39</v>
      </c>
      <c r="C4235" s="1"/>
    </row>
    <row r="4236" spans="1:3" x14ac:dyDescent="0.25">
      <c r="A4236" t="s">
        <v>3000</v>
      </c>
      <c r="B4236" t="s">
        <v>6962</v>
      </c>
      <c r="C4236" s="1">
        <v>45986</v>
      </c>
    </row>
    <row r="4237" spans="1:3" x14ac:dyDescent="0.25">
      <c r="A4237" t="s">
        <v>5103</v>
      </c>
      <c r="B4237" t="s">
        <v>6962</v>
      </c>
      <c r="C4237" s="1">
        <v>45989</v>
      </c>
    </row>
    <row r="4238" spans="1:3" x14ac:dyDescent="0.25">
      <c r="A4238" t="s">
        <v>5107</v>
      </c>
      <c r="B4238" t="s">
        <v>6962</v>
      </c>
      <c r="C4238" s="1">
        <v>45995</v>
      </c>
    </row>
    <row r="4239" spans="1:3" x14ac:dyDescent="0.25">
      <c r="A4239" t="s">
        <v>5099</v>
      </c>
      <c r="B4239" t="s">
        <v>6962</v>
      </c>
      <c r="C4239" s="1">
        <v>45988</v>
      </c>
    </row>
    <row r="4240" spans="1:3" x14ac:dyDescent="0.25">
      <c r="A4240" t="s">
        <v>5134</v>
      </c>
      <c r="B4240" t="s">
        <v>6964</v>
      </c>
      <c r="C4240" s="1">
        <v>45986</v>
      </c>
    </row>
    <row r="4241" spans="1:3" x14ac:dyDescent="0.25">
      <c r="A4241" t="s">
        <v>6952</v>
      </c>
      <c r="B4241" t="s">
        <v>6962</v>
      </c>
      <c r="C4241" s="1">
        <v>45989</v>
      </c>
    </row>
    <row r="4242" spans="1:3" x14ac:dyDescent="0.25">
      <c r="A4242" t="s">
        <v>5087</v>
      </c>
      <c r="B4242" t="s">
        <v>6962</v>
      </c>
      <c r="C4242" s="1">
        <v>45987</v>
      </c>
    </row>
    <row r="4243" spans="1:3" x14ac:dyDescent="0.25">
      <c r="A4243" t="s">
        <v>5087</v>
      </c>
      <c r="B4243" t="s">
        <v>6962</v>
      </c>
      <c r="C4243" s="1">
        <v>45987</v>
      </c>
    </row>
    <row r="4244" spans="1:3" x14ac:dyDescent="0.25">
      <c r="A4244" t="s">
        <v>5084</v>
      </c>
      <c r="B4244" t="s">
        <v>6962</v>
      </c>
      <c r="C4244" s="1">
        <v>45990</v>
      </c>
    </row>
    <row r="4245" spans="1:3" x14ac:dyDescent="0.25">
      <c r="A4245" t="s">
        <v>2978</v>
      </c>
      <c r="B4245" t="s">
        <v>6962</v>
      </c>
      <c r="C4245" s="1">
        <v>45988</v>
      </c>
    </row>
    <row r="4246" spans="1:3" x14ac:dyDescent="0.25">
      <c r="A4246" t="s">
        <v>2979</v>
      </c>
      <c r="B4246" t="s">
        <v>6962</v>
      </c>
      <c r="C4246" s="1">
        <v>45989</v>
      </c>
    </row>
    <row r="4247" spans="1:3" x14ac:dyDescent="0.25">
      <c r="A4247" t="s">
        <v>5067</v>
      </c>
      <c r="B4247" t="s">
        <v>6962</v>
      </c>
      <c r="C4247" s="1">
        <v>45987</v>
      </c>
    </row>
    <row r="4248" spans="1:3" x14ac:dyDescent="0.25">
      <c r="A4248" t="s">
        <v>2965</v>
      </c>
      <c r="B4248" t="s">
        <v>6962</v>
      </c>
      <c r="C4248" s="1">
        <v>45988</v>
      </c>
    </row>
    <row r="4249" spans="1:3" x14ac:dyDescent="0.25">
      <c r="A4249" t="s">
        <v>2967</v>
      </c>
      <c r="B4249" t="s">
        <v>6962</v>
      </c>
      <c r="C4249" s="1">
        <v>45990</v>
      </c>
    </row>
    <row r="4250" spans="1:3" x14ac:dyDescent="0.25">
      <c r="A4250" t="s">
        <v>2968</v>
      </c>
      <c r="B4250" t="s">
        <v>6962</v>
      </c>
      <c r="C4250" s="1">
        <v>45988</v>
      </c>
    </row>
    <row r="4251" spans="1:3" x14ac:dyDescent="0.25">
      <c r="A4251" t="s">
        <v>2969</v>
      </c>
      <c r="B4251" t="s">
        <v>6962</v>
      </c>
      <c r="C4251" s="1">
        <v>45990</v>
      </c>
    </row>
    <row r="4252" spans="1:3" x14ac:dyDescent="0.25">
      <c r="A4252" t="s">
        <v>4676</v>
      </c>
      <c r="B4252" t="s">
        <v>6962</v>
      </c>
      <c r="C4252" s="1">
        <v>45989</v>
      </c>
    </row>
    <row r="4253" spans="1:3" x14ac:dyDescent="0.25">
      <c r="A4253" t="s">
        <v>4676</v>
      </c>
      <c r="B4253" t="s">
        <v>6962</v>
      </c>
      <c r="C4253" s="1">
        <v>45989</v>
      </c>
    </row>
    <row r="4254" spans="1:3" x14ac:dyDescent="0.25">
      <c r="A4254" t="s">
        <v>4676</v>
      </c>
      <c r="B4254" t="s">
        <v>6962</v>
      </c>
      <c r="C4254" s="1">
        <v>45988</v>
      </c>
    </row>
    <row r="4255" spans="1:3" x14ac:dyDescent="0.25">
      <c r="A4255" t="s">
        <v>4676</v>
      </c>
      <c r="B4255" t="s">
        <v>6962</v>
      </c>
      <c r="C4255" s="1">
        <v>45987</v>
      </c>
    </row>
    <row r="4256" spans="1:3" x14ac:dyDescent="0.25">
      <c r="A4256" t="s">
        <v>5115</v>
      </c>
      <c r="B4256" t="s">
        <v>6962</v>
      </c>
      <c r="C4256" s="1">
        <v>45987</v>
      </c>
    </row>
    <row r="4257" spans="1:3" x14ac:dyDescent="0.25">
      <c r="A4257" t="s">
        <v>5053</v>
      </c>
      <c r="B4257" t="s">
        <v>6962</v>
      </c>
      <c r="C4257" s="1">
        <v>45992</v>
      </c>
    </row>
    <row r="4258" spans="1:3" x14ac:dyDescent="0.25">
      <c r="A4258" t="s">
        <v>5051</v>
      </c>
      <c r="B4258" t="s">
        <v>6962</v>
      </c>
      <c r="C4258" s="1">
        <v>45992</v>
      </c>
    </row>
    <row r="4259" spans="1:3" x14ac:dyDescent="0.25">
      <c r="A4259" t="s">
        <v>5051</v>
      </c>
      <c r="B4259" t="s">
        <v>6962</v>
      </c>
      <c r="C4259" s="1">
        <v>45989</v>
      </c>
    </row>
    <row r="4260" spans="1:3" x14ac:dyDescent="0.25">
      <c r="A4260" t="s">
        <v>5051</v>
      </c>
      <c r="B4260" t="s">
        <v>6962</v>
      </c>
      <c r="C4260" s="1">
        <v>45989</v>
      </c>
    </row>
    <row r="4261" spans="1:3" x14ac:dyDescent="0.25">
      <c r="A4261" t="s">
        <v>5051</v>
      </c>
      <c r="B4261" t="s">
        <v>6962</v>
      </c>
      <c r="C4261" s="1">
        <v>45989</v>
      </c>
    </row>
    <row r="4262" spans="1:3" x14ac:dyDescent="0.25">
      <c r="A4262" t="s">
        <v>5051</v>
      </c>
      <c r="B4262" t="s">
        <v>6962</v>
      </c>
      <c r="C4262" s="1">
        <v>45989</v>
      </c>
    </row>
    <row r="4263" spans="1:3" x14ac:dyDescent="0.25">
      <c r="A4263" t="s">
        <v>3080</v>
      </c>
      <c r="B4263" t="s">
        <v>6962</v>
      </c>
      <c r="C4263" s="1">
        <v>45989</v>
      </c>
    </row>
    <row r="4264" spans="1:3" x14ac:dyDescent="0.25">
      <c r="A4264" t="s">
        <v>5036</v>
      </c>
      <c r="B4264" t="s">
        <v>6962</v>
      </c>
      <c r="C4264" s="1">
        <v>45989</v>
      </c>
    </row>
    <row r="4265" spans="1:3" x14ac:dyDescent="0.25">
      <c r="A4265" t="s">
        <v>5033</v>
      </c>
      <c r="B4265" t="s">
        <v>6962</v>
      </c>
      <c r="C4265" s="1">
        <v>45990</v>
      </c>
    </row>
    <row r="4266" spans="1:3" x14ac:dyDescent="0.25">
      <c r="A4266" t="s">
        <v>5028</v>
      </c>
      <c r="B4266" t="s">
        <v>6963</v>
      </c>
      <c r="C4266" s="1"/>
    </row>
    <row r="4267" spans="1:3" x14ac:dyDescent="0.25">
      <c r="A4267" t="s">
        <v>2945</v>
      </c>
      <c r="B4267" t="s">
        <v>6962</v>
      </c>
      <c r="C4267" s="1">
        <v>45989</v>
      </c>
    </row>
    <row r="4268" spans="1:3" x14ac:dyDescent="0.25">
      <c r="A4268" t="s">
        <v>2949</v>
      </c>
      <c r="B4268" t="s">
        <v>6962</v>
      </c>
      <c r="C4268" s="1">
        <v>45990</v>
      </c>
    </row>
    <row r="4269" spans="1:3" x14ac:dyDescent="0.25">
      <c r="A4269" t="s">
        <v>2942</v>
      </c>
      <c r="B4269" t="s">
        <v>6962</v>
      </c>
      <c r="C4269" s="1">
        <v>45989</v>
      </c>
    </row>
    <row r="4270" spans="1:3" x14ac:dyDescent="0.25">
      <c r="A4270" t="s">
        <v>2937</v>
      </c>
      <c r="B4270" t="s">
        <v>6962</v>
      </c>
      <c r="C4270" s="1">
        <v>45990</v>
      </c>
    </row>
    <row r="4271" spans="1:3" x14ac:dyDescent="0.25">
      <c r="A4271" t="s">
        <v>2936</v>
      </c>
      <c r="B4271" t="s">
        <v>6962</v>
      </c>
      <c r="C4271" s="1">
        <v>45993</v>
      </c>
    </row>
    <row r="4272" spans="1:3" x14ac:dyDescent="0.25">
      <c r="A4272" t="s">
        <v>2935</v>
      </c>
      <c r="B4272" t="s">
        <v>6962</v>
      </c>
      <c r="C4272" s="1">
        <v>45994</v>
      </c>
    </row>
    <row r="4273" spans="1:3" x14ac:dyDescent="0.25">
      <c r="A4273" t="s">
        <v>4983</v>
      </c>
      <c r="B4273" t="s">
        <v>39</v>
      </c>
      <c r="C4273" s="1"/>
    </row>
    <row r="4274" spans="1:3" x14ac:dyDescent="0.25">
      <c r="A4274" t="s">
        <v>2933</v>
      </c>
      <c r="B4274" t="s">
        <v>6962</v>
      </c>
      <c r="C4274" s="1">
        <v>45994</v>
      </c>
    </row>
    <row r="4275" spans="1:3" x14ac:dyDescent="0.25">
      <c r="A4275" t="s">
        <v>2932</v>
      </c>
      <c r="B4275" t="s">
        <v>6962</v>
      </c>
      <c r="C4275" s="1">
        <v>45992</v>
      </c>
    </row>
    <row r="4276" spans="1:3" x14ac:dyDescent="0.25">
      <c r="A4276" t="s">
        <v>4973</v>
      </c>
      <c r="B4276" t="s">
        <v>6962</v>
      </c>
      <c r="C4276" s="1">
        <v>46001</v>
      </c>
    </row>
    <row r="4277" spans="1:3" x14ac:dyDescent="0.25">
      <c r="A4277" t="s">
        <v>4971</v>
      </c>
      <c r="B4277" t="s">
        <v>6962</v>
      </c>
      <c r="C4277" s="1">
        <v>45992</v>
      </c>
    </row>
    <row r="4278" spans="1:3" x14ac:dyDescent="0.25">
      <c r="A4278" t="s">
        <v>4953</v>
      </c>
      <c r="B4278" t="s">
        <v>6962</v>
      </c>
      <c r="C4278" s="1">
        <v>45992</v>
      </c>
    </row>
    <row r="4279" spans="1:3" x14ac:dyDescent="0.25">
      <c r="A4279" t="s">
        <v>4941</v>
      </c>
      <c r="B4279" t="s">
        <v>6962</v>
      </c>
      <c r="C4279" s="1">
        <v>45992</v>
      </c>
    </row>
    <row r="4280" spans="1:3" x14ac:dyDescent="0.25">
      <c r="A4280" t="s">
        <v>2914</v>
      </c>
      <c r="B4280" t="s">
        <v>6962</v>
      </c>
      <c r="C4280" s="1">
        <v>45993</v>
      </c>
    </row>
    <row r="4281" spans="1:3" x14ac:dyDescent="0.25">
      <c r="A4281" t="s">
        <v>2915</v>
      </c>
      <c r="B4281" t="s">
        <v>6962</v>
      </c>
      <c r="C4281" s="1">
        <v>45994</v>
      </c>
    </row>
    <row r="4282" spans="1:3" x14ac:dyDescent="0.25">
      <c r="A4282" t="s">
        <v>2905</v>
      </c>
      <c r="B4282" t="s">
        <v>39</v>
      </c>
      <c r="C4282" s="1"/>
    </row>
    <row r="4283" spans="1:3" x14ac:dyDescent="0.25">
      <c r="A4283" t="s">
        <v>2904</v>
      </c>
      <c r="B4283" t="s">
        <v>6962</v>
      </c>
      <c r="C4283" s="1">
        <v>45993</v>
      </c>
    </row>
    <row r="4284" spans="1:3" x14ac:dyDescent="0.25">
      <c r="A4284" t="s">
        <v>4924</v>
      </c>
      <c r="B4284" t="s">
        <v>6964</v>
      </c>
      <c r="C4284" s="1">
        <v>45993</v>
      </c>
    </row>
    <row r="4285" spans="1:3" x14ac:dyDescent="0.25">
      <c r="A4285" t="s">
        <v>4920</v>
      </c>
      <c r="B4285" t="s">
        <v>6962</v>
      </c>
      <c r="C4285" s="1">
        <v>45993</v>
      </c>
    </row>
    <row r="4286" spans="1:3" x14ac:dyDescent="0.25">
      <c r="A4286" t="s">
        <v>4919</v>
      </c>
      <c r="B4286" t="s">
        <v>6962</v>
      </c>
      <c r="C4286" s="1">
        <v>45993</v>
      </c>
    </row>
    <row r="4287" spans="1:3" x14ac:dyDescent="0.25">
      <c r="A4287" t="s">
        <v>4918</v>
      </c>
      <c r="B4287" t="s">
        <v>6962</v>
      </c>
      <c r="C4287" s="1">
        <v>45993</v>
      </c>
    </row>
    <row r="4288" spans="1:3" x14ac:dyDescent="0.25">
      <c r="A4288" t="s">
        <v>4916</v>
      </c>
      <c r="B4288" t="s">
        <v>6962</v>
      </c>
      <c r="C4288" s="1">
        <v>45994</v>
      </c>
    </row>
    <row r="4289" spans="1:3" x14ac:dyDescent="0.25">
      <c r="A4289" t="s">
        <v>4915</v>
      </c>
      <c r="B4289" t="s">
        <v>6962</v>
      </c>
      <c r="C4289" s="1">
        <v>45993</v>
      </c>
    </row>
    <row r="4290" spans="1:3" x14ac:dyDescent="0.25">
      <c r="A4290" t="s">
        <v>4914</v>
      </c>
      <c r="B4290" t="s">
        <v>6962</v>
      </c>
      <c r="C4290" s="1">
        <v>45994</v>
      </c>
    </row>
    <row r="4291" spans="1:3" x14ac:dyDescent="0.25">
      <c r="A4291" t="s">
        <v>4913</v>
      </c>
      <c r="B4291" t="s">
        <v>6962</v>
      </c>
      <c r="C4291" s="1">
        <v>45995</v>
      </c>
    </row>
    <row r="4292" spans="1:3" x14ac:dyDescent="0.25">
      <c r="A4292" t="s">
        <v>4912</v>
      </c>
      <c r="B4292" t="s">
        <v>6962</v>
      </c>
      <c r="C4292" s="1">
        <v>45993</v>
      </c>
    </row>
    <row r="4293" spans="1:3" x14ac:dyDescent="0.25">
      <c r="A4293" t="s">
        <v>4910</v>
      </c>
      <c r="B4293" t="s">
        <v>6962</v>
      </c>
      <c r="C4293" s="1">
        <v>45995</v>
      </c>
    </row>
    <row r="4294" spans="1:3" x14ac:dyDescent="0.25">
      <c r="A4294" t="s">
        <v>4907</v>
      </c>
      <c r="B4294" t="s">
        <v>6962</v>
      </c>
      <c r="C4294" s="1">
        <v>45994</v>
      </c>
    </row>
    <row r="4295" spans="1:3" x14ac:dyDescent="0.25">
      <c r="A4295" t="s">
        <v>59</v>
      </c>
      <c r="B4295" t="s">
        <v>6962</v>
      </c>
      <c r="C4295" s="1">
        <v>45994</v>
      </c>
    </row>
    <row r="4296" spans="1:3" x14ac:dyDescent="0.25">
      <c r="A4296" t="s">
        <v>57</v>
      </c>
      <c r="B4296" t="s">
        <v>6962</v>
      </c>
      <c r="C4296" s="1">
        <v>45994</v>
      </c>
    </row>
    <row r="4297" spans="1:3" x14ac:dyDescent="0.25">
      <c r="A4297" t="s">
        <v>55</v>
      </c>
      <c r="B4297" t="s">
        <v>39</v>
      </c>
      <c r="C4297" s="1"/>
    </row>
    <row r="4298" spans="1:3" x14ac:dyDescent="0.25">
      <c r="A4298" t="s">
        <v>54</v>
      </c>
      <c r="B4298" t="s">
        <v>6962</v>
      </c>
      <c r="C4298" s="1">
        <v>45996</v>
      </c>
    </row>
    <row r="4299" spans="1:3" x14ac:dyDescent="0.25">
      <c r="A4299" t="s">
        <v>53</v>
      </c>
      <c r="B4299" t="s">
        <v>6962</v>
      </c>
      <c r="C4299" s="1">
        <v>45995</v>
      </c>
    </row>
    <row r="4300" spans="1:3" x14ac:dyDescent="0.25">
      <c r="A4300" t="s">
        <v>52</v>
      </c>
      <c r="B4300" t="s">
        <v>39</v>
      </c>
      <c r="C4300" s="1"/>
    </row>
    <row r="4301" spans="1:3" x14ac:dyDescent="0.25">
      <c r="A4301" t="s">
        <v>49</v>
      </c>
      <c r="B4301" t="s">
        <v>6962</v>
      </c>
      <c r="C4301" s="1">
        <v>45995</v>
      </c>
    </row>
    <row r="4302" spans="1:3" x14ac:dyDescent="0.25">
      <c r="A4302" t="s">
        <v>46</v>
      </c>
      <c r="B4302" t="s">
        <v>6962</v>
      </c>
      <c r="C4302" s="1">
        <v>45996</v>
      </c>
    </row>
    <row r="4303" spans="1:3" x14ac:dyDescent="0.25">
      <c r="A4303" t="s">
        <v>46</v>
      </c>
      <c r="B4303" t="s">
        <v>6962</v>
      </c>
      <c r="C4303" s="1">
        <v>45996</v>
      </c>
    </row>
    <row r="4304" spans="1:3" x14ac:dyDescent="0.25">
      <c r="A4304" t="s">
        <v>61</v>
      </c>
      <c r="B4304" t="s">
        <v>6962</v>
      </c>
      <c r="C4304" s="1">
        <v>45995</v>
      </c>
    </row>
    <row r="4305" spans="1:3" x14ac:dyDescent="0.25">
      <c r="A4305" t="s">
        <v>60</v>
      </c>
      <c r="B4305" t="s">
        <v>6962</v>
      </c>
      <c r="C4305" s="1">
        <v>45996</v>
      </c>
    </row>
    <row r="4306" spans="1:3" x14ac:dyDescent="0.25">
      <c r="A4306" t="s">
        <v>67</v>
      </c>
      <c r="B4306" t="s">
        <v>6962</v>
      </c>
      <c r="C4306" s="1">
        <v>45999</v>
      </c>
    </row>
    <row r="4307" spans="1:3" x14ac:dyDescent="0.25">
      <c r="A4307" t="s">
        <v>67</v>
      </c>
      <c r="B4307" t="s">
        <v>6962</v>
      </c>
      <c r="C4307" s="1">
        <v>45999</v>
      </c>
    </row>
    <row r="4308" spans="1:3" x14ac:dyDescent="0.25">
      <c r="A4308" t="s">
        <v>66</v>
      </c>
      <c r="B4308" t="s">
        <v>6962</v>
      </c>
      <c r="C4308" s="1">
        <v>45996</v>
      </c>
    </row>
    <row r="4309" spans="1:3" x14ac:dyDescent="0.25">
      <c r="A4309" t="s">
        <v>65</v>
      </c>
      <c r="B4309" t="s">
        <v>6962</v>
      </c>
      <c r="C4309" s="1">
        <v>45995</v>
      </c>
    </row>
    <row r="4310" spans="1:3" x14ac:dyDescent="0.25">
      <c r="A4310" t="s">
        <v>73</v>
      </c>
      <c r="B4310" t="s">
        <v>6962</v>
      </c>
      <c r="C4310" s="1">
        <v>45995</v>
      </c>
    </row>
    <row r="4311" spans="1:3" x14ac:dyDescent="0.25">
      <c r="A4311" t="s">
        <v>72</v>
      </c>
      <c r="B4311" t="s">
        <v>6962</v>
      </c>
      <c r="C4311" s="1">
        <v>45996</v>
      </c>
    </row>
    <row r="4312" spans="1:3" x14ac:dyDescent="0.25">
      <c r="A4312" t="s">
        <v>71</v>
      </c>
      <c r="B4312" t="s">
        <v>6962</v>
      </c>
      <c r="C4312" s="1">
        <v>46002</v>
      </c>
    </row>
    <row r="4313" spans="1:3" x14ac:dyDescent="0.25">
      <c r="A4313" t="s">
        <v>77</v>
      </c>
      <c r="B4313" t="s">
        <v>6962</v>
      </c>
      <c r="C4313" s="1">
        <v>45996</v>
      </c>
    </row>
    <row r="4314" spans="1:3" x14ac:dyDescent="0.25">
      <c r="A4314" t="s">
        <v>77</v>
      </c>
      <c r="B4314" t="s">
        <v>6962</v>
      </c>
      <c r="C4314" s="1">
        <v>45999</v>
      </c>
    </row>
    <row r="4315" spans="1:3" x14ac:dyDescent="0.25">
      <c r="A4315" t="s">
        <v>77</v>
      </c>
      <c r="B4315" t="s">
        <v>6962</v>
      </c>
      <c r="C4315" s="1">
        <v>45999</v>
      </c>
    </row>
    <row r="4316" spans="1:3" x14ac:dyDescent="0.25">
      <c r="A4316" t="s">
        <v>77</v>
      </c>
      <c r="B4316" t="s">
        <v>6962</v>
      </c>
      <c r="C4316" s="1">
        <v>45996</v>
      </c>
    </row>
    <row r="4317" spans="1:3" x14ac:dyDescent="0.25">
      <c r="A4317" t="s">
        <v>77</v>
      </c>
      <c r="B4317" t="s">
        <v>6962</v>
      </c>
      <c r="C4317" s="1">
        <v>45996</v>
      </c>
    </row>
    <row r="4318" spans="1:3" x14ac:dyDescent="0.25">
      <c r="A4318" t="s">
        <v>76</v>
      </c>
      <c r="B4318" t="s">
        <v>6962</v>
      </c>
      <c r="C4318" s="1">
        <v>45997</v>
      </c>
    </row>
    <row r="4319" spans="1:3" x14ac:dyDescent="0.25">
      <c r="A4319" t="s">
        <v>75</v>
      </c>
      <c r="B4319" t="s">
        <v>6962</v>
      </c>
      <c r="C4319" s="1">
        <v>46024</v>
      </c>
    </row>
    <row r="4320" spans="1:3" x14ac:dyDescent="0.25">
      <c r="A4320" t="s">
        <v>79</v>
      </c>
      <c r="B4320" t="s">
        <v>6962</v>
      </c>
      <c r="C4320" s="1">
        <v>46000</v>
      </c>
    </row>
    <row r="4321" spans="1:3" x14ac:dyDescent="0.25">
      <c r="A4321" t="s">
        <v>86</v>
      </c>
      <c r="B4321" t="s">
        <v>6962</v>
      </c>
      <c r="C4321" s="1">
        <v>45996</v>
      </c>
    </row>
    <row r="4322" spans="1:3" x14ac:dyDescent="0.25">
      <c r="A4322" t="s">
        <v>84</v>
      </c>
      <c r="B4322" t="s">
        <v>6964</v>
      </c>
      <c r="C4322" s="1">
        <v>45997</v>
      </c>
    </row>
    <row r="4323" spans="1:3" x14ac:dyDescent="0.25">
      <c r="A4323" t="s">
        <v>83</v>
      </c>
      <c r="B4323" t="s">
        <v>39</v>
      </c>
      <c r="C4323" s="1"/>
    </row>
    <row r="4324" spans="1:3" x14ac:dyDescent="0.25">
      <c r="A4324" t="s">
        <v>90</v>
      </c>
      <c r="B4324" t="s">
        <v>6962</v>
      </c>
      <c r="C4324" s="1">
        <v>45996</v>
      </c>
    </row>
    <row r="4325" spans="1:3" x14ac:dyDescent="0.25">
      <c r="A4325" t="s">
        <v>89</v>
      </c>
      <c r="B4325" t="s">
        <v>6962</v>
      </c>
      <c r="C4325" s="1">
        <v>45996</v>
      </c>
    </row>
    <row r="4326" spans="1:3" x14ac:dyDescent="0.25">
      <c r="A4326" t="s">
        <v>88</v>
      </c>
      <c r="B4326" t="s">
        <v>6962</v>
      </c>
      <c r="C4326" s="1">
        <v>46001</v>
      </c>
    </row>
    <row r="4327" spans="1:3" x14ac:dyDescent="0.25">
      <c r="A4327" t="s">
        <v>87</v>
      </c>
      <c r="B4327" t="s">
        <v>6964</v>
      </c>
      <c r="C4327" s="1">
        <v>45999</v>
      </c>
    </row>
    <row r="4328" spans="1:3" x14ac:dyDescent="0.25">
      <c r="A4328" t="s">
        <v>93</v>
      </c>
      <c r="B4328" t="s">
        <v>6962</v>
      </c>
      <c r="C4328" s="1">
        <v>46001</v>
      </c>
    </row>
    <row r="4329" spans="1:3" x14ac:dyDescent="0.25">
      <c r="A4329" t="s">
        <v>104</v>
      </c>
      <c r="B4329" t="s">
        <v>6962</v>
      </c>
      <c r="C4329" s="1">
        <v>45997</v>
      </c>
    </row>
    <row r="4330" spans="1:3" x14ac:dyDescent="0.25">
      <c r="A4330" t="s">
        <v>112</v>
      </c>
      <c r="B4330" t="s">
        <v>6962</v>
      </c>
      <c r="C4330" s="1">
        <v>45999</v>
      </c>
    </row>
    <row r="4331" spans="1:3" x14ac:dyDescent="0.25">
      <c r="A4331" t="s">
        <v>98</v>
      </c>
      <c r="B4331" t="s">
        <v>6962</v>
      </c>
      <c r="C4331" s="1">
        <v>46003</v>
      </c>
    </row>
    <row r="4332" spans="1:3" x14ac:dyDescent="0.25">
      <c r="A4332" t="s">
        <v>97</v>
      </c>
      <c r="B4332" t="s">
        <v>6962</v>
      </c>
      <c r="C4332" s="1">
        <v>46003</v>
      </c>
    </row>
    <row r="4333" spans="1:3" x14ac:dyDescent="0.25">
      <c r="A4333" t="s">
        <v>110</v>
      </c>
      <c r="B4333" t="s">
        <v>6962</v>
      </c>
      <c r="C4333" s="1">
        <v>45997</v>
      </c>
    </row>
    <row r="4334" spans="1:3" x14ac:dyDescent="0.25">
      <c r="A4334" t="s">
        <v>108</v>
      </c>
      <c r="B4334" t="s">
        <v>6962</v>
      </c>
      <c r="C4334" s="1">
        <v>46001</v>
      </c>
    </row>
    <row r="4335" spans="1:3" x14ac:dyDescent="0.25">
      <c r="A4335" t="s">
        <v>108</v>
      </c>
      <c r="B4335" t="s">
        <v>6962</v>
      </c>
      <c r="C4335" s="1">
        <v>46001</v>
      </c>
    </row>
    <row r="4336" spans="1:3" x14ac:dyDescent="0.25">
      <c r="A4336" t="s">
        <v>113</v>
      </c>
      <c r="B4336" t="s">
        <v>6962</v>
      </c>
      <c r="C4336" s="1">
        <v>46002</v>
      </c>
    </row>
    <row r="4337" spans="1:3" x14ac:dyDescent="0.25">
      <c r="A4337" t="s">
        <v>113</v>
      </c>
      <c r="B4337" t="s">
        <v>6962</v>
      </c>
      <c r="C4337" s="1">
        <v>46002</v>
      </c>
    </row>
    <row r="4338" spans="1:3" x14ac:dyDescent="0.25">
      <c r="A4338" t="s">
        <v>120</v>
      </c>
      <c r="B4338" t="s">
        <v>6962</v>
      </c>
      <c r="C4338" s="1">
        <v>46003</v>
      </c>
    </row>
    <row r="4339" spans="1:3" x14ac:dyDescent="0.25">
      <c r="A4339" t="s">
        <v>119</v>
      </c>
      <c r="B4339" t="s">
        <v>6962</v>
      </c>
      <c r="C4339" s="1">
        <v>46000</v>
      </c>
    </row>
    <row r="4340" spans="1:3" x14ac:dyDescent="0.25">
      <c r="A4340" t="s">
        <v>119</v>
      </c>
      <c r="B4340" t="s">
        <v>6962</v>
      </c>
      <c r="C4340" s="1">
        <v>46003</v>
      </c>
    </row>
    <row r="4341" spans="1:3" x14ac:dyDescent="0.25">
      <c r="A4341" t="s">
        <v>117</v>
      </c>
      <c r="B4341" t="s">
        <v>6962</v>
      </c>
      <c r="C4341" s="1">
        <v>46001</v>
      </c>
    </row>
    <row r="4342" spans="1:3" x14ac:dyDescent="0.25">
      <c r="A4342" t="s">
        <v>115</v>
      </c>
      <c r="B4342" t="s">
        <v>6962</v>
      </c>
      <c r="C4342" s="1">
        <v>46000</v>
      </c>
    </row>
    <row r="4343" spans="1:3" x14ac:dyDescent="0.25">
      <c r="A4343" t="s">
        <v>116</v>
      </c>
      <c r="B4343" t="s">
        <v>6962</v>
      </c>
      <c r="C4343" s="1">
        <v>46000</v>
      </c>
    </row>
    <row r="4344" spans="1:3" x14ac:dyDescent="0.25">
      <c r="A4344" t="s">
        <v>114</v>
      </c>
      <c r="B4344" t="s">
        <v>6962</v>
      </c>
      <c r="C4344" s="1">
        <v>46001</v>
      </c>
    </row>
    <row r="4345" spans="1:3" x14ac:dyDescent="0.25">
      <c r="A4345" t="s">
        <v>135</v>
      </c>
      <c r="B4345" t="s">
        <v>6962</v>
      </c>
      <c r="C4345" s="1">
        <v>46003</v>
      </c>
    </row>
    <row r="4346" spans="1:3" x14ac:dyDescent="0.25">
      <c r="A4346" t="s">
        <v>134</v>
      </c>
      <c r="B4346" t="s">
        <v>6962</v>
      </c>
      <c r="C4346" s="1">
        <v>46002</v>
      </c>
    </row>
    <row r="4347" spans="1:3" x14ac:dyDescent="0.25">
      <c r="A4347" t="s">
        <v>133</v>
      </c>
      <c r="B4347" t="s">
        <v>6962</v>
      </c>
      <c r="C4347" s="1">
        <v>46003</v>
      </c>
    </row>
    <row r="4348" spans="1:3" x14ac:dyDescent="0.25">
      <c r="A4348" t="s">
        <v>131</v>
      </c>
      <c r="B4348" t="s">
        <v>6962</v>
      </c>
      <c r="C4348" s="1">
        <v>46009</v>
      </c>
    </row>
    <row r="4349" spans="1:3" x14ac:dyDescent="0.25">
      <c r="A4349" t="s">
        <v>130</v>
      </c>
      <c r="B4349" t="s">
        <v>6962</v>
      </c>
      <c r="C4349" s="1">
        <v>46004</v>
      </c>
    </row>
    <row r="4350" spans="1:3" x14ac:dyDescent="0.25">
      <c r="A4350" t="s">
        <v>129</v>
      </c>
      <c r="B4350" t="s">
        <v>6962</v>
      </c>
      <c r="C4350" s="1">
        <v>46003</v>
      </c>
    </row>
    <row r="4351" spans="1:3" x14ac:dyDescent="0.25">
      <c r="A4351" t="s">
        <v>127</v>
      </c>
      <c r="B4351" t="s">
        <v>6962</v>
      </c>
      <c r="C4351" s="1">
        <v>46004</v>
      </c>
    </row>
    <row r="4352" spans="1:3" x14ac:dyDescent="0.25">
      <c r="A4352" t="s">
        <v>125</v>
      </c>
      <c r="B4352" t="s">
        <v>6962</v>
      </c>
      <c r="C4352" s="1">
        <v>46002</v>
      </c>
    </row>
    <row r="4353" spans="1:3" x14ac:dyDescent="0.25">
      <c r="A4353" t="s">
        <v>124</v>
      </c>
      <c r="B4353" t="s">
        <v>6962</v>
      </c>
      <c r="C4353" s="1">
        <v>46001</v>
      </c>
    </row>
    <row r="4354" spans="1:3" x14ac:dyDescent="0.25">
      <c r="A4354" t="s">
        <v>122</v>
      </c>
      <c r="B4354" t="s">
        <v>6962</v>
      </c>
      <c r="C4354" s="1">
        <v>46002</v>
      </c>
    </row>
    <row r="4355" spans="1:3" x14ac:dyDescent="0.25">
      <c r="A4355" t="s">
        <v>139</v>
      </c>
      <c r="B4355" t="s">
        <v>6962</v>
      </c>
      <c r="C4355" s="1">
        <v>46004</v>
      </c>
    </row>
    <row r="4356" spans="1:3" x14ac:dyDescent="0.25">
      <c r="A4356" t="s">
        <v>152</v>
      </c>
      <c r="B4356" t="s">
        <v>6962</v>
      </c>
      <c r="C4356" s="1">
        <v>46004</v>
      </c>
    </row>
    <row r="4357" spans="1:3" x14ac:dyDescent="0.25">
      <c r="A4357" t="s">
        <v>149</v>
      </c>
      <c r="B4357" t="s">
        <v>6962</v>
      </c>
      <c r="C4357" s="1">
        <v>46002</v>
      </c>
    </row>
    <row r="4358" spans="1:3" x14ac:dyDescent="0.25">
      <c r="A4358" t="s">
        <v>145</v>
      </c>
      <c r="B4358" t="s">
        <v>6964</v>
      </c>
      <c r="C4358" s="1">
        <v>46003</v>
      </c>
    </row>
    <row r="4359" spans="1:3" x14ac:dyDescent="0.25">
      <c r="A4359" t="s">
        <v>145</v>
      </c>
      <c r="B4359" t="s">
        <v>6962</v>
      </c>
      <c r="C4359" s="1">
        <v>46004</v>
      </c>
    </row>
    <row r="4360" spans="1:3" x14ac:dyDescent="0.25">
      <c r="A4360" t="s">
        <v>141</v>
      </c>
      <c r="B4360" t="s">
        <v>6962</v>
      </c>
      <c r="C4360" s="1">
        <v>46002</v>
      </c>
    </row>
    <row r="4361" spans="1:3" x14ac:dyDescent="0.25">
      <c r="A4361" t="s">
        <v>140</v>
      </c>
      <c r="B4361" t="s">
        <v>6962</v>
      </c>
      <c r="C4361" s="1">
        <v>46004</v>
      </c>
    </row>
    <row r="4362" spans="1:3" x14ac:dyDescent="0.25">
      <c r="A4362" t="s">
        <v>158</v>
      </c>
      <c r="B4362" t="s">
        <v>6962</v>
      </c>
      <c r="C4362" s="1">
        <v>46003</v>
      </c>
    </row>
    <row r="4363" spans="1:3" x14ac:dyDescent="0.25">
      <c r="A4363" t="s">
        <v>156</v>
      </c>
      <c r="B4363" t="s">
        <v>6962</v>
      </c>
      <c r="C4363" s="1">
        <v>46003</v>
      </c>
    </row>
    <row r="4364" spans="1:3" x14ac:dyDescent="0.25">
      <c r="A4364" t="s">
        <v>155</v>
      </c>
      <c r="B4364" t="s">
        <v>6962</v>
      </c>
      <c r="C4364" s="1">
        <v>46003</v>
      </c>
    </row>
    <row r="4365" spans="1:3" x14ac:dyDescent="0.25">
      <c r="A4365" t="s">
        <v>153</v>
      </c>
      <c r="B4365" t="s">
        <v>6962</v>
      </c>
      <c r="C4365" s="1">
        <v>46007</v>
      </c>
    </row>
    <row r="4366" spans="1:3" x14ac:dyDescent="0.25">
      <c r="A4366" t="s">
        <v>162</v>
      </c>
      <c r="B4366" t="s">
        <v>6962</v>
      </c>
      <c r="C4366" s="1">
        <v>46001</v>
      </c>
    </row>
    <row r="4367" spans="1:3" x14ac:dyDescent="0.25">
      <c r="A4367" t="s">
        <v>161</v>
      </c>
      <c r="B4367" t="s">
        <v>6962</v>
      </c>
      <c r="C4367" s="1">
        <v>46004</v>
      </c>
    </row>
    <row r="4368" spans="1:3" x14ac:dyDescent="0.25">
      <c r="A4368" t="s">
        <v>159</v>
      </c>
      <c r="B4368" t="s">
        <v>39</v>
      </c>
      <c r="C4368" s="1"/>
    </row>
    <row r="4369" spans="1:3" x14ac:dyDescent="0.25">
      <c r="A4369" t="s">
        <v>174</v>
      </c>
      <c r="B4369" t="s">
        <v>6962</v>
      </c>
      <c r="C4369" s="1">
        <v>46007</v>
      </c>
    </row>
    <row r="4370" spans="1:3" x14ac:dyDescent="0.25">
      <c r="A4370" t="s">
        <v>171</v>
      </c>
      <c r="B4370" t="s">
        <v>6962</v>
      </c>
      <c r="C4370" s="1">
        <v>46006</v>
      </c>
    </row>
    <row r="4371" spans="1:3" x14ac:dyDescent="0.25">
      <c r="A4371" t="s">
        <v>170</v>
      </c>
      <c r="B4371" t="s">
        <v>6962</v>
      </c>
      <c r="C4371" s="1">
        <v>46007</v>
      </c>
    </row>
    <row r="4372" spans="1:3" x14ac:dyDescent="0.25">
      <c r="A4372" t="s">
        <v>169</v>
      </c>
      <c r="B4372" t="s">
        <v>39</v>
      </c>
      <c r="C4372" s="1"/>
    </row>
    <row r="4373" spans="1:3" x14ac:dyDescent="0.25">
      <c r="A4373" t="s">
        <v>168</v>
      </c>
      <c r="B4373" t="s">
        <v>6962</v>
      </c>
      <c r="C4373" s="1">
        <v>46006</v>
      </c>
    </row>
    <row r="4374" spans="1:3" x14ac:dyDescent="0.25">
      <c r="A4374" t="s">
        <v>167</v>
      </c>
      <c r="B4374" t="s">
        <v>6962</v>
      </c>
      <c r="C4374" s="1">
        <v>46006</v>
      </c>
    </row>
    <row r="4375" spans="1:3" x14ac:dyDescent="0.25">
      <c r="A4375" t="s">
        <v>166</v>
      </c>
      <c r="B4375" t="s">
        <v>39</v>
      </c>
      <c r="C4375" s="1"/>
    </row>
    <row r="4376" spans="1:3" x14ac:dyDescent="0.25">
      <c r="A4376" t="s">
        <v>165</v>
      </c>
      <c r="B4376" t="s">
        <v>6962</v>
      </c>
      <c r="C4376" s="1">
        <v>46009</v>
      </c>
    </row>
    <row r="4377" spans="1:3" x14ac:dyDescent="0.25">
      <c r="A4377" t="s">
        <v>163</v>
      </c>
      <c r="B4377" t="s">
        <v>6962</v>
      </c>
      <c r="C4377" s="1">
        <v>46009</v>
      </c>
    </row>
    <row r="4378" spans="1:3" x14ac:dyDescent="0.25">
      <c r="A4378" t="s">
        <v>163</v>
      </c>
      <c r="B4378" t="s">
        <v>6962</v>
      </c>
      <c r="C4378" s="1">
        <v>46009</v>
      </c>
    </row>
    <row r="4379" spans="1:3" x14ac:dyDescent="0.25">
      <c r="A4379" t="s">
        <v>179</v>
      </c>
      <c r="B4379" t="s">
        <v>6962</v>
      </c>
      <c r="C4379" s="1">
        <v>46007</v>
      </c>
    </row>
    <row r="4380" spans="1:3" x14ac:dyDescent="0.25">
      <c r="A4380" t="s">
        <v>178</v>
      </c>
      <c r="B4380" t="s">
        <v>6962</v>
      </c>
      <c r="C4380" s="1">
        <v>46007</v>
      </c>
    </row>
    <row r="4381" spans="1:3" x14ac:dyDescent="0.25">
      <c r="A4381" t="s">
        <v>177</v>
      </c>
      <c r="B4381" t="s">
        <v>6962</v>
      </c>
      <c r="C4381" s="1">
        <v>46004</v>
      </c>
    </row>
    <row r="4382" spans="1:3" x14ac:dyDescent="0.25">
      <c r="A4382" t="s">
        <v>176</v>
      </c>
      <c r="B4382" t="s">
        <v>39</v>
      </c>
      <c r="C4382" s="1"/>
    </row>
    <row r="4383" spans="1:3" x14ac:dyDescent="0.25">
      <c r="A4383" t="s">
        <v>181</v>
      </c>
      <c r="B4383" t="s">
        <v>39</v>
      </c>
      <c r="C4383" s="1"/>
    </row>
    <row r="4384" spans="1:3" x14ac:dyDescent="0.25">
      <c r="A4384" t="s">
        <v>180</v>
      </c>
      <c r="B4384" t="s">
        <v>39</v>
      </c>
      <c r="C4384" s="1"/>
    </row>
    <row r="4385" spans="1:3" x14ac:dyDescent="0.25">
      <c r="A4385" t="s">
        <v>187</v>
      </c>
      <c r="B4385" t="s">
        <v>6962</v>
      </c>
      <c r="C4385" s="1">
        <v>46006</v>
      </c>
    </row>
    <row r="4386" spans="1:3" x14ac:dyDescent="0.25">
      <c r="A4386" t="s">
        <v>186</v>
      </c>
      <c r="B4386" t="s">
        <v>39</v>
      </c>
      <c r="C4386" s="1"/>
    </row>
    <row r="4387" spans="1:3" x14ac:dyDescent="0.25">
      <c r="A4387" t="s">
        <v>184</v>
      </c>
      <c r="B4387" t="s">
        <v>6962</v>
      </c>
      <c r="C4387" s="1">
        <v>46004</v>
      </c>
    </row>
    <row r="4388" spans="1:3" x14ac:dyDescent="0.25">
      <c r="A4388" t="s">
        <v>192</v>
      </c>
      <c r="B4388" t="s">
        <v>6962</v>
      </c>
      <c r="C4388" s="1">
        <v>46008</v>
      </c>
    </row>
    <row r="4389" spans="1:3" x14ac:dyDescent="0.25">
      <c r="A4389" t="s">
        <v>192</v>
      </c>
      <c r="B4389" t="s">
        <v>6962</v>
      </c>
      <c r="C4389" s="1">
        <v>46008</v>
      </c>
    </row>
    <row r="4390" spans="1:3" x14ac:dyDescent="0.25">
      <c r="A4390" t="s">
        <v>189</v>
      </c>
      <c r="B4390" t="s">
        <v>6962</v>
      </c>
      <c r="C4390" s="1">
        <v>46007</v>
      </c>
    </row>
    <row r="4391" spans="1:3" x14ac:dyDescent="0.25">
      <c r="A4391" t="s">
        <v>189</v>
      </c>
      <c r="B4391" t="s">
        <v>6962</v>
      </c>
      <c r="C4391" s="1">
        <v>46007</v>
      </c>
    </row>
    <row r="4392" spans="1:3" x14ac:dyDescent="0.25">
      <c r="A4392" t="s">
        <v>206</v>
      </c>
      <c r="B4392" t="s">
        <v>6962</v>
      </c>
      <c r="C4392" s="1">
        <v>46010</v>
      </c>
    </row>
    <row r="4393" spans="1:3" x14ac:dyDescent="0.25">
      <c r="A4393" t="s">
        <v>205</v>
      </c>
      <c r="B4393" t="s">
        <v>6962</v>
      </c>
      <c r="C4393" s="1">
        <v>46009</v>
      </c>
    </row>
    <row r="4394" spans="1:3" x14ac:dyDescent="0.25">
      <c r="A4394" t="s">
        <v>204</v>
      </c>
      <c r="B4394" t="s">
        <v>6962</v>
      </c>
      <c r="C4394" s="1">
        <v>46008</v>
      </c>
    </row>
    <row r="4395" spans="1:3" x14ac:dyDescent="0.25">
      <c r="A4395" t="s">
        <v>203</v>
      </c>
      <c r="B4395" t="s">
        <v>39</v>
      </c>
      <c r="C4395" s="1"/>
    </row>
    <row r="4396" spans="1:3" x14ac:dyDescent="0.25">
      <c r="A4396" t="s">
        <v>202</v>
      </c>
      <c r="B4396" t="s">
        <v>6962</v>
      </c>
      <c r="C4396" s="1">
        <v>46010</v>
      </c>
    </row>
    <row r="4397" spans="1:3" x14ac:dyDescent="0.25">
      <c r="A4397" t="s">
        <v>201</v>
      </c>
      <c r="B4397" t="s">
        <v>6962</v>
      </c>
      <c r="C4397" s="1">
        <v>46007</v>
      </c>
    </row>
    <row r="4398" spans="1:3" x14ac:dyDescent="0.25">
      <c r="A4398" t="s">
        <v>200</v>
      </c>
      <c r="B4398" t="s">
        <v>39</v>
      </c>
      <c r="C4398" s="1"/>
    </row>
    <row r="4399" spans="1:3" x14ac:dyDescent="0.25">
      <c r="A4399" t="s">
        <v>196</v>
      </c>
      <c r="B4399" t="s">
        <v>39</v>
      </c>
      <c r="C4399" s="1"/>
    </row>
    <row r="4400" spans="1:3" x14ac:dyDescent="0.25">
      <c r="A4400" t="s">
        <v>195</v>
      </c>
      <c r="B4400" t="s">
        <v>39</v>
      </c>
      <c r="C4400" s="1"/>
    </row>
    <row r="4401" spans="1:3" x14ac:dyDescent="0.25">
      <c r="A4401" t="s">
        <v>208</v>
      </c>
      <c r="B4401" t="s">
        <v>6962</v>
      </c>
      <c r="C4401" s="1">
        <v>46008</v>
      </c>
    </row>
    <row r="4402" spans="1:3" x14ac:dyDescent="0.25">
      <c r="A4402" t="s">
        <v>218</v>
      </c>
      <c r="B4402" t="s">
        <v>39</v>
      </c>
      <c r="C4402" s="1"/>
    </row>
    <row r="4403" spans="1:3" x14ac:dyDescent="0.25">
      <c r="A4403" t="s">
        <v>226</v>
      </c>
      <c r="B4403" t="s">
        <v>6962</v>
      </c>
      <c r="C4403" s="1">
        <v>46009</v>
      </c>
    </row>
    <row r="4404" spans="1:3" x14ac:dyDescent="0.25">
      <c r="A4404" t="s">
        <v>227</v>
      </c>
      <c r="B4404" t="s">
        <v>6962</v>
      </c>
      <c r="C4404" s="1">
        <v>46013</v>
      </c>
    </row>
    <row r="4405" spans="1:3" x14ac:dyDescent="0.25">
      <c r="A4405" t="s">
        <v>227</v>
      </c>
      <c r="B4405" t="s">
        <v>6962</v>
      </c>
      <c r="C4405" s="1">
        <v>46013</v>
      </c>
    </row>
    <row r="4406" spans="1:3" x14ac:dyDescent="0.25">
      <c r="A4406" t="s">
        <v>225</v>
      </c>
      <c r="B4406" t="s">
        <v>6962</v>
      </c>
      <c r="C4406" s="1">
        <v>46010</v>
      </c>
    </row>
    <row r="4407" spans="1:3" x14ac:dyDescent="0.25">
      <c r="A4407" t="s">
        <v>223</v>
      </c>
      <c r="B4407" t="s">
        <v>39</v>
      </c>
      <c r="C4407" s="1"/>
    </row>
    <row r="4408" spans="1:3" x14ac:dyDescent="0.25">
      <c r="A4408" t="s">
        <v>228</v>
      </c>
      <c r="B4408" t="s">
        <v>6962</v>
      </c>
      <c r="C4408" s="1">
        <v>46015</v>
      </c>
    </row>
    <row r="4409" spans="1:3" x14ac:dyDescent="0.25">
      <c r="A4409" t="s">
        <v>228</v>
      </c>
      <c r="B4409" t="s">
        <v>6962</v>
      </c>
      <c r="C4409" s="1">
        <v>46010</v>
      </c>
    </row>
    <row r="4410" spans="1:3" x14ac:dyDescent="0.25">
      <c r="A4410" t="s">
        <v>228</v>
      </c>
      <c r="B4410" t="s">
        <v>6962</v>
      </c>
      <c r="C4410" s="1">
        <v>46009</v>
      </c>
    </row>
    <row r="4411" spans="1:3" x14ac:dyDescent="0.25">
      <c r="A4411" t="s">
        <v>228</v>
      </c>
      <c r="B4411" t="s">
        <v>6962</v>
      </c>
      <c r="C4411" s="1">
        <v>46010</v>
      </c>
    </row>
    <row r="4412" spans="1:3" x14ac:dyDescent="0.25">
      <c r="A4412" t="s">
        <v>238</v>
      </c>
      <c r="B4412" t="s">
        <v>39</v>
      </c>
      <c r="C4412" s="1"/>
    </row>
    <row r="4413" spans="1:3" x14ac:dyDescent="0.25">
      <c r="A4413" t="s">
        <v>231</v>
      </c>
      <c r="B4413" t="s">
        <v>6962</v>
      </c>
      <c r="C4413" s="1">
        <v>46013</v>
      </c>
    </row>
    <row r="4414" spans="1:3" x14ac:dyDescent="0.25">
      <c r="A4414" t="s">
        <v>242</v>
      </c>
      <c r="B4414" t="s">
        <v>6962</v>
      </c>
      <c r="C4414" s="1">
        <v>46013</v>
      </c>
    </row>
    <row r="4415" spans="1:3" x14ac:dyDescent="0.25">
      <c r="A4415" t="s">
        <v>241</v>
      </c>
      <c r="B4415" t="s">
        <v>6962</v>
      </c>
      <c r="C4415" s="1">
        <v>46010</v>
      </c>
    </row>
    <row r="4416" spans="1:3" x14ac:dyDescent="0.25">
      <c r="A4416" t="s">
        <v>240</v>
      </c>
      <c r="B4416" t="s">
        <v>6962</v>
      </c>
      <c r="C4416" s="1">
        <v>46010</v>
      </c>
    </row>
    <row r="4417" spans="1:3" x14ac:dyDescent="0.25">
      <c r="A4417" t="s">
        <v>244</v>
      </c>
      <c r="B4417" t="s">
        <v>6962</v>
      </c>
      <c r="C4417" s="1">
        <v>46014</v>
      </c>
    </row>
    <row r="4418" spans="1:3" x14ac:dyDescent="0.25">
      <c r="A4418" t="s">
        <v>247</v>
      </c>
      <c r="B4418" t="s">
        <v>6962</v>
      </c>
      <c r="C4418" s="1">
        <v>46014</v>
      </c>
    </row>
    <row r="4419" spans="1:3" x14ac:dyDescent="0.25">
      <c r="A4419" t="s">
        <v>247</v>
      </c>
      <c r="B4419" t="s">
        <v>6962</v>
      </c>
      <c r="C4419" s="1">
        <v>46014</v>
      </c>
    </row>
    <row r="4420" spans="1:3" x14ac:dyDescent="0.25">
      <c r="A4420" t="s">
        <v>246</v>
      </c>
      <c r="B4420" t="s">
        <v>6962</v>
      </c>
      <c r="C4420" s="1">
        <v>46015</v>
      </c>
    </row>
    <row r="4421" spans="1:3" x14ac:dyDescent="0.25">
      <c r="A4421" t="s">
        <v>246</v>
      </c>
      <c r="B4421" t="s">
        <v>6962</v>
      </c>
      <c r="C4421" s="1">
        <v>46015</v>
      </c>
    </row>
    <row r="4422" spans="1:3" x14ac:dyDescent="0.25">
      <c r="A4422" t="s">
        <v>255</v>
      </c>
      <c r="B4422" t="s">
        <v>6962</v>
      </c>
      <c r="C4422" s="1">
        <v>46011</v>
      </c>
    </row>
    <row r="4423" spans="1:3" x14ac:dyDescent="0.25">
      <c r="A4423" t="s">
        <v>255</v>
      </c>
      <c r="B4423" t="s">
        <v>6962</v>
      </c>
      <c r="C4423" s="1">
        <v>46021</v>
      </c>
    </row>
    <row r="4424" spans="1:3" x14ac:dyDescent="0.25">
      <c r="A4424" t="s">
        <v>251</v>
      </c>
      <c r="B4424" t="s">
        <v>6962</v>
      </c>
      <c r="C4424" s="1">
        <v>46011</v>
      </c>
    </row>
    <row r="4425" spans="1:3" x14ac:dyDescent="0.25">
      <c r="A4425" t="s">
        <v>267</v>
      </c>
      <c r="B4425" t="s">
        <v>6962</v>
      </c>
      <c r="C4425" s="1">
        <v>46021</v>
      </c>
    </row>
    <row r="4426" spans="1:3" x14ac:dyDescent="0.25">
      <c r="A4426" t="s">
        <v>267</v>
      </c>
      <c r="B4426" t="s">
        <v>39</v>
      </c>
      <c r="C4426" s="1"/>
    </row>
    <row r="4427" spans="1:3" x14ac:dyDescent="0.25">
      <c r="A4427" t="s">
        <v>267</v>
      </c>
      <c r="B4427" t="s">
        <v>6962</v>
      </c>
      <c r="C4427" s="1">
        <v>46020</v>
      </c>
    </row>
    <row r="4428" spans="1:3" x14ac:dyDescent="0.25">
      <c r="A4428" t="s">
        <v>267</v>
      </c>
      <c r="B4428" t="s">
        <v>6962</v>
      </c>
      <c r="C4428" s="1">
        <v>46021</v>
      </c>
    </row>
    <row r="4429" spans="1:3" x14ac:dyDescent="0.25">
      <c r="A4429" t="s">
        <v>267</v>
      </c>
      <c r="B4429" t="s">
        <v>6962</v>
      </c>
      <c r="C4429" s="1">
        <v>46021</v>
      </c>
    </row>
    <row r="4430" spans="1:3" x14ac:dyDescent="0.25">
      <c r="A4430" t="s">
        <v>266</v>
      </c>
      <c r="B4430" t="s">
        <v>6964</v>
      </c>
      <c r="C4430" s="1">
        <v>46017</v>
      </c>
    </row>
    <row r="4431" spans="1:3" x14ac:dyDescent="0.25">
      <c r="A4431" t="s">
        <v>262</v>
      </c>
      <c r="B4431" t="s">
        <v>39</v>
      </c>
      <c r="C4431" s="1"/>
    </row>
    <row r="4432" spans="1:3" x14ac:dyDescent="0.25">
      <c r="A4432" t="s">
        <v>261</v>
      </c>
      <c r="B4432" t="s">
        <v>6962</v>
      </c>
      <c r="C4432" s="1">
        <v>46013</v>
      </c>
    </row>
    <row r="4433" spans="1:3" x14ac:dyDescent="0.25">
      <c r="A4433" t="s">
        <v>260</v>
      </c>
      <c r="B4433" t="s">
        <v>6962</v>
      </c>
      <c r="C4433" s="1">
        <v>46014</v>
      </c>
    </row>
    <row r="4434" spans="1:3" x14ac:dyDescent="0.25">
      <c r="A4434" t="s">
        <v>258</v>
      </c>
      <c r="B4434" t="s">
        <v>6962</v>
      </c>
      <c r="C4434" s="1">
        <v>46014</v>
      </c>
    </row>
    <row r="4435" spans="1:3" x14ac:dyDescent="0.25">
      <c r="A4435" t="s">
        <v>269</v>
      </c>
      <c r="B4435" t="s">
        <v>39</v>
      </c>
      <c r="C4435" s="1"/>
    </row>
    <row r="4436" spans="1:3" x14ac:dyDescent="0.25">
      <c r="A4436" t="s">
        <v>270</v>
      </c>
      <c r="B4436" t="s">
        <v>6962</v>
      </c>
      <c r="C4436" s="1">
        <v>46014</v>
      </c>
    </row>
    <row r="4437" spans="1:3" x14ac:dyDescent="0.25">
      <c r="A4437" t="s">
        <v>271</v>
      </c>
      <c r="B4437" t="s">
        <v>39</v>
      </c>
      <c r="C4437" s="1"/>
    </row>
    <row r="4438" spans="1:3" x14ac:dyDescent="0.25">
      <c r="A4438" t="s">
        <v>272</v>
      </c>
      <c r="B4438" t="s">
        <v>6962</v>
      </c>
      <c r="C4438" s="1">
        <v>46017</v>
      </c>
    </row>
    <row r="4439" spans="1:3" x14ac:dyDescent="0.25">
      <c r="A4439" t="s">
        <v>268</v>
      </c>
      <c r="B4439" t="s">
        <v>6962</v>
      </c>
      <c r="C4439" s="1">
        <v>46017</v>
      </c>
    </row>
    <row r="4440" spans="1:3" x14ac:dyDescent="0.25">
      <c r="A4440" t="s">
        <v>268</v>
      </c>
      <c r="B4440" t="s">
        <v>6962</v>
      </c>
      <c r="C4440" s="1">
        <v>46017</v>
      </c>
    </row>
    <row r="4441" spans="1:3" x14ac:dyDescent="0.25">
      <c r="A4441" t="s">
        <v>281</v>
      </c>
      <c r="B4441" t="s">
        <v>6962</v>
      </c>
      <c r="C4441" s="1">
        <v>46018</v>
      </c>
    </row>
    <row r="4442" spans="1:3" x14ac:dyDescent="0.25">
      <c r="A4442" t="s">
        <v>281</v>
      </c>
      <c r="B4442" t="s">
        <v>6962</v>
      </c>
      <c r="C4442" s="1">
        <v>46018</v>
      </c>
    </row>
    <row r="4443" spans="1:3" x14ac:dyDescent="0.25">
      <c r="A4443" t="s">
        <v>280</v>
      </c>
      <c r="B4443" t="s">
        <v>39</v>
      </c>
      <c r="C4443" s="1"/>
    </row>
    <row r="4444" spans="1:3" x14ac:dyDescent="0.25">
      <c r="A4444" t="s">
        <v>285</v>
      </c>
      <c r="B4444" t="s">
        <v>6962</v>
      </c>
      <c r="C4444" s="1">
        <v>46015</v>
      </c>
    </row>
    <row r="4445" spans="1:3" x14ac:dyDescent="0.25">
      <c r="A4445" t="s">
        <v>263</v>
      </c>
      <c r="B4445" t="s">
        <v>6962</v>
      </c>
      <c r="C4445" s="1">
        <v>46017</v>
      </c>
    </row>
    <row r="4446" spans="1:3" x14ac:dyDescent="0.25">
      <c r="A4446" t="s">
        <v>293</v>
      </c>
      <c r="B4446" t="s">
        <v>6962</v>
      </c>
      <c r="C4446" s="1">
        <v>46018</v>
      </c>
    </row>
    <row r="4447" spans="1:3" x14ac:dyDescent="0.25">
      <c r="A4447" t="s">
        <v>290</v>
      </c>
      <c r="B4447" t="s">
        <v>6962</v>
      </c>
      <c r="C4447" s="1">
        <v>46017</v>
      </c>
    </row>
    <row r="4448" spans="1:3" x14ac:dyDescent="0.25">
      <c r="A4448" t="s">
        <v>288</v>
      </c>
      <c r="B4448" t="s">
        <v>6962</v>
      </c>
      <c r="C4448" s="1">
        <v>46020</v>
      </c>
    </row>
    <row r="4449" spans="1:3" x14ac:dyDescent="0.25">
      <c r="A4449" t="s">
        <v>295</v>
      </c>
      <c r="B4449" t="s">
        <v>39</v>
      </c>
      <c r="C4449" s="1"/>
    </row>
    <row r="4450" spans="1:3" x14ac:dyDescent="0.25">
      <c r="A4450" t="s">
        <v>300</v>
      </c>
      <c r="B4450" t="s">
        <v>6962</v>
      </c>
      <c r="C4450" s="1">
        <v>46021</v>
      </c>
    </row>
    <row r="4451" spans="1:3" x14ac:dyDescent="0.25">
      <c r="A4451" t="s">
        <v>298</v>
      </c>
      <c r="B4451" t="s">
        <v>39</v>
      </c>
      <c r="C4451" s="1"/>
    </row>
    <row r="4452" spans="1:3" x14ac:dyDescent="0.25">
      <c r="A4452" t="s">
        <v>297</v>
      </c>
      <c r="B4452" t="s">
        <v>6962</v>
      </c>
      <c r="C4452" s="1">
        <v>46024</v>
      </c>
    </row>
    <row r="4453" spans="1:3" x14ac:dyDescent="0.25">
      <c r="A4453" t="s">
        <v>307</v>
      </c>
      <c r="B4453" t="s">
        <v>6962</v>
      </c>
      <c r="C4453" s="1">
        <v>46020</v>
      </c>
    </row>
    <row r="4454" spans="1:3" x14ac:dyDescent="0.25">
      <c r="A4454" t="s">
        <v>306</v>
      </c>
      <c r="B4454" t="s">
        <v>6962</v>
      </c>
      <c r="C4454" s="1">
        <v>46022</v>
      </c>
    </row>
    <row r="4455" spans="1:3" x14ac:dyDescent="0.25">
      <c r="A4455" t="s">
        <v>299</v>
      </c>
      <c r="B4455" t="s">
        <v>39</v>
      </c>
      <c r="C4455" s="1"/>
    </row>
    <row r="4456" spans="1:3" x14ac:dyDescent="0.25">
      <c r="A4456" t="s">
        <v>304</v>
      </c>
      <c r="B4456" t="s">
        <v>6962</v>
      </c>
      <c r="C4456" s="1">
        <v>46021</v>
      </c>
    </row>
    <row r="4457" spans="1:3" x14ac:dyDescent="0.25">
      <c r="A4457" t="s">
        <v>303</v>
      </c>
      <c r="B4457" t="s">
        <v>6962</v>
      </c>
      <c r="C4457" s="1">
        <v>46024</v>
      </c>
    </row>
    <row r="4458" spans="1:3" x14ac:dyDescent="0.25">
      <c r="A4458" t="s">
        <v>301</v>
      </c>
      <c r="B4458" t="s">
        <v>6962</v>
      </c>
      <c r="C4458" s="1">
        <v>46035</v>
      </c>
    </row>
    <row r="4459" spans="1:3" x14ac:dyDescent="0.25">
      <c r="A4459" t="s">
        <v>317</v>
      </c>
      <c r="B4459" t="s">
        <v>6962</v>
      </c>
      <c r="C4459" s="1">
        <v>46027</v>
      </c>
    </row>
    <row r="4460" spans="1:3" x14ac:dyDescent="0.25">
      <c r="A4460" t="s">
        <v>317</v>
      </c>
      <c r="B4460" t="s">
        <v>6962</v>
      </c>
      <c r="C4460" s="1">
        <v>46027</v>
      </c>
    </row>
    <row r="4461" spans="1:3" x14ac:dyDescent="0.25">
      <c r="A4461" t="s">
        <v>316</v>
      </c>
      <c r="B4461" t="s">
        <v>6962</v>
      </c>
      <c r="C4461" s="1">
        <v>46029</v>
      </c>
    </row>
    <row r="4462" spans="1:3" x14ac:dyDescent="0.25">
      <c r="A4462" t="s">
        <v>315</v>
      </c>
      <c r="B4462" t="s">
        <v>6962</v>
      </c>
      <c r="C4462" s="1">
        <v>46027</v>
      </c>
    </row>
    <row r="4463" spans="1:3" x14ac:dyDescent="0.25">
      <c r="A4463" t="s">
        <v>313</v>
      </c>
      <c r="B4463" t="s">
        <v>6962</v>
      </c>
      <c r="C4463" s="1">
        <v>46029</v>
      </c>
    </row>
    <row r="4464" spans="1:3" x14ac:dyDescent="0.25">
      <c r="A4464" t="s">
        <v>319</v>
      </c>
      <c r="B4464" t="s">
        <v>6962</v>
      </c>
      <c r="C4464" s="1">
        <v>46022</v>
      </c>
    </row>
    <row r="4465" spans="1:3" x14ac:dyDescent="0.25">
      <c r="A4465" t="s">
        <v>323</v>
      </c>
      <c r="B4465" t="s">
        <v>6962</v>
      </c>
      <c r="C4465" s="1">
        <v>46022</v>
      </c>
    </row>
    <row r="4466" spans="1:3" x14ac:dyDescent="0.25">
      <c r="A4466" t="s">
        <v>327</v>
      </c>
      <c r="B4466" t="s">
        <v>39</v>
      </c>
      <c r="C4466" s="1"/>
    </row>
    <row r="4467" spans="1:3" x14ac:dyDescent="0.25">
      <c r="A4467" t="s">
        <v>326</v>
      </c>
      <c r="B4467" t="s">
        <v>6962</v>
      </c>
      <c r="C4467" s="1">
        <v>46024</v>
      </c>
    </row>
    <row r="4468" spans="1:3" x14ac:dyDescent="0.25">
      <c r="A4468" t="s">
        <v>328</v>
      </c>
      <c r="B4468" t="s">
        <v>39</v>
      </c>
      <c r="C4468" s="1"/>
    </row>
    <row r="4469" spans="1:3" x14ac:dyDescent="0.25">
      <c r="A4469" t="s">
        <v>334</v>
      </c>
      <c r="B4469" t="s">
        <v>6962</v>
      </c>
      <c r="C4469" s="1">
        <v>46031</v>
      </c>
    </row>
    <row r="4470" spans="1:3" x14ac:dyDescent="0.25">
      <c r="A4470" t="s">
        <v>335</v>
      </c>
      <c r="B4470" t="s">
        <v>6962</v>
      </c>
      <c r="C4470" s="1">
        <v>46029</v>
      </c>
    </row>
    <row r="4471" spans="1:3" x14ac:dyDescent="0.25">
      <c r="A4471" t="s">
        <v>338</v>
      </c>
      <c r="B4471" t="s">
        <v>6962</v>
      </c>
      <c r="C4471" s="1">
        <v>46024</v>
      </c>
    </row>
    <row r="4472" spans="1:3" x14ac:dyDescent="0.25">
      <c r="A4472" t="s">
        <v>349</v>
      </c>
      <c r="B4472" t="s">
        <v>6962</v>
      </c>
      <c r="C4472" s="1">
        <v>46030</v>
      </c>
    </row>
    <row r="4473" spans="1:3" x14ac:dyDescent="0.25">
      <c r="A4473" t="s">
        <v>345</v>
      </c>
      <c r="B4473" t="s">
        <v>6962</v>
      </c>
      <c r="C4473" s="1">
        <v>46029</v>
      </c>
    </row>
    <row r="4474" spans="1:3" x14ac:dyDescent="0.25">
      <c r="A4474" t="s">
        <v>344</v>
      </c>
      <c r="B4474" t="s">
        <v>39</v>
      </c>
      <c r="C4474" s="1"/>
    </row>
    <row r="4475" spans="1:3" x14ac:dyDescent="0.25">
      <c r="A4475" t="s">
        <v>343</v>
      </c>
      <c r="B4475" t="s">
        <v>6962</v>
      </c>
      <c r="C4475" s="1">
        <v>46050</v>
      </c>
    </row>
    <row r="4476" spans="1:3" x14ac:dyDescent="0.25">
      <c r="A4476" t="s">
        <v>342</v>
      </c>
      <c r="B4476" t="s">
        <v>6962</v>
      </c>
      <c r="C4476" s="1">
        <v>46025</v>
      </c>
    </row>
    <row r="4477" spans="1:3" x14ac:dyDescent="0.25">
      <c r="A4477" t="s">
        <v>341</v>
      </c>
      <c r="B4477" t="s">
        <v>6962</v>
      </c>
      <c r="C4477" s="1">
        <v>46029</v>
      </c>
    </row>
    <row r="4478" spans="1:3" x14ac:dyDescent="0.25">
      <c r="A4478" t="s">
        <v>353</v>
      </c>
      <c r="B4478" t="s">
        <v>39</v>
      </c>
      <c r="C4478" s="1"/>
    </row>
    <row r="4479" spans="1:3" x14ac:dyDescent="0.25">
      <c r="A4479" t="s">
        <v>352</v>
      </c>
      <c r="B4479" t="s">
        <v>6962</v>
      </c>
      <c r="C4479" s="1">
        <v>46027</v>
      </c>
    </row>
    <row r="4480" spans="1:3" x14ac:dyDescent="0.25">
      <c r="A4480" t="s">
        <v>351</v>
      </c>
      <c r="B4480" t="s">
        <v>6962</v>
      </c>
      <c r="C4480" s="1">
        <v>46031</v>
      </c>
    </row>
    <row r="4481" spans="1:3" x14ac:dyDescent="0.25">
      <c r="A4481" t="s">
        <v>364</v>
      </c>
      <c r="B4481" t="s">
        <v>6962</v>
      </c>
      <c r="C4481" s="1">
        <v>46029</v>
      </c>
    </row>
    <row r="4482" spans="1:3" x14ac:dyDescent="0.25">
      <c r="A4482" t="s">
        <v>363</v>
      </c>
      <c r="B4482" t="s">
        <v>6962</v>
      </c>
      <c r="C4482" s="1">
        <v>46029</v>
      </c>
    </row>
    <row r="4483" spans="1:3" x14ac:dyDescent="0.25">
      <c r="A4483" t="s">
        <v>362</v>
      </c>
      <c r="B4483" t="s">
        <v>6962</v>
      </c>
      <c r="C4483" s="1">
        <v>46029</v>
      </c>
    </row>
    <row r="4484" spans="1:3" x14ac:dyDescent="0.25">
      <c r="A4484" t="s">
        <v>360</v>
      </c>
      <c r="B4484" t="s">
        <v>6962</v>
      </c>
      <c r="C4484" s="1">
        <v>46030</v>
      </c>
    </row>
    <row r="4485" spans="1:3" x14ac:dyDescent="0.25">
      <c r="A4485" t="s">
        <v>360</v>
      </c>
      <c r="B4485" t="s">
        <v>6962</v>
      </c>
      <c r="C4485" s="1">
        <v>46029</v>
      </c>
    </row>
    <row r="4486" spans="1:3" x14ac:dyDescent="0.25">
      <c r="A4486" t="s">
        <v>360</v>
      </c>
      <c r="B4486" t="s">
        <v>6962</v>
      </c>
      <c r="C4486" s="1">
        <v>46030</v>
      </c>
    </row>
    <row r="4487" spans="1:3" x14ac:dyDescent="0.25">
      <c r="A4487" t="s">
        <v>359</v>
      </c>
      <c r="B4487" t="s">
        <v>6963</v>
      </c>
      <c r="C4487" s="1"/>
    </row>
    <row r="4488" spans="1:3" x14ac:dyDescent="0.25">
      <c r="A4488" t="s">
        <v>358</v>
      </c>
      <c r="B4488" t="s">
        <v>6962</v>
      </c>
      <c r="C4488" s="1">
        <v>46034</v>
      </c>
    </row>
    <row r="4489" spans="1:3" x14ac:dyDescent="0.25">
      <c r="A4489" t="s">
        <v>357</v>
      </c>
      <c r="B4489" t="s">
        <v>6962</v>
      </c>
      <c r="C4489" s="1">
        <v>46030</v>
      </c>
    </row>
    <row r="4490" spans="1:3" x14ac:dyDescent="0.25">
      <c r="A4490" t="s">
        <v>356</v>
      </c>
      <c r="B4490" t="s">
        <v>6962</v>
      </c>
      <c r="C4490" s="1">
        <v>46029</v>
      </c>
    </row>
    <row r="4491" spans="1:3" x14ac:dyDescent="0.25">
      <c r="A4491" t="s">
        <v>371</v>
      </c>
      <c r="B4491" t="s">
        <v>6962</v>
      </c>
      <c r="C4491" s="1">
        <v>46029</v>
      </c>
    </row>
    <row r="4492" spans="1:3" x14ac:dyDescent="0.25">
      <c r="A4492" t="s">
        <v>368</v>
      </c>
      <c r="B4492" t="s">
        <v>39</v>
      </c>
      <c r="C4492" s="1"/>
    </row>
    <row r="4493" spans="1:3" x14ac:dyDescent="0.25">
      <c r="A4493" t="s">
        <v>361</v>
      </c>
      <c r="B4493" t="s">
        <v>6962</v>
      </c>
      <c r="C4493" s="1">
        <v>46030</v>
      </c>
    </row>
    <row r="4494" spans="1:3" x14ac:dyDescent="0.25">
      <c r="A4494" t="s">
        <v>361</v>
      </c>
      <c r="B4494" t="s">
        <v>6962</v>
      </c>
      <c r="C4494" s="1">
        <v>46030</v>
      </c>
    </row>
    <row r="4495" spans="1:3" x14ac:dyDescent="0.25">
      <c r="A4495" t="s">
        <v>367</v>
      </c>
      <c r="B4495" t="s">
        <v>6962</v>
      </c>
      <c r="C4495" s="1">
        <v>46031</v>
      </c>
    </row>
    <row r="4496" spans="1:3" x14ac:dyDescent="0.25">
      <c r="A4496" t="s">
        <v>368</v>
      </c>
      <c r="B4496" t="s">
        <v>39</v>
      </c>
      <c r="C4496" s="1"/>
    </row>
    <row r="4497" spans="1:3" x14ac:dyDescent="0.25">
      <c r="A4497" t="s">
        <v>374</v>
      </c>
      <c r="B4497" t="s">
        <v>6962</v>
      </c>
      <c r="C4497" s="1">
        <v>46032</v>
      </c>
    </row>
    <row r="4498" spans="1:3" x14ac:dyDescent="0.25">
      <c r="A4498" t="s">
        <v>372</v>
      </c>
      <c r="B4498" t="s">
        <v>6962</v>
      </c>
      <c r="C4498" s="1">
        <v>46031</v>
      </c>
    </row>
    <row r="4499" spans="1:3" x14ac:dyDescent="0.25">
      <c r="A4499" t="s">
        <v>378</v>
      </c>
      <c r="B4499" t="s">
        <v>6962</v>
      </c>
      <c r="C4499" s="1">
        <v>46032</v>
      </c>
    </row>
    <row r="4500" spans="1:3" x14ac:dyDescent="0.25">
      <c r="A4500" t="s">
        <v>377</v>
      </c>
      <c r="B4500" t="s">
        <v>6962</v>
      </c>
      <c r="C4500" s="1">
        <v>46031</v>
      </c>
    </row>
    <row r="4501" spans="1:3" x14ac:dyDescent="0.25">
      <c r="A4501" t="s">
        <v>377</v>
      </c>
      <c r="B4501" t="s">
        <v>6962</v>
      </c>
      <c r="C4501" s="1">
        <v>46030</v>
      </c>
    </row>
    <row r="4502" spans="1:3" x14ac:dyDescent="0.25">
      <c r="A4502" t="s">
        <v>388</v>
      </c>
      <c r="B4502" t="s">
        <v>6962</v>
      </c>
      <c r="C4502" s="1">
        <v>46036</v>
      </c>
    </row>
    <row r="4503" spans="1:3" x14ac:dyDescent="0.25">
      <c r="A4503" t="s">
        <v>390</v>
      </c>
      <c r="B4503" t="s">
        <v>6962</v>
      </c>
      <c r="C4503" s="1">
        <v>46032</v>
      </c>
    </row>
    <row r="4504" spans="1:3" x14ac:dyDescent="0.25">
      <c r="A4504" t="s">
        <v>395</v>
      </c>
      <c r="B4504" t="s">
        <v>6962</v>
      </c>
      <c r="C4504" s="1">
        <v>46035</v>
      </c>
    </row>
    <row r="4505" spans="1:3" x14ac:dyDescent="0.25">
      <c r="A4505" t="s">
        <v>375</v>
      </c>
      <c r="B4505" t="s">
        <v>6963</v>
      </c>
      <c r="C4505" s="1"/>
    </row>
    <row r="4506" spans="1:3" x14ac:dyDescent="0.25">
      <c r="A4506" t="s">
        <v>413</v>
      </c>
      <c r="B4506" t="s">
        <v>6962</v>
      </c>
      <c r="C4506" s="1">
        <v>46034</v>
      </c>
    </row>
    <row r="4507" spans="1:3" x14ac:dyDescent="0.25">
      <c r="A4507" t="s">
        <v>412</v>
      </c>
      <c r="B4507" t="s">
        <v>6962</v>
      </c>
      <c r="C4507" s="1">
        <v>46035</v>
      </c>
    </row>
    <row r="4508" spans="1:3" x14ac:dyDescent="0.25">
      <c r="A4508" t="s">
        <v>411</v>
      </c>
      <c r="B4508" t="s">
        <v>6962</v>
      </c>
      <c r="C4508" s="1">
        <v>46031</v>
      </c>
    </row>
    <row r="4509" spans="1:3" x14ac:dyDescent="0.25">
      <c r="A4509" t="s">
        <v>408</v>
      </c>
      <c r="B4509" t="s">
        <v>39</v>
      </c>
      <c r="C4509" s="1"/>
    </row>
    <row r="4510" spans="1:3" x14ac:dyDescent="0.25">
      <c r="A4510" t="s">
        <v>407</v>
      </c>
      <c r="B4510" t="s">
        <v>6962</v>
      </c>
      <c r="C4510" s="1">
        <v>46031</v>
      </c>
    </row>
    <row r="4511" spans="1:3" x14ac:dyDescent="0.25">
      <c r="A4511" t="s">
        <v>406</v>
      </c>
      <c r="B4511" t="s">
        <v>6962</v>
      </c>
      <c r="C4511" s="1">
        <v>46036</v>
      </c>
    </row>
    <row r="4512" spans="1:3" x14ac:dyDescent="0.25">
      <c r="A4512" t="s">
        <v>403</v>
      </c>
      <c r="B4512" t="s">
        <v>6962</v>
      </c>
      <c r="C4512" s="1">
        <v>46034</v>
      </c>
    </row>
    <row r="4513" spans="1:3" x14ac:dyDescent="0.25">
      <c r="A4513" t="s">
        <v>401</v>
      </c>
      <c r="B4513" t="s">
        <v>6962</v>
      </c>
      <c r="C4513" s="1">
        <v>46032</v>
      </c>
    </row>
    <row r="4514" spans="1:3" x14ac:dyDescent="0.25">
      <c r="A4514" t="s">
        <v>400</v>
      </c>
      <c r="B4514" t="s">
        <v>6962</v>
      </c>
      <c r="C4514" s="1">
        <v>46035</v>
      </c>
    </row>
    <row r="4515" spans="1:3" x14ac:dyDescent="0.25">
      <c r="A4515" t="s">
        <v>399</v>
      </c>
      <c r="B4515" t="s">
        <v>6962</v>
      </c>
      <c r="C4515" s="1">
        <v>46034</v>
      </c>
    </row>
    <row r="4516" spans="1:3" x14ac:dyDescent="0.25">
      <c r="A4516" t="s">
        <v>420</v>
      </c>
      <c r="B4516" t="s">
        <v>6962</v>
      </c>
      <c r="C4516" s="1">
        <v>46032</v>
      </c>
    </row>
    <row r="4517" spans="1:3" x14ac:dyDescent="0.25">
      <c r="A4517" t="s">
        <v>419</v>
      </c>
      <c r="B4517" t="s">
        <v>6962</v>
      </c>
      <c r="C4517" s="1">
        <v>46035</v>
      </c>
    </row>
    <row r="4518" spans="1:3" x14ac:dyDescent="0.25">
      <c r="A4518" t="s">
        <v>417</v>
      </c>
      <c r="B4518" t="s">
        <v>6962</v>
      </c>
      <c r="C4518" s="1">
        <v>46034</v>
      </c>
    </row>
    <row r="4519" spans="1:3" x14ac:dyDescent="0.25">
      <c r="A4519" t="s">
        <v>416</v>
      </c>
      <c r="B4519" t="s">
        <v>6962</v>
      </c>
      <c r="C4519" s="1">
        <v>46034</v>
      </c>
    </row>
    <row r="4520" spans="1:3" x14ac:dyDescent="0.25">
      <c r="A4520" t="s">
        <v>426</v>
      </c>
      <c r="B4520" t="s">
        <v>6962</v>
      </c>
      <c r="C4520" s="1">
        <v>46034</v>
      </c>
    </row>
    <row r="4521" spans="1:3" x14ac:dyDescent="0.25">
      <c r="A4521" t="s">
        <v>425</v>
      </c>
      <c r="B4521" t="s">
        <v>6962</v>
      </c>
      <c r="C4521" s="1">
        <v>46035</v>
      </c>
    </row>
    <row r="4522" spans="1:3" x14ac:dyDescent="0.25">
      <c r="A4522" t="s">
        <v>424</v>
      </c>
      <c r="B4522" t="s">
        <v>6962</v>
      </c>
      <c r="C4522" s="1">
        <v>46034</v>
      </c>
    </row>
    <row r="4523" spans="1:3" x14ac:dyDescent="0.25">
      <c r="A4523" t="s">
        <v>414</v>
      </c>
      <c r="B4523" t="s">
        <v>6963</v>
      </c>
      <c r="C4523" s="1"/>
    </row>
    <row r="4524" spans="1:3" x14ac:dyDescent="0.25">
      <c r="A4524" t="s">
        <v>430</v>
      </c>
      <c r="B4524" t="s">
        <v>6962</v>
      </c>
      <c r="C4524" s="1">
        <v>46038</v>
      </c>
    </row>
    <row r="4525" spans="1:3" x14ac:dyDescent="0.25">
      <c r="A4525" t="s">
        <v>436</v>
      </c>
      <c r="B4525" t="s">
        <v>6962</v>
      </c>
      <c r="C4525" s="1">
        <v>46037</v>
      </c>
    </row>
    <row r="4526" spans="1:3" x14ac:dyDescent="0.25">
      <c r="A4526" t="s">
        <v>435</v>
      </c>
      <c r="B4526" t="s">
        <v>6962</v>
      </c>
      <c r="C4526" s="1">
        <v>46035</v>
      </c>
    </row>
    <row r="4527" spans="1:3" x14ac:dyDescent="0.25">
      <c r="A4527" t="s">
        <v>433</v>
      </c>
      <c r="B4527" t="s">
        <v>6962</v>
      </c>
      <c r="C4527" s="1">
        <v>46034</v>
      </c>
    </row>
    <row r="4528" spans="1:3" x14ac:dyDescent="0.25">
      <c r="A4528" t="s">
        <v>449</v>
      </c>
      <c r="B4528" t="s">
        <v>6962</v>
      </c>
      <c r="C4528" s="1">
        <v>46036</v>
      </c>
    </row>
    <row r="4529" spans="1:3" x14ac:dyDescent="0.25">
      <c r="A4529" t="s">
        <v>448</v>
      </c>
      <c r="B4529" t="s">
        <v>6962</v>
      </c>
      <c r="C4529" s="1">
        <v>46036</v>
      </c>
    </row>
    <row r="4530" spans="1:3" x14ac:dyDescent="0.25">
      <c r="A4530" t="s">
        <v>447</v>
      </c>
      <c r="B4530" t="s">
        <v>6962</v>
      </c>
      <c r="C4530" s="1">
        <v>46036</v>
      </c>
    </row>
    <row r="4531" spans="1:3" x14ac:dyDescent="0.25">
      <c r="A4531" t="s">
        <v>445</v>
      </c>
      <c r="B4531" t="s">
        <v>6962</v>
      </c>
      <c r="C4531" s="1">
        <v>46035</v>
      </c>
    </row>
    <row r="4532" spans="1:3" x14ac:dyDescent="0.25">
      <c r="A4532" t="s">
        <v>444</v>
      </c>
      <c r="B4532" t="s">
        <v>6963</v>
      </c>
      <c r="C4532" s="1"/>
    </row>
    <row r="4533" spans="1:3" x14ac:dyDescent="0.25">
      <c r="A4533" t="s">
        <v>439</v>
      </c>
      <c r="B4533" t="s">
        <v>6962</v>
      </c>
      <c r="C4533" s="1">
        <v>46036</v>
      </c>
    </row>
    <row r="4534" spans="1:3" x14ac:dyDescent="0.25">
      <c r="A4534" t="s">
        <v>437</v>
      </c>
      <c r="B4534" t="s">
        <v>6964</v>
      </c>
      <c r="C4534" s="1">
        <v>46039</v>
      </c>
    </row>
    <row r="4535" spans="1:3" x14ac:dyDescent="0.25">
      <c r="A4535" t="s">
        <v>451</v>
      </c>
      <c r="B4535" t="s">
        <v>6962</v>
      </c>
      <c r="C4535" s="1">
        <v>46042</v>
      </c>
    </row>
    <row r="4536" spans="1:3" x14ac:dyDescent="0.25">
      <c r="A4536" t="s">
        <v>458</v>
      </c>
      <c r="B4536" t="s">
        <v>6962</v>
      </c>
      <c r="C4536" s="1">
        <v>46037</v>
      </c>
    </row>
    <row r="4537" spans="1:3" x14ac:dyDescent="0.25">
      <c r="A4537" t="s">
        <v>457</v>
      </c>
      <c r="B4537" t="s">
        <v>6962</v>
      </c>
      <c r="C4537" s="1">
        <v>46038</v>
      </c>
    </row>
    <row r="4538" spans="1:3" x14ac:dyDescent="0.25">
      <c r="A4538" t="s">
        <v>456</v>
      </c>
      <c r="B4538" t="s">
        <v>39</v>
      </c>
      <c r="C4538" s="1"/>
    </row>
    <row r="4539" spans="1:3" x14ac:dyDescent="0.25">
      <c r="A4539" t="s">
        <v>463</v>
      </c>
      <c r="B4539" t="s">
        <v>6962</v>
      </c>
      <c r="C4539" s="1">
        <v>46043</v>
      </c>
    </row>
    <row r="4540" spans="1:3" x14ac:dyDescent="0.25">
      <c r="A4540" t="s">
        <v>461</v>
      </c>
      <c r="B4540" t="s">
        <v>39</v>
      </c>
      <c r="C4540" s="1"/>
    </row>
    <row r="4541" spans="1:3" x14ac:dyDescent="0.25">
      <c r="A4541" t="s">
        <v>460</v>
      </c>
      <c r="B4541" t="s">
        <v>39</v>
      </c>
      <c r="C4541" s="1"/>
    </row>
    <row r="4542" spans="1:3" x14ac:dyDescent="0.25">
      <c r="A4542" t="s">
        <v>466</v>
      </c>
      <c r="B4542" t="s">
        <v>6962</v>
      </c>
      <c r="C4542" s="1">
        <v>46042</v>
      </c>
    </row>
    <row r="4543" spans="1:3" x14ac:dyDescent="0.25">
      <c r="A4543" t="s">
        <v>469</v>
      </c>
      <c r="B4543" t="s">
        <v>6962</v>
      </c>
      <c r="C4543" s="1">
        <v>46043</v>
      </c>
    </row>
    <row r="4544" spans="1:3" x14ac:dyDescent="0.25">
      <c r="A4544" t="s">
        <v>485</v>
      </c>
      <c r="B4544" t="s">
        <v>6962</v>
      </c>
      <c r="C4544" s="1">
        <v>46046</v>
      </c>
    </row>
    <row r="4545" spans="1:3" x14ac:dyDescent="0.25">
      <c r="A4545" t="s">
        <v>485</v>
      </c>
      <c r="B4545" t="s">
        <v>6962</v>
      </c>
      <c r="C4545" s="1">
        <v>46046</v>
      </c>
    </row>
    <row r="4546" spans="1:3" x14ac:dyDescent="0.25">
      <c r="A4546" t="s">
        <v>485</v>
      </c>
      <c r="B4546" t="s">
        <v>6962</v>
      </c>
      <c r="C4546" s="1">
        <v>46046</v>
      </c>
    </row>
    <row r="4547" spans="1:3" x14ac:dyDescent="0.25">
      <c r="A4547" t="s">
        <v>483</v>
      </c>
      <c r="B4547" t="s">
        <v>6962</v>
      </c>
      <c r="C4547" s="1">
        <v>46042</v>
      </c>
    </row>
    <row r="4548" spans="1:3" x14ac:dyDescent="0.25">
      <c r="A4548" t="s">
        <v>480</v>
      </c>
      <c r="B4548" t="s">
        <v>6962</v>
      </c>
      <c r="C4548" s="1">
        <v>46043</v>
      </c>
    </row>
    <row r="4549" spans="1:3" x14ac:dyDescent="0.25">
      <c r="A4549" t="s">
        <v>480</v>
      </c>
      <c r="B4549" t="s">
        <v>6962</v>
      </c>
      <c r="C4549" s="1">
        <v>46043</v>
      </c>
    </row>
    <row r="4550" spans="1:3" x14ac:dyDescent="0.25">
      <c r="A4550" t="s">
        <v>478</v>
      </c>
      <c r="B4550" t="s">
        <v>6962</v>
      </c>
      <c r="C4550" s="1">
        <v>46042</v>
      </c>
    </row>
    <row r="4551" spans="1:3" x14ac:dyDescent="0.25">
      <c r="A4551" t="s">
        <v>477</v>
      </c>
      <c r="B4551" t="s">
        <v>6962</v>
      </c>
      <c r="C4551" s="1">
        <v>46049</v>
      </c>
    </row>
    <row r="4552" spans="1:3" x14ac:dyDescent="0.25">
      <c r="A4552" t="s">
        <v>476</v>
      </c>
      <c r="B4552" t="s">
        <v>39</v>
      </c>
      <c r="C4552" s="1"/>
    </row>
    <row r="4553" spans="1:3" x14ac:dyDescent="0.25">
      <c r="A4553" t="s">
        <v>474</v>
      </c>
      <c r="B4553" t="s">
        <v>6962</v>
      </c>
      <c r="C4553" s="1">
        <v>46042</v>
      </c>
    </row>
    <row r="4554" spans="1:3" x14ac:dyDescent="0.25">
      <c r="A4554" t="s">
        <v>472</v>
      </c>
      <c r="B4554" t="s">
        <v>6962</v>
      </c>
      <c r="C4554" s="1">
        <v>46043</v>
      </c>
    </row>
    <row r="4555" spans="1:3" x14ac:dyDescent="0.25">
      <c r="A4555" t="s">
        <v>472</v>
      </c>
      <c r="B4555" t="s">
        <v>6962</v>
      </c>
      <c r="C4555" s="1">
        <v>46043</v>
      </c>
    </row>
    <row r="4556" spans="1:3" x14ac:dyDescent="0.25">
      <c r="A4556" t="s">
        <v>471</v>
      </c>
      <c r="B4556" t="s">
        <v>39</v>
      </c>
      <c r="C4556" s="1"/>
    </row>
    <row r="4557" spans="1:3" x14ac:dyDescent="0.25">
      <c r="A4557" t="s">
        <v>470</v>
      </c>
      <c r="B4557" t="s">
        <v>6962</v>
      </c>
      <c r="C4557" s="1">
        <v>46043</v>
      </c>
    </row>
    <row r="4558" spans="1:3" x14ac:dyDescent="0.25">
      <c r="A4558" t="s">
        <v>486</v>
      </c>
      <c r="B4558" t="s">
        <v>6962</v>
      </c>
      <c r="C4558" s="1">
        <v>46042</v>
      </c>
    </row>
    <row r="4559" spans="1:3" x14ac:dyDescent="0.25">
      <c r="A4559" t="s">
        <v>487</v>
      </c>
      <c r="B4559" t="s">
        <v>6962</v>
      </c>
      <c r="C4559" s="1">
        <v>46042</v>
      </c>
    </row>
    <row r="4560" spans="1:3" x14ac:dyDescent="0.25">
      <c r="A4560" t="s">
        <v>488</v>
      </c>
      <c r="B4560" t="s">
        <v>6962</v>
      </c>
      <c r="C4560" s="1">
        <v>46042</v>
      </c>
    </row>
    <row r="4561" spans="1:3" x14ac:dyDescent="0.25">
      <c r="A4561" t="s">
        <v>507</v>
      </c>
      <c r="B4561" t="s">
        <v>6962</v>
      </c>
      <c r="C4561" s="1">
        <v>46042</v>
      </c>
    </row>
    <row r="4562" spans="1:3" x14ac:dyDescent="0.25">
      <c r="A4562" t="s">
        <v>505</v>
      </c>
      <c r="B4562" t="s">
        <v>6962</v>
      </c>
      <c r="C4562" s="1">
        <v>46042</v>
      </c>
    </row>
    <row r="4563" spans="1:3" x14ac:dyDescent="0.25">
      <c r="A4563" t="s">
        <v>504</v>
      </c>
      <c r="B4563" t="s">
        <v>6962</v>
      </c>
      <c r="C4563" s="1">
        <v>46043</v>
      </c>
    </row>
    <row r="4564" spans="1:3" x14ac:dyDescent="0.25">
      <c r="A4564" t="s">
        <v>503</v>
      </c>
      <c r="B4564" t="s">
        <v>6962</v>
      </c>
      <c r="C4564" s="1">
        <v>46044</v>
      </c>
    </row>
    <row r="4565" spans="1:3" x14ac:dyDescent="0.25">
      <c r="A4565" t="s">
        <v>502</v>
      </c>
      <c r="B4565" t="s">
        <v>39</v>
      </c>
      <c r="C4565" s="1"/>
    </row>
    <row r="4566" spans="1:3" x14ac:dyDescent="0.25">
      <c r="A4566" t="s">
        <v>501</v>
      </c>
      <c r="B4566" t="s">
        <v>6962</v>
      </c>
      <c r="C4566" s="1">
        <v>46044</v>
      </c>
    </row>
    <row r="4567" spans="1:3" x14ac:dyDescent="0.25">
      <c r="A4567" t="s">
        <v>500</v>
      </c>
      <c r="B4567" t="s">
        <v>6962</v>
      </c>
      <c r="C4567" s="1">
        <v>46044</v>
      </c>
    </row>
    <row r="4568" spans="1:3" x14ac:dyDescent="0.25">
      <c r="A4568" t="s">
        <v>492</v>
      </c>
      <c r="B4568" t="s">
        <v>6962</v>
      </c>
      <c r="C4568" s="1">
        <v>46052</v>
      </c>
    </row>
    <row r="4569" spans="1:3" x14ac:dyDescent="0.25">
      <c r="A4569" t="s">
        <v>493</v>
      </c>
      <c r="B4569" t="s">
        <v>39</v>
      </c>
      <c r="C4569" s="1"/>
    </row>
    <row r="4570" spans="1:3" x14ac:dyDescent="0.25">
      <c r="A4570" t="s">
        <v>494</v>
      </c>
      <c r="B4570" t="s">
        <v>39</v>
      </c>
      <c r="C4570" s="1"/>
    </row>
    <row r="4571" spans="1:3" x14ac:dyDescent="0.25">
      <c r="A4571" t="s">
        <v>495</v>
      </c>
      <c r="B4571" t="s">
        <v>6962</v>
      </c>
      <c r="C4571" s="1">
        <v>46046</v>
      </c>
    </row>
    <row r="4572" spans="1:3" x14ac:dyDescent="0.25">
      <c r="A4572" t="s">
        <v>496</v>
      </c>
      <c r="B4572" t="s">
        <v>6962</v>
      </c>
      <c r="C4572" s="1">
        <v>46044</v>
      </c>
    </row>
    <row r="4573" spans="1:3" x14ac:dyDescent="0.25">
      <c r="A4573" t="s">
        <v>497</v>
      </c>
      <c r="B4573" t="s">
        <v>6962</v>
      </c>
      <c r="C4573" s="1">
        <v>46044</v>
      </c>
    </row>
    <row r="4574" spans="1:3" x14ac:dyDescent="0.25">
      <c r="A4574" t="s">
        <v>498</v>
      </c>
      <c r="B4574" t="s">
        <v>6962</v>
      </c>
      <c r="C4574" s="1">
        <v>46050</v>
      </c>
    </row>
    <row r="4575" spans="1:3" x14ac:dyDescent="0.25">
      <c r="A4575" t="s">
        <v>499</v>
      </c>
      <c r="B4575" t="s">
        <v>6962</v>
      </c>
      <c r="C4575" s="1">
        <v>46050</v>
      </c>
    </row>
    <row r="4576" spans="1:3" x14ac:dyDescent="0.25">
      <c r="A4576" t="s">
        <v>490</v>
      </c>
      <c r="B4576" t="s">
        <v>6962</v>
      </c>
      <c r="C4576" s="1">
        <v>46043</v>
      </c>
    </row>
    <row r="4577" spans="1:3" x14ac:dyDescent="0.25">
      <c r="A4577" t="s">
        <v>514</v>
      </c>
      <c r="B4577" t="s">
        <v>39</v>
      </c>
      <c r="C4577" s="1"/>
    </row>
    <row r="4578" spans="1:3" x14ac:dyDescent="0.25">
      <c r="A4578" t="s">
        <v>512</v>
      </c>
      <c r="B4578" t="s">
        <v>6962</v>
      </c>
      <c r="C4578" s="1">
        <v>46044</v>
      </c>
    </row>
    <row r="4579" spans="1:3" x14ac:dyDescent="0.25">
      <c r="A4579" t="s">
        <v>511</v>
      </c>
      <c r="B4579" t="s">
        <v>39</v>
      </c>
      <c r="C4579" s="1"/>
    </row>
    <row r="4580" spans="1:3" x14ac:dyDescent="0.25">
      <c r="A4580" t="s">
        <v>523</v>
      </c>
      <c r="B4580" t="s">
        <v>39</v>
      </c>
      <c r="C4580" s="1"/>
    </row>
    <row r="4581" spans="1:3" x14ac:dyDescent="0.25">
      <c r="A4581" t="s">
        <v>522</v>
      </c>
      <c r="B4581" t="s">
        <v>6962</v>
      </c>
      <c r="C4581" s="1">
        <v>46046</v>
      </c>
    </row>
    <row r="4582" spans="1:3" x14ac:dyDescent="0.25">
      <c r="A4582" t="s">
        <v>520</v>
      </c>
      <c r="B4582" t="s">
        <v>6962</v>
      </c>
      <c r="C4582" s="1">
        <v>46052</v>
      </c>
    </row>
    <row r="4583" spans="1:3" x14ac:dyDescent="0.25">
      <c r="A4583" t="s">
        <v>519</v>
      </c>
      <c r="B4583" t="s">
        <v>6962</v>
      </c>
      <c r="C4583" s="1">
        <v>46043</v>
      </c>
    </row>
    <row r="4584" spans="1:3" x14ac:dyDescent="0.25">
      <c r="A4584" t="s">
        <v>518</v>
      </c>
      <c r="B4584" t="s">
        <v>6964</v>
      </c>
      <c r="C4584" s="1">
        <v>46044</v>
      </c>
    </row>
    <row r="4585" spans="1:3" x14ac:dyDescent="0.25">
      <c r="A4585" t="s">
        <v>516</v>
      </c>
      <c r="B4585" t="s">
        <v>6962</v>
      </c>
      <c r="C4585" s="1">
        <v>46049</v>
      </c>
    </row>
    <row r="4586" spans="1:3" x14ac:dyDescent="0.25">
      <c r="A4586" t="s">
        <v>515</v>
      </c>
      <c r="B4586" t="s">
        <v>39</v>
      </c>
      <c r="C4586" s="1"/>
    </row>
    <row r="4587" spans="1:3" x14ac:dyDescent="0.25">
      <c r="A4587" t="s">
        <v>526</v>
      </c>
      <c r="B4587" t="s">
        <v>39</v>
      </c>
      <c r="C4587" s="1"/>
    </row>
    <row r="4588" spans="1:3" x14ac:dyDescent="0.25">
      <c r="A4588" t="s">
        <v>530</v>
      </c>
      <c r="B4588" t="s">
        <v>6962</v>
      </c>
      <c r="C4588" s="1">
        <v>46049</v>
      </c>
    </row>
    <row r="4589" spans="1:3" x14ac:dyDescent="0.25">
      <c r="A4589" t="s">
        <v>542</v>
      </c>
      <c r="B4589" t="s">
        <v>6962</v>
      </c>
      <c r="C4589" s="1">
        <v>46044</v>
      </c>
    </row>
    <row r="4590" spans="1:3" x14ac:dyDescent="0.25">
      <c r="A4590" t="s">
        <v>541</v>
      </c>
      <c r="B4590" t="s">
        <v>6962</v>
      </c>
      <c r="C4590" s="1">
        <v>46044</v>
      </c>
    </row>
    <row r="4591" spans="1:3" x14ac:dyDescent="0.25">
      <c r="A4591" t="s">
        <v>538</v>
      </c>
      <c r="B4591" t="s">
        <v>6962</v>
      </c>
      <c r="C4591" s="1">
        <v>46049</v>
      </c>
    </row>
    <row r="4592" spans="1:3" x14ac:dyDescent="0.25">
      <c r="A4592" t="s">
        <v>535</v>
      </c>
      <c r="B4592" t="s">
        <v>39</v>
      </c>
      <c r="C4592" s="1"/>
    </row>
    <row r="4593" spans="1:3" x14ac:dyDescent="0.25">
      <c r="A4593" t="s">
        <v>534</v>
      </c>
      <c r="B4593" t="s">
        <v>6962</v>
      </c>
      <c r="C4593" s="1">
        <v>46044</v>
      </c>
    </row>
    <row r="4594" spans="1:3" x14ac:dyDescent="0.25">
      <c r="A4594" t="s">
        <v>533</v>
      </c>
      <c r="B4594" t="s">
        <v>6962</v>
      </c>
      <c r="C4594" s="1">
        <v>46046</v>
      </c>
    </row>
    <row r="4595" spans="1:3" x14ac:dyDescent="0.25">
      <c r="A4595" t="s">
        <v>532</v>
      </c>
      <c r="B4595" t="s">
        <v>6962</v>
      </c>
      <c r="C4595" s="1">
        <v>46046</v>
      </c>
    </row>
    <row r="4596" spans="1:3" x14ac:dyDescent="0.25">
      <c r="A4596" t="s">
        <v>554</v>
      </c>
      <c r="B4596" t="s">
        <v>6962</v>
      </c>
      <c r="C4596" s="1">
        <v>46049</v>
      </c>
    </row>
    <row r="4597" spans="1:3" x14ac:dyDescent="0.25">
      <c r="A4597" t="s">
        <v>553</v>
      </c>
      <c r="B4597" t="s">
        <v>6962</v>
      </c>
      <c r="C4597" s="1">
        <v>46049</v>
      </c>
    </row>
    <row r="4598" spans="1:3" x14ac:dyDescent="0.25">
      <c r="A4598" t="s">
        <v>552</v>
      </c>
      <c r="B4598" t="s">
        <v>6962</v>
      </c>
      <c r="C4598" s="1">
        <v>46056</v>
      </c>
    </row>
    <row r="4599" spans="1:3" x14ac:dyDescent="0.25">
      <c r="A4599" t="s">
        <v>551</v>
      </c>
      <c r="B4599" t="s">
        <v>6963</v>
      </c>
      <c r="C4599" s="1"/>
    </row>
    <row r="4600" spans="1:3" x14ac:dyDescent="0.25">
      <c r="A4600" t="s">
        <v>549</v>
      </c>
      <c r="B4600" t="s">
        <v>39</v>
      </c>
      <c r="C4600" s="1"/>
    </row>
    <row r="4601" spans="1:3" x14ac:dyDescent="0.25">
      <c r="A4601" t="s">
        <v>547</v>
      </c>
      <c r="B4601" t="s">
        <v>6962</v>
      </c>
      <c r="C4601" s="1">
        <v>46056</v>
      </c>
    </row>
    <row r="4602" spans="1:3" x14ac:dyDescent="0.25">
      <c r="A4602" t="s">
        <v>546</v>
      </c>
      <c r="B4602" t="s">
        <v>6962</v>
      </c>
      <c r="C4602" s="1">
        <v>46063</v>
      </c>
    </row>
    <row r="4603" spans="1:3" x14ac:dyDescent="0.25">
      <c r="A4603" t="s">
        <v>543</v>
      </c>
      <c r="B4603" t="s">
        <v>6962</v>
      </c>
      <c r="C4603" s="1">
        <v>46046</v>
      </c>
    </row>
    <row r="4604" spans="1:3" x14ac:dyDescent="0.25">
      <c r="A4604" t="s">
        <v>3469</v>
      </c>
      <c r="B4604" t="s">
        <v>6963</v>
      </c>
      <c r="C4604" s="1"/>
    </row>
    <row r="4605" spans="1:3" x14ac:dyDescent="0.25">
      <c r="A4605" t="s">
        <v>503</v>
      </c>
      <c r="B4605" t="s">
        <v>6963</v>
      </c>
      <c r="C4605" s="1"/>
    </row>
    <row r="4606" spans="1:3" x14ac:dyDescent="0.25">
      <c r="A4606" t="s">
        <v>555</v>
      </c>
      <c r="B4606" t="s">
        <v>6962</v>
      </c>
      <c r="C4606" s="1">
        <v>46049</v>
      </c>
    </row>
    <row r="4607" spans="1:3" x14ac:dyDescent="0.25">
      <c r="A4607" t="s">
        <v>556</v>
      </c>
      <c r="B4607" t="s">
        <v>6962</v>
      </c>
      <c r="C4607" s="1">
        <v>46049</v>
      </c>
    </row>
    <row r="4608" spans="1:3" x14ac:dyDescent="0.25">
      <c r="A4608" t="s">
        <v>592</v>
      </c>
      <c r="B4608" t="s">
        <v>6962</v>
      </c>
      <c r="C4608" s="1">
        <v>46050</v>
      </c>
    </row>
    <row r="4609" spans="1:3" x14ac:dyDescent="0.25">
      <c r="A4609" t="s">
        <v>592</v>
      </c>
      <c r="B4609" t="s">
        <v>6962</v>
      </c>
      <c r="C4609" s="1">
        <v>46050</v>
      </c>
    </row>
    <row r="4610" spans="1:3" x14ac:dyDescent="0.25">
      <c r="A4610" t="s">
        <v>592</v>
      </c>
      <c r="B4610" t="s">
        <v>6962</v>
      </c>
      <c r="C4610" s="1">
        <v>46050</v>
      </c>
    </row>
    <row r="4611" spans="1:3" x14ac:dyDescent="0.25">
      <c r="A4611" t="s">
        <v>592</v>
      </c>
      <c r="B4611" t="s">
        <v>6963</v>
      </c>
      <c r="C4611" s="1"/>
    </row>
    <row r="4612" spans="1:3" x14ac:dyDescent="0.25">
      <c r="A4612" t="s">
        <v>592</v>
      </c>
      <c r="B4612" t="s">
        <v>6962</v>
      </c>
      <c r="C4612" s="1">
        <v>46050</v>
      </c>
    </row>
    <row r="4613" spans="1:3" x14ac:dyDescent="0.25">
      <c r="A4613" t="s">
        <v>6953</v>
      </c>
      <c r="B4613" t="s">
        <v>6963</v>
      </c>
      <c r="C4613" s="1"/>
    </row>
    <row r="4614" spans="1:3" x14ac:dyDescent="0.25">
      <c r="A4614" t="s">
        <v>589</v>
      </c>
      <c r="B4614" t="s">
        <v>6962</v>
      </c>
      <c r="C4614" s="1">
        <v>46050</v>
      </c>
    </row>
    <row r="4615" spans="1:3" x14ac:dyDescent="0.25">
      <c r="A4615" t="s">
        <v>587</v>
      </c>
      <c r="B4615" t="s">
        <v>6962</v>
      </c>
      <c r="C4615" s="1">
        <v>46069</v>
      </c>
    </row>
    <row r="4616" spans="1:3" x14ac:dyDescent="0.25">
      <c r="A4616" t="s">
        <v>593</v>
      </c>
      <c r="B4616" t="s">
        <v>6962</v>
      </c>
      <c r="C4616" s="1">
        <v>46057</v>
      </c>
    </row>
    <row r="4617" spans="1:3" x14ac:dyDescent="0.25">
      <c r="A4617" t="s">
        <v>585</v>
      </c>
      <c r="B4617" t="s">
        <v>6962</v>
      </c>
      <c r="C4617" s="1">
        <v>46049</v>
      </c>
    </row>
    <row r="4618" spans="1:3" x14ac:dyDescent="0.25">
      <c r="A4618" t="s">
        <v>583</v>
      </c>
      <c r="B4618" t="s">
        <v>6963</v>
      </c>
      <c r="C4618" s="1"/>
    </row>
    <row r="4619" spans="1:3" x14ac:dyDescent="0.25">
      <c r="A4619" t="s">
        <v>582</v>
      </c>
      <c r="B4619" t="s">
        <v>6962</v>
      </c>
      <c r="C4619" s="1">
        <v>46053</v>
      </c>
    </row>
    <row r="4620" spans="1:3" x14ac:dyDescent="0.25">
      <c r="A4620" t="s">
        <v>580</v>
      </c>
      <c r="B4620" t="s">
        <v>6962</v>
      </c>
      <c r="C4620" s="1">
        <v>46051</v>
      </c>
    </row>
    <row r="4621" spans="1:3" x14ac:dyDescent="0.25">
      <c r="A4621" t="s">
        <v>579</v>
      </c>
      <c r="B4621" t="s">
        <v>39</v>
      </c>
      <c r="C4621" s="1"/>
    </row>
    <row r="4622" spans="1:3" x14ac:dyDescent="0.25">
      <c r="A4622" t="s">
        <v>576</v>
      </c>
      <c r="B4622" t="s">
        <v>6962</v>
      </c>
      <c r="C4622" s="1">
        <v>46053</v>
      </c>
    </row>
    <row r="4623" spans="1:3" x14ac:dyDescent="0.25">
      <c r="A4623" t="s">
        <v>575</v>
      </c>
      <c r="B4623" t="s">
        <v>6962</v>
      </c>
      <c r="C4623" s="1">
        <v>46051</v>
      </c>
    </row>
    <row r="4624" spans="1:3" x14ac:dyDescent="0.25">
      <c r="A4624" t="s">
        <v>574</v>
      </c>
      <c r="B4624" t="s">
        <v>6962</v>
      </c>
      <c r="C4624" s="1">
        <v>46052</v>
      </c>
    </row>
    <row r="4625" spans="1:3" x14ac:dyDescent="0.25">
      <c r="A4625" t="s">
        <v>573</v>
      </c>
      <c r="B4625" t="s">
        <v>6962</v>
      </c>
      <c r="C4625" s="1">
        <v>46052</v>
      </c>
    </row>
    <row r="4626" spans="1:3" x14ac:dyDescent="0.25">
      <c r="A4626" t="s">
        <v>572</v>
      </c>
      <c r="B4626" t="s">
        <v>6962</v>
      </c>
      <c r="C4626" s="1">
        <v>46050</v>
      </c>
    </row>
    <row r="4627" spans="1:3" x14ac:dyDescent="0.25">
      <c r="A4627" t="s">
        <v>571</v>
      </c>
      <c r="B4627" t="s">
        <v>6962</v>
      </c>
      <c r="C4627" s="1">
        <v>46053</v>
      </c>
    </row>
    <row r="4628" spans="1:3" x14ac:dyDescent="0.25">
      <c r="A4628" t="s">
        <v>3419</v>
      </c>
      <c r="B4628" t="s">
        <v>6963</v>
      </c>
      <c r="C4628" s="1"/>
    </row>
    <row r="4629" spans="1:3" x14ac:dyDescent="0.25">
      <c r="A4629" t="s">
        <v>3419</v>
      </c>
      <c r="B4629" t="s">
        <v>6963</v>
      </c>
      <c r="C4629" s="1"/>
    </row>
    <row r="4630" spans="1:3" x14ac:dyDescent="0.25">
      <c r="A4630" t="s">
        <v>3417</v>
      </c>
      <c r="B4630" t="s">
        <v>6963</v>
      </c>
      <c r="C4630" s="1"/>
    </row>
    <row r="4631" spans="1:3" x14ac:dyDescent="0.25">
      <c r="A4631" t="s">
        <v>569</v>
      </c>
      <c r="B4631" t="s">
        <v>6962</v>
      </c>
      <c r="C4631" s="1">
        <v>46055</v>
      </c>
    </row>
    <row r="4632" spans="1:3" x14ac:dyDescent="0.25">
      <c r="A4632" t="s">
        <v>566</v>
      </c>
      <c r="B4632" t="s">
        <v>6962</v>
      </c>
      <c r="C4632" s="1">
        <v>46050</v>
      </c>
    </row>
    <row r="4633" spans="1:3" x14ac:dyDescent="0.25">
      <c r="A4633" t="s">
        <v>564</v>
      </c>
      <c r="B4633" t="s">
        <v>6962</v>
      </c>
      <c r="C4633" s="1">
        <v>46050</v>
      </c>
    </row>
    <row r="4634" spans="1:3" x14ac:dyDescent="0.25">
      <c r="A4634" t="s">
        <v>564</v>
      </c>
      <c r="B4634" t="s">
        <v>6962</v>
      </c>
      <c r="C4634" s="1">
        <v>46050</v>
      </c>
    </row>
    <row r="4635" spans="1:3" x14ac:dyDescent="0.25">
      <c r="A4635" t="s">
        <v>564</v>
      </c>
      <c r="B4635" t="s">
        <v>6962</v>
      </c>
      <c r="C4635" s="1">
        <v>46051</v>
      </c>
    </row>
    <row r="4636" spans="1:3" x14ac:dyDescent="0.25">
      <c r="A4636" t="s">
        <v>564</v>
      </c>
      <c r="B4636" t="s">
        <v>6962</v>
      </c>
      <c r="C4636" s="1">
        <v>46051</v>
      </c>
    </row>
    <row r="4637" spans="1:3" x14ac:dyDescent="0.25">
      <c r="A4637" t="s">
        <v>563</v>
      </c>
      <c r="B4637" t="s">
        <v>6962</v>
      </c>
      <c r="C4637" s="1">
        <v>46067</v>
      </c>
    </row>
    <row r="4638" spans="1:3" x14ac:dyDescent="0.25">
      <c r="A4638" t="s">
        <v>561</v>
      </c>
      <c r="B4638" t="s">
        <v>6962</v>
      </c>
      <c r="C4638" s="1">
        <v>46062</v>
      </c>
    </row>
    <row r="4639" spans="1:3" x14ac:dyDescent="0.25">
      <c r="A4639" t="s">
        <v>558</v>
      </c>
      <c r="B4639" t="s">
        <v>6962</v>
      </c>
      <c r="C4639" s="1">
        <v>46050</v>
      </c>
    </row>
    <row r="4640" spans="1:3" x14ac:dyDescent="0.25">
      <c r="A4640" t="s">
        <v>557</v>
      </c>
      <c r="B4640" t="s">
        <v>6962</v>
      </c>
      <c r="C4640" s="1">
        <v>46055</v>
      </c>
    </row>
    <row r="4641" spans="1:3" x14ac:dyDescent="0.25">
      <c r="A4641" t="s">
        <v>594</v>
      </c>
      <c r="B4641" t="s">
        <v>6962</v>
      </c>
      <c r="C4641" s="1"/>
    </row>
    <row r="4642" spans="1:3" x14ac:dyDescent="0.25">
      <c r="A4642" t="s">
        <v>597</v>
      </c>
      <c r="B4642" t="s">
        <v>6962</v>
      </c>
      <c r="C4642" s="1">
        <v>46058</v>
      </c>
    </row>
    <row r="4643" spans="1:3" x14ac:dyDescent="0.25">
      <c r="A4643" t="s">
        <v>596</v>
      </c>
      <c r="B4643" t="s">
        <v>6962</v>
      </c>
      <c r="C4643" s="1">
        <v>46052</v>
      </c>
    </row>
    <row r="4644" spans="1:3" x14ac:dyDescent="0.25">
      <c r="A4644" t="s">
        <v>616</v>
      </c>
      <c r="B4644" t="s">
        <v>6962</v>
      </c>
      <c r="C4644" s="1">
        <v>46067</v>
      </c>
    </row>
    <row r="4645" spans="1:3" x14ac:dyDescent="0.25">
      <c r="A4645" t="s">
        <v>613</v>
      </c>
      <c r="B4645" t="s">
        <v>39</v>
      </c>
      <c r="C4645" s="1"/>
    </row>
    <row r="4646" spans="1:3" x14ac:dyDescent="0.25">
      <c r="A4646" t="s">
        <v>612</v>
      </c>
      <c r="B4646" t="s">
        <v>6962</v>
      </c>
      <c r="C4646" s="1">
        <v>46055</v>
      </c>
    </row>
    <row r="4647" spans="1:3" x14ac:dyDescent="0.25">
      <c r="A4647" t="s">
        <v>610</v>
      </c>
      <c r="B4647" t="s">
        <v>39</v>
      </c>
      <c r="C4647" s="1"/>
    </row>
    <row r="4648" spans="1:3" x14ac:dyDescent="0.25">
      <c r="A4648" t="s">
        <v>611</v>
      </c>
      <c r="B4648" t="s">
        <v>6962</v>
      </c>
      <c r="C4648" s="1">
        <v>46066</v>
      </c>
    </row>
    <row r="4649" spans="1:3" x14ac:dyDescent="0.25">
      <c r="A4649" t="s">
        <v>609</v>
      </c>
      <c r="B4649" t="s">
        <v>6962</v>
      </c>
      <c r="C4649" s="1">
        <v>46055</v>
      </c>
    </row>
    <row r="4650" spans="1:3" x14ac:dyDescent="0.25">
      <c r="A4650" t="s">
        <v>608</v>
      </c>
      <c r="B4650" t="s">
        <v>6962</v>
      </c>
      <c r="C4650" s="1">
        <v>46052</v>
      </c>
    </row>
    <row r="4651" spans="1:3" x14ac:dyDescent="0.25">
      <c r="A4651" t="s">
        <v>607</v>
      </c>
      <c r="B4651" t="s">
        <v>6962</v>
      </c>
      <c r="C4651" s="1">
        <v>46053</v>
      </c>
    </row>
    <row r="4652" spans="1:3" x14ac:dyDescent="0.25">
      <c r="A4652" t="s">
        <v>606</v>
      </c>
      <c r="B4652" t="s">
        <v>6962</v>
      </c>
      <c r="C4652" s="1">
        <v>46055</v>
      </c>
    </row>
    <row r="4653" spans="1:3" x14ac:dyDescent="0.25">
      <c r="A4653" t="s">
        <v>603</v>
      </c>
      <c r="B4653" t="s">
        <v>6962</v>
      </c>
      <c r="C4653" s="1">
        <v>46055</v>
      </c>
    </row>
    <row r="4654" spans="1:3" x14ac:dyDescent="0.25">
      <c r="A4654" t="s">
        <v>602</v>
      </c>
      <c r="B4654" t="s">
        <v>6962</v>
      </c>
      <c r="C4654" s="1">
        <v>46052</v>
      </c>
    </row>
    <row r="4655" spans="1:3" x14ac:dyDescent="0.25">
      <c r="A4655" t="s">
        <v>601</v>
      </c>
      <c r="B4655" t="s">
        <v>39</v>
      </c>
      <c r="C4655" s="1"/>
    </row>
    <row r="4656" spans="1:3" x14ac:dyDescent="0.25">
      <c r="A4656" t="s">
        <v>621</v>
      </c>
      <c r="B4656" t="s">
        <v>6962</v>
      </c>
      <c r="C4656" s="1">
        <v>46053</v>
      </c>
    </row>
    <row r="4657" spans="1:3" x14ac:dyDescent="0.25">
      <c r="A4657" t="s">
        <v>620</v>
      </c>
      <c r="B4657" t="s">
        <v>6962</v>
      </c>
      <c r="C4657" s="1">
        <v>46054</v>
      </c>
    </row>
    <row r="4658" spans="1:3" x14ac:dyDescent="0.25">
      <c r="A4658" t="s">
        <v>620</v>
      </c>
      <c r="B4658" t="s">
        <v>6962</v>
      </c>
      <c r="C4658" s="1">
        <v>46054</v>
      </c>
    </row>
    <row r="4659" spans="1:3" x14ac:dyDescent="0.25">
      <c r="A4659" t="s">
        <v>619</v>
      </c>
      <c r="B4659" t="s">
        <v>6962</v>
      </c>
      <c r="C4659" s="1">
        <v>46057</v>
      </c>
    </row>
    <row r="4660" spans="1:3" x14ac:dyDescent="0.25">
      <c r="A4660" t="s">
        <v>618</v>
      </c>
      <c r="B4660" t="s">
        <v>6962</v>
      </c>
      <c r="C4660" s="1">
        <v>46052</v>
      </c>
    </row>
    <row r="4661" spans="1:3" x14ac:dyDescent="0.25">
      <c r="A4661" t="s">
        <v>639</v>
      </c>
      <c r="B4661" t="s">
        <v>6964</v>
      </c>
      <c r="C4661" s="1">
        <v>46065</v>
      </c>
    </row>
    <row r="4662" spans="1:3" x14ac:dyDescent="0.25">
      <c r="A4662" t="s">
        <v>638</v>
      </c>
      <c r="B4662" t="s">
        <v>6962</v>
      </c>
      <c r="C4662" s="1">
        <v>46058</v>
      </c>
    </row>
    <row r="4663" spans="1:3" x14ac:dyDescent="0.25">
      <c r="A4663" t="s">
        <v>637</v>
      </c>
      <c r="B4663" t="s">
        <v>6962</v>
      </c>
      <c r="C4663" s="1">
        <v>46059</v>
      </c>
    </row>
    <row r="4664" spans="1:3" x14ac:dyDescent="0.25">
      <c r="A4664" t="s">
        <v>636</v>
      </c>
      <c r="B4664" t="s">
        <v>6962</v>
      </c>
      <c r="C4664" s="1">
        <v>46056</v>
      </c>
    </row>
    <row r="4665" spans="1:3" x14ac:dyDescent="0.25">
      <c r="A4665" t="s">
        <v>636</v>
      </c>
      <c r="B4665" t="s">
        <v>6962</v>
      </c>
      <c r="C4665" s="1">
        <v>46056</v>
      </c>
    </row>
    <row r="4666" spans="1:3" x14ac:dyDescent="0.25">
      <c r="A4666" t="s">
        <v>634</v>
      </c>
      <c r="B4666" t="s">
        <v>39</v>
      </c>
      <c r="C4666" s="1"/>
    </row>
    <row r="4667" spans="1:3" x14ac:dyDescent="0.25">
      <c r="A4667" t="s">
        <v>633</v>
      </c>
      <c r="B4667" t="s">
        <v>6962</v>
      </c>
      <c r="C4667" s="1">
        <v>46057</v>
      </c>
    </row>
    <row r="4668" spans="1:3" x14ac:dyDescent="0.25">
      <c r="A4668" t="s">
        <v>632</v>
      </c>
      <c r="B4668" t="s">
        <v>6962</v>
      </c>
      <c r="C4668" s="1">
        <v>46058</v>
      </c>
    </row>
    <row r="4669" spans="1:3" x14ac:dyDescent="0.25">
      <c r="A4669" t="s">
        <v>631</v>
      </c>
      <c r="B4669" t="s">
        <v>6962</v>
      </c>
      <c r="C4669" s="1">
        <v>46058</v>
      </c>
    </row>
    <row r="4670" spans="1:3" x14ac:dyDescent="0.25">
      <c r="A4670" t="s">
        <v>630</v>
      </c>
      <c r="B4670" t="s">
        <v>6962</v>
      </c>
      <c r="C4670" s="1">
        <v>46057</v>
      </c>
    </row>
    <row r="4671" spans="1:3" x14ac:dyDescent="0.25">
      <c r="A4671" t="s">
        <v>627</v>
      </c>
      <c r="B4671" t="s">
        <v>6962</v>
      </c>
      <c r="C4671" s="1">
        <v>46057</v>
      </c>
    </row>
    <row r="4672" spans="1:3" x14ac:dyDescent="0.25">
      <c r="A4672" t="s">
        <v>629</v>
      </c>
      <c r="B4672" t="s">
        <v>6962</v>
      </c>
      <c r="C4672" s="1">
        <v>46053</v>
      </c>
    </row>
    <row r="4673" spans="1:3" x14ac:dyDescent="0.25">
      <c r="A4673" t="s">
        <v>626</v>
      </c>
      <c r="B4673" t="s">
        <v>39</v>
      </c>
      <c r="C4673" s="1"/>
    </row>
    <row r="4674" spans="1:3" x14ac:dyDescent="0.25">
      <c r="A4674" t="s">
        <v>624</v>
      </c>
      <c r="B4674" t="s">
        <v>39</v>
      </c>
      <c r="C4674" s="1"/>
    </row>
    <row r="4675" spans="1:3" x14ac:dyDescent="0.25">
      <c r="A4675" t="s">
        <v>664</v>
      </c>
      <c r="B4675" t="s">
        <v>6962</v>
      </c>
      <c r="C4675" s="1">
        <v>46053</v>
      </c>
    </row>
    <row r="4676" spans="1:3" x14ac:dyDescent="0.25">
      <c r="A4676" t="s">
        <v>663</v>
      </c>
      <c r="B4676" t="s">
        <v>6962</v>
      </c>
      <c r="C4676" s="1">
        <v>46058</v>
      </c>
    </row>
    <row r="4677" spans="1:3" x14ac:dyDescent="0.25">
      <c r="A4677" t="s">
        <v>662</v>
      </c>
      <c r="B4677" t="s">
        <v>6962</v>
      </c>
      <c r="C4677" s="1">
        <v>46057</v>
      </c>
    </row>
    <row r="4678" spans="1:3" x14ac:dyDescent="0.25">
      <c r="A4678" t="s">
        <v>658</v>
      </c>
      <c r="B4678" t="s">
        <v>6962</v>
      </c>
      <c r="C4678" s="1">
        <v>46058</v>
      </c>
    </row>
    <row r="4679" spans="1:3" x14ac:dyDescent="0.25">
      <c r="A4679" t="s">
        <v>655</v>
      </c>
      <c r="B4679" t="s">
        <v>6962</v>
      </c>
      <c r="C4679" s="1">
        <v>46057</v>
      </c>
    </row>
    <row r="4680" spans="1:3" x14ac:dyDescent="0.25">
      <c r="A4680" t="s">
        <v>653</v>
      </c>
      <c r="B4680" t="s">
        <v>6962</v>
      </c>
      <c r="C4680" s="1">
        <v>46057</v>
      </c>
    </row>
    <row r="4681" spans="1:3" x14ac:dyDescent="0.25">
      <c r="A4681" t="s">
        <v>652</v>
      </c>
      <c r="B4681" t="s">
        <v>6962</v>
      </c>
      <c r="C4681" s="1">
        <v>46056</v>
      </c>
    </row>
    <row r="4682" spans="1:3" x14ac:dyDescent="0.25">
      <c r="A4682" t="s">
        <v>652</v>
      </c>
      <c r="B4682" t="s">
        <v>6962</v>
      </c>
      <c r="C4682" s="1">
        <v>46056</v>
      </c>
    </row>
    <row r="4683" spans="1:3" x14ac:dyDescent="0.25">
      <c r="A4683" t="s">
        <v>651</v>
      </c>
      <c r="B4683" t="s">
        <v>6962</v>
      </c>
      <c r="C4683" s="1">
        <v>46058</v>
      </c>
    </row>
    <row r="4684" spans="1:3" x14ac:dyDescent="0.25">
      <c r="A4684" t="s">
        <v>650</v>
      </c>
      <c r="B4684" t="s">
        <v>6962</v>
      </c>
      <c r="C4684" s="1">
        <v>46059</v>
      </c>
    </row>
    <row r="4685" spans="1:3" x14ac:dyDescent="0.25">
      <c r="A4685" t="s">
        <v>650</v>
      </c>
      <c r="B4685" t="s">
        <v>6962</v>
      </c>
      <c r="C4685" s="1">
        <v>46056</v>
      </c>
    </row>
    <row r="4686" spans="1:3" x14ac:dyDescent="0.25">
      <c r="A4686" t="s">
        <v>647</v>
      </c>
      <c r="B4686" t="s">
        <v>6962</v>
      </c>
      <c r="C4686" s="1">
        <v>46058</v>
      </c>
    </row>
    <row r="4687" spans="1:3" x14ac:dyDescent="0.25">
      <c r="A4687" t="s">
        <v>649</v>
      </c>
      <c r="B4687" t="s">
        <v>6962</v>
      </c>
      <c r="C4687" s="1">
        <v>46056</v>
      </c>
    </row>
    <row r="4688" spans="1:3" x14ac:dyDescent="0.25">
      <c r="A4688" t="s">
        <v>649</v>
      </c>
      <c r="B4688" t="s">
        <v>6962</v>
      </c>
      <c r="C4688" s="1">
        <v>46056</v>
      </c>
    </row>
    <row r="4689" spans="1:3" x14ac:dyDescent="0.25">
      <c r="A4689" t="s">
        <v>646</v>
      </c>
      <c r="B4689" t="s">
        <v>6962</v>
      </c>
      <c r="C4689" s="1">
        <v>46058</v>
      </c>
    </row>
    <row r="4690" spans="1:3" x14ac:dyDescent="0.25">
      <c r="A4690" t="s">
        <v>645</v>
      </c>
      <c r="B4690" t="s">
        <v>6962</v>
      </c>
      <c r="C4690" s="1">
        <v>46057</v>
      </c>
    </row>
    <row r="4691" spans="1:3" x14ac:dyDescent="0.25">
      <c r="A4691" t="s">
        <v>644</v>
      </c>
      <c r="B4691" t="s">
        <v>6962</v>
      </c>
      <c r="C4691" s="1">
        <v>46058</v>
      </c>
    </row>
    <row r="4692" spans="1:3" x14ac:dyDescent="0.25">
      <c r="A4692" t="s">
        <v>642</v>
      </c>
      <c r="B4692" t="s">
        <v>6962</v>
      </c>
      <c r="C4692" s="1">
        <v>46058</v>
      </c>
    </row>
    <row r="4693" spans="1:3" x14ac:dyDescent="0.25">
      <c r="A4693" t="s">
        <v>640</v>
      </c>
      <c r="B4693" t="s">
        <v>6962</v>
      </c>
      <c r="C4693" s="1">
        <v>46057</v>
      </c>
    </row>
    <row r="4694" spans="1:3" x14ac:dyDescent="0.25">
      <c r="A4694" t="s">
        <v>684</v>
      </c>
      <c r="B4694" t="s">
        <v>6962</v>
      </c>
      <c r="C4694" s="1">
        <v>46058</v>
      </c>
    </row>
    <row r="4695" spans="1:3" x14ac:dyDescent="0.25">
      <c r="A4695" t="s">
        <v>680</v>
      </c>
      <c r="B4695" t="s">
        <v>6962</v>
      </c>
      <c r="C4695" s="1">
        <v>46058</v>
      </c>
    </row>
    <row r="4696" spans="1:3" x14ac:dyDescent="0.25">
      <c r="A4696" t="s">
        <v>679</v>
      </c>
      <c r="B4696" t="s">
        <v>6962</v>
      </c>
      <c r="C4696" s="1">
        <v>46058</v>
      </c>
    </row>
    <row r="4697" spans="1:3" x14ac:dyDescent="0.25">
      <c r="A4697" t="s">
        <v>678</v>
      </c>
      <c r="B4697" t="s">
        <v>6962</v>
      </c>
      <c r="C4697" s="1">
        <v>46059</v>
      </c>
    </row>
    <row r="4698" spans="1:3" x14ac:dyDescent="0.25">
      <c r="A4698" t="s">
        <v>677</v>
      </c>
      <c r="B4698" t="s">
        <v>6962</v>
      </c>
      <c r="C4698" s="1">
        <v>46074</v>
      </c>
    </row>
    <row r="4699" spans="1:3" x14ac:dyDescent="0.25">
      <c r="A4699" t="s">
        <v>675</v>
      </c>
      <c r="B4699" t="s">
        <v>6962</v>
      </c>
      <c r="C4699" s="1">
        <v>46058</v>
      </c>
    </row>
    <row r="4700" spans="1:3" x14ac:dyDescent="0.25">
      <c r="A4700" t="s">
        <v>674</v>
      </c>
      <c r="B4700" t="s">
        <v>6962</v>
      </c>
      <c r="C4700" s="1">
        <v>46058</v>
      </c>
    </row>
    <row r="4701" spans="1:3" x14ac:dyDescent="0.25">
      <c r="A4701" t="s">
        <v>673</v>
      </c>
      <c r="B4701" t="s">
        <v>6962</v>
      </c>
      <c r="C4701" s="1">
        <v>46058</v>
      </c>
    </row>
    <row r="4702" spans="1:3" x14ac:dyDescent="0.25">
      <c r="A4702" t="s">
        <v>667</v>
      </c>
      <c r="B4702" t="s">
        <v>6962</v>
      </c>
      <c r="C4702" s="1">
        <v>46062</v>
      </c>
    </row>
    <row r="4703" spans="1:3" x14ac:dyDescent="0.25">
      <c r="A4703" t="s">
        <v>665</v>
      </c>
      <c r="B4703" t="s">
        <v>6962</v>
      </c>
      <c r="C4703" s="1">
        <v>46058</v>
      </c>
    </row>
    <row r="4704" spans="1:3" x14ac:dyDescent="0.25">
      <c r="A4704" t="s">
        <v>699</v>
      </c>
      <c r="B4704" t="s">
        <v>6962</v>
      </c>
      <c r="C4704" s="1">
        <v>46057</v>
      </c>
    </row>
    <row r="4705" spans="1:3" x14ac:dyDescent="0.25">
      <c r="A4705" t="s">
        <v>698</v>
      </c>
      <c r="B4705" t="s">
        <v>6962</v>
      </c>
      <c r="C4705" s="1">
        <v>46074</v>
      </c>
    </row>
    <row r="4706" spans="1:3" x14ac:dyDescent="0.25">
      <c r="A4706" t="s">
        <v>697</v>
      </c>
      <c r="B4706" t="s">
        <v>6962</v>
      </c>
      <c r="C4706" s="1">
        <v>46059</v>
      </c>
    </row>
    <row r="4707" spans="1:3" x14ac:dyDescent="0.25">
      <c r="A4707" t="s">
        <v>695</v>
      </c>
      <c r="B4707" t="s">
        <v>6962</v>
      </c>
      <c r="C4707" s="1">
        <v>46058</v>
      </c>
    </row>
    <row r="4708" spans="1:3" x14ac:dyDescent="0.25">
      <c r="A4708" t="s">
        <v>694</v>
      </c>
      <c r="B4708" t="s">
        <v>6962</v>
      </c>
      <c r="C4708" s="1">
        <v>46058</v>
      </c>
    </row>
    <row r="4709" spans="1:3" x14ac:dyDescent="0.25">
      <c r="A4709" t="s">
        <v>693</v>
      </c>
      <c r="B4709" t="s">
        <v>6962</v>
      </c>
      <c r="C4709" s="1">
        <v>46058</v>
      </c>
    </row>
    <row r="4710" spans="1:3" x14ac:dyDescent="0.25">
      <c r="A4710" t="s">
        <v>692</v>
      </c>
      <c r="B4710" t="s">
        <v>6962</v>
      </c>
      <c r="C4710" s="1">
        <v>46059</v>
      </c>
    </row>
    <row r="4711" spans="1:3" x14ac:dyDescent="0.25">
      <c r="A4711" t="s">
        <v>691</v>
      </c>
      <c r="B4711" t="s">
        <v>6962</v>
      </c>
      <c r="C4711" s="1">
        <v>46060</v>
      </c>
    </row>
    <row r="4712" spans="1:3" x14ac:dyDescent="0.25">
      <c r="A4712" t="s">
        <v>690</v>
      </c>
      <c r="B4712" t="s">
        <v>6962</v>
      </c>
      <c r="C4712" s="1">
        <v>46079</v>
      </c>
    </row>
    <row r="4713" spans="1:3" x14ac:dyDescent="0.25">
      <c r="A4713" t="s">
        <v>680</v>
      </c>
      <c r="B4713" t="s">
        <v>39</v>
      </c>
      <c r="C4713" s="1"/>
    </row>
    <row r="4714" spans="1:3" x14ac:dyDescent="0.25">
      <c r="A4714" t="s">
        <v>688</v>
      </c>
      <c r="B4714" t="s">
        <v>6962</v>
      </c>
      <c r="C4714" s="1">
        <v>46059</v>
      </c>
    </row>
    <row r="4715" spans="1:3" x14ac:dyDescent="0.25">
      <c r="A4715" t="s">
        <v>722</v>
      </c>
      <c r="B4715" t="s">
        <v>6962</v>
      </c>
      <c r="C4715" s="1">
        <v>46058</v>
      </c>
    </row>
    <row r="4716" spans="1:3" x14ac:dyDescent="0.25">
      <c r="A4716" t="s">
        <v>721</v>
      </c>
      <c r="B4716" t="s">
        <v>39</v>
      </c>
      <c r="C4716" s="1"/>
    </row>
    <row r="4717" spans="1:3" x14ac:dyDescent="0.25">
      <c r="A4717" t="s">
        <v>720</v>
      </c>
      <c r="B4717" t="s">
        <v>6962</v>
      </c>
      <c r="C4717" s="1">
        <v>46060</v>
      </c>
    </row>
    <row r="4718" spans="1:3" x14ac:dyDescent="0.25">
      <c r="A4718" t="s">
        <v>719</v>
      </c>
      <c r="B4718" t="s">
        <v>6962</v>
      </c>
      <c r="C4718" s="1">
        <v>46059</v>
      </c>
    </row>
    <row r="4719" spans="1:3" x14ac:dyDescent="0.25">
      <c r="A4719" t="s">
        <v>719</v>
      </c>
      <c r="B4719" t="s">
        <v>6962</v>
      </c>
      <c r="C4719" s="1">
        <v>46060</v>
      </c>
    </row>
    <row r="4720" spans="1:3" x14ac:dyDescent="0.25">
      <c r="A4720" t="s">
        <v>719</v>
      </c>
      <c r="B4720" t="s">
        <v>6962</v>
      </c>
      <c r="C4720" s="1">
        <v>46060</v>
      </c>
    </row>
    <row r="4721" spans="1:3" x14ac:dyDescent="0.25">
      <c r="A4721" t="s">
        <v>719</v>
      </c>
      <c r="B4721" t="s">
        <v>6962</v>
      </c>
      <c r="C4721" s="1">
        <v>46066</v>
      </c>
    </row>
    <row r="4722" spans="1:3" x14ac:dyDescent="0.25">
      <c r="A4722" t="s">
        <v>719</v>
      </c>
      <c r="B4722" t="s">
        <v>6962</v>
      </c>
      <c r="C4722" s="1">
        <v>46059</v>
      </c>
    </row>
    <row r="4723" spans="1:3" x14ac:dyDescent="0.25">
      <c r="A4723" t="s">
        <v>717</v>
      </c>
      <c r="B4723" t="s">
        <v>6962</v>
      </c>
      <c r="C4723" s="1">
        <v>46059</v>
      </c>
    </row>
    <row r="4724" spans="1:3" x14ac:dyDescent="0.25">
      <c r="A4724" t="s">
        <v>716</v>
      </c>
      <c r="B4724" t="s">
        <v>6962</v>
      </c>
      <c r="C4724" s="1">
        <v>46060</v>
      </c>
    </row>
    <row r="4725" spans="1:3" x14ac:dyDescent="0.25">
      <c r="A4725" t="s">
        <v>715</v>
      </c>
      <c r="B4725" t="s">
        <v>6962</v>
      </c>
      <c r="C4725" s="1">
        <v>46062</v>
      </c>
    </row>
    <row r="4726" spans="1:3" x14ac:dyDescent="0.25">
      <c r="A4726" t="s">
        <v>714</v>
      </c>
      <c r="B4726" t="s">
        <v>6962</v>
      </c>
      <c r="C4726" s="1">
        <v>46060</v>
      </c>
    </row>
    <row r="4727" spans="1:3" x14ac:dyDescent="0.25">
      <c r="A4727" t="s">
        <v>712</v>
      </c>
      <c r="B4727" t="s">
        <v>6962</v>
      </c>
      <c r="C4727" s="1">
        <v>46062</v>
      </c>
    </row>
    <row r="4728" spans="1:3" x14ac:dyDescent="0.25">
      <c r="A4728" t="s">
        <v>710</v>
      </c>
      <c r="B4728" t="s">
        <v>6963</v>
      </c>
      <c r="C4728" s="1"/>
    </row>
    <row r="4729" spans="1:3" x14ac:dyDescent="0.25">
      <c r="A4729" t="s">
        <v>709</v>
      </c>
      <c r="B4729" t="s">
        <v>6962</v>
      </c>
      <c r="C4729" s="1">
        <v>46062</v>
      </c>
    </row>
    <row r="4730" spans="1:3" x14ac:dyDescent="0.25">
      <c r="A4730" t="s">
        <v>708</v>
      </c>
      <c r="B4730" t="s">
        <v>6962</v>
      </c>
      <c r="C4730" s="1">
        <v>46064</v>
      </c>
    </row>
    <row r="4731" spans="1:3" x14ac:dyDescent="0.25">
      <c r="A4731" t="s">
        <v>707</v>
      </c>
      <c r="B4731" t="s">
        <v>6962</v>
      </c>
      <c r="C4731" s="1">
        <v>46065</v>
      </c>
    </row>
    <row r="4732" spans="1:3" x14ac:dyDescent="0.25">
      <c r="A4732" t="s">
        <v>706</v>
      </c>
      <c r="B4732" t="s">
        <v>6962</v>
      </c>
      <c r="C4732" s="1">
        <v>46079</v>
      </c>
    </row>
    <row r="4733" spans="1:3" x14ac:dyDescent="0.25">
      <c r="A4733" t="s">
        <v>706</v>
      </c>
      <c r="B4733" t="s">
        <v>6962</v>
      </c>
      <c r="C4733" s="1">
        <v>46079</v>
      </c>
    </row>
    <row r="4734" spans="1:3" x14ac:dyDescent="0.25">
      <c r="A4734" t="s">
        <v>700</v>
      </c>
      <c r="B4734" t="s">
        <v>6962</v>
      </c>
      <c r="C4734" s="1">
        <v>46060</v>
      </c>
    </row>
    <row r="4735" spans="1:3" x14ac:dyDescent="0.25">
      <c r="A4735" t="s">
        <v>6954</v>
      </c>
      <c r="B4735" t="s">
        <v>6962</v>
      </c>
      <c r="C4735" s="1">
        <v>46059</v>
      </c>
    </row>
    <row r="4736" spans="1:3" x14ac:dyDescent="0.25">
      <c r="A4736" t="s">
        <v>705</v>
      </c>
      <c r="B4736" t="s">
        <v>6962</v>
      </c>
      <c r="C4736" s="1">
        <v>46060</v>
      </c>
    </row>
    <row r="4737" spans="1:3" x14ac:dyDescent="0.25">
      <c r="A4737" t="s">
        <v>704</v>
      </c>
      <c r="B4737" t="s">
        <v>6962</v>
      </c>
      <c r="C4737" s="1">
        <v>46060</v>
      </c>
    </row>
    <row r="4738" spans="1:3" x14ac:dyDescent="0.25">
      <c r="A4738" t="s">
        <v>703</v>
      </c>
      <c r="B4738" t="s">
        <v>6962</v>
      </c>
      <c r="C4738" s="1">
        <v>46060</v>
      </c>
    </row>
    <row r="4739" spans="1:3" x14ac:dyDescent="0.25">
      <c r="A4739" t="s">
        <v>702</v>
      </c>
      <c r="B4739" t="s">
        <v>6962</v>
      </c>
      <c r="C4739" s="1">
        <v>46060</v>
      </c>
    </row>
    <row r="4740" spans="1:3" x14ac:dyDescent="0.25">
      <c r="A4740" t="s">
        <v>701</v>
      </c>
      <c r="B4740" t="s">
        <v>6962</v>
      </c>
      <c r="C4740" s="1">
        <v>46062</v>
      </c>
    </row>
    <row r="4741" spans="1:3" x14ac:dyDescent="0.25">
      <c r="A4741" t="s">
        <v>734</v>
      </c>
      <c r="B4741" t="s">
        <v>6963</v>
      </c>
      <c r="C4741" s="1"/>
    </row>
    <row r="4742" spans="1:3" x14ac:dyDescent="0.25">
      <c r="A4742" t="s">
        <v>742</v>
      </c>
      <c r="B4742" t="s">
        <v>6962</v>
      </c>
      <c r="C4742" s="1">
        <v>46066</v>
      </c>
    </row>
    <row r="4743" spans="1:3" x14ac:dyDescent="0.25">
      <c r="A4743" t="s">
        <v>732</v>
      </c>
      <c r="B4743" t="s">
        <v>6962</v>
      </c>
      <c r="C4743" s="1">
        <v>46065</v>
      </c>
    </row>
    <row r="4744" spans="1:3" x14ac:dyDescent="0.25">
      <c r="A4744" t="s">
        <v>731</v>
      </c>
      <c r="B4744" t="s">
        <v>6963</v>
      </c>
      <c r="C4744" s="1"/>
    </row>
    <row r="4745" spans="1:3" x14ac:dyDescent="0.25">
      <c r="A4745" t="s">
        <v>729</v>
      </c>
      <c r="B4745" t="s">
        <v>6962</v>
      </c>
      <c r="C4745" s="1">
        <v>46062</v>
      </c>
    </row>
    <row r="4746" spans="1:3" x14ac:dyDescent="0.25">
      <c r="A4746" t="s">
        <v>727</v>
      </c>
      <c r="B4746" t="s">
        <v>6962</v>
      </c>
      <c r="C4746" s="1">
        <v>46064</v>
      </c>
    </row>
    <row r="4747" spans="1:3" x14ac:dyDescent="0.25">
      <c r="A4747" t="s">
        <v>739</v>
      </c>
      <c r="B4747" t="s">
        <v>6962</v>
      </c>
      <c r="C4747" s="1">
        <v>46062</v>
      </c>
    </row>
    <row r="4748" spans="1:3" x14ac:dyDescent="0.25">
      <c r="A4748" t="s">
        <v>738</v>
      </c>
      <c r="B4748" t="s">
        <v>39</v>
      </c>
      <c r="C4748" s="1"/>
    </row>
    <row r="4749" spans="1:3" x14ac:dyDescent="0.25">
      <c r="A4749" t="s">
        <v>741</v>
      </c>
      <c r="B4749" t="s">
        <v>6962</v>
      </c>
      <c r="C4749" s="1">
        <v>46062</v>
      </c>
    </row>
    <row r="4750" spans="1:3" x14ac:dyDescent="0.25">
      <c r="A4750" t="s">
        <v>746</v>
      </c>
      <c r="B4750" t="s">
        <v>6962</v>
      </c>
      <c r="C4750" s="1">
        <v>46060</v>
      </c>
    </row>
    <row r="4751" spans="1:3" x14ac:dyDescent="0.25">
      <c r="A4751" t="s">
        <v>745</v>
      </c>
      <c r="B4751" t="s">
        <v>6962</v>
      </c>
      <c r="C4751" s="1">
        <v>46077</v>
      </c>
    </row>
    <row r="4752" spans="1:3" x14ac:dyDescent="0.25">
      <c r="A4752" t="s">
        <v>745</v>
      </c>
      <c r="B4752" t="s">
        <v>6962</v>
      </c>
      <c r="C4752" s="1">
        <v>46077</v>
      </c>
    </row>
    <row r="4753" spans="1:3" x14ac:dyDescent="0.25">
      <c r="A4753" t="s">
        <v>744</v>
      </c>
      <c r="B4753" t="s">
        <v>6963</v>
      </c>
      <c r="C4753" s="1"/>
    </row>
    <row r="4754" spans="1:3" x14ac:dyDescent="0.25">
      <c r="A4754" t="s">
        <v>743</v>
      </c>
      <c r="B4754" t="s">
        <v>6962</v>
      </c>
      <c r="C4754" s="1">
        <v>46070</v>
      </c>
    </row>
    <row r="4755" spans="1:3" x14ac:dyDescent="0.25">
      <c r="A4755" t="s">
        <v>743</v>
      </c>
      <c r="B4755" t="s">
        <v>6962</v>
      </c>
      <c r="C4755" s="1">
        <v>46070</v>
      </c>
    </row>
    <row r="4756" spans="1:3" x14ac:dyDescent="0.25">
      <c r="A4756" t="s">
        <v>751</v>
      </c>
      <c r="B4756" t="s">
        <v>6962</v>
      </c>
      <c r="C4756" s="1">
        <v>46070</v>
      </c>
    </row>
    <row r="4757" spans="1:3" x14ac:dyDescent="0.25">
      <c r="A4757" t="s">
        <v>748</v>
      </c>
      <c r="B4757" t="s">
        <v>6962</v>
      </c>
      <c r="C4757" s="1">
        <v>46065</v>
      </c>
    </row>
    <row r="4758" spans="1:3" x14ac:dyDescent="0.25">
      <c r="A4758" t="s">
        <v>747</v>
      </c>
      <c r="B4758" t="s">
        <v>6962</v>
      </c>
      <c r="C4758" s="1">
        <v>46062</v>
      </c>
    </row>
    <row r="4759" spans="1:3" x14ac:dyDescent="0.25">
      <c r="A4759" t="s">
        <v>753</v>
      </c>
      <c r="B4759" t="s">
        <v>6962</v>
      </c>
      <c r="C4759" s="1">
        <v>46062</v>
      </c>
    </row>
    <row r="4760" spans="1:3" x14ac:dyDescent="0.25">
      <c r="A4760" t="s">
        <v>756</v>
      </c>
      <c r="B4760" t="s">
        <v>6962</v>
      </c>
      <c r="C4760" s="1">
        <v>46064</v>
      </c>
    </row>
    <row r="4761" spans="1:3" x14ac:dyDescent="0.25">
      <c r="A4761" t="s">
        <v>757</v>
      </c>
      <c r="B4761" t="s">
        <v>6962</v>
      </c>
      <c r="C4761" s="1">
        <v>46064</v>
      </c>
    </row>
    <row r="4762" spans="1:3" x14ac:dyDescent="0.25">
      <c r="A4762" t="s">
        <v>762</v>
      </c>
      <c r="B4762" t="s">
        <v>6962</v>
      </c>
      <c r="C4762" s="1">
        <v>46062</v>
      </c>
    </row>
    <row r="4763" spans="1:3" x14ac:dyDescent="0.25">
      <c r="A4763" t="s">
        <v>760</v>
      </c>
      <c r="B4763" t="s">
        <v>6962</v>
      </c>
      <c r="C4763" s="1">
        <v>46063</v>
      </c>
    </row>
    <row r="4764" spans="1:3" x14ac:dyDescent="0.25">
      <c r="A4764" t="s">
        <v>759</v>
      </c>
      <c r="B4764" t="s">
        <v>6962</v>
      </c>
      <c r="C4764" s="1">
        <v>46062</v>
      </c>
    </row>
    <row r="4765" spans="1:3" x14ac:dyDescent="0.25">
      <c r="A4765" t="s">
        <v>758</v>
      </c>
      <c r="B4765" t="s">
        <v>6962</v>
      </c>
      <c r="C4765" s="1">
        <v>46062</v>
      </c>
    </row>
    <row r="4766" spans="1:3" x14ac:dyDescent="0.25">
      <c r="A4766" t="s">
        <v>777</v>
      </c>
      <c r="B4766" t="s">
        <v>6962</v>
      </c>
      <c r="C4766" s="1">
        <v>46062</v>
      </c>
    </row>
    <row r="4767" spans="1:3" x14ac:dyDescent="0.25">
      <c r="A4767" t="s">
        <v>769</v>
      </c>
      <c r="B4767" t="s">
        <v>6962</v>
      </c>
      <c r="C4767" s="1">
        <v>46078</v>
      </c>
    </row>
    <row r="4768" spans="1:3" x14ac:dyDescent="0.25">
      <c r="A4768" t="s">
        <v>768</v>
      </c>
      <c r="B4768" t="s">
        <v>6962</v>
      </c>
      <c r="C4768" s="1">
        <v>46063</v>
      </c>
    </row>
    <row r="4769" spans="1:3" x14ac:dyDescent="0.25">
      <c r="A4769" t="s">
        <v>767</v>
      </c>
      <c r="B4769" t="s">
        <v>6962</v>
      </c>
      <c r="C4769" s="1">
        <v>46070</v>
      </c>
    </row>
    <row r="4770" spans="1:3" x14ac:dyDescent="0.25">
      <c r="A4770" t="s">
        <v>764</v>
      </c>
      <c r="B4770" t="s">
        <v>6962</v>
      </c>
      <c r="C4770" s="1">
        <v>46063</v>
      </c>
    </row>
    <row r="4771" spans="1:3" x14ac:dyDescent="0.25">
      <c r="A4771" t="s">
        <v>776</v>
      </c>
      <c r="B4771" t="s">
        <v>39</v>
      </c>
      <c r="C4771" s="1"/>
    </row>
    <row r="4772" spans="1:3" x14ac:dyDescent="0.25">
      <c r="A4772" t="s">
        <v>774</v>
      </c>
      <c r="B4772" t="s">
        <v>6962</v>
      </c>
      <c r="C4772" s="1">
        <v>46071</v>
      </c>
    </row>
    <row r="4773" spans="1:3" x14ac:dyDescent="0.25">
      <c r="A4773" t="s">
        <v>773</v>
      </c>
      <c r="B4773" t="s">
        <v>6962</v>
      </c>
      <c r="C4773" s="1">
        <v>46064</v>
      </c>
    </row>
    <row r="4774" spans="1:3" x14ac:dyDescent="0.25">
      <c r="A4774" t="s">
        <v>771</v>
      </c>
      <c r="B4774" t="s">
        <v>6962</v>
      </c>
      <c r="C4774" s="1">
        <v>46065</v>
      </c>
    </row>
    <row r="4775" spans="1:3" x14ac:dyDescent="0.25">
      <c r="A4775" t="s">
        <v>770</v>
      </c>
      <c r="B4775" t="s">
        <v>6962</v>
      </c>
      <c r="C4775" s="1">
        <v>46071</v>
      </c>
    </row>
    <row r="4776" spans="1:3" x14ac:dyDescent="0.25">
      <c r="A4776" t="s">
        <v>778</v>
      </c>
      <c r="B4776" t="s">
        <v>6962</v>
      </c>
      <c r="C4776" s="1">
        <v>46067</v>
      </c>
    </row>
    <row r="4777" spans="1:3" x14ac:dyDescent="0.25">
      <c r="A4777" t="s">
        <v>766</v>
      </c>
      <c r="B4777" t="s">
        <v>6962</v>
      </c>
      <c r="C4777" s="1">
        <v>46066</v>
      </c>
    </row>
    <row r="4778" spans="1:3" x14ac:dyDescent="0.25">
      <c r="A4778" t="s">
        <v>827</v>
      </c>
      <c r="B4778" t="s">
        <v>6962</v>
      </c>
      <c r="C4778" s="1">
        <v>46064</v>
      </c>
    </row>
    <row r="4779" spans="1:3" x14ac:dyDescent="0.25">
      <c r="A4779" t="s">
        <v>825</v>
      </c>
      <c r="B4779" t="s">
        <v>6962</v>
      </c>
      <c r="C4779" s="1">
        <v>46066</v>
      </c>
    </row>
    <row r="4780" spans="1:3" x14ac:dyDescent="0.25">
      <c r="A4780" t="s">
        <v>824</v>
      </c>
      <c r="B4780" t="s">
        <v>6962</v>
      </c>
      <c r="C4780" s="1">
        <v>46067</v>
      </c>
    </row>
    <row r="4781" spans="1:3" x14ac:dyDescent="0.25">
      <c r="A4781" t="s">
        <v>822</v>
      </c>
      <c r="B4781" t="s">
        <v>39</v>
      </c>
      <c r="C4781" s="1"/>
    </row>
    <row r="4782" spans="1:3" x14ac:dyDescent="0.25">
      <c r="A4782" t="s">
        <v>821</v>
      </c>
      <c r="B4782" t="s">
        <v>6962</v>
      </c>
      <c r="C4782" s="1">
        <v>46078</v>
      </c>
    </row>
    <row r="4783" spans="1:3" x14ac:dyDescent="0.25">
      <c r="A4783" t="s">
        <v>820</v>
      </c>
      <c r="B4783" t="s">
        <v>6962</v>
      </c>
      <c r="C4783" s="1">
        <v>46067</v>
      </c>
    </row>
    <row r="4784" spans="1:3" x14ac:dyDescent="0.25">
      <c r="A4784" t="s">
        <v>819</v>
      </c>
      <c r="B4784" t="s">
        <v>6962</v>
      </c>
      <c r="C4784" s="1">
        <v>46065</v>
      </c>
    </row>
    <row r="4785" spans="1:3" x14ac:dyDescent="0.25">
      <c r="A4785" t="s">
        <v>816</v>
      </c>
      <c r="B4785" t="s">
        <v>39</v>
      </c>
      <c r="C4785" s="1"/>
    </row>
    <row r="4786" spans="1:3" x14ac:dyDescent="0.25">
      <c r="A4786" t="s">
        <v>817</v>
      </c>
      <c r="B4786" t="s">
        <v>39</v>
      </c>
      <c r="C4786" s="1"/>
    </row>
    <row r="4787" spans="1:3" x14ac:dyDescent="0.25">
      <c r="A4787" t="s">
        <v>818</v>
      </c>
      <c r="B4787" t="s">
        <v>39</v>
      </c>
      <c r="C4787" s="1"/>
    </row>
    <row r="4788" spans="1:3" x14ac:dyDescent="0.25">
      <c r="A4788" t="s">
        <v>813</v>
      </c>
      <c r="B4788" t="s">
        <v>6962</v>
      </c>
      <c r="C4788" s="1">
        <v>46067</v>
      </c>
    </row>
    <row r="4789" spans="1:3" x14ac:dyDescent="0.25">
      <c r="A4789" t="s">
        <v>811</v>
      </c>
      <c r="B4789" t="s">
        <v>6962</v>
      </c>
      <c r="C4789" s="1">
        <v>46067</v>
      </c>
    </row>
    <row r="4790" spans="1:3" x14ac:dyDescent="0.25">
      <c r="A4790" t="s">
        <v>807</v>
      </c>
      <c r="B4790" t="s">
        <v>6962</v>
      </c>
      <c r="C4790" s="1">
        <v>46070</v>
      </c>
    </row>
    <row r="4791" spans="1:3" x14ac:dyDescent="0.25">
      <c r="A4791" t="s">
        <v>806</v>
      </c>
      <c r="B4791" t="s">
        <v>6962</v>
      </c>
      <c r="C4791" s="1">
        <v>46066</v>
      </c>
    </row>
    <row r="4792" spans="1:3" x14ac:dyDescent="0.25">
      <c r="A4792" t="s">
        <v>805</v>
      </c>
      <c r="B4792" t="s">
        <v>6962</v>
      </c>
      <c r="C4792" s="1">
        <v>46067</v>
      </c>
    </row>
    <row r="4793" spans="1:3" x14ac:dyDescent="0.25">
      <c r="A4793" t="s">
        <v>803</v>
      </c>
      <c r="B4793" t="s">
        <v>6962</v>
      </c>
      <c r="C4793" s="1">
        <v>46076</v>
      </c>
    </row>
    <row r="4794" spans="1:3" x14ac:dyDescent="0.25">
      <c r="A4794" t="s">
        <v>802</v>
      </c>
      <c r="B4794" t="s">
        <v>6962</v>
      </c>
      <c r="C4794" s="1">
        <v>46069</v>
      </c>
    </row>
    <row r="4795" spans="1:3" x14ac:dyDescent="0.25">
      <c r="A4795" t="s">
        <v>801</v>
      </c>
      <c r="B4795" t="s">
        <v>6962</v>
      </c>
      <c r="C4795" s="1">
        <v>46071</v>
      </c>
    </row>
    <row r="4796" spans="1:3" x14ac:dyDescent="0.25">
      <c r="A4796" t="s">
        <v>800</v>
      </c>
      <c r="B4796" t="s">
        <v>6962</v>
      </c>
      <c r="C4796" s="1">
        <v>46070</v>
      </c>
    </row>
    <row r="4797" spans="1:3" x14ac:dyDescent="0.25">
      <c r="A4797" t="s">
        <v>799</v>
      </c>
      <c r="B4797" t="s">
        <v>6962</v>
      </c>
      <c r="C4797" s="1">
        <v>46069</v>
      </c>
    </row>
    <row r="4798" spans="1:3" x14ac:dyDescent="0.25">
      <c r="A4798" t="s">
        <v>797</v>
      </c>
      <c r="B4798" t="s">
        <v>6962</v>
      </c>
      <c r="C4798" s="1">
        <v>46080</v>
      </c>
    </row>
    <row r="4799" spans="1:3" x14ac:dyDescent="0.25">
      <c r="A4799" t="s">
        <v>796</v>
      </c>
      <c r="B4799" t="s">
        <v>6962</v>
      </c>
      <c r="C4799" s="1">
        <v>46074</v>
      </c>
    </row>
    <row r="4800" spans="1:3" x14ac:dyDescent="0.25">
      <c r="A4800" t="s">
        <v>792</v>
      </c>
      <c r="B4800" t="s">
        <v>6963</v>
      </c>
      <c r="C4800" s="1"/>
    </row>
    <row r="4801" spans="1:3" x14ac:dyDescent="0.25">
      <c r="A4801" t="s">
        <v>791</v>
      </c>
      <c r="B4801" t="s">
        <v>6962</v>
      </c>
      <c r="C4801" s="1">
        <v>46069</v>
      </c>
    </row>
    <row r="4802" spans="1:3" x14ac:dyDescent="0.25">
      <c r="A4802" t="s">
        <v>788</v>
      </c>
      <c r="B4802" t="s">
        <v>6962</v>
      </c>
      <c r="C4802" s="1">
        <v>46067</v>
      </c>
    </row>
    <row r="4803" spans="1:3" x14ac:dyDescent="0.25">
      <c r="A4803" t="s">
        <v>789</v>
      </c>
      <c r="B4803" t="s">
        <v>6962</v>
      </c>
      <c r="C4803" s="1">
        <v>46067</v>
      </c>
    </row>
    <row r="4804" spans="1:3" x14ac:dyDescent="0.25">
      <c r="A4804" t="s">
        <v>787</v>
      </c>
      <c r="B4804" t="s">
        <v>39</v>
      </c>
      <c r="C4804" s="1"/>
    </row>
    <row r="4805" spans="1:3" x14ac:dyDescent="0.25">
      <c r="A4805" t="s">
        <v>787</v>
      </c>
      <c r="B4805" t="s">
        <v>39</v>
      </c>
      <c r="C4805" s="1"/>
    </row>
    <row r="4806" spans="1:3" x14ac:dyDescent="0.25">
      <c r="A4806" t="s">
        <v>786</v>
      </c>
      <c r="B4806" t="s">
        <v>6962</v>
      </c>
      <c r="C4806" s="1">
        <v>46069</v>
      </c>
    </row>
    <row r="4807" spans="1:3" x14ac:dyDescent="0.25">
      <c r="A4807" t="s">
        <v>785</v>
      </c>
      <c r="B4807" t="s">
        <v>6962</v>
      </c>
      <c r="C4807" s="1">
        <v>46069</v>
      </c>
    </row>
    <row r="4808" spans="1:3" x14ac:dyDescent="0.25">
      <c r="A4808" t="s">
        <v>783</v>
      </c>
      <c r="B4808" t="s">
        <v>6962</v>
      </c>
      <c r="C4808" s="1">
        <v>46071</v>
      </c>
    </row>
    <row r="4809" spans="1:3" x14ac:dyDescent="0.25">
      <c r="A4809" t="s">
        <v>782</v>
      </c>
      <c r="B4809" t="s">
        <v>6962</v>
      </c>
      <c r="C4809" s="1">
        <v>46070</v>
      </c>
    </row>
    <row r="4810" spans="1:3" x14ac:dyDescent="0.25">
      <c r="A4810" t="s">
        <v>780</v>
      </c>
      <c r="B4810" t="s">
        <v>6962</v>
      </c>
      <c r="C4810" s="1">
        <v>46070</v>
      </c>
    </row>
    <row r="4811" spans="1:3" x14ac:dyDescent="0.25">
      <c r="A4811" t="s">
        <v>847</v>
      </c>
      <c r="B4811" t="s">
        <v>6962</v>
      </c>
      <c r="C4811" s="1">
        <v>46074</v>
      </c>
    </row>
    <row r="4812" spans="1:3" x14ac:dyDescent="0.25">
      <c r="A4812" t="s">
        <v>847</v>
      </c>
      <c r="B4812" t="s">
        <v>6962</v>
      </c>
      <c r="C4812" s="1">
        <v>46074</v>
      </c>
    </row>
    <row r="4813" spans="1:3" x14ac:dyDescent="0.25">
      <c r="A4813" t="s">
        <v>845</v>
      </c>
      <c r="B4813" t="s">
        <v>6962</v>
      </c>
      <c r="C4813" s="1">
        <v>46071</v>
      </c>
    </row>
    <row r="4814" spans="1:3" x14ac:dyDescent="0.25">
      <c r="A4814" t="s">
        <v>842</v>
      </c>
      <c r="B4814" t="s">
        <v>6962</v>
      </c>
      <c r="C4814" s="1">
        <v>46070</v>
      </c>
    </row>
    <row r="4815" spans="1:3" x14ac:dyDescent="0.25">
      <c r="A4815" t="s">
        <v>838</v>
      </c>
      <c r="B4815" t="s">
        <v>6962</v>
      </c>
      <c r="C4815" s="1">
        <v>46074</v>
      </c>
    </row>
    <row r="4816" spans="1:3" x14ac:dyDescent="0.25">
      <c r="A4816" t="s">
        <v>837</v>
      </c>
      <c r="B4816" t="s">
        <v>6962</v>
      </c>
      <c r="C4816" s="1">
        <v>46073</v>
      </c>
    </row>
    <row r="4817" spans="1:3" x14ac:dyDescent="0.25">
      <c r="A4817" t="s">
        <v>836</v>
      </c>
      <c r="B4817" t="s">
        <v>6962</v>
      </c>
      <c r="C4817" s="1">
        <v>46072</v>
      </c>
    </row>
    <row r="4818" spans="1:3" x14ac:dyDescent="0.25">
      <c r="A4818" t="s">
        <v>834</v>
      </c>
      <c r="B4818" t="s">
        <v>6962</v>
      </c>
      <c r="C4818" s="1">
        <v>46076</v>
      </c>
    </row>
    <row r="4819" spans="1:3" x14ac:dyDescent="0.25">
      <c r="A4819" t="s">
        <v>833</v>
      </c>
      <c r="B4819" t="s">
        <v>6962</v>
      </c>
      <c r="C4819" s="1">
        <v>46071</v>
      </c>
    </row>
    <row r="4820" spans="1:3" x14ac:dyDescent="0.25">
      <c r="A4820" t="s">
        <v>832</v>
      </c>
      <c r="B4820" t="s">
        <v>6962</v>
      </c>
      <c r="C4820" s="1">
        <v>46074</v>
      </c>
    </row>
    <row r="4821" spans="1:3" x14ac:dyDescent="0.25">
      <c r="A4821" t="s">
        <v>831</v>
      </c>
      <c r="B4821" t="s">
        <v>6962</v>
      </c>
      <c r="C4821" s="1">
        <v>46076</v>
      </c>
    </row>
    <row r="4822" spans="1:3" x14ac:dyDescent="0.25">
      <c r="A4822" t="s">
        <v>830</v>
      </c>
      <c r="B4822" t="s">
        <v>6962</v>
      </c>
      <c r="C4822" s="1">
        <v>46085</v>
      </c>
    </row>
    <row r="4823" spans="1:3" x14ac:dyDescent="0.25">
      <c r="A4823" t="s">
        <v>830</v>
      </c>
      <c r="B4823" t="s">
        <v>6962</v>
      </c>
      <c r="C4823" s="1">
        <v>46085</v>
      </c>
    </row>
    <row r="4824" spans="1:3" x14ac:dyDescent="0.25">
      <c r="A4824" t="s">
        <v>872</v>
      </c>
      <c r="B4824" t="s">
        <v>6962</v>
      </c>
      <c r="C4824" s="1">
        <v>46071</v>
      </c>
    </row>
    <row r="4825" spans="1:3" x14ac:dyDescent="0.25">
      <c r="A4825" t="s">
        <v>871</v>
      </c>
      <c r="B4825" t="s">
        <v>6962</v>
      </c>
      <c r="C4825" s="1">
        <v>46076</v>
      </c>
    </row>
    <row r="4826" spans="1:3" x14ac:dyDescent="0.25">
      <c r="A4826" t="s">
        <v>870</v>
      </c>
      <c r="B4826" t="s">
        <v>6962</v>
      </c>
      <c r="C4826" s="1">
        <v>46076</v>
      </c>
    </row>
    <row r="4827" spans="1:3" x14ac:dyDescent="0.25">
      <c r="A4827" t="s">
        <v>869</v>
      </c>
      <c r="B4827" t="s">
        <v>39</v>
      </c>
      <c r="C4827" s="1"/>
    </row>
    <row r="4828" spans="1:3" x14ac:dyDescent="0.25">
      <c r="A4828" t="s">
        <v>867</v>
      </c>
      <c r="B4828" t="s">
        <v>6962</v>
      </c>
      <c r="C4828" s="1">
        <v>46073</v>
      </c>
    </row>
    <row r="4829" spans="1:3" x14ac:dyDescent="0.25">
      <c r="A4829" t="s">
        <v>866</v>
      </c>
      <c r="B4829" t="s">
        <v>6962</v>
      </c>
      <c r="C4829" s="1">
        <v>46079</v>
      </c>
    </row>
    <row r="4830" spans="1:3" x14ac:dyDescent="0.25">
      <c r="A4830" t="s">
        <v>864</v>
      </c>
      <c r="B4830" t="s">
        <v>6962</v>
      </c>
      <c r="C4830" s="1">
        <v>46076</v>
      </c>
    </row>
    <row r="4831" spans="1:3" x14ac:dyDescent="0.25">
      <c r="A4831" t="s">
        <v>863</v>
      </c>
      <c r="B4831" t="s">
        <v>6962</v>
      </c>
      <c r="C4831" s="1">
        <v>46074</v>
      </c>
    </row>
    <row r="4832" spans="1:3" x14ac:dyDescent="0.25">
      <c r="A4832" t="s">
        <v>861</v>
      </c>
      <c r="B4832" t="s">
        <v>6962</v>
      </c>
      <c r="C4832" s="1">
        <v>46076</v>
      </c>
    </row>
    <row r="4833" spans="1:3" x14ac:dyDescent="0.25">
      <c r="A4833" t="s">
        <v>860</v>
      </c>
      <c r="B4833" t="s">
        <v>6962</v>
      </c>
      <c r="C4833" s="1">
        <v>46073</v>
      </c>
    </row>
    <row r="4834" spans="1:3" x14ac:dyDescent="0.25">
      <c r="A4834" t="s">
        <v>859</v>
      </c>
      <c r="B4834" t="s">
        <v>6962</v>
      </c>
      <c r="C4834" s="1">
        <v>46076</v>
      </c>
    </row>
    <row r="4835" spans="1:3" x14ac:dyDescent="0.25">
      <c r="A4835" t="s">
        <v>858</v>
      </c>
      <c r="B4835" t="s">
        <v>6962</v>
      </c>
      <c r="C4835" s="1">
        <v>46080</v>
      </c>
    </row>
    <row r="4836" spans="1:3" x14ac:dyDescent="0.25">
      <c r="A4836" t="s">
        <v>857</v>
      </c>
      <c r="B4836" t="s">
        <v>6962</v>
      </c>
      <c r="C4836" s="1">
        <v>46076</v>
      </c>
    </row>
    <row r="4837" spans="1:3" x14ac:dyDescent="0.25">
      <c r="A4837" t="s">
        <v>856</v>
      </c>
      <c r="B4837" t="s">
        <v>39</v>
      </c>
      <c r="C4837" s="1"/>
    </row>
    <row r="4838" spans="1:3" x14ac:dyDescent="0.25">
      <c r="A4838" t="s">
        <v>855</v>
      </c>
      <c r="B4838" t="s">
        <v>39</v>
      </c>
      <c r="C4838" s="1"/>
    </row>
    <row r="4839" spans="1:3" x14ac:dyDescent="0.25">
      <c r="A4839" t="s">
        <v>854</v>
      </c>
      <c r="B4839" t="s">
        <v>6962</v>
      </c>
      <c r="C4839" s="1">
        <v>46076</v>
      </c>
    </row>
    <row r="4840" spans="1:3" x14ac:dyDescent="0.25">
      <c r="A4840" t="s">
        <v>852</v>
      </c>
      <c r="B4840" t="s">
        <v>6962</v>
      </c>
      <c r="C4840" s="1">
        <v>46078</v>
      </c>
    </row>
    <row r="4841" spans="1:3" x14ac:dyDescent="0.25">
      <c r="A4841" t="s">
        <v>849</v>
      </c>
      <c r="B4841" t="s">
        <v>6962</v>
      </c>
      <c r="C4841" s="1">
        <v>46083</v>
      </c>
    </row>
    <row r="4842" spans="1:3" x14ac:dyDescent="0.25">
      <c r="A4842" t="s">
        <v>848</v>
      </c>
      <c r="B4842" t="s">
        <v>6962</v>
      </c>
      <c r="C4842" s="1">
        <v>46076</v>
      </c>
    </row>
    <row r="4843" spans="1:3" x14ac:dyDescent="0.25">
      <c r="A4843" t="s">
        <v>848</v>
      </c>
      <c r="B4843" t="s">
        <v>6963</v>
      </c>
      <c r="C4843" s="1"/>
    </row>
    <row r="4844" spans="1:3" x14ac:dyDescent="0.25">
      <c r="A4844" t="s">
        <v>848</v>
      </c>
      <c r="B4844" t="s">
        <v>6962</v>
      </c>
      <c r="C4844" s="1">
        <v>46073</v>
      </c>
    </row>
    <row r="4845" spans="1:3" x14ac:dyDescent="0.25">
      <c r="A4845" t="s">
        <v>880</v>
      </c>
      <c r="B4845" t="s">
        <v>6962</v>
      </c>
      <c r="C4845" s="1">
        <v>46077</v>
      </c>
    </row>
    <row r="4846" spans="1:3" x14ac:dyDescent="0.25">
      <c r="A4846" t="s">
        <v>879</v>
      </c>
      <c r="B4846" t="s">
        <v>6962</v>
      </c>
      <c r="C4846" s="1">
        <v>46077</v>
      </c>
    </row>
    <row r="4847" spans="1:3" x14ac:dyDescent="0.25">
      <c r="A4847" t="s">
        <v>877</v>
      </c>
      <c r="B4847" t="s">
        <v>6962</v>
      </c>
      <c r="C4847" s="1">
        <v>46081</v>
      </c>
    </row>
    <row r="4848" spans="1:3" x14ac:dyDescent="0.25">
      <c r="A4848" t="s">
        <v>875</v>
      </c>
      <c r="B4848" t="s">
        <v>39</v>
      </c>
      <c r="C4848" s="1"/>
    </row>
    <row r="4849" spans="1:3" x14ac:dyDescent="0.25">
      <c r="A4849" t="s">
        <v>874</v>
      </c>
      <c r="B4849" t="s">
        <v>6962</v>
      </c>
      <c r="C4849" s="1">
        <v>46074</v>
      </c>
    </row>
    <row r="4850" spans="1:3" x14ac:dyDescent="0.25">
      <c r="A4850" t="s">
        <v>873</v>
      </c>
      <c r="B4850" t="s">
        <v>6962</v>
      </c>
      <c r="C4850" s="1">
        <v>46074</v>
      </c>
    </row>
    <row r="4851" spans="1:3" x14ac:dyDescent="0.25">
      <c r="A4851" t="s">
        <v>889</v>
      </c>
      <c r="B4851" t="s">
        <v>6962</v>
      </c>
      <c r="C4851" s="1">
        <v>46077</v>
      </c>
    </row>
    <row r="4852" spans="1:3" x14ac:dyDescent="0.25">
      <c r="A4852" t="s">
        <v>888</v>
      </c>
      <c r="B4852" t="s">
        <v>6962</v>
      </c>
      <c r="C4852" s="1">
        <v>46080</v>
      </c>
    </row>
    <row r="4853" spans="1:3" x14ac:dyDescent="0.25">
      <c r="A4853" t="s">
        <v>887</v>
      </c>
      <c r="B4853" t="s">
        <v>6962</v>
      </c>
      <c r="C4853" s="1">
        <v>46083</v>
      </c>
    </row>
    <row r="4854" spans="1:3" x14ac:dyDescent="0.25">
      <c r="A4854" t="s">
        <v>886</v>
      </c>
      <c r="B4854" t="s">
        <v>6962</v>
      </c>
      <c r="C4854" s="1">
        <v>46076</v>
      </c>
    </row>
    <row r="4855" spans="1:3" x14ac:dyDescent="0.25">
      <c r="A4855" t="s">
        <v>885</v>
      </c>
      <c r="B4855" t="s">
        <v>6962</v>
      </c>
      <c r="C4855" s="1">
        <v>46078</v>
      </c>
    </row>
    <row r="4856" spans="1:3" x14ac:dyDescent="0.25">
      <c r="A4856" t="s">
        <v>909</v>
      </c>
      <c r="B4856" t="s">
        <v>6962</v>
      </c>
      <c r="C4856" s="1">
        <v>46083</v>
      </c>
    </row>
    <row r="4857" spans="1:3" x14ac:dyDescent="0.25">
      <c r="A4857" t="s">
        <v>908</v>
      </c>
      <c r="B4857" t="s">
        <v>6962</v>
      </c>
      <c r="C4857" s="1">
        <v>46074</v>
      </c>
    </row>
    <row r="4858" spans="1:3" x14ac:dyDescent="0.25">
      <c r="A4858" t="s">
        <v>907</v>
      </c>
      <c r="B4858" t="s">
        <v>39</v>
      </c>
      <c r="C4858" s="1"/>
    </row>
    <row r="4859" spans="1:3" x14ac:dyDescent="0.25">
      <c r="A4859" t="s">
        <v>904</v>
      </c>
      <c r="B4859" t="s">
        <v>6962</v>
      </c>
      <c r="C4859" s="1">
        <v>46074</v>
      </c>
    </row>
    <row r="4860" spans="1:3" x14ac:dyDescent="0.25">
      <c r="A4860" t="s">
        <v>904</v>
      </c>
      <c r="B4860" t="s">
        <v>6962</v>
      </c>
      <c r="C4860" s="1">
        <v>46077</v>
      </c>
    </row>
    <row r="4861" spans="1:3" x14ac:dyDescent="0.25">
      <c r="A4861" t="s">
        <v>903</v>
      </c>
      <c r="B4861" t="s">
        <v>39</v>
      </c>
      <c r="C4861" s="1"/>
    </row>
    <row r="4862" spans="1:3" x14ac:dyDescent="0.25">
      <c r="A4862" t="s">
        <v>901</v>
      </c>
      <c r="B4862" t="s">
        <v>6962</v>
      </c>
      <c r="C4862" s="1">
        <v>46078</v>
      </c>
    </row>
    <row r="4863" spans="1:3" x14ac:dyDescent="0.25">
      <c r="A4863" t="s">
        <v>898</v>
      </c>
      <c r="B4863" t="s">
        <v>6962</v>
      </c>
      <c r="C4863" s="1">
        <v>46080</v>
      </c>
    </row>
    <row r="4864" spans="1:3" x14ac:dyDescent="0.25">
      <c r="A4864" t="s">
        <v>898</v>
      </c>
      <c r="B4864" t="s">
        <v>6962</v>
      </c>
      <c r="C4864" s="1">
        <v>46080</v>
      </c>
    </row>
    <row r="4865" spans="1:3" x14ac:dyDescent="0.25">
      <c r="A4865" t="s">
        <v>896</v>
      </c>
      <c r="B4865" t="s">
        <v>6962</v>
      </c>
      <c r="C4865" s="1">
        <v>46076</v>
      </c>
    </row>
    <row r="4866" spans="1:3" x14ac:dyDescent="0.25">
      <c r="A4866" t="s">
        <v>895</v>
      </c>
      <c r="B4866" t="s">
        <v>6962</v>
      </c>
      <c r="C4866" s="1">
        <v>46077</v>
      </c>
    </row>
    <row r="4867" spans="1:3" x14ac:dyDescent="0.25">
      <c r="A4867" t="s">
        <v>893</v>
      </c>
      <c r="B4867" t="s">
        <v>6962</v>
      </c>
      <c r="C4867" s="1">
        <v>46077</v>
      </c>
    </row>
    <row r="4868" spans="1:3" x14ac:dyDescent="0.25">
      <c r="A4868" t="s">
        <v>892</v>
      </c>
      <c r="B4868" t="s">
        <v>6962</v>
      </c>
      <c r="C4868" s="1">
        <v>46077</v>
      </c>
    </row>
    <row r="4869" spans="1:3" x14ac:dyDescent="0.25">
      <c r="A4869" t="s">
        <v>891</v>
      </c>
      <c r="B4869" t="s">
        <v>6962</v>
      </c>
      <c r="C4869" s="1">
        <v>46077</v>
      </c>
    </row>
    <row r="4870" spans="1:3" x14ac:dyDescent="0.25">
      <c r="A4870" t="s">
        <v>912</v>
      </c>
      <c r="B4870" t="s">
        <v>6962</v>
      </c>
      <c r="C4870" s="1">
        <v>46088</v>
      </c>
    </row>
    <row r="4871" spans="1:3" x14ac:dyDescent="0.25">
      <c r="A4871" t="s">
        <v>911</v>
      </c>
      <c r="B4871" t="s">
        <v>6962</v>
      </c>
      <c r="C4871" s="1">
        <v>46083</v>
      </c>
    </row>
    <row r="4872" spans="1:3" x14ac:dyDescent="0.25">
      <c r="A4872" t="s">
        <v>910</v>
      </c>
      <c r="B4872" t="s">
        <v>39</v>
      </c>
      <c r="C4872" s="1"/>
    </row>
    <row r="4873" spans="1:3" x14ac:dyDescent="0.25">
      <c r="A4873" t="s">
        <v>910</v>
      </c>
      <c r="B4873" t="s">
        <v>39</v>
      </c>
      <c r="C4873" s="1"/>
    </row>
    <row r="4874" spans="1:3" x14ac:dyDescent="0.25">
      <c r="A4874" t="s">
        <v>927</v>
      </c>
      <c r="B4874" t="s">
        <v>6962</v>
      </c>
      <c r="C4874" s="1">
        <v>46077</v>
      </c>
    </row>
    <row r="4875" spans="1:3" x14ac:dyDescent="0.25">
      <c r="A4875" t="s">
        <v>926</v>
      </c>
      <c r="B4875" t="s">
        <v>6962</v>
      </c>
      <c r="C4875" s="1">
        <v>46080</v>
      </c>
    </row>
    <row r="4876" spans="1:3" x14ac:dyDescent="0.25">
      <c r="A4876" t="s">
        <v>925</v>
      </c>
      <c r="B4876" t="s">
        <v>6962</v>
      </c>
      <c r="C4876" s="1">
        <v>46083</v>
      </c>
    </row>
    <row r="4877" spans="1:3" x14ac:dyDescent="0.25">
      <c r="A4877" t="s">
        <v>923</v>
      </c>
      <c r="B4877" t="s">
        <v>6962</v>
      </c>
      <c r="C4877" s="1">
        <v>46083</v>
      </c>
    </row>
    <row r="4878" spans="1:3" x14ac:dyDescent="0.25">
      <c r="A4878" t="s">
        <v>923</v>
      </c>
      <c r="B4878" t="s">
        <v>6962</v>
      </c>
      <c r="C4878" s="1">
        <v>46079</v>
      </c>
    </row>
    <row r="4879" spans="1:3" x14ac:dyDescent="0.25">
      <c r="A4879" t="s">
        <v>923</v>
      </c>
      <c r="B4879" t="s">
        <v>6962</v>
      </c>
      <c r="C4879" s="1">
        <v>46081</v>
      </c>
    </row>
    <row r="4880" spans="1:3" x14ac:dyDescent="0.25">
      <c r="A4880" t="s">
        <v>923</v>
      </c>
      <c r="B4880" t="s">
        <v>6962</v>
      </c>
      <c r="C4880" s="1">
        <v>46079</v>
      </c>
    </row>
    <row r="4881" spans="1:3" x14ac:dyDescent="0.25">
      <c r="A4881" t="s">
        <v>923</v>
      </c>
      <c r="B4881" t="s">
        <v>6962</v>
      </c>
      <c r="C4881" s="1">
        <v>46079</v>
      </c>
    </row>
    <row r="4882" spans="1:3" x14ac:dyDescent="0.25">
      <c r="A4882" t="s">
        <v>921</v>
      </c>
      <c r="B4882" t="s">
        <v>6962</v>
      </c>
      <c r="C4882" s="1">
        <v>46078</v>
      </c>
    </row>
    <row r="4883" spans="1:3" x14ac:dyDescent="0.25">
      <c r="A4883" t="s">
        <v>920</v>
      </c>
      <c r="B4883" t="s">
        <v>6962</v>
      </c>
      <c r="C4883" s="1">
        <v>46083</v>
      </c>
    </row>
    <row r="4884" spans="1:3" x14ac:dyDescent="0.25">
      <c r="A4884" t="s">
        <v>918</v>
      </c>
      <c r="B4884" t="s">
        <v>6962</v>
      </c>
      <c r="C4884" s="1">
        <v>46077</v>
      </c>
    </row>
    <row r="4885" spans="1:3" x14ac:dyDescent="0.25">
      <c r="A4885" t="s">
        <v>917</v>
      </c>
      <c r="B4885" t="s">
        <v>6962</v>
      </c>
      <c r="C4885" s="1">
        <v>46081</v>
      </c>
    </row>
    <row r="4886" spans="1:3" x14ac:dyDescent="0.25">
      <c r="A4886" t="s">
        <v>916</v>
      </c>
      <c r="B4886" t="s">
        <v>6962</v>
      </c>
      <c r="C4886" s="1">
        <v>46081</v>
      </c>
    </row>
    <row r="4887" spans="1:3" x14ac:dyDescent="0.25">
      <c r="A4887" t="s">
        <v>915</v>
      </c>
      <c r="B4887" t="s">
        <v>6962</v>
      </c>
      <c r="C4887" s="1">
        <v>46083</v>
      </c>
    </row>
    <row r="4888" spans="1:3" x14ac:dyDescent="0.25">
      <c r="A4888" t="s">
        <v>913</v>
      </c>
      <c r="B4888" t="s">
        <v>6962</v>
      </c>
      <c r="C4888" s="1">
        <v>46079</v>
      </c>
    </row>
    <row r="4889" spans="1:3" x14ac:dyDescent="0.25">
      <c r="A4889" t="s">
        <v>930</v>
      </c>
      <c r="B4889" t="s">
        <v>6962</v>
      </c>
      <c r="C4889" s="1">
        <v>46085</v>
      </c>
    </row>
    <row r="4890" spans="1:3" x14ac:dyDescent="0.25">
      <c r="A4890" t="s">
        <v>933</v>
      </c>
      <c r="B4890" t="s">
        <v>6962</v>
      </c>
      <c r="C4890" s="1"/>
    </row>
    <row r="4891" spans="1:3" x14ac:dyDescent="0.25">
      <c r="A4891" t="s">
        <v>929</v>
      </c>
      <c r="B4891" t="s">
        <v>6962</v>
      </c>
      <c r="C4891" s="1">
        <v>46079</v>
      </c>
    </row>
    <row r="4892" spans="1:3" x14ac:dyDescent="0.25">
      <c r="A4892" t="s">
        <v>928</v>
      </c>
      <c r="B4892" t="s">
        <v>6962</v>
      </c>
      <c r="C4892" s="1">
        <v>46081</v>
      </c>
    </row>
    <row r="4893" spans="1:3" x14ac:dyDescent="0.25">
      <c r="A4893" t="s">
        <v>936</v>
      </c>
      <c r="B4893" t="s">
        <v>39</v>
      </c>
      <c r="C4893" s="1"/>
    </row>
    <row r="4894" spans="1:3" x14ac:dyDescent="0.25">
      <c r="A4894" t="s">
        <v>935</v>
      </c>
      <c r="B4894" t="s">
        <v>6962</v>
      </c>
      <c r="C4894" s="1">
        <v>46086</v>
      </c>
    </row>
    <row r="4895" spans="1:3" x14ac:dyDescent="0.25">
      <c r="A4895" t="s">
        <v>6955</v>
      </c>
      <c r="B4895" t="s">
        <v>6963</v>
      </c>
      <c r="C4895" s="1"/>
    </row>
    <row r="4896" spans="1:3" x14ac:dyDescent="0.25">
      <c r="A4896" t="s">
        <v>938</v>
      </c>
      <c r="B4896" t="s">
        <v>6962</v>
      </c>
      <c r="C4896" s="1">
        <v>46079</v>
      </c>
    </row>
    <row r="4897" spans="1:3" x14ac:dyDescent="0.25">
      <c r="A4897" t="s">
        <v>939</v>
      </c>
      <c r="B4897" t="s">
        <v>6962</v>
      </c>
      <c r="C4897" s="1">
        <v>46085</v>
      </c>
    </row>
    <row r="4898" spans="1:3" x14ac:dyDescent="0.25">
      <c r="A4898" t="s">
        <v>993</v>
      </c>
      <c r="B4898" t="s">
        <v>6962</v>
      </c>
      <c r="C4898" s="1">
        <v>46083</v>
      </c>
    </row>
    <row r="4899" spans="1:3" x14ac:dyDescent="0.25">
      <c r="A4899" t="s">
        <v>992</v>
      </c>
      <c r="B4899" t="s">
        <v>6962</v>
      </c>
      <c r="C4899" s="1">
        <v>46079</v>
      </c>
    </row>
    <row r="4900" spans="1:3" x14ac:dyDescent="0.25">
      <c r="A4900" t="s">
        <v>990</v>
      </c>
      <c r="B4900" t="s">
        <v>39</v>
      </c>
      <c r="C4900" s="1"/>
    </row>
    <row r="4901" spans="1:3" x14ac:dyDescent="0.25">
      <c r="A4901" t="s">
        <v>989</v>
      </c>
      <c r="B4901" t="s">
        <v>6962</v>
      </c>
      <c r="C4901" s="1">
        <v>46083</v>
      </c>
    </row>
    <row r="4902" spans="1:3" x14ac:dyDescent="0.25">
      <c r="A4902" t="s">
        <v>988</v>
      </c>
      <c r="B4902" t="s">
        <v>6962</v>
      </c>
      <c r="C4902" s="1">
        <v>46088</v>
      </c>
    </row>
    <row r="4903" spans="1:3" x14ac:dyDescent="0.25">
      <c r="A4903" t="s">
        <v>994</v>
      </c>
      <c r="B4903" t="s">
        <v>6962</v>
      </c>
      <c r="C4903" s="1">
        <v>46081</v>
      </c>
    </row>
    <row r="4904" spans="1:3" x14ac:dyDescent="0.25">
      <c r="A4904" t="s">
        <v>984</v>
      </c>
      <c r="B4904" t="s">
        <v>6962</v>
      </c>
      <c r="C4904" s="1">
        <v>46085</v>
      </c>
    </row>
    <row r="4905" spans="1:3" x14ac:dyDescent="0.25">
      <c r="A4905" t="s">
        <v>979</v>
      </c>
      <c r="B4905" t="s">
        <v>39</v>
      </c>
      <c r="C4905" s="1"/>
    </row>
    <row r="4906" spans="1:3" x14ac:dyDescent="0.25">
      <c r="A4906" t="s">
        <v>977</v>
      </c>
      <c r="B4906" t="s">
        <v>39</v>
      </c>
      <c r="C4906" s="1"/>
    </row>
    <row r="4907" spans="1:3" x14ac:dyDescent="0.25">
      <c r="A4907" t="s">
        <v>976</v>
      </c>
      <c r="B4907" t="s">
        <v>6962</v>
      </c>
      <c r="C4907" s="1">
        <v>46085</v>
      </c>
    </row>
    <row r="4908" spans="1:3" x14ac:dyDescent="0.25">
      <c r="A4908" t="s">
        <v>975</v>
      </c>
      <c r="B4908" t="s">
        <v>6962</v>
      </c>
      <c r="C4908" s="1">
        <v>46087</v>
      </c>
    </row>
    <row r="4909" spans="1:3" x14ac:dyDescent="0.25">
      <c r="A4909" t="s">
        <v>971</v>
      </c>
      <c r="B4909" t="s">
        <v>6962</v>
      </c>
      <c r="C4909" s="1">
        <v>46083</v>
      </c>
    </row>
    <row r="4910" spans="1:3" x14ac:dyDescent="0.25">
      <c r="A4910" t="s">
        <v>970</v>
      </c>
      <c r="B4910" t="s">
        <v>6962</v>
      </c>
      <c r="C4910" s="1">
        <v>46085</v>
      </c>
    </row>
    <row r="4911" spans="1:3" x14ac:dyDescent="0.25">
      <c r="A4911" t="s">
        <v>969</v>
      </c>
      <c r="B4911" t="s">
        <v>6962</v>
      </c>
      <c r="C4911" s="1">
        <v>46085</v>
      </c>
    </row>
    <row r="4912" spans="1:3" x14ac:dyDescent="0.25">
      <c r="A4912" t="s">
        <v>965</v>
      </c>
      <c r="B4912" t="s">
        <v>6962</v>
      </c>
      <c r="C4912" s="1">
        <v>46083</v>
      </c>
    </row>
    <row r="4913" spans="1:3" x14ac:dyDescent="0.25">
      <c r="A4913" t="s">
        <v>963</v>
      </c>
      <c r="B4913" t="s">
        <v>6962</v>
      </c>
      <c r="C4913" s="1">
        <v>46087</v>
      </c>
    </row>
    <row r="4914" spans="1:3" x14ac:dyDescent="0.25">
      <c r="A4914" t="s">
        <v>962</v>
      </c>
      <c r="B4914" t="s">
        <v>6962</v>
      </c>
      <c r="C4914" s="1">
        <v>46085</v>
      </c>
    </row>
    <row r="4915" spans="1:3" x14ac:dyDescent="0.25">
      <c r="A4915" t="s">
        <v>961</v>
      </c>
      <c r="B4915" t="s">
        <v>39</v>
      </c>
      <c r="C4915" s="1"/>
    </row>
    <row r="4916" spans="1:3" x14ac:dyDescent="0.25">
      <c r="A4916" t="s">
        <v>960</v>
      </c>
      <c r="B4916" t="s">
        <v>39</v>
      </c>
      <c r="C4916" s="1"/>
    </row>
    <row r="4917" spans="1:3" x14ac:dyDescent="0.25">
      <c r="A4917" t="s">
        <v>959</v>
      </c>
      <c r="B4917" t="s">
        <v>6962</v>
      </c>
      <c r="C4917" s="1">
        <v>46085</v>
      </c>
    </row>
    <row r="4918" spans="1:3" x14ac:dyDescent="0.25">
      <c r="A4918" t="s">
        <v>958</v>
      </c>
      <c r="B4918" t="s">
        <v>6962</v>
      </c>
      <c r="C4918" s="1">
        <v>46085</v>
      </c>
    </row>
    <row r="4919" spans="1:3" x14ac:dyDescent="0.25">
      <c r="A4919" t="s">
        <v>957</v>
      </c>
      <c r="B4919" t="s">
        <v>6962</v>
      </c>
      <c r="C4919" s="1">
        <v>46088</v>
      </c>
    </row>
    <row r="4920" spans="1:3" x14ac:dyDescent="0.25">
      <c r="A4920" t="s">
        <v>957</v>
      </c>
      <c r="B4920" t="s">
        <v>6962</v>
      </c>
      <c r="C4920" s="1">
        <v>46088</v>
      </c>
    </row>
    <row r="4921" spans="1:3" x14ac:dyDescent="0.25">
      <c r="A4921" t="s">
        <v>956</v>
      </c>
      <c r="B4921" t="s">
        <v>6962</v>
      </c>
      <c r="C4921" s="1">
        <v>46087</v>
      </c>
    </row>
    <row r="4922" spans="1:3" x14ac:dyDescent="0.25">
      <c r="A4922" t="s">
        <v>955</v>
      </c>
      <c r="B4922" t="s">
        <v>6962</v>
      </c>
      <c r="C4922" s="1">
        <v>46086</v>
      </c>
    </row>
    <row r="4923" spans="1:3" x14ac:dyDescent="0.25">
      <c r="A4923" t="s">
        <v>952</v>
      </c>
      <c r="B4923" t="s">
        <v>6962</v>
      </c>
      <c r="C4923" s="1">
        <v>46083</v>
      </c>
    </row>
    <row r="4924" spans="1:3" x14ac:dyDescent="0.25">
      <c r="A4924" t="s">
        <v>951</v>
      </c>
      <c r="B4924" t="s">
        <v>6962</v>
      </c>
      <c r="C4924" s="1">
        <v>46083</v>
      </c>
    </row>
    <row r="4925" spans="1:3" x14ac:dyDescent="0.25">
      <c r="A4925" t="s">
        <v>950</v>
      </c>
      <c r="B4925" t="s">
        <v>6962</v>
      </c>
      <c r="C4925" s="1">
        <v>46086</v>
      </c>
    </row>
    <row r="4926" spans="1:3" x14ac:dyDescent="0.25">
      <c r="A4926" t="s">
        <v>949</v>
      </c>
      <c r="B4926" t="s">
        <v>6962</v>
      </c>
      <c r="C4926" s="1">
        <v>46092</v>
      </c>
    </row>
    <row r="4927" spans="1:3" x14ac:dyDescent="0.25">
      <c r="A4927" t="s">
        <v>947</v>
      </c>
      <c r="B4927" t="s">
        <v>6962</v>
      </c>
      <c r="C4927" s="1">
        <v>46087</v>
      </c>
    </row>
    <row r="4928" spans="1:3" x14ac:dyDescent="0.25">
      <c r="A4928" t="s">
        <v>946</v>
      </c>
      <c r="B4928" t="s">
        <v>6962</v>
      </c>
      <c r="C4928" s="1">
        <v>46090</v>
      </c>
    </row>
    <row r="4929" spans="1:3" x14ac:dyDescent="0.25">
      <c r="A4929" t="s">
        <v>945</v>
      </c>
      <c r="B4929" t="s">
        <v>6962</v>
      </c>
      <c r="C4929" s="1">
        <v>46091</v>
      </c>
    </row>
    <row r="4930" spans="1:3" x14ac:dyDescent="0.25">
      <c r="A4930" t="s">
        <v>996</v>
      </c>
      <c r="B4930" t="s">
        <v>6962</v>
      </c>
      <c r="C4930" s="1">
        <v>46088</v>
      </c>
    </row>
    <row r="4931" spans="1:3" x14ac:dyDescent="0.25">
      <c r="A4931" t="s">
        <v>995</v>
      </c>
      <c r="B4931" t="s">
        <v>6962</v>
      </c>
      <c r="C4931" s="1">
        <v>46090</v>
      </c>
    </row>
    <row r="4932" spans="1:3" x14ac:dyDescent="0.25">
      <c r="A4932" t="s">
        <v>1004</v>
      </c>
      <c r="B4932" t="s">
        <v>6962</v>
      </c>
      <c r="C4932" s="1">
        <v>46088</v>
      </c>
    </row>
    <row r="4933" spans="1:3" x14ac:dyDescent="0.25">
      <c r="A4933" t="s">
        <v>1003</v>
      </c>
      <c r="B4933" t="s">
        <v>6962</v>
      </c>
      <c r="C4933" s="1">
        <v>46087</v>
      </c>
    </row>
    <row r="4934" spans="1:3" x14ac:dyDescent="0.25">
      <c r="A4934" t="s">
        <v>1002</v>
      </c>
      <c r="B4934" t="s">
        <v>6962</v>
      </c>
      <c r="C4934" s="1">
        <v>46090</v>
      </c>
    </row>
    <row r="4935" spans="1:3" x14ac:dyDescent="0.25">
      <c r="A4935" t="s">
        <v>1001</v>
      </c>
      <c r="B4935" t="s">
        <v>39</v>
      </c>
      <c r="C4935" s="1"/>
    </row>
    <row r="4936" spans="1:3" x14ac:dyDescent="0.25">
      <c r="A4936" t="s">
        <v>1000</v>
      </c>
      <c r="B4936" t="s">
        <v>6962</v>
      </c>
      <c r="C4936" s="1">
        <v>46090</v>
      </c>
    </row>
    <row r="4937" spans="1:3" x14ac:dyDescent="0.25">
      <c r="A4937" t="s">
        <v>999</v>
      </c>
      <c r="B4937" t="s">
        <v>6962</v>
      </c>
      <c r="C4937" s="1">
        <v>46087</v>
      </c>
    </row>
    <row r="4938" spans="1:3" x14ac:dyDescent="0.25">
      <c r="A4938" t="s">
        <v>998</v>
      </c>
      <c r="B4938" t="s">
        <v>39</v>
      </c>
      <c r="C4938" s="1"/>
    </row>
    <row r="4939" spans="1:3" x14ac:dyDescent="0.25">
      <c r="A4939" t="s">
        <v>1014</v>
      </c>
      <c r="B4939" t="s">
        <v>6962</v>
      </c>
      <c r="C4939" s="1">
        <v>46086</v>
      </c>
    </row>
    <row r="4940" spans="1:3" x14ac:dyDescent="0.25">
      <c r="A4940" t="s">
        <v>1014</v>
      </c>
      <c r="B4940" t="s">
        <v>6962</v>
      </c>
      <c r="C4940" s="1">
        <v>46086</v>
      </c>
    </row>
    <row r="4941" spans="1:3" x14ac:dyDescent="0.25">
      <c r="A4941" t="s">
        <v>1012</v>
      </c>
      <c r="B4941" t="s">
        <v>6962</v>
      </c>
      <c r="C4941" s="1">
        <v>46095</v>
      </c>
    </row>
    <row r="4942" spans="1:3" x14ac:dyDescent="0.25">
      <c r="A4942" t="s">
        <v>1011</v>
      </c>
      <c r="B4942" t="s">
        <v>39</v>
      </c>
      <c r="C4942" s="1"/>
    </row>
    <row r="4943" spans="1:3" x14ac:dyDescent="0.25">
      <c r="A4943" t="s">
        <v>1010</v>
      </c>
      <c r="B4943" t="s">
        <v>6962</v>
      </c>
      <c r="C4943" s="1">
        <v>46087</v>
      </c>
    </row>
    <row r="4944" spans="1:3" x14ac:dyDescent="0.25">
      <c r="A4944" t="s">
        <v>1008</v>
      </c>
      <c r="B4944" t="s">
        <v>6962</v>
      </c>
      <c r="C4944" s="1">
        <v>46087</v>
      </c>
    </row>
    <row r="4945" spans="1:3" x14ac:dyDescent="0.25">
      <c r="A4945" t="s">
        <v>1007</v>
      </c>
      <c r="B4945" t="s">
        <v>6962</v>
      </c>
      <c r="C4945" s="1">
        <v>46086</v>
      </c>
    </row>
    <row r="4946" spans="1:3" x14ac:dyDescent="0.25">
      <c r="A4946" t="s">
        <v>1007</v>
      </c>
      <c r="B4946" t="s">
        <v>6962</v>
      </c>
      <c r="C4946" s="1">
        <v>46086</v>
      </c>
    </row>
    <row r="4947" spans="1:3" x14ac:dyDescent="0.25">
      <c r="A4947" t="s">
        <v>1006</v>
      </c>
      <c r="B4947" t="s">
        <v>6962</v>
      </c>
      <c r="C4947" s="1">
        <v>46087</v>
      </c>
    </row>
    <row r="4948" spans="1:3" x14ac:dyDescent="0.25">
      <c r="A4948" t="s">
        <v>1016</v>
      </c>
      <c r="B4948" t="s">
        <v>6962</v>
      </c>
      <c r="C4948" s="1">
        <v>46091</v>
      </c>
    </row>
    <row r="4949" spans="1:3" x14ac:dyDescent="0.25">
      <c r="A4949" t="s">
        <v>1016</v>
      </c>
      <c r="B4949" t="s">
        <v>6962</v>
      </c>
      <c r="C4949" s="1">
        <v>46087</v>
      </c>
    </row>
    <row r="4950" spans="1:3" x14ac:dyDescent="0.25">
      <c r="A4950" t="s">
        <v>1019</v>
      </c>
      <c r="B4950" t="s">
        <v>6962</v>
      </c>
      <c r="C4950" s="1">
        <v>46086</v>
      </c>
    </row>
    <row r="4951" spans="1:3" x14ac:dyDescent="0.25">
      <c r="A4951" t="s">
        <v>1021</v>
      </c>
      <c r="B4951" t="s">
        <v>6962</v>
      </c>
      <c r="C4951" s="1">
        <v>46087</v>
      </c>
    </row>
    <row r="4952" spans="1:3" x14ac:dyDescent="0.25">
      <c r="A4952" t="s">
        <v>1018</v>
      </c>
      <c r="B4952" t="s">
        <v>6962</v>
      </c>
      <c r="C4952" s="1">
        <v>46088</v>
      </c>
    </row>
    <row r="4953" spans="1:3" x14ac:dyDescent="0.25">
      <c r="A4953" t="s">
        <v>1030</v>
      </c>
      <c r="B4953" t="s">
        <v>6962</v>
      </c>
      <c r="C4953" s="1">
        <v>46088</v>
      </c>
    </row>
    <row r="4954" spans="1:3" x14ac:dyDescent="0.25">
      <c r="A4954" t="s">
        <v>1027</v>
      </c>
      <c r="B4954" t="s">
        <v>6962</v>
      </c>
      <c r="C4954" s="1">
        <v>46088</v>
      </c>
    </row>
    <row r="4955" spans="1:3" x14ac:dyDescent="0.25">
      <c r="A4955" t="s">
        <v>1026</v>
      </c>
      <c r="B4955" t="s">
        <v>6962</v>
      </c>
      <c r="C4955" s="1">
        <v>46088</v>
      </c>
    </row>
    <row r="4956" spans="1:3" x14ac:dyDescent="0.25">
      <c r="A4956" t="s">
        <v>1023</v>
      </c>
      <c r="B4956" t="s">
        <v>6962</v>
      </c>
      <c r="C4956" s="1">
        <v>46090</v>
      </c>
    </row>
    <row r="4957" spans="1:3" x14ac:dyDescent="0.25">
      <c r="A4957" t="s">
        <v>1022</v>
      </c>
      <c r="B4957" t="s">
        <v>6962</v>
      </c>
      <c r="C4957" s="1">
        <v>46090</v>
      </c>
    </row>
    <row r="4958" spans="1:3" x14ac:dyDescent="0.25">
      <c r="A4958" t="s">
        <v>1050</v>
      </c>
      <c r="B4958" t="s">
        <v>6962</v>
      </c>
      <c r="C4958" s="1">
        <v>46092</v>
      </c>
    </row>
    <row r="4959" spans="1:3" x14ac:dyDescent="0.25">
      <c r="A4959" t="s">
        <v>1048</v>
      </c>
      <c r="B4959" t="s">
        <v>6962</v>
      </c>
      <c r="C4959" s="1">
        <v>46091</v>
      </c>
    </row>
    <row r="4960" spans="1:3" x14ac:dyDescent="0.25">
      <c r="A4960" t="s">
        <v>1046</v>
      </c>
      <c r="B4960" t="s">
        <v>6962</v>
      </c>
      <c r="C4960" s="1">
        <v>46094</v>
      </c>
    </row>
    <row r="4961" spans="1:3" x14ac:dyDescent="0.25">
      <c r="A4961" t="s">
        <v>1044</v>
      </c>
      <c r="B4961" t="s">
        <v>6962</v>
      </c>
      <c r="C4961" s="1">
        <v>46090</v>
      </c>
    </row>
    <row r="4962" spans="1:3" x14ac:dyDescent="0.25">
      <c r="A4962" t="s">
        <v>1036</v>
      </c>
      <c r="B4962" t="s">
        <v>6962</v>
      </c>
      <c r="C4962" s="1">
        <v>46092</v>
      </c>
    </row>
    <row r="4963" spans="1:3" x14ac:dyDescent="0.25">
      <c r="A4963" t="s">
        <v>1035</v>
      </c>
      <c r="B4963" t="s">
        <v>6962</v>
      </c>
      <c r="C4963" s="1">
        <v>46090</v>
      </c>
    </row>
    <row r="4964" spans="1:3" x14ac:dyDescent="0.25">
      <c r="A4964" t="s">
        <v>1032</v>
      </c>
      <c r="B4964" t="s">
        <v>6962</v>
      </c>
      <c r="C4964" s="1">
        <v>46090</v>
      </c>
    </row>
    <row r="4965" spans="1:3" x14ac:dyDescent="0.25">
      <c r="A4965" t="s">
        <v>1053</v>
      </c>
      <c r="B4965" t="s">
        <v>39</v>
      </c>
      <c r="C4965" s="1"/>
    </row>
    <row r="4966" spans="1:3" x14ac:dyDescent="0.25">
      <c r="A4966" t="s">
        <v>1057</v>
      </c>
      <c r="B4966" t="s">
        <v>6962</v>
      </c>
      <c r="C4966" s="1">
        <v>46092</v>
      </c>
    </row>
    <row r="4967" spans="1:3" x14ac:dyDescent="0.25">
      <c r="A4967" t="s">
        <v>1056</v>
      </c>
      <c r="B4967" t="s">
        <v>6962</v>
      </c>
      <c r="C4967" s="1">
        <v>46092</v>
      </c>
    </row>
    <row r="4968" spans="1:3" x14ac:dyDescent="0.25">
      <c r="A4968" t="s">
        <v>1055</v>
      </c>
      <c r="B4968" t="s">
        <v>6962</v>
      </c>
      <c r="C4968" s="1">
        <v>46092</v>
      </c>
    </row>
    <row r="4969" spans="1:3" x14ac:dyDescent="0.25">
      <c r="A4969" t="s">
        <v>1060</v>
      </c>
      <c r="B4969" t="s">
        <v>6962</v>
      </c>
      <c r="C4969" s="1">
        <v>46092</v>
      </c>
    </row>
    <row r="4970" spans="1:3" x14ac:dyDescent="0.25">
      <c r="A4970" t="s">
        <v>1067</v>
      </c>
      <c r="B4970" t="s">
        <v>6962</v>
      </c>
      <c r="C4970" s="1">
        <v>46092</v>
      </c>
    </row>
    <row r="4971" spans="1:3" x14ac:dyDescent="0.25">
      <c r="A4971" t="s">
        <v>1066</v>
      </c>
      <c r="B4971" t="s">
        <v>39</v>
      </c>
      <c r="C4971" s="1"/>
    </row>
    <row r="4972" spans="1:3" x14ac:dyDescent="0.25">
      <c r="A4972" t="s">
        <v>1064</v>
      </c>
      <c r="B4972" t="s">
        <v>6962</v>
      </c>
      <c r="C4972" s="1"/>
    </row>
    <row r="4973" spans="1:3" x14ac:dyDescent="0.25">
      <c r="A4973" t="s">
        <v>1063</v>
      </c>
      <c r="B4973" t="s">
        <v>6962</v>
      </c>
      <c r="C4973" s="1">
        <v>46093</v>
      </c>
    </row>
    <row r="4974" spans="1:3" x14ac:dyDescent="0.25">
      <c r="A4974" t="s">
        <v>1062</v>
      </c>
      <c r="B4974" t="s">
        <v>6962</v>
      </c>
      <c r="C4974" s="1">
        <v>46100</v>
      </c>
    </row>
    <row r="4975" spans="1:3" x14ac:dyDescent="0.25">
      <c r="A4975" t="s">
        <v>1061</v>
      </c>
      <c r="B4975" t="s">
        <v>6962</v>
      </c>
      <c r="C4975" s="1">
        <v>46094</v>
      </c>
    </row>
    <row r="4976" spans="1:3" x14ac:dyDescent="0.25">
      <c r="A4976" t="s">
        <v>1071</v>
      </c>
      <c r="B4976" t="s">
        <v>6962</v>
      </c>
      <c r="C4976" s="1">
        <v>46095</v>
      </c>
    </row>
    <row r="4977" spans="1:3" x14ac:dyDescent="0.25">
      <c r="A4977" t="s">
        <v>1070</v>
      </c>
      <c r="B4977" t="s">
        <v>6962</v>
      </c>
      <c r="C4977" s="1">
        <v>46099</v>
      </c>
    </row>
    <row r="4978" spans="1:3" x14ac:dyDescent="0.25">
      <c r="A4978" t="s">
        <v>1069</v>
      </c>
      <c r="B4978" t="s">
        <v>6962</v>
      </c>
      <c r="C4978" s="1">
        <v>46093</v>
      </c>
    </row>
    <row r="4979" spans="1:3" x14ac:dyDescent="0.25">
      <c r="A4979" t="s">
        <v>1068</v>
      </c>
      <c r="B4979" t="s">
        <v>39</v>
      </c>
      <c r="C4979" s="1"/>
    </row>
    <row r="4980" spans="1:3" x14ac:dyDescent="0.25">
      <c r="A4980" t="s">
        <v>1072</v>
      </c>
      <c r="B4980" t="s">
        <v>6962</v>
      </c>
      <c r="C4980" s="1">
        <v>46097</v>
      </c>
    </row>
    <row r="4981" spans="1:3" x14ac:dyDescent="0.25">
      <c r="A4981" t="s">
        <v>1072</v>
      </c>
      <c r="B4981" t="s">
        <v>6962</v>
      </c>
      <c r="C4981" s="1">
        <v>46097</v>
      </c>
    </row>
    <row r="4982" spans="1:3" x14ac:dyDescent="0.25">
      <c r="A4982" t="s">
        <v>1081</v>
      </c>
      <c r="B4982" t="s">
        <v>6962</v>
      </c>
      <c r="C4982" s="1">
        <v>46094</v>
      </c>
    </row>
    <row r="4983" spans="1:3" x14ac:dyDescent="0.25">
      <c r="A4983" t="s">
        <v>1080</v>
      </c>
      <c r="B4983" t="s">
        <v>6962</v>
      </c>
      <c r="C4983" s="1"/>
    </row>
    <row r="4984" spans="1:3" x14ac:dyDescent="0.25">
      <c r="A4984" t="s">
        <v>1079</v>
      </c>
      <c r="B4984" t="s">
        <v>6962</v>
      </c>
      <c r="C4984" s="1">
        <v>46100</v>
      </c>
    </row>
    <row r="4985" spans="1:3" x14ac:dyDescent="0.25">
      <c r="A4985" t="s">
        <v>1077</v>
      </c>
      <c r="B4985" t="s">
        <v>6962</v>
      </c>
      <c r="C4985" s="1">
        <v>46135</v>
      </c>
    </row>
    <row r="4986" spans="1:3" x14ac:dyDescent="0.25">
      <c r="A4986" t="s">
        <v>1076</v>
      </c>
      <c r="B4986" t="s">
        <v>6962</v>
      </c>
      <c r="C4986" s="1">
        <v>46094</v>
      </c>
    </row>
    <row r="4987" spans="1:3" x14ac:dyDescent="0.25">
      <c r="A4987" t="s">
        <v>1075</v>
      </c>
      <c r="B4987" t="s">
        <v>6962</v>
      </c>
      <c r="C4987" s="1">
        <v>46111</v>
      </c>
    </row>
    <row r="4988" spans="1:3" x14ac:dyDescent="0.25">
      <c r="A4988" t="s">
        <v>1074</v>
      </c>
      <c r="B4988" t="s">
        <v>6962</v>
      </c>
      <c r="C4988" s="1">
        <v>46129</v>
      </c>
    </row>
    <row r="4989" spans="1:3" x14ac:dyDescent="0.25">
      <c r="A4989" t="s">
        <v>1074</v>
      </c>
      <c r="B4989" t="s">
        <v>6962</v>
      </c>
      <c r="C4989" s="1">
        <v>46121</v>
      </c>
    </row>
    <row r="4990" spans="1:3" x14ac:dyDescent="0.25">
      <c r="A4990" t="s">
        <v>1074</v>
      </c>
      <c r="B4990" t="s">
        <v>6962</v>
      </c>
      <c r="C4990" s="1">
        <v>46129</v>
      </c>
    </row>
    <row r="4991" spans="1:3" x14ac:dyDescent="0.25">
      <c r="A4991" t="s">
        <v>1074</v>
      </c>
      <c r="B4991" t="s">
        <v>6962</v>
      </c>
      <c r="C4991" s="1">
        <v>46121</v>
      </c>
    </row>
    <row r="4992" spans="1:3" x14ac:dyDescent="0.25">
      <c r="A4992" t="s">
        <v>1092</v>
      </c>
      <c r="B4992" t="s">
        <v>6962</v>
      </c>
      <c r="C4992" s="1">
        <v>46100</v>
      </c>
    </row>
    <row r="4993" spans="1:3" x14ac:dyDescent="0.25">
      <c r="A4993" t="s">
        <v>1090</v>
      </c>
      <c r="B4993" t="s">
        <v>6962</v>
      </c>
      <c r="C4993" s="1">
        <v>46107</v>
      </c>
    </row>
    <row r="4994" spans="1:3" x14ac:dyDescent="0.25">
      <c r="A4994" t="s">
        <v>1089</v>
      </c>
      <c r="B4994" t="s">
        <v>6962</v>
      </c>
      <c r="C4994" s="1">
        <v>46107</v>
      </c>
    </row>
    <row r="4995" spans="1:3" x14ac:dyDescent="0.25">
      <c r="A4995" t="s">
        <v>1088</v>
      </c>
      <c r="B4995" t="s">
        <v>6962</v>
      </c>
      <c r="C4995" s="1">
        <v>46097</v>
      </c>
    </row>
    <row r="4996" spans="1:3" x14ac:dyDescent="0.25">
      <c r="A4996" t="s">
        <v>1087</v>
      </c>
      <c r="B4996" t="s">
        <v>6962</v>
      </c>
      <c r="C4996" s="1">
        <v>46129</v>
      </c>
    </row>
    <row r="4997" spans="1:3" x14ac:dyDescent="0.25">
      <c r="A4997" t="s">
        <v>1086</v>
      </c>
      <c r="B4997" t="s">
        <v>39</v>
      </c>
      <c r="C4997" s="1"/>
    </row>
    <row r="4998" spans="1:3" x14ac:dyDescent="0.25">
      <c r="A4998" t="s">
        <v>1085</v>
      </c>
      <c r="B4998" t="s">
        <v>39</v>
      </c>
      <c r="C4998" s="1"/>
    </row>
    <row r="4999" spans="1:3" x14ac:dyDescent="0.25">
      <c r="A4999" t="s">
        <v>1084</v>
      </c>
      <c r="B4999" t="s">
        <v>6962</v>
      </c>
      <c r="C4999" s="1">
        <v>46134</v>
      </c>
    </row>
    <row r="5000" spans="1:3" x14ac:dyDescent="0.25">
      <c r="A5000" t="s">
        <v>1098</v>
      </c>
      <c r="B5000" t="s">
        <v>6962</v>
      </c>
      <c r="C5000" s="1"/>
    </row>
    <row r="5001" spans="1:3" x14ac:dyDescent="0.25">
      <c r="A5001" t="s">
        <v>1098</v>
      </c>
      <c r="B5001" t="s">
        <v>6962</v>
      </c>
      <c r="C5001" s="1"/>
    </row>
    <row r="5002" spans="1:3" x14ac:dyDescent="0.25">
      <c r="A5002" t="s">
        <v>1098</v>
      </c>
      <c r="B5002" t="s">
        <v>6962</v>
      </c>
      <c r="C5002" s="1"/>
    </row>
    <row r="5003" spans="1:3" x14ac:dyDescent="0.25">
      <c r="A5003" t="s">
        <v>1098</v>
      </c>
      <c r="B5003" t="s">
        <v>6962</v>
      </c>
      <c r="C5003" s="1">
        <v>46119</v>
      </c>
    </row>
    <row r="5004" spans="1:3" x14ac:dyDescent="0.25">
      <c r="A5004" t="s">
        <v>1098</v>
      </c>
      <c r="B5004" t="s">
        <v>6962</v>
      </c>
      <c r="C5004" s="1"/>
    </row>
    <row r="5005" spans="1:3" x14ac:dyDescent="0.25">
      <c r="A5005" t="s">
        <v>1097</v>
      </c>
      <c r="B5005" t="s">
        <v>6962</v>
      </c>
      <c r="C5005" s="1">
        <v>46123</v>
      </c>
    </row>
    <row r="5006" spans="1:3" x14ac:dyDescent="0.25">
      <c r="A5006" t="s">
        <v>1096</v>
      </c>
      <c r="B5006" t="s">
        <v>6962</v>
      </c>
      <c r="C5006" s="1">
        <v>46099</v>
      </c>
    </row>
    <row r="5007" spans="1:3" x14ac:dyDescent="0.25">
      <c r="A5007" t="s">
        <v>1095</v>
      </c>
      <c r="B5007" t="s">
        <v>6962</v>
      </c>
      <c r="C5007" s="1">
        <v>46098</v>
      </c>
    </row>
    <row r="5008" spans="1:3" x14ac:dyDescent="0.25">
      <c r="A5008" t="s">
        <v>1094</v>
      </c>
      <c r="B5008" t="s">
        <v>6962</v>
      </c>
      <c r="C5008" s="1">
        <v>46133</v>
      </c>
    </row>
    <row r="5009" spans="1:3" x14ac:dyDescent="0.25">
      <c r="A5009" t="s">
        <v>1094</v>
      </c>
      <c r="B5009" t="s">
        <v>6962</v>
      </c>
      <c r="C5009" s="1">
        <v>46133</v>
      </c>
    </row>
    <row r="5010" spans="1:3" x14ac:dyDescent="0.25">
      <c r="A5010" t="s">
        <v>1127</v>
      </c>
      <c r="B5010" t="s">
        <v>6962</v>
      </c>
      <c r="C5010" s="1">
        <v>46129</v>
      </c>
    </row>
    <row r="5011" spans="1:3" x14ac:dyDescent="0.25">
      <c r="A5011" t="s">
        <v>1126</v>
      </c>
      <c r="B5011" t="s">
        <v>6962</v>
      </c>
      <c r="C5011" s="1">
        <v>46128</v>
      </c>
    </row>
    <row r="5012" spans="1:3" x14ac:dyDescent="0.25">
      <c r="A5012" t="s">
        <v>1124</v>
      </c>
      <c r="B5012" t="s">
        <v>6962</v>
      </c>
      <c r="C5012" s="1">
        <v>46126</v>
      </c>
    </row>
    <row r="5013" spans="1:3" x14ac:dyDescent="0.25">
      <c r="A5013" t="s">
        <v>1122</v>
      </c>
      <c r="B5013" t="s">
        <v>6962</v>
      </c>
      <c r="C5013" s="1">
        <v>46112</v>
      </c>
    </row>
    <row r="5014" spans="1:3" x14ac:dyDescent="0.25">
      <c r="A5014" t="s">
        <v>1121</v>
      </c>
      <c r="B5014" t="s">
        <v>6962</v>
      </c>
      <c r="C5014" s="1">
        <v>46100</v>
      </c>
    </row>
    <row r="5015" spans="1:3" x14ac:dyDescent="0.25">
      <c r="A5015" t="s">
        <v>1120</v>
      </c>
      <c r="B5015" t="s">
        <v>6962</v>
      </c>
      <c r="C5015" s="1">
        <v>46101</v>
      </c>
    </row>
    <row r="5016" spans="1:3" x14ac:dyDescent="0.25">
      <c r="A5016" t="s">
        <v>1119</v>
      </c>
      <c r="B5016" t="s">
        <v>6962</v>
      </c>
      <c r="C5016" s="1">
        <v>46097</v>
      </c>
    </row>
    <row r="5017" spans="1:3" x14ac:dyDescent="0.25">
      <c r="A5017" t="s">
        <v>1116</v>
      </c>
      <c r="B5017" t="s">
        <v>6962</v>
      </c>
      <c r="C5017" s="1">
        <v>46100</v>
      </c>
    </row>
    <row r="5018" spans="1:3" x14ac:dyDescent="0.25">
      <c r="A5018" t="s">
        <v>1115</v>
      </c>
      <c r="B5018" t="s">
        <v>6962</v>
      </c>
      <c r="C5018" s="1">
        <v>46098</v>
      </c>
    </row>
    <row r="5019" spans="1:3" x14ac:dyDescent="0.25">
      <c r="A5019" t="s">
        <v>1113</v>
      </c>
      <c r="B5019" t="s">
        <v>6962</v>
      </c>
      <c r="C5019" s="1">
        <v>46097</v>
      </c>
    </row>
    <row r="5020" spans="1:3" x14ac:dyDescent="0.25">
      <c r="A5020" t="s">
        <v>1112</v>
      </c>
      <c r="B5020" t="s">
        <v>6962</v>
      </c>
      <c r="C5020" s="1">
        <v>46123</v>
      </c>
    </row>
    <row r="5021" spans="1:3" x14ac:dyDescent="0.25">
      <c r="A5021" t="s">
        <v>1111</v>
      </c>
      <c r="B5021" t="s">
        <v>6962</v>
      </c>
      <c r="C5021" s="1">
        <v>46120</v>
      </c>
    </row>
    <row r="5022" spans="1:3" x14ac:dyDescent="0.25">
      <c r="A5022" t="s">
        <v>1109</v>
      </c>
      <c r="B5022" t="s">
        <v>6962</v>
      </c>
      <c r="C5022" s="1"/>
    </row>
    <row r="5023" spans="1:3" x14ac:dyDescent="0.25">
      <c r="A5023" t="s">
        <v>1108</v>
      </c>
      <c r="B5023" t="s">
        <v>6962</v>
      </c>
      <c r="C5023" s="1">
        <v>46126</v>
      </c>
    </row>
    <row r="5024" spans="1:3" x14ac:dyDescent="0.25">
      <c r="A5024" t="s">
        <v>1107</v>
      </c>
      <c r="B5024" t="s">
        <v>6962</v>
      </c>
      <c r="C5024" s="1">
        <v>46097</v>
      </c>
    </row>
    <row r="5025" spans="1:3" x14ac:dyDescent="0.25">
      <c r="A5025" t="s">
        <v>1106</v>
      </c>
      <c r="B5025" t="s">
        <v>6962</v>
      </c>
      <c r="C5025" s="1">
        <v>46104</v>
      </c>
    </row>
    <row r="5026" spans="1:3" x14ac:dyDescent="0.25">
      <c r="A5026" t="s">
        <v>1105</v>
      </c>
      <c r="B5026" t="s">
        <v>6962</v>
      </c>
      <c r="C5026" s="1">
        <v>46122</v>
      </c>
    </row>
    <row r="5027" spans="1:3" x14ac:dyDescent="0.25">
      <c r="A5027" t="s">
        <v>1104</v>
      </c>
      <c r="B5027" t="s">
        <v>6962</v>
      </c>
      <c r="C5027" s="1">
        <v>46098</v>
      </c>
    </row>
    <row r="5028" spans="1:3" x14ac:dyDescent="0.25">
      <c r="A5028" t="s">
        <v>1102</v>
      </c>
      <c r="B5028" t="s">
        <v>6962</v>
      </c>
      <c r="C5028" s="1">
        <v>46097</v>
      </c>
    </row>
    <row r="5029" spans="1:3" x14ac:dyDescent="0.25">
      <c r="A5029" t="s">
        <v>1101</v>
      </c>
      <c r="B5029" t="s">
        <v>39</v>
      </c>
      <c r="C5029" s="1"/>
    </row>
    <row r="5030" spans="1:3" x14ac:dyDescent="0.25">
      <c r="A5030" t="s">
        <v>1100</v>
      </c>
      <c r="B5030" t="s">
        <v>6962</v>
      </c>
      <c r="C5030" s="1"/>
    </row>
    <row r="5031" spans="1:3" x14ac:dyDescent="0.25">
      <c r="A5031" t="s">
        <v>1100</v>
      </c>
      <c r="B5031" t="s">
        <v>6962</v>
      </c>
      <c r="C5031" s="1">
        <v>46095</v>
      </c>
    </row>
    <row r="5032" spans="1:3" x14ac:dyDescent="0.25">
      <c r="A5032" t="s">
        <v>1100</v>
      </c>
      <c r="B5032" t="s">
        <v>6962</v>
      </c>
      <c r="C5032" s="1">
        <v>46095</v>
      </c>
    </row>
    <row r="5033" spans="1:3" x14ac:dyDescent="0.25">
      <c r="A5033" t="s">
        <v>1139</v>
      </c>
      <c r="B5033" t="s">
        <v>6962</v>
      </c>
      <c r="C5033" s="1">
        <v>46127</v>
      </c>
    </row>
    <row r="5034" spans="1:3" x14ac:dyDescent="0.25">
      <c r="A5034" t="s">
        <v>1138</v>
      </c>
      <c r="B5034" t="s">
        <v>6962</v>
      </c>
      <c r="C5034" s="1">
        <v>46132</v>
      </c>
    </row>
    <row r="5035" spans="1:3" x14ac:dyDescent="0.25">
      <c r="A5035" t="s">
        <v>1136</v>
      </c>
      <c r="B5035" t="s">
        <v>6962</v>
      </c>
      <c r="C5035" s="1"/>
    </row>
    <row r="5036" spans="1:3" x14ac:dyDescent="0.25">
      <c r="A5036" t="s">
        <v>1135</v>
      </c>
      <c r="B5036" t="s">
        <v>6962</v>
      </c>
      <c r="C5036" s="1">
        <v>46100</v>
      </c>
    </row>
    <row r="5037" spans="1:3" x14ac:dyDescent="0.25">
      <c r="A5037" t="s">
        <v>1134</v>
      </c>
      <c r="B5037" t="s">
        <v>6962</v>
      </c>
      <c r="C5037" s="1">
        <v>46129</v>
      </c>
    </row>
    <row r="5038" spans="1:3" x14ac:dyDescent="0.25">
      <c r="A5038" t="s">
        <v>1133</v>
      </c>
      <c r="B5038" t="s">
        <v>6962</v>
      </c>
      <c r="C5038" s="1">
        <v>46123</v>
      </c>
    </row>
    <row r="5039" spans="1:3" x14ac:dyDescent="0.25">
      <c r="A5039" t="s">
        <v>1132</v>
      </c>
      <c r="B5039" t="s">
        <v>6962</v>
      </c>
      <c r="C5039" s="1">
        <v>46126</v>
      </c>
    </row>
    <row r="5040" spans="1:3" x14ac:dyDescent="0.25">
      <c r="A5040" t="s">
        <v>1131</v>
      </c>
      <c r="B5040" t="s">
        <v>6962</v>
      </c>
      <c r="C5040" s="1">
        <v>46113</v>
      </c>
    </row>
    <row r="5041" spans="1:3" x14ac:dyDescent="0.25">
      <c r="A5041" t="s">
        <v>1153</v>
      </c>
      <c r="B5041" t="s">
        <v>6962</v>
      </c>
      <c r="C5041" s="1">
        <v>46134</v>
      </c>
    </row>
    <row r="5042" spans="1:3" x14ac:dyDescent="0.25">
      <c r="A5042" t="s">
        <v>1151</v>
      </c>
      <c r="B5042" t="s">
        <v>6962</v>
      </c>
      <c r="C5042" s="1">
        <v>46106</v>
      </c>
    </row>
    <row r="5043" spans="1:3" x14ac:dyDescent="0.25">
      <c r="A5043" t="s">
        <v>1150</v>
      </c>
      <c r="B5043" t="s">
        <v>6962</v>
      </c>
      <c r="C5043" s="1">
        <v>46125</v>
      </c>
    </row>
    <row r="5044" spans="1:3" x14ac:dyDescent="0.25">
      <c r="A5044" t="s">
        <v>1149</v>
      </c>
      <c r="B5044" t="s">
        <v>39</v>
      </c>
      <c r="C5044" s="1"/>
    </row>
    <row r="5045" spans="1:3" x14ac:dyDescent="0.25">
      <c r="A5045" t="s">
        <v>1148</v>
      </c>
      <c r="B5045" t="s">
        <v>39</v>
      </c>
      <c r="C5045" s="1"/>
    </row>
    <row r="5046" spans="1:3" x14ac:dyDescent="0.25">
      <c r="A5046" t="s">
        <v>1147</v>
      </c>
      <c r="B5046" t="s">
        <v>6962</v>
      </c>
      <c r="C5046" s="1">
        <v>46102</v>
      </c>
    </row>
    <row r="5047" spans="1:3" x14ac:dyDescent="0.25">
      <c r="A5047" t="s">
        <v>1147</v>
      </c>
      <c r="B5047" t="s">
        <v>6962</v>
      </c>
      <c r="C5047" s="1">
        <v>46102</v>
      </c>
    </row>
    <row r="5048" spans="1:3" x14ac:dyDescent="0.25">
      <c r="A5048" t="s">
        <v>1146</v>
      </c>
      <c r="B5048" t="s">
        <v>6962</v>
      </c>
      <c r="C5048" s="1">
        <v>46107</v>
      </c>
    </row>
    <row r="5049" spans="1:3" x14ac:dyDescent="0.25">
      <c r="A5049" t="s">
        <v>1145</v>
      </c>
      <c r="B5049" t="s">
        <v>6962</v>
      </c>
      <c r="C5049" s="1">
        <v>46113</v>
      </c>
    </row>
    <row r="5050" spans="1:3" x14ac:dyDescent="0.25">
      <c r="A5050" t="s">
        <v>1142</v>
      </c>
      <c r="B5050" t="s">
        <v>6962</v>
      </c>
      <c r="C5050" s="1">
        <v>46111</v>
      </c>
    </row>
    <row r="5051" spans="1:3" x14ac:dyDescent="0.25">
      <c r="A5051" t="s">
        <v>1142</v>
      </c>
      <c r="B5051" t="s">
        <v>6962</v>
      </c>
      <c r="C5051" s="1">
        <v>46111</v>
      </c>
    </row>
    <row r="5052" spans="1:3" x14ac:dyDescent="0.25">
      <c r="A5052" t="s">
        <v>1152</v>
      </c>
      <c r="B5052" t="s">
        <v>6962</v>
      </c>
      <c r="C5052" s="1">
        <v>46114</v>
      </c>
    </row>
    <row r="5053" spans="1:3" x14ac:dyDescent="0.25">
      <c r="A5053" t="s">
        <v>1166</v>
      </c>
      <c r="B5053" t="s">
        <v>6962</v>
      </c>
      <c r="C5053" s="1">
        <v>46122</v>
      </c>
    </row>
    <row r="5054" spans="1:3" x14ac:dyDescent="0.25">
      <c r="A5054" t="s">
        <v>1165</v>
      </c>
      <c r="B5054" t="s">
        <v>6962</v>
      </c>
      <c r="C5054" s="1">
        <v>46108</v>
      </c>
    </row>
    <row r="5055" spans="1:3" x14ac:dyDescent="0.25">
      <c r="A5055" t="s">
        <v>1164</v>
      </c>
      <c r="B5055" t="s">
        <v>39</v>
      </c>
      <c r="C5055" s="1"/>
    </row>
    <row r="5056" spans="1:3" x14ac:dyDescent="0.25">
      <c r="A5056" t="s">
        <v>1161</v>
      </c>
      <c r="B5056" t="s">
        <v>6962</v>
      </c>
      <c r="C5056" s="1">
        <v>46101</v>
      </c>
    </row>
    <row r="5057" spans="1:3" x14ac:dyDescent="0.25">
      <c r="A5057" t="s">
        <v>1160</v>
      </c>
      <c r="B5057" t="s">
        <v>6962</v>
      </c>
      <c r="C5057" s="1">
        <v>46105</v>
      </c>
    </row>
    <row r="5058" spans="1:3" x14ac:dyDescent="0.25">
      <c r="A5058" t="s">
        <v>1159</v>
      </c>
      <c r="B5058" t="s">
        <v>6962</v>
      </c>
      <c r="C5058" s="1">
        <v>46108</v>
      </c>
    </row>
    <row r="5059" spans="1:3" x14ac:dyDescent="0.25">
      <c r="A5059" t="s">
        <v>1158</v>
      </c>
      <c r="B5059" t="s">
        <v>6962</v>
      </c>
      <c r="C5059" s="1">
        <v>46104</v>
      </c>
    </row>
    <row r="5060" spans="1:3" x14ac:dyDescent="0.25">
      <c r="A5060" t="s">
        <v>1157</v>
      </c>
      <c r="B5060" t="s">
        <v>6962</v>
      </c>
      <c r="C5060" s="1"/>
    </row>
    <row r="5061" spans="1:3" x14ac:dyDescent="0.25">
      <c r="A5061" t="s">
        <v>1155</v>
      </c>
      <c r="B5061" t="s">
        <v>6962</v>
      </c>
      <c r="C5061" s="1">
        <v>46107</v>
      </c>
    </row>
    <row r="5062" spans="1:3" x14ac:dyDescent="0.25">
      <c r="A5062" t="s">
        <v>1172</v>
      </c>
      <c r="B5062" t="s">
        <v>6962</v>
      </c>
      <c r="C5062" s="1">
        <v>46100</v>
      </c>
    </row>
    <row r="5063" spans="1:3" x14ac:dyDescent="0.25">
      <c r="A5063" t="s">
        <v>1170</v>
      </c>
      <c r="B5063" t="s">
        <v>39</v>
      </c>
      <c r="C5063" s="1"/>
    </row>
    <row r="5064" spans="1:3" x14ac:dyDescent="0.25">
      <c r="A5064" t="s">
        <v>1169</v>
      </c>
      <c r="B5064" t="s">
        <v>39</v>
      </c>
      <c r="C5064" s="1"/>
    </row>
    <row r="5065" spans="1:3" x14ac:dyDescent="0.25">
      <c r="A5065" t="s">
        <v>1168</v>
      </c>
      <c r="B5065" t="s">
        <v>6962</v>
      </c>
      <c r="C5065" s="1">
        <v>46126</v>
      </c>
    </row>
    <row r="5066" spans="1:3" x14ac:dyDescent="0.25">
      <c r="A5066" t="s">
        <v>1154</v>
      </c>
      <c r="B5066" t="s">
        <v>6962</v>
      </c>
      <c r="C5066" s="1">
        <v>46100</v>
      </c>
    </row>
    <row r="5067" spans="1:3" x14ac:dyDescent="0.25">
      <c r="A5067" t="s">
        <v>1167</v>
      </c>
      <c r="B5067" t="s">
        <v>6962</v>
      </c>
      <c r="C5067" s="1">
        <v>46133</v>
      </c>
    </row>
    <row r="5068" spans="1:3" x14ac:dyDescent="0.25">
      <c r="A5068" t="s">
        <v>1174</v>
      </c>
      <c r="B5068" t="s">
        <v>39</v>
      </c>
      <c r="C5068" s="1"/>
    </row>
    <row r="5069" spans="1:3" x14ac:dyDescent="0.25">
      <c r="A5069" t="s">
        <v>1176</v>
      </c>
      <c r="B5069" t="s">
        <v>6962</v>
      </c>
      <c r="C5069" s="1">
        <v>46102</v>
      </c>
    </row>
    <row r="5070" spans="1:3" x14ac:dyDescent="0.25">
      <c r="A5070" t="s">
        <v>1180</v>
      </c>
      <c r="B5070" t="s">
        <v>6962</v>
      </c>
      <c r="C5070" s="1">
        <v>46107</v>
      </c>
    </row>
    <row r="5071" spans="1:3" x14ac:dyDescent="0.25">
      <c r="A5071" t="s">
        <v>1180</v>
      </c>
      <c r="B5071" t="s">
        <v>6962</v>
      </c>
      <c r="C5071" s="1">
        <v>46107</v>
      </c>
    </row>
    <row r="5072" spans="1:3" x14ac:dyDescent="0.25">
      <c r="A5072" t="s">
        <v>1179</v>
      </c>
      <c r="B5072" t="s">
        <v>6962</v>
      </c>
      <c r="C5072" s="1">
        <v>46112</v>
      </c>
    </row>
    <row r="5073" spans="1:3" x14ac:dyDescent="0.25">
      <c r="A5073" t="s">
        <v>1186</v>
      </c>
      <c r="B5073" t="s">
        <v>6962</v>
      </c>
      <c r="C5073" s="1">
        <v>46126</v>
      </c>
    </row>
    <row r="5074" spans="1:3" x14ac:dyDescent="0.25">
      <c r="A5074" t="s">
        <v>1183</v>
      </c>
      <c r="B5074" t="s">
        <v>6962</v>
      </c>
      <c r="C5074" s="1">
        <v>46112</v>
      </c>
    </row>
    <row r="5075" spans="1:3" x14ac:dyDescent="0.25">
      <c r="A5075" t="s">
        <v>1197</v>
      </c>
      <c r="B5075" t="s">
        <v>6962</v>
      </c>
      <c r="C5075" s="1">
        <v>46108</v>
      </c>
    </row>
    <row r="5076" spans="1:3" x14ac:dyDescent="0.25">
      <c r="A5076" t="s">
        <v>1195</v>
      </c>
      <c r="B5076" t="s">
        <v>39</v>
      </c>
      <c r="C5076" s="1"/>
    </row>
    <row r="5077" spans="1:3" x14ac:dyDescent="0.25">
      <c r="A5077" t="s">
        <v>1194</v>
      </c>
      <c r="B5077" t="s">
        <v>6962</v>
      </c>
      <c r="C5077" s="1">
        <v>46119</v>
      </c>
    </row>
    <row r="5078" spans="1:3" x14ac:dyDescent="0.25">
      <c r="A5078" t="s">
        <v>1192</v>
      </c>
      <c r="B5078" t="s">
        <v>6962</v>
      </c>
      <c r="C5078" s="1">
        <v>46107</v>
      </c>
    </row>
    <row r="5079" spans="1:3" x14ac:dyDescent="0.25">
      <c r="A5079" t="s">
        <v>1191</v>
      </c>
      <c r="B5079" t="s">
        <v>6962</v>
      </c>
      <c r="C5079" s="1">
        <v>46116</v>
      </c>
    </row>
    <row r="5080" spans="1:3" x14ac:dyDescent="0.25">
      <c r="A5080" t="s">
        <v>1190</v>
      </c>
      <c r="B5080" t="s">
        <v>6962</v>
      </c>
      <c r="C5080" s="1">
        <v>46105</v>
      </c>
    </row>
    <row r="5081" spans="1:3" x14ac:dyDescent="0.25">
      <c r="A5081" t="s">
        <v>1189</v>
      </c>
      <c r="B5081" t="s">
        <v>6962</v>
      </c>
      <c r="C5081" s="1">
        <v>46116</v>
      </c>
    </row>
    <row r="5082" spans="1:3" x14ac:dyDescent="0.25">
      <c r="A5082" t="s">
        <v>6956</v>
      </c>
      <c r="B5082" t="s">
        <v>6962</v>
      </c>
      <c r="C5082" s="1">
        <v>46105</v>
      </c>
    </row>
    <row r="5083" spans="1:3" x14ac:dyDescent="0.25">
      <c r="A5083" t="s">
        <v>1204</v>
      </c>
      <c r="B5083" t="s">
        <v>6962</v>
      </c>
      <c r="C5083" s="1">
        <v>46116</v>
      </c>
    </row>
    <row r="5084" spans="1:3" x14ac:dyDescent="0.25">
      <c r="A5084" t="s">
        <v>1203</v>
      </c>
      <c r="B5084" t="s">
        <v>6962</v>
      </c>
      <c r="C5084" s="1">
        <v>46114</v>
      </c>
    </row>
    <row r="5085" spans="1:3" x14ac:dyDescent="0.25">
      <c r="A5085" t="s">
        <v>1202</v>
      </c>
      <c r="B5085" t="s">
        <v>6962</v>
      </c>
      <c r="C5085" s="1">
        <v>46114</v>
      </c>
    </row>
    <row r="5086" spans="1:3" x14ac:dyDescent="0.25">
      <c r="A5086" t="s">
        <v>1201</v>
      </c>
      <c r="B5086" t="s">
        <v>6962</v>
      </c>
      <c r="C5086" s="1">
        <v>46114</v>
      </c>
    </row>
    <row r="5087" spans="1:3" x14ac:dyDescent="0.25">
      <c r="A5087" t="s">
        <v>1200</v>
      </c>
      <c r="B5087" t="s">
        <v>6962</v>
      </c>
      <c r="C5087" s="1">
        <v>46107</v>
      </c>
    </row>
    <row r="5088" spans="1:3" x14ac:dyDescent="0.25">
      <c r="A5088" t="s">
        <v>1222</v>
      </c>
      <c r="B5088" t="s">
        <v>6962</v>
      </c>
      <c r="C5088" s="1">
        <v>46129</v>
      </c>
    </row>
    <row r="5089" spans="1:3" x14ac:dyDescent="0.25">
      <c r="A5089" t="s">
        <v>1222</v>
      </c>
      <c r="B5089" t="s">
        <v>6962</v>
      </c>
      <c r="C5089" s="1">
        <v>46125</v>
      </c>
    </row>
    <row r="5090" spans="1:3" x14ac:dyDescent="0.25">
      <c r="A5090" t="s">
        <v>1222</v>
      </c>
      <c r="B5090" t="s">
        <v>6962</v>
      </c>
      <c r="C5090" s="1">
        <v>46125</v>
      </c>
    </row>
    <row r="5091" spans="1:3" x14ac:dyDescent="0.25">
      <c r="A5091" t="s">
        <v>1222</v>
      </c>
      <c r="B5091" t="s">
        <v>6962</v>
      </c>
      <c r="C5091" s="1">
        <v>46125</v>
      </c>
    </row>
    <row r="5092" spans="1:3" x14ac:dyDescent="0.25">
      <c r="A5092" t="s">
        <v>1218</v>
      </c>
      <c r="B5092" t="s">
        <v>6963</v>
      </c>
      <c r="C5092" s="1"/>
    </row>
    <row r="5093" spans="1:3" x14ac:dyDescent="0.25">
      <c r="A5093" t="s">
        <v>1220</v>
      </c>
      <c r="B5093" t="s">
        <v>6962</v>
      </c>
      <c r="C5093" s="1">
        <v>46120</v>
      </c>
    </row>
    <row r="5094" spans="1:3" x14ac:dyDescent="0.25">
      <c r="A5094" t="s">
        <v>1219</v>
      </c>
      <c r="B5094" t="s">
        <v>6962</v>
      </c>
      <c r="C5094" s="1">
        <v>46114</v>
      </c>
    </row>
    <row r="5095" spans="1:3" x14ac:dyDescent="0.25">
      <c r="A5095" t="s">
        <v>1217</v>
      </c>
      <c r="B5095" t="s">
        <v>6962</v>
      </c>
      <c r="C5095" s="1">
        <v>46116</v>
      </c>
    </row>
    <row r="5096" spans="1:3" x14ac:dyDescent="0.25">
      <c r="A5096" t="s">
        <v>1215</v>
      </c>
      <c r="B5096" t="s">
        <v>6962</v>
      </c>
      <c r="C5096" s="1">
        <v>46114</v>
      </c>
    </row>
    <row r="5097" spans="1:3" x14ac:dyDescent="0.25">
      <c r="A5097" t="s">
        <v>1214</v>
      </c>
      <c r="B5097" t="s">
        <v>6962</v>
      </c>
      <c r="C5097" s="1">
        <v>46126</v>
      </c>
    </row>
    <row r="5098" spans="1:3" x14ac:dyDescent="0.25">
      <c r="A5098" t="s">
        <v>1213</v>
      </c>
      <c r="B5098" t="s">
        <v>6962</v>
      </c>
      <c r="C5098" s="1">
        <v>46126</v>
      </c>
    </row>
    <row r="5099" spans="1:3" x14ac:dyDescent="0.25">
      <c r="A5099" t="s">
        <v>1212</v>
      </c>
      <c r="B5099" t="s">
        <v>6962</v>
      </c>
      <c r="C5099" s="1">
        <v>46135</v>
      </c>
    </row>
    <row r="5100" spans="1:3" x14ac:dyDescent="0.25">
      <c r="A5100" t="s">
        <v>1209</v>
      </c>
      <c r="B5100" t="s">
        <v>6962</v>
      </c>
      <c r="C5100" s="1">
        <v>46127</v>
      </c>
    </row>
    <row r="5101" spans="1:3" x14ac:dyDescent="0.25">
      <c r="A5101" t="s">
        <v>1224</v>
      </c>
      <c r="B5101" t="s">
        <v>6962</v>
      </c>
      <c r="C5101" s="1">
        <v>46114</v>
      </c>
    </row>
    <row r="5102" spans="1:3" x14ac:dyDescent="0.25">
      <c r="A5102" t="s">
        <v>1227</v>
      </c>
      <c r="B5102" t="s">
        <v>6962</v>
      </c>
      <c r="C5102" s="1">
        <v>46133</v>
      </c>
    </row>
    <row r="5103" spans="1:3" x14ac:dyDescent="0.25">
      <c r="A5103" t="s">
        <v>1236</v>
      </c>
      <c r="B5103" t="s">
        <v>6962</v>
      </c>
      <c r="C5103" s="1">
        <v>46120</v>
      </c>
    </row>
    <row r="5104" spans="1:3" x14ac:dyDescent="0.25">
      <c r="A5104" t="s">
        <v>1235</v>
      </c>
      <c r="B5104" t="s">
        <v>6962</v>
      </c>
      <c r="C5104" s="1">
        <v>46114</v>
      </c>
    </row>
    <row r="5105" spans="1:3" x14ac:dyDescent="0.25">
      <c r="A5105" t="s">
        <v>1234</v>
      </c>
      <c r="B5105" t="s">
        <v>6962</v>
      </c>
      <c r="C5105" s="1">
        <v>46125</v>
      </c>
    </row>
    <row r="5106" spans="1:3" x14ac:dyDescent="0.25">
      <c r="A5106" t="s">
        <v>1233</v>
      </c>
      <c r="B5106" t="s">
        <v>6962</v>
      </c>
      <c r="C5106" s="1">
        <v>46125</v>
      </c>
    </row>
    <row r="5107" spans="1:3" x14ac:dyDescent="0.25">
      <c r="A5107" t="s">
        <v>1232</v>
      </c>
      <c r="B5107" t="s">
        <v>6962</v>
      </c>
      <c r="C5107" s="1">
        <v>46116</v>
      </c>
    </row>
    <row r="5108" spans="1:3" x14ac:dyDescent="0.25">
      <c r="A5108" t="s">
        <v>1231</v>
      </c>
      <c r="B5108" t="s">
        <v>6963</v>
      </c>
      <c r="C5108" s="1"/>
    </row>
    <row r="5109" spans="1:3" x14ac:dyDescent="0.25">
      <c r="A5109" t="s">
        <v>1228</v>
      </c>
      <c r="B5109" t="s">
        <v>6962</v>
      </c>
      <c r="C5109" s="1">
        <v>46114</v>
      </c>
    </row>
    <row r="5110" spans="1:3" x14ac:dyDescent="0.25">
      <c r="A5110" t="s">
        <v>1237</v>
      </c>
      <c r="B5110" t="s">
        <v>39</v>
      </c>
      <c r="C5110" s="1"/>
    </row>
    <row r="5111" spans="1:3" x14ac:dyDescent="0.25">
      <c r="A5111" t="s">
        <v>1243</v>
      </c>
      <c r="B5111" t="s">
        <v>6962</v>
      </c>
      <c r="C5111" s="1">
        <v>46125</v>
      </c>
    </row>
    <row r="5112" spans="1:3" x14ac:dyDescent="0.25">
      <c r="A5112" t="s">
        <v>1242</v>
      </c>
      <c r="B5112" t="s">
        <v>6962</v>
      </c>
      <c r="C5112" s="1">
        <v>46133</v>
      </c>
    </row>
    <row r="5113" spans="1:3" x14ac:dyDescent="0.25">
      <c r="A5113" t="s">
        <v>1241</v>
      </c>
      <c r="B5113" t="s">
        <v>6962</v>
      </c>
      <c r="C5113" s="1">
        <v>46128</v>
      </c>
    </row>
    <row r="5114" spans="1:3" x14ac:dyDescent="0.25">
      <c r="A5114" t="s">
        <v>1238</v>
      </c>
      <c r="B5114" t="s">
        <v>6962</v>
      </c>
      <c r="C5114" s="1">
        <v>46135</v>
      </c>
    </row>
    <row r="5115" spans="1:3" x14ac:dyDescent="0.25">
      <c r="A5115" t="s">
        <v>1249</v>
      </c>
      <c r="B5115" t="s">
        <v>6962</v>
      </c>
      <c r="C5115" s="1">
        <v>46122</v>
      </c>
    </row>
    <row r="5116" spans="1:3" x14ac:dyDescent="0.25">
      <c r="A5116" t="s">
        <v>1248</v>
      </c>
      <c r="B5116" t="s">
        <v>6962</v>
      </c>
      <c r="C5116" s="1">
        <v>46125</v>
      </c>
    </row>
    <row r="5117" spans="1:3" x14ac:dyDescent="0.25">
      <c r="A5117" t="s">
        <v>1247</v>
      </c>
      <c r="B5117" t="s">
        <v>6962</v>
      </c>
      <c r="C5117" s="1">
        <v>46123</v>
      </c>
    </row>
    <row r="5118" spans="1:3" x14ac:dyDescent="0.25">
      <c r="A5118" t="s">
        <v>1258</v>
      </c>
      <c r="B5118" t="s">
        <v>6962</v>
      </c>
      <c r="C5118" s="1">
        <v>46125</v>
      </c>
    </row>
    <row r="5119" spans="1:3" x14ac:dyDescent="0.25">
      <c r="A5119" t="s">
        <v>1255</v>
      </c>
      <c r="B5119" t="s">
        <v>6962</v>
      </c>
      <c r="C5119" s="1">
        <v>46114</v>
      </c>
    </row>
    <row r="5120" spans="1:3" x14ac:dyDescent="0.25">
      <c r="A5120" t="s">
        <v>1254</v>
      </c>
      <c r="B5120" t="s">
        <v>6962</v>
      </c>
      <c r="C5120" s="1">
        <v>46114</v>
      </c>
    </row>
    <row r="5121" spans="1:3" x14ac:dyDescent="0.25">
      <c r="A5121" t="s">
        <v>1279</v>
      </c>
      <c r="B5121" t="s">
        <v>6962</v>
      </c>
      <c r="C5121" s="1">
        <v>46122</v>
      </c>
    </row>
    <row r="5122" spans="1:3" x14ac:dyDescent="0.25">
      <c r="A5122" t="s">
        <v>1263</v>
      </c>
      <c r="B5122" t="s">
        <v>6962</v>
      </c>
      <c r="C5122" s="1">
        <v>46120</v>
      </c>
    </row>
    <row r="5123" spans="1:3" x14ac:dyDescent="0.25">
      <c r="A5123" t="s">
        <v>1276</v>
      </c>
      <c r="B5123" t="s">
        <v>6962</v>
      </c>
      <c r="C5123" s="1">
        <v>46119</v>
      </c>
    </row>
    <row r="5124" spans="1:3" x14ac:dyDescent="0.25">
      <c r="A5124" t="s">
        <v>1275</v>
      </c>
      <c r="B5124" t="s">
        <v>6962</v>
      </c>
      <c r="C5124" s="1">
        <v>46119</v>
      </c>
    </row>
    <row r="5125" spans="1:3" x14ac:dyDescent="0.25">
      <c r="A5125" t="s">
        <v>1274</v>
      </c>
      <c r="B5125" t="s">
        <v>6962</v>
      </c>
      <c r="C5125" s="1">
        <v>46116</v>
      </c>
    </row>
    <row r="5126" spans="1:3" x14ac:dyDescent="0.25">
      <c r="A5126" t="s">
        <v>1273</v>
      </c>
      <c r="B5126" t="s">
        <v>6962</v>
      </c>
      <c r="C5126" s="1">
        <v>46121</v>
      </c>
    </row>
    <row r="5127" spans="1:3" x14ac:dyDescent="0.25">
      <c r="A5127" t="s">
        <v>1272</v>
      </c>
      <c r="B5127" t="s">
        <v>6962</v>
      </c>
      <c r="C5127" s="1">
        <v>46120</v>
      </c>
    </row>
    <row r="5128" spans="1:3" x14ac:dyDescent="0.25">
      <c r="A5128" t="s">
        <v>1270</v>
      </c>
      <c r="B5128" t="s">
        <v>6962</v>
      </c>
      <c r="C5128" s="1">
        <v>46127</v>
      </c>
    </row>
    <row r="5129" spans="1:3" x14ac:dyDescent="0.25">
      <c r="A5129" t="s">
        <v>1269</v>
      </c>
      <c r="B5129" t="s">
        <v>39</v>
      </c>
      <c r="C5129" s="1"/>
    </row>
    <row r="5130" spans="1:3" x14ac:dyDescent="0.25">
      <c r="A5130" t="s">
        <v>1267</v>
      </c>
      <c r="B5130" t="s">
        <v>6962</v>
      </c>
      <c r="C5130" s="1">
        <v>46119</v>
      </c>
    </row>
    <row r="5131" spans="1:3" x14ac:dyDescent="0.25">
      <c r="A5131" t="s">
        <v>1266</v>
      </c>
      <c r="B5131" t="s">
        <v>6962</v>
      </c>
      <c r="C5131" s="1">
        <v>46121</v>
      </c>
    </row>
    <row r="5132" spans="1:3" x14ac:dyDescent="0.25">
      <c r="A5132" t="s">
        <v>1264</v>
      </c>
      <c r="B5132" t="s">
        <v>6962</v>
      </c>
      <c r="C5132" s="1">
        <v>46121</v>
      </c>
    </row>
    <row r="5133" spans="1:3" x14ac:dyDescent="0.25">
      <c r="A5133" t="s">
        <v>1269</v>
      </c>
      <c r="B5133" t="s">
        <v>39</v>
      </c>
      <c r="C5133" s="1"/>
    </row>
    <row r="5134" spans="1:3" x14ac:dyDescent="0.25">
      <c r="A5134" t="s">
        <v>1262</v>
      </c>
      <c r="B5134" t="s">
        <v>6962</v>
      </c>
      <c r="C5134" s="1">
        <v>46113</v>
      </c>
    </row>
    <row r="5135" spans="1:3" x14ac:dyDescent="0.25">
      <c r="A5135" t="s">
        <v>1405</v>
      </c>
      <c r="B5135" t="s">
        <v>6962</v>
      </c>
      <c r="C5135" s="1">
        <v>46119</v>
      </c>
    </row>
    <row r="5136" spans="1:3" x14ac:dyDescent="0.25">
      <c r="A5136" t="s">
        <v>1260</v>
      </c>
      <c r="B5136" t="s">
        <v>6962</v>
      </c>
      <c r="C5136" s="1">
        <v>46114</v>
      </c>
    </row>
    <row r="5137" spans="1:3" x14ac:dyDescent="0.25">
      <c r="A5137" t="s">
        <v>1404</v>
      </c>
      <c r="B5137" t="s">
        <v>6962</v>
      </c>
      <c r="C5137" s="1">
        <v>46126</v>
      </c>
    </row>
    <row r="5138" spans="1:3" x14ac:dyDescent="0.25">
      <c r="A5138" t="s">
        <v>1402</v>
      </c>
      <c r="B5138" t="s">
        <v>6962</v>
      </c>
      <c r="C5138" s="1">
        <v>46123</v>
      </c>
    </row>
    <row r="5139" spans="1:3" x14ac:dyDescent="0.25">
      <c r="A5139" t="s">
        <v>1401</v>
      </c>
      <c r="B5139" t="s">
        <v>6962</v>
      </c>
      <c r="C5139" s="1">
        <v>46135</v>
      </c>
    </row>
    <row r="5140" spans="1:3" x14ac:dyDescent="0.25">
      <c r="A5140" t="s">
        <v>1398</v>
      </c>
      <c r="B5140" t="s">
        <v>6962</v>
      </c>
      <c r="C5140" s="1">
        <v>46123</v>
      </c>
    </row>
    <row r="5141" spans="1:3" x14ac:dyDescent="0.25">
      <c r="A5141" t="s">
        <v>1397</v>
      </c>
      <c r="B5141" t="s">
        <v>6962</v>
      </c>
      <c r="C5141" s="1">
        <v>46119</v>
      </c>
    </row>
    <row r="5142" spans="1:3" x14ac:dyDescent="0.25">
      <c r="A5142" t="s">
        <v>1396</v>
      </c>
      <c r="B5142" t="s">
        <v>6962</v>
      </c>
      <c r="C5142" s="1">
        <v>46128</v>
      </c>
    </row>
    <row r="5143" spans="1:3" x14ac:dyDescent="0.25">
      <c r="A5143" t="s">
        <v>1395</v>
      </c>
      <c r="B5143" t="s">
        <v>6962</v>
      </c>
      <c r="C5143" s="1">
        <v>46129</v>
      </c>
    </row>
    <row r="5144" spans="1:3" x14ac:dyDescent="0.25">
      <c r="A5144" t="s">
        <v>1395</v>
      </c>
      <c r="B5144" t="s">
        <v>6962</v>
      </c>
      <c r="C5144" s="1">
        <v>46129</v>
      </c>
    </row>
    <row r="5145" spans="1:3" x14ac:dyDescent="0.25">
      <c r="A5145" t="s">
        <v>1394</v>
      </c>
      <c r="B5145" t="s">
        <v>6962</v>
      </c>
      <c r="C5145" s="1">
        <v>46128</v>
      </c>
    </row>
    <row r="5146" spans="1:3" x14ac:dyDescent="0.25">
      <c r="A5146" t="s">
        <v>1394</v>
      </c>
      <c r="B5146" t="s">
        <v>6962</v>
      </c>
      <c r="C5146" s="1">
        <v>46128</v>
      </c>
    </row>
    <row r="5147" spans="1:3" x14ac:dyDescent="0.25">
      <c r="A5147" t="s">
        <v>1393</v>
      </c>
      <c r="B5147" t="s">
        <v>6962</v>
      </c>
      <c r="C5147" s="1">
        <v>46120</v>
      </c>
    </row>
    <row r="5148" spans="1:3" x14ac:dyDescent="0.25">
      <c r="A5148" t="s">
        <v>1391</v>
      </c>
      <c r="B5148" t="s">
        <v>6962</v>
      </c>
      <c r="C5148" s="1">
        <v>46132</v>
      </c>
    </row>
    <row r="5149" spans="1:3" x14ac:dyDescent="0.25">
      <c r="A5149" t="s">
        <v>1390</v>
      </c>
      <c r="B5149" t="s">
        <v>6962</v>
      </c>
      <c r="C5149" s="1">
        <v>46126</v>
      </c>
    </row>
    <row r="5150" spans="1:3" x14ac:dyDescent="0.25">
      <c r="A5150" t="s">
        <v>1388</v>
      </c>
      <c r="B5150" t="s">
        <v>6962</v>
      </c>
      <c r="C5150" s="1">
        <v>46126</v>
      </c>
    </row>
    <row r="5151" spans="1:3" x14ac:dyDescent="0.25">
      <c r="A5151" t="s">
        <v>1399</v>
      </c>
      <c r="B5151" t="s">
        <v>6962</v>
      </c>
      <c r="C5151" s="1">
        <v>46120</v>
      </c>
    </row>
    <row r="5152" spans="1:3" x14ac:dyDescent="0.25">
      <c r="A5152" t="s">
        <v>1386</v>
      </c>
      <c r="B5152" t="s">
        <v>6962</v>
      </c>
      <c r="C5152" s="1">
        <v>46127</v>
      </c>
    </row>
    <row r="5153" spans="1:3" x14ac:dyDescent="0.25">
      <c r="A5153" t="s">
        <v>1385</v>
      </c>
      <c r="B5153" t="s">
        <v>6962</v>
      </c>
      <c r="C5153" s="1">
        <v>46134</v>
      </c>
    </row>
    <row r="5154" spans="1:3" x14ac:dyDescent="0.25">
      <c r="A5154" t="s">
        <v>1384</v>
      </c>
      <c r="B5154" t="s">
        <v>6962</v>
      </c>
      <c r="C5154" s="1">
        <v>46125</v>
      </c>
    </row>
    <row r="5155" spans="1:3" x14ac:dyDescent="0.25">
      <c r="A5155" t="s">
        <v>1382</v>
      </c>
      <c r="B5155" t="s">
        <v>6962</v>
      </c>
      <c r="C5155" s="1">
        <v>46132</v>
      </c>
    </row>
    <row r="5156" spans="1:3" x14ac:dyDescent="0.25">
      <c r="A5156" t="s">
        <v>1381</v>
      </c>
      <c r="B5156" t="s">
        <v>6962</v>
      </c>
      <c r="C5156" s="1">
        <v>46130</v>
      </c>
    </row>
    <row r="5157" spans="1:3" x14ac:dyDescent="0.25">
      <c r="A5157" t="s">
        <v>1378</v>
      </c>
      <c r="B5157" t="s">
        <v>6962</v>
      </c>
      <c r="C5157" s="1">
        <v>46127</v>
      </c>
    </row>
    <row r="5158" spans="1:3" x14ac:dyDescent="0.25">
      <c r="A5158" t="s">
        <v>1377</v>
      </c>
      <c r="B5158" t="s">
        <v>39</v>
      </c>
      <c r="C5158" s="1"/>
    </row>
    <row r="5159" spans="1:3" x14ac:dyDescent="0.25">
      <c r="A5159" t="s">
        <v>1376</v>
      </c>
      <c r="B5159" t="s">
        <v>6962</v>
      </c>
      <c r="C5159" s="1">
        <v>46122</v>
      </c>
    </row>
    <row r="5160" spans="1:3" x14ac:dyDescent="0.25">
      <c r="A5160" t="s">
        <v>1375</v>
      </c>
      <c r="B5160" t="s">
        <v>39</v>
      </c>
      <c r="C5160" s="1"/>
    </row>
    <row r="5161" spans="1:3" x14ac:dyDescent="0.25">
      <c r="A5161" t="s">
        <v>1374</v>
      </c>
      <c r="B5161" t="s">
        <v>39</v>
      </c>
      <c r="C5161" s="1"/>
    </row>
    <row r="5162" spans="1:3" x14ac:dyDescent="0.25">
      <c r="A5162" t="s">
        <v>1373</v>
      </c>
      <c r="B5162" t="s">
        <v>6962</v>
      </c>
      <c r="C5162" s="1">
        <v>46119</v>
      </c>
    </row>
    <row r="5163" spans="1:3" x14ac:dyDescent="0.25">
      <c r="A5163" t="s">
        <v>1370</v>
      </c>
      <c r="B5163" t="s">
        <v>6962</v>
      </c>
      <c r="C5163" s="1">
        <v>46121</v>
      </c>
    </row>
    <row r="5164" spans="1:3" x14ac:dyDescent="0.25">
      <c r="A5164" t="s">
        <v>1368</v>
      </c>
      <c r="B5164" t="s">
        <v>6962</v>
      </c>
      <c r="C5164" s="1">
        <v>46135</v>
      </c>
    </row>
    <row r="5165" spans="1:3" x14ac:dyDescent="0.25">
      <c r="A5165" t="s">
        <v>1366</v>
      </c>
      <c r="B5165" t="s">
        <v>6962</v>
      </c>
      <c r="C5165" s="1">
        <v>46128</v>
      </c>
    </row>
    <row r="5166" spans="1:3" x14ac:dyDescent="0.25">
      <c r="A5166" t="s">
        <v>1364</v>
      </c>
      <c r="B5166" t="s">
        <v>39</v>
      </c>
      <c r="C5166" s="1"/>
    </row>
    <row r="5167" spans="1:3" x14ac:dyDescent="0.25">
      <c r="A5167" t="s">
        <v>1363</v>
      </c>
      <c r="B5167" t="s">
        <v>6962</v>
      </c>
      <c r="C5167" s="1">
        <v>46133</v>
      </c>
    </row>
    <row r="5168" spans="1:3" x14ac:dyDescent="0.25">
      <c r="A5168" t="s">
        <v>1360</v>
      </c>
      <c r="B5168" t="s">
        <v>39</v>
      </c>
      <c r="C5168" s="1"/>
    </row>
    <row r="5169" spans="1:3" x14ac:dyDescent="0.25">
      <c r="A5169" t="s">
        <v>1358</v>
      </c>
      <c r="B5169" t="s">
        <v>6962</v>
      </c>
      <c r="C5169" s="1">
        <v>46135</v>
      </c>
    </row>
    <row r="5170" spans="1:3" x14ac:dyDescent="0.25">
      <c r="A5170" t="s">
        <v>1356</v>
      </c>
      <c r="B5170" t="s">
        <v>6962</v>
      </c>
      <c r="C5170" s="1">
        <v>46132</v>
      </c>
    </row>
    <row r="5171" spans="1:3" x14ac:dyDescent="0.25">
      <c r="A5171" t="s">
        <v>1354</v>
      </c>
      <c r="B5171" t="s">
        <v>6962</v>
      </c>
      <c r="C5171" s="1">
        <v>46123</v>
      </c>
    </row>
    <row r="5172" spans="1:3" x14ac:dyDescent="0.25">
      <c r="A5172" t="s">
        <v>1352</v>
      </c>
      <c r="B5172" t="s">
        <v>6962</v>
      </c>
      <c r="C5172" s="1">
        <v>46120</v>
      </c>
    </row>
    <row r="5173" spans="1:3" x14ac:dyDescent="0.25">
      <c r="A5173" t="s">
        <v>1347</v>
      </c>
      <c r="B5173" t="s">
        <v>6962</v>
      </c>
      <c r="C5173" s="1">
        <v>46135</v>
      </c>
    </row>
    <row r="5174" spans="1:3" x14ac:dyDescent="0.25">
      <c r="A5174" t="s">
        <v>1347</v>
      </c>
      <c r="B5174" t="s">
        <v>6962</v>
      </c>
      <c r="C5174" s="1">
        <v>46135</v>
      </c>
    </row>
    <row r="5175" spans="1:3" x14ac:dyDescent="0.25">
      <c r="A5175" t="s">
        <v>1345</v>
      </c>
      <c r="B5175" t="s">
        <v>39</v>
      </c>
      <c r="C5175" s="1"/>
    </row>
    <row r="5176" spans="1:3" x14ac:dyDescent="0.25">
      <c r="A5176" t="s">
        <v>1344</v>
      </c>
      <c r="B5176" t="s">
        <v>39</v>
      </c>
      <c r="C5176" s="1"/>
    </row>
    <row r="5177" spans="1:3" x14ac:dyDescent="0.25">
      <c r="A5177" t="s">
        <v>1343</v>
      </c>
      <c r="B5177" t="s">
        <v>6962</v>
      </c>
      <c r="C5177" s="1">
        <v>46127</v>
      </c>
    </row>
    <row r="5178" spans="1:3" x14ac:dyDescent="0.25">
      <c r="A5178" t="s">
        <v>1336</v>
      </c>
      <c r="B5178" t="s">
        <v>6962</v>
      </c>
      <c r="C5178" s="1">
        <v>46123</v>
      </c>
    </row>
    <row r="5179" spans="1:3" x14ac:dyDescent="0.25">
      <c r="A5179" t="s">
        <v>1335</v>
      </c>
      <c r="B5179" t="s">
        <v>6962</v>
      </c>
      <c r="C5179" s="1">
        <v>46128</v>
      </c>
    </row>
    <row r="5180" spans="1:3" x14ac:dyDescent="0.25">
      <c r="A5180" t="s">
        <v>1334</v>
      </c>
      <c r="B5180" t="s">
        <v>6962</v>
      </c>
      <c r="C5180" s="1">
        <v>46128</v>
      </c>
    </row>
    <row r="5181" spans="1:3" x14ac:dyDescent="0.25">
      <c r="A5181" t="s">
        <v>1332</v>
      </c>
      <c r="B5181" t="s">
        <v>6962</v>
      </c>
      <c r="C5181" s="1">
        <v>46130</v>
      </c>
    </row>
    <row r="5182" spans="1:3" x14ac:dyDescent="0.25">
      <c r="A5182" t="s">
        <v>1328</v>
      </c>
      <c r="B5182" t="s">
        <v>6962</v>
      </c>
      <c r="C5182" s="1">
        <v>46125</v>
      </c>
    </row>
    <row r="5183" spans="1:3" x14ac:dyDescent="0.25">
      <c r="A5183" t="s">
        <v>1326</v>
      </c>
      <c r="B5183" t="s">
        <v>6962</v>
      </c>
      <c r="C5183" s="1">
        <v>46122</v>
      </c>
    </row>
    <row r="5184" spans="1:3" x14ac:dyDescent="0.25">
      <c r="A5184" t="s">
        <v>1325</v>
      </c>
      <c r="B5184" t="s">
        <v>6962</v>
      </c>
      <c r="C5184" s="1">
        <v>46129</v>
      </c>
    </row>
    <row r="5185" spans="1:3" x14ac:dyDescent="0.25">
      <c r="A5185" t="s">
        <v>1324</v>
      </c>
      <c r="B5185" t="s">
        <v>39</v>
      </c>
      <c r="C5185" s="1"/>
    </row>
    <row r="5186" spans="1:3" x14ac:dyDescent="0.25">
      <c r="A5186" t="s">
        <v>1322</v>
      </c>
      <c r="B5186" t="s">
        <v>6962</v>
      </c>
      <c r="C5186" s="1">
        <v>46126</v>
      </c>
    </row>
    <row r="5187" spans="1:3" x14ac:dyDescent="0.25">
      <c r="A5187" t="s">
        <v>1320</v>
      </c>
      <c r="B5187" t="s">
        <v>6962</v>
      </c>
      <c r="C5187" s="1">
        <v>46128</v>
      </c>
    </row>
    <row r="5188" spans="1:3" x14ac:dyDescent="0.25">
      <c r="A5188" t="s">
        <v>1319</v>
      </c>
      <c r="B5188" t="s">
        <v>6962</v>
      </c>
      <c r="C5188" s="1">
        <v>46125</v>
      </c>
    </row>
    <row r="5189" spans="1:3" x14ac:dyDescent="0.25">
      <c r="A5189" t="s">
        <v>1317</v>
      </c>
      <c r="B5189" t="s">
        <v>6962</v>
      </c>
      <c r="C5189" s="1">
        <v>46127</v>
      </c>
    </row>
    <row r="5190" spans="1:3" x14ac:dyDescent="0.25">
      <c r="A5190" t="s">
        <v>1314</v>
      </c>
      <c r="B5190" t="s">
        <v>6962</v>
      </c>
      <c r="C5190" s="1">
        <v>46142</v>
      </c>
    </row>
    <row r="5191" spans="1:3" x14ac:dyDescent="0.25">
      <c r="A5191" t="s">
        <v>1311</v>
      </c>
      <c r="B5191" t="s">
        <v>6962</v>
      </c>
      <c r="C5191" s="1">
        <v>46147</v>
      </c>
    </row>
    <row r="5192" spans="1:3" x14ac:dyDescent="0.25">
      <c r="A5192" t="s">
        <v>1309</v>
      </c>
      <c r="B5192" t="s">
        <v>6962</v>
      </c>
      <c r="C5192" s="1">
        <v>46125</v>
      </c>
    </row>
    <row r="5193" spans="1:3" x14ac:dyDescent="0.25">
      <c r="A5193" t="s">
        <v>1307</v>
      </c>
      <c r="B5193" t="s">
        <v>39</v>
      </c>
      <c r="C5193" s="1"/>
    </row>
    <row r="5194" spans="1:3" x14ac:dyDescent="0.25">
      <c r="A5194" t="s">
        <v>1305</v>
      </c>
      <c r="B5194" t="s">
        <v>6962</v>
      </c>
      <c r="C5194" s="1">
        <v>46126</v>
      </c>
    </row>
    <row r="5195" spans="1:3" x14ac:dyDescent="0.25">
      <c r="A5195" t="s">
        <v>1303</v>
      </c>
      <c r="B5195" t="s">
        <v>6962</v>
      </c>
      <c r="C5195" s="1">
        <v>46127</v>
      </c>
    </row>
    <row r="5196" spans="1:3" x14ac:dyDescent="0.25">
      <c r="A5196" t="s">
        <v>1301</v>
      </c>
      <c r="B5196" t="s">
        <v>6962</v>
      </c>
      <c r="C5196" s="1">
        <v>46127</v>
      </c>
    </row>
    <row r="5197" spans="1:3" x14ac:dyDescent="0.25">
      <c r="A5197" t="s">
        <v>1299</v>
      </c>
      <c r="B5197" t="s">
        <v>6962</v>
      </c>
      <c r="C5197" s="1">
        <v>46129</v>
      </c>
    </row>
    <row r="5198" spans="1:3" x14ac:dyDescent="0.25">
      <c r="A5198" t="s">
        <v>1296</v>
      </c>
      <c r="B5198" t="s">
        <v>6962</v>
      </c>
      <c r="C5198" s="1">
        <v>46133</v>
      </c>
    </row>
    <row r="5199" spans="1:3" x14ac:dyDescent="0.25">
      <c r="A5199" t="s">
        <v>1293</v>
      </c>
      <c r="B5199" t="s">
        <v>6962</v>
      </c>
      <c r="C5199" s="1">
        <v>46132</v>
      </c>
    </row>
    <row r="5200" spans="1:3" x14ac:dyDescent="0.25">
      <c r="A5200" t="s">
        <v>1291</v>
      </c>
      <c r="B5200" t="s">
        <v>6962</v>
      </c>
      <c r="C5200" s="1">
        <v>46140</v>
      </c>
    </row>
    <row r="5201" spans="1:3" x14ac:dyDescent="0.25">
      <c r="A5201" t="s">
        <v>1290</v>
      </c>
      <c r="B5201" t="s">
        <v>6962</v>
      </c>
      <c r="C5201" s="1">
        <v>46137</v>
      </c>
    </row>
    <row r="5202" spans="1:3" x14ac:dyDescent="0.25">
      <c r="A5202" t="s">
        <v>1289</v>
      </c>
      <c r="B5202" t="s">
        <v>39</v>
      </c>
      <c r="C5202" s="1"/>
    </row>
    <row r="5203" spans="1:3" x14ac:dyDescent="0.25">
      <c r="A5203" t="s">
        <v>1288</v>
      </c>
      <c r="B5203" t="s">
        <v>6962</v>
      </c>
      <c r="C5203" s="1">
        <v>46133</v>
      </c>
    </row>
    <row r="5204" spans="1:3" x14ac:dyDescent="0.25">
      <c r="A5204" t="s">
        <v>1286</v>
      </c>
      <c r="B5204" t="s">
        <v>6962</v>
      </c>
      <c r="C5204" s="1">
        <v>46140</v>
      </c>
    </row>
    <row r="5205" spans="1:3" x14ac:dyDescent="0.25">
      <c r="A5205" t="s">
        <v>1285</v>
      </c>
      <c r="B5205" t="s">
        <v>6962</v>
      </c>
      <c r="C5205" s="1">
        <v>46124</v>
      </c>
    </row>
    <row r="5206" spans="1:3" x14ac:dyDescent="0.25">
      <c r="A5206" t="s">
        <v>2369</v>
      </c>
      <c r="B5206" t="s">
        <v>6962</v>
      </c>
      <c r="C5206" s="1">
        <v>46126</v>
      </c>
    </row>
    <row r="5207" spans="1:3" x14ac:dyDescent="0.25">
      <c r="A5207" t="s">
        <v>2367</v>
      </c>
      <c r="B5207" t="s">
        <v>6962</v>
      </c>
      <c r="C5207" s="1">
        <v>46133</v>
      </c>
    </row>
    <row r="5208" spans="1:3" x14ac:dyDescent="0.25">
      <c r="A5208" t="s">
        <v>2366</v>
      </c>
      <c r="B5208" t="s">
        <v>6962</v>
      </c>
      <c r="C5208" s="1">
        <v>46132</v>
      </c>
    </row>
    <row r="5209" spans="1:3" x14ac:dyDescent="0.25">
      <c r="A5209" t="s">
        <v>2365</v>
      </c>
      <c r="B5209" t="s">
        <v>6962</v>
      </c>
      <c r="C5209" s="1">
        <v>46140</v>
      </c>
    </row>
    <row r="5210" spans="1:3" x14ac:dyDescent="0.25">
      <c r="A5210" t="s">
        <v>2364</v>
      </c>
      <c r="B5210" t="s">
        <v>6962</v>
      </c>
      <c r="C5210" s="1">
        <v>46140</v>
      </c>
    </row>
    <row r="5211" spans="1:3" x14ac:dyDescent="0.25">
      <c r="A5211" t="s">
        <v>2363</v>
      </c>
      <c r="B5211" t="s">
        <v>6962</v>
      </c>
      <c r="C5211" s="1">
        <v>46134</v>
      </c>
    </row>
    <row r="5212" spans="1:3" x14ac:dyDescent="0.25">
      <c r="A5212" t="s">
        <v>2361</v>
      </c>
      <c r="B5212" t="s">
        <v>39</v>
      </c>
      <c r="C5212" s="1"/>
    </row>
    <row r="5213" spans="1:3" x14ac:dyDescent="0.25">
      <c r="A5213" t="s">
        <v>2360</v>
      </c>
      <c r="B5213" t="s">
        <v>6962</v>
      </c>
      <c r="C5213" s="1">
        <v>46136</v>
      </c>
    </row>
    <row r="5214" spans="1:3" x14ac:dyDescent="0.25">
      <c r="A5214" t="s">
        <v>2358</v>
      </c>
      <c r="B5214" t="s">
        <v>6962</v>
      </c>
      <c r="C5214" s="1">
        <v>46137</v>
      </c>
    </row>
    <row r="5215" spans="1:3" x14ac:dyDescent="0.25">
      <c r="A5215" t="s">
        <v>2357</v>
      </c>
      <c r="B5215" t="s">
        <v>6962</v>
      </c>
      <c r="C5215" s="1">
        <v>46134</v>
      </c>
    </row>
    <row r="5216" spans="1:3" x14ac:dyDescent="0.25">
      <c r="A5216" t="s">
        <v>2356</v>
      </c>
      <c r="B5216" t="s">
        <v>6962</v>
      </c>
      <c r="C5216" s="1">
        <v>46137</v>
      </c>
    </row>
    <row r="5217" spans="1:3" x14ac:dyDescent="0.25">
      <c r="A5217" t="s">
        <v>2355</v>
      </c>
      <c r="B5217" t="s">
        <v>6962</v>
      </c>
      <c r="C5217" s="1">
        <v>46136</v>
      </c>
    </row>
    <row r="5218" spans="1:3" x14ac:dyDescent="0.25">
      <c r="A5218" t="s">
        <v>2355</v>
      </c>
      <c r="B5218" t="s">
        <v>6962</v>
      </c>
      <c r="C5218" s="1">
        <v>46136</v>
      </c>
    </row>
    <row r="5219" spans="1:3" x14ac:dyDescent="0.25">
      <c r="A5219" t="s">
        <v>2355</v>
      </c>
      <c r="B5219" t="s">
        <v>6962</v>
      </c>
      <c r="C5219" s="1">
        <v>46136</v>
      </c>
    </row>
    <row r="5220" spans="1:3" x14ac:dyDescent="0.25">
      <c r="A5220" t="s">
        <v>2354</v>
      </c>
      <c r="B5220" t="s">
        <v>6962</v>
      </c>
      <c r="C5220" s="1">
        <v>46135</v>
      </c>
    </row>
    <row r="5221" spans="1:3" x14ac:dyDescent="0.25">
      <c r="A5221" t="s">
        <v>2352</v>
      </c>
      <c r="B5221" t="s">
        <v>6962</v>
      </c>
      <c r="C5221" s="1">
        <v>46128</v>
      </c>
    </row>
    <row r="5222" spans="1:3" x14ac:dyDescent="0.25">
      <c r="A5222" t="s">
        <v>2349</v>
      </c>
      <c r="B5222" t="s">
        <v>6962</v>
      </c>
      <c r="C5222" s="1">
        <v>46134</v>
      </c>
    </row>
    <row r="5223" spans="1:3" x14ac:dyDescent="0.25">
      <c r="A5223" t="s">
        <v>2348</v>
      </c>
      <c r="B5223" t="s">
        <v>6962</v>
      </c>
      <c r="C5223" s="1">
        <v>46135</v>
      </c>
    </row>
    <row r="5224" spans="1:3" x14ac:dyDescent="0.25">
      <c r="A5224" t="s">
        <v>2346</v>
      </c>
      <c r="B5224" t="s">
        <v>6964</v>
      </c>
      <c r="C5224" s="1">
        <v>46140</v>
      </c>
    </row>
    <row r="5225" spans="1:3" x14ac:dyDescent="0.25">
      <c r="A5225" t="s">
        <v>2342</v>
      </c>
      <c r="B5225" t="s">
        <v>6962</v>
      </c>
      <c r="C5225" s="1">
        <v>46132</v>
      </c>
    </row>
    <row r="5226" spans="1:3" x14ac:dyDescent="0.25">
      <c r="A5226" t="s">
        <v>2341</v>
      </c>
      <c r="B5226" t="s">
        <v>6962</v>
      </c>
      <c r="C5226" s="1">
        <v>46135</v>
      </c>
    </row>
    <row r="5227" spans="1:3" x14ac:dyDescent="0.25">
      <c r="A5227" t="s">
        <v>1297</v>
      </c>
      <c r="B5227" t="s">
        <v>6962</v>
      </c>
      <c r="C5227" s="1">
        <v>46128</v>
      </c>
    </row>
    <row r="5228" spans="1:3" x14ac:dyDescent="0.25">
      <c r="A5228" t="s">
        <v>2368</v>
      </c>
      <c r="B5228" t="s">
        <v>6962</v>
      </c>
      <c r="C5228" s="1">
        <v>46127</v>
      </c>
    </row>
    <row r="5229" spans="1:3" x14ac:dyDescent="0.25">
      <c r="A5229" t="s">
        <v>2340</v>
      </c>
      <c r="B5229" t="s">
        <v>6962</v>
      </c>
      <c r="C5229" s="1">
        <v>46134</v>
      </c>
    </row>
    <row r="5230" spans="1:3" x14ac:dyDescent="0.25">
      <c r="A5230" t="s">
        <v>2339</v>
      </c>
      <c r="B5230" t="s">
        <v>6962</v>
      </c>
      <c r="C5230" s="1">
        <v>46139</v>
      </c>
    </row>
    <row r="5231" spans="1:3" x14ac:dyDescent="0.25">
      <c r="A5231" t="s">
        <v>2338</v>
      </c>
      <c r="B5231" t="s">
        <v>6962</v>
      </c>
      <c r="C5231" s="1">
        <v>46136</v>
      </c>
    </row>
    <row r="5232" spans="1:3" x14ac:dyDescent="0.25">
      <c r="A5232" t="s">
        <v>2337</v>
      </c>
      <c r="B5232" t="s">
        <v>6963</v>
      </c>
      <c r="C5232" s="1"/>
    </row>
    <row r="5233" spans="1:3" x14ac:dyDescent="0.25">
      <c r="A5233" t="s">
        <v>2336</v>
      </c>
      <c r="B5233" t="s">
        <v>6962</v>
      </c>
      <c r="C5233" s="1">
        <v>46133</v>
      </c>
    </row>
    <row r="5234" spans="1:3" x14ac:dyDescent="0.25">
      <c r="A5234" t="s">
        <v>2334</v>
      </c>
      <c r="B5234" t="s">
        <v>6962</v>
      </c>
      <c r="C5234" s="1">
        <v>46134</v>
      </c>
    </row>
    <row r="5235" spans="1:3" x14ac:dyDescent="0.25">
      <c r="A5235" t="s">
        <v>2332</v>
      </c>
      <c r="B5235" t="s">
        <v>6962</v>
      </c>
      <c r="C5235" s="1">
        <v>46139</v>
      </c>
    </row>
    <row r="5236" spans="1:3" x14ac:dyDescent="0.25">
      <c r="A5236" t="s">
        <v>2332</v>
      </c>
      <c r="B5236" t="s">
        <v>6962</v>
      </c>
      <c r="C5236" s="1">
        <v>46139</v>
      </c>
    </row>
    <row r="5237" spans="1:3" x14ac:dyDescent="0.25">
      <c r="A5237" t="s">
        <v>2331</v>
      </c>
      <c r="B5237" t="s">
        <v>6962</v>
      </c>
      <c r="C5237" s="1">
        <v>46134</v>
      </c>
    </row>
    <row r="5238" spans="1:3" x14ac:dyDescent="0.25">
      <c r="A5238" t="s">
        <v>2329</v>
      </c>
      <c r="B5238" t="s">
        <v>6962</v>
      </c>
      <c r="C5238" s="1"/>
    </row>
    <row r="5239" spans="1:3" x14ac:dyDescent="0.25">
      <c r="A5239" t="s">
        <v>2327</v>
      </c>
      <c r="B5239" t="s">
        <v>6962</v>
      </c>
      <c r="C5239" s="1">
        <v>46133</v>
      </c>
    </row>
    <row r="5240" spans="1:3" x14ac:dyDescent="0.25">
      <c r="A5240" t="s">
        <v>2326</v>
      </c>
      <c r="B5240" t="s">
        <v>6962</v>
      </c>
      <c r="C5240" s="1"/>
    </row>
    <row r="5241" spans="1:3" x14ac:dyDescent="0.25">
      <c r="A5241" t="s">
        <v>2325</v>
      </c>
      <c r="B5241" t="s">
        <v>39</v>
      </c>
      <c r="C5241" s="1"/>
    </row>
    <row r="5242" spans="1:3" x14ac:dyDescent="0.25">
      <c r="A5242" t="s">
        <v>2324</v>
      </c>
      <c r="B5242" t="s">
        <v>6962</v>
      </c>
      <c r="C5242" s="1">
        <v>46135</v>
      </c>
    </row>
    <row r="5243" spans="1:3" x14ac:dyDescent="0.25">
      <c r="A5243" t="s">
        <v>2323</v>
      </c>
      <c r="B5243" t="s">
        <v>6962</v>
      </c>
      <c r="C5243" s="1">
        <v>46133</v>
      </c>
    </row>
    <row r="5244" spans="1:3" x14ac:dyDescent="0.25">
      <c r="A5244" t="s">
        <v>2322</v>
      </c>
      <c r="B5244" t="s">
        <v>6962</v>
      </c>
      <c r="C5244" s="1">
        <v>46139</v>
      </c>
    </row>
    <row r="5245" spans="1:3" x14ac:dyDescent="0.25">
      <c r="A5245" t="s">
        <v>2322</v>
      </c>
      <c r="B5245" t="s">
        <v>6962</v>
      </c>
      <c r="C5245" s="1">
        <v>46139</v>
      </c>
    </row>
    <row r="5246" spans="1:3" x14ac:dyDescent="0.25">
      <c r="A5246" t="s">
        <v>2319</v>
      </c>
      <c r="B5246" t="s">
        <v>6962</v>
      </c>
      <c r="C5246" s="1">
        <v>46134</v>
      </c>
    </row>
    <row r="5247" spans="1:3" x14ac:dyDescent="0.25">
      <c r="A5247" t="s">
        <v>2315</v>
      </c>
      <c r="B5247" t="s">
        <v>6962</v>
      </c>
      <c r="C5247" s="1">
        <v>46139</v>
      </c>
    </row>
    <row r="5248" spans="1:3" x14ac:dyDescent="0.25">
      <c r="A5248" t="s">
        <v>2314</v>
      </c>
      <c r="B5248" t="s">
        <v>6962</v>
      </c>
      <c r="C5248" s="1">
        <v>46139</v>
      </c>
    </row>
    <row r="5249" spans="1:3" x14ac:dyDescent="0.25">
      <c r="A5249" t="s">
        <v>2313</v>
      </c>
      <c r="B5249" t="s">
        <v>6962</v>
      </c>
      <c r="C5249" s="1">
        <v>46130</v>
      </c>
    </row>
    <row r="5250" spans="1:3" x14ac:dyDescent="0.25">
      <c r="A5250" t="s">
        <v>2313</v>
      </c>
      <c r="B5250" t="s">
        <v>6962</v>
      </c>
      <c r="C5250" s="1">
        <v>46130</v>
      </c>
    </row>
    <row r="5251" spans="1:3" x14ac:dyDescent="0.25">
      <c r="A5251" t="s">
        <v>2313</v>
      </c>
      <c r="B5251" t="s">
        <v>6964</v>
      </c>
      <c r="C5251" s="1">
        <v>46130</v>
      </c>
    </row>
    <row r="5252" spans="1:3" x14ac:dyDescent="0.25">
      <c r="A5252" t="s">
        <v>2312</v>
      </c>
      <c r="B5252" t="s">
        <v>6962</v>
      </c>
      <c r="C5252" s="1">
        <v>46130</v>
      </c>
    </row>
    <row r="5253" spans="1:3" x14ac:dyDescent="0.25">
      <c r="A5253" t="s">
        <v>2312</v>
      </c>
      <c r="B5253" t="s">
        <v>39</v>
      </c>
      <c r="C5253" s="1">
        <v>46130</v>
      </c>
    </row>
    <row r="5254" spans="1:3" x14ac:dyDescent="0.25">
      <c r="A5254" t="s">
        <v>2311</v>
      </c>
      <c r="B5254" t="s">
        <v>39</v>
      </c>
      <c r="C5254" s="1"/>
    </row>
    <row r="5255" spans="1:3" x14ac:dyDescent="0.25">
      <c r="A5255" t="s">
        <v>2310</v>
      </c>
      <c r="B5255" t="s">
        <v>6962</v>
      </c>
      <c r="C5255" s="1">
        <v>46139</v>
      </c>
    </row>
    <row r="5256" spans="1:3" x14ac:dyDescent="0.25">
      <c r="A5256" t="s">
        <v>2309</v>
      </c>
      <c r="B5256" t="s">
        <v>39</v>
      </c>
      <c r="C5256" s="1"/>
    </row>
    <row r="5257" spans="1:3" x14ac:dyDescent="0.25">
      <c r="A5257" t="s">
        <v>2308</v>
      </c>
      <c r="B5257" t="s">
        <v>6962</v>
      </c>
      <c r="C5257" s="1">
        <v>46133</v>
      </c>
    </row>
    <row r="5258" spans="1:3" x14ac:dyDescent="0.25">
      <c r="A5258" t="s">
        <v>2306</v>
      </c>
      <c r="B5258" t="s">
        <v>39</v>
      </c>
      <c r="C5258" s="1"/>
    </row>
    <row r="5259" spans="1:3" x14ac:dyDescent="0.25">
      <c r="A5259" t="s">
        <v>2305</v>
      </c>
      <c r="B5259" t="s">
        <v>6962</v>
      </c>
      <c r="C5259" s="1">
        <v>46133</v>
      </c>
    </row>
    <row r="5260" spans="1:3" x14ac:dyDescent="0.25">
      <c r="A5260" t="s">
        <v>2304</v>
      </c>
      <c r="B5260" t="s">
        <v>6962</v>
      </c>
      <c r="C5260" s="1">
        <v>46139</v>
      </c>
    </row>
    <row r="5261" spans="1:3" x14ac:dyDescent="0.25">
      <c r="A5261" t="s">
        <v>2303</v>
      </c>
      <c r="B5261" t="s">
        <v>6962</v>
      </c>
      <c r="C5261" s="1">
        <v>46136</v>
      </c>
    </row>
    <row r="5262" spans="1:3" x14ac:dyDescent="0.25">
      <c r="A5262" t="s">
        <v>2301</v>
      </c>
      <c r="B5262" t="s">
        <v>6962</v>
      </c>
      <c r="C5262" s="1">
        <v>46136</v>
      </c>
    </row>
    <row r="5263" spans="1:3" x14ac:dyDescent="0.25">
      <c r="A5263" t="s">
        <v>2300</v>
      </c>
      <c r="B5263" t="s">
        <v>39</v>
      </c>
      <c r="C5263" s="1"/>
    </row>
    <row r="5264" spans="1:3" x14ac:dyDescent="0.25">
      <c r="A5264" t="s">
        <v>2299</v>
      </c>
      <c r="B5264" t="s">
        <v>39</v>
      </c>
      <c r="C5264" s="1"/>
    </row>
    <row r="5265" spans="1:3" x14ac:dyDescent="0.25">
      <c r="A5265" t="s">
        <v>2298</v>
      </c>
      <c r="B5265" t="s">
        <v>39</v>
      </c>
      <c r="C5265" s="1"/>
    </row>
    <row r="5266" spans="1:3" x14ac:dyDescent="0.25">
      <c r="A5266" t="s">
        <v>2297</v>
      </c>
      <c r="B5266" t="s">
        <v>6962</v>
      </c>
      <c r="C5266" s="1">
        <v>46140</v>
      </c>
    </row>
    <row r="5267" spans="1:3" x14ac:dyDescent="0.25">
      <c r="A5267" t="s">
        <v>2295</v>
      </c>
      <c r="B5267" t="s">
        <v>6962</v>
      </c>
      <c r="C5267" s="1">
        <v>46136</v>
      </c>
    </row>
    <row r="5268" spans="1:3" x14ac:dyDescent="0.25">
      <c r="A5268" t="s">
        <v>2292</v>
      </c>
      <c r="B5268" t="s">
        <v>6962</v>
      </c>
      <c r="C5268" s="1"/>
    </row>
    <row r="5269" spans="1:3" x14ac:dyDescent="0.25">
      <c r="A5269" t="s">
        <v>2292</v>
      </c>
      <c r="B5269" t="s">
        <v>6962</v>
      </c>
      <c r="C5269" s="1"/>
    </row>
    <row r="5270" spans="1:3" x14ac:dyDescent="0.25">
      <c r="A5270" t="s">
        <v>2291</v>
      </c>
      <c r="B5270" t="s">
        <v>39</v>
      </c>
      <c r="C5270" s="1"/>
    </row>
    <row r="5271" spans="1:3" x14ac:dyDescent="0.25">
      <c r="A5271" t="s">
        <v>2289</v>
      </c>
      <c r="B5271" t="s">
        <v>6962</v>
      </c>
      <c r="C5271" s="1">
        <v>46140</v>
      </c>
    </row>
    <row r="5272" spans="1:3" x14ac:dyDescent="0.25">
      <c r="A5272" t="s">
        <v>2288</v>
      </c>
      <c r="B5272" t="s">
        <v>6962</v>
      </c>
      <c r="C5272" s="1">
        <v>46135</v>
      </c>
    </row>
    <row r="5273" spans="1:3" x14ac:dyDescent="0.25">
      <c r="A5273" t="s">
        <v>2286</v>
      </c>
      <c r="B5273" t="s">
        <v>6962</v>
      </c>
      <c r="C5273" s="1">
        <v>46141</v>
      </c>
    </row>
    <row r="5274" spans="1:3" x14ac:dyDescent="0.25">
      <c r="A5274" t="s">
        <v>2285</v>
      </c>
      <c r="B5274" t="s">
        <v>6962</v>
      </c>
      <c r="C5274" s="1">
        <v>46136</v>
      </c>
    </row>
    <row r="5275" spans="1:3" x14ac:dyDescent="0.25">
      <c r="A5275" t="s">
        <v>2284</v>
      </c>
      <c r="B5275" t="s">
        <v>39</v>
      </c>
      <c r="C5275" s="1"/>
    </row>
    <row r="5276" spans="1:3" x14ac:dyDescent="0.25">
      <c r="A5276" t="s">
        <v>2282</v>
      </c>
      <c r="B5276" t="s">
        <v>6962</v>
      </c>
      <c r="C5276" s="1">
        <v>46140</v>
      </c>
    </row>
    <row r="5277" spans="1:3" x14ac:dyDescent="0.25">
      <c r="A5277" t="s">
        <v>2281</v>
      </c>
      <c r="B5277" t="s">
        <v>6962</v>
      </c>
      <c r="C5277" s="1">
        <v>46140</v>
      </c>
    </row>
    <row r="5278" spans="1:3" x14ac:dyDescent="0.25">
      <c r="A5278" t="s">
        <v>2280</v>
      </c>
      <c r="B5278" t="s">
        <v>6962</v>
      </c>
      <c r="C5278" s="1">
        <v>46146</v>
      </c>
    </row>
    <row r="5279" spans="1:3" x14ac:dyDescent="0.25">
      <c r="A5279" t="s">
        <v>2279</v>
      </c>
      <c r="B5279" t="s">
        <v>6962</v>
      </c>
      <c r="C5279" s="1">
        <v>46135</v>
      </c>
    </row>
    <row r="5280" spans="1:3" x14ac:dyDescent="0.25">
      <c r="A5280" t="s">
        <v>2279</v>
      </c>
      <c r="B5280" t="s">
        <v>6962</v>
      </c>
      <c r="C5280" s="1">
        <v>46135</v>
      </c>
    </row>
    <row r="5281" spans="1:3" x14ac:dyDescent="0.25">
      <c r="A5281" t="s">
        <v>2253</v>
      </c>
      <c r="B5281" t="s">
        <v>6962</v>
      </c>
      <c r="C5281" s="1">
        <v>46133</v>
      </c>
    </row>
    <row r="5282" spans="1:3" x14ac:dyDescent="0.25">
      <c r="A5282" t="s">
        <v>2277</v>
      </c>
      <c r="B5282" t="s">
        <v>6962</v>
      </c>
      <c r="C5282" s="1">
        <v>46135</v>
      </c>
    </row>
    <row r="5283" spans="1:3" x14ac:dyDescent="0.25">
      <c r="A5283" t="s">
        <v>2277</v>
      </c>
      <c r="B5283" t="s">
        <v>6962</v>
      </c>
      <c r="C5283" s="1">
        <v>46135</v>
      </c>
    </row>
    <row r="5284" spans="1:3" x14ac:dyDescent="0.25">
      <c r="A5284" t="s">
        <v>2276</v>
      </c>
      <c r="B5284" t="s">
        <v>6962</v>
      </c>
      <c r="C5284" s="1">
        <v>46141</v>
      </c>
    </row>
    <row r="5285" spans="1:3" x14ac:dyDescent="0.25">
      <c r="A5285" t="s">
        <v>2275</v>
      </c>
      <c r="B5285" t="s">
        <v>6962</v>
      </c>
      <c r="C5285" s="1">
        <v>46163</v>
      </c>
    </row>
    <row r="5286" spans="1:3" x14ac:dyDescent="0.25">
      <c r="A5286" t="s">
        <v>2274</v>
      </c>
      <c r="B5286" t="s">
        <v>6962</v>
      </c>
      <c r="C5286" s="1">
        <v>46140</v>
      </c>
    </row>
    <row r="5287" spans="1:3" x14ac:dyDescent="0.25">
      <c r="A5287" t="s">
        <v>2273</v>
      </c>
      <c r="B5287" t="s">
        <v>6962</v>
      </c>
      <c r="C5287" s="1">
        <v>46142</v>
      </c>
    </row>
    <row r="5288" spans="1:3" x14ac:dyDescent="0.25">
      <c r="A5288" t="s">
        <v>2272</v>
      </c>
      <c r="B5288" t="s">
        <v>6962</v>
      </c>
      <c r="C5288" s="1">
        <v>46150</v>
      </c>
    </row>
    <row r="5289" spans="1:3" x14ac:dyDescent="0.25">
      <c r="A5289" t="s">
        <v>2271</v>
      </c>
      <c r="B5289" t="s">
        <v>6962</v>
      </c>
      <c r="C5289" s="1">
        <v>46134</v>
      </c>
    </row>
    <row r="5290" spans="1:3" x14ac:dyDescent="0.25">
      <c r="A5290" t="s">
        <v>2270</v>
      </c>
      <c r="B5290" t="s">
        <v>39</v>
      </c>
      <c r="C5290" s="1"/>
    </row>
    <row r="5291" spans="1:3" x14ac:dyDescent="0.25">
      <c r="A5291" t="s">
        <v>2269</v>
      </c>
      <c r="B5291" t="s">
        <v>6962</v>
      </c>
      <c r="C5291" s="1">
        <v>46134</v>
      </c>
    </row>
    <row r="5292" spans="1:3" x14ac:dyDescent="0.25">
      <c r="A5292" t="s">
        <v>2267</v>
      </c>
      <c r="B5292" t="s">
        <v>6962</v>
      </c>
      <c r="C5292" s="1">
        <v>46140</v>
      </c>
    </row>
    <row r="5293" spans="1:3" x14ac:dyDescent="0.25">
      <c r="A5293" t="s">
        <v>2266</v>
      </c>
      <c r="B5293" t="s">
        <v>6962</v>
      </c>
      <c r="C5293" s="1">
        <v>46141</v>
      </c>
    </row>
    <row r="5294" spans="1:3" x14ac:dyDescent="0.25">
      <c r="A5294" t="s">
        <v>2265</v>
      </c>
      <c r="B5294" t="s">
        <v>6962</v>
      </c>
      <c r="C5294" s="1">
        <v>46141</v>
      </c>
    </row>
    <row r="5295" spans="1:3" x14ac:dyDescent="0.25">
      <c r="A5295" t="s">
        <v>2264</v>
      </c>
      <c r="B5295" t="s">
        <v>6962</v>
      </c>
      <c r="C5295" s="1">
        <v>46134</v>
      </c>
    </row>
    <row r="5296" spans="1:3" x14ac:dyDescent="0.25">
      <c r="A5296" t="s">
        <v>2263</v>
      </c>
      <c r="B5296" t="s">
        <v>6962</v>
      </c>
      <c r="C5296" s="1">
        <v>46141</v>
      </c>
    </row>
    <row r="5297" spans="1:3" x14ac:dyDescent="0.25">
      <c r="A5297" t="s">
        <v>2262</v>
      </c>
      <c r="B5297" t="s">
        <v>6962</v>
      </c>
      <c r="C5297" s="1">
        <v>46141</v>
      </c>
    </row>
    <row r="5298" spans="1:3" x14ac:dyDescent="0.25">
      <c r="A5298" t="s">
        <v>2261</v>
      </c>
      <c r="B5298" t="s">
        <v>6962</v>
      </c>
      <c r="C5298" s="1">
        <v>46134</v>
      </c>
    </row>
    <row r="5299" spans="1:3" x14ac:dyDescent="0.25">
      <c r="A5299" t="s">
        <v>2259</v>
      </c>
      <c r="B5299" t="s">
        <v>6962</v>
      </c>
      <c r="C5299" s="1">
        <v>46135</v>
      </c>
    </row>
    <row r="5300" spans="1:3" x14ac:dyDescent="0.25">
      <c r="A5300" t="s">
        <v>2258</v>
      </c>
      <c r="B5300" t="s">
        <v>6962</v>
      </c>
      <c r="C5300" s="1">
        <v>46141</v>
      </c>
    </row>
    <row r="5301" spans="1:3" x14ac:dyDescent="0.25">
      <c r="A5301" t="s">
        <v>2257</v>
      </c>
      <c r="B5301" t="s">
        <v>6962</v>
      </c>
      <c r="C5301" s="1">
        <v>46135</v>
      </c>
    </row>
    <row r="5302" spans="1:3" x14ac:dyDescent="0.25">
      <c r="A5302" t="s">
        <v>2250</v>
      </c>
      <c r="B5302" t="s">
        <v>39</v>
      </c>
      <c r="C5302" s="1"/>
    </row>
    <row r="5303" spans="1:3" x14ac:dyDescent="0.25">
      <c r="A5303" t="s">
        <v>2248</v>
      </c>
      <c r="B5303" t="s">
        <v>6962</v>
      </c>
      <c r="C5303" s="1">
        <v>46137</v>
      </c>
    </row>
    <row r="5304" spans="1:3" x14ac:dyDescent="0.25">
      <c r="A5304" t="s">
        <v>2245</v>
      </c>
      <c r="B5304" t="s">
        <v>6962</v>
      </c>
      <c r="C5304" s="1">
        <v>46142</v>
      </c>
    </row>
    <row r="5305" spans="1:3" x14ac:dyDescent="0.25">
      <c r="A5305" t="s">
        <v>2241</v>
      </c>
      <c r="B5305" t="s">
        <v>6962</v>
      </c>
      <c r="C5305" s="1">
        <v>46140</v>
      </c>
    </row>
    <row r="5306" spans="1:3" x14ac:dyDescent="0.25">
      <c r="A5306" t="s">
        <v>2238</v>
      </c>
      <c r="B5306" t="s">
        <v>6962</v>
      </c>
      <c r="C5306" s="1">
        <v>46149</v>
      </c>
    </row>
    <row r="5307" spans="1:3" x14ac:dyDescent="0.25">
      <c r="A5307" t="s">
        <v>2237</v>
      </c>
      <c r="B5307" t="s">
        <v>39</v>
      </c>
      <c r="C5307" s="1"/>
    </row>
    <row r="5308" spans="1:3" x14ac:dyDescent="0.25">
      <c r="A5308" t="s">
        <v>2236</v>
      </c>
      <c r="B5308" t="s">
        <v>6962</v>
      </c>
      <c r="C5308" s="1">
        <v>46141</v>
      </c>
    </row>
    <row r="5309" spans="1:3" x14ac:dyDescent="0.25">
      <c r="A5309" t="s">
        <v>2234</v>
      </c>
      <c r="B5309" t="s">
        <v>39</v>
      </c>
      <c r="C5309" s="1">
        <v>46139</v>
      </c>
    </row>
    <row r="5310" spans="1:3" x14ac:dyDescent="0.25">
      <c r="A5310" t="s">
        <v>2233</v>
      </c>
      <c r="B5310" t="s">
        <v>39</v>
      </c>
      <c r="C5310" s="1">
        <v>46139</v>
      </c>
    </row>
    <row r="5311" spans="1:3" x14ac:dyDescent="0.25">
      <c r="A5311" t="s">
        <v>2227</v>
      </c>
      <c r="B5311" t="s">
        <v>6962</v>
      </c>
      <c r="C5311" s="1">
        <v>46140</v>
      </c>
    </row>
    <row r="5312" spans="1:3" x14ac:dyDescent="0.25">
      <c r="A5312" t="s">
        <v>2226</v>
      </c>
      <c r="B5312" t="s">
        <v>6962</v>
      </c>
      <c r="C5312" s="1">
        <v>46147</v>
      </c>
    </row>
    <row r="5313" spans="1:3" x14ac:dyDescent="0.25">
      <c r="A5313" t="s">
        <v>2225</v>
      </c>
      <c r="B5313" t="s">
        <v>6962</v>
      </c>
      <c r="C5313" s="1">
        <v>46146</v>
      </c>
    </row>
    <row r="5314" spans="1:3" x14ac:dyDescent="0.25">
      <c r="A5314" t="s">
        <v>2224</v>
      </c>
      <c r="B5314" t="s">
        <v>6962</v>
      </c>
      <c r="C5314" s="1">
        <v>46148</v>
      </c>
    </row>
    <row r="5315" spans="1:3" x14ac:dyDescent="0.25">
      <c r="A5315" t="s">
        <v>2223</v>
      </c>
      <c r="B5315" t="s">
        <v>6962</v>
      </c>
      <c r="C5315" s="1">
        <v>46136</v>
      </c>
    </row>
    <row r="5316" spans="1:3" x14ac:dyDescent="0.25">
      <c r="A5316" t="s">
        <v>2220</v>
      </c>
      <c r="B5316" t="s">
        <v>6962</v>
      </c>
      <c r="C5316" s="1">
        <v>46142</v>
      </c>
    </row>
    <row r="5317" spans="1:3" x14ac:dyDescent="0.25">
      <c r="A5317" t="s">
        <v>2218</v>
      </c>
      <c r="B5317" t="s">
        <v>6962</v>
      </c>
      <c r="C5317" s="1">
        <v>46154</v>
      </c>
    </row>
    <row r="5318" spans="1:3" x14ac:dyDescent="0.25">
      <c r="A5318" t="s">
        <v>2216</v>
      </c>
      <c r="B5318" t="s">
        <v>6962</v>
      </c>
      <c r="C5318" s="1">
        <v>46150</v>
      </c>
    </row>
    <row r="5319" spans="1:3" x14ac:dyDescent="0.25">
      <c r="A5319" t="s">
        <v>2214</v>
      </c>
      <c r="B5319" t="s">
        <v>6962</v>
      </c>
      <c r="C5319" s="1">
        <v>46148</v>
      </c>
    </row>
    <row r="5320" spans="1:3" x14ac:dyDescent="0.25">
      <c r="A5320" t="s">
        <v>2213</v>
      </c>
      <c r="B5320" t="s">
        <v>39</v>
      </c>
      <c r="C5320" s="1"/>
    </row>
    <row r="5321" spans="1:3" x14ac:dyDescent="0.25">
      <c r="A5321" t="s">
        <v>2212</v>
      </c>
      <c r="B5321" t="s">
        <v>6962</v>
      </c>
      <c r="C5321" s="1">
        <v>46147</v>
      </c>
    </row>
    <row r="5322" spans="1:3" x14ac:dyDescent="0.25">
      <c r="A5322" t="s">
        <v>2211</v>
      </c>
      <c r="B5322" t="s">
        <v>6962</v>
      </c>
      <c r="C5322" s="1">
        <v>46143</v>
      </c>
    </row>
    <row r="5323" spans="1:3" x14ac:dyDescent="0.25">
      <c r="A5323" t="s">
        <v>2209</v>
      </c>
      <c r="B5323" t="s">
        <v>6962</v>
      </c>
      <c r="C5323" s="1">
        <v>46149</v>
      </c>
    </row>
    <row r="5324" spans="1:3" x14ac:dyDescent="0.25">
      <c r="A5324" t="s">
        <v>2208</v>
      </c>
      <c r="B5324" t="s">
        <v>6962</v>
      </c>
      <c r="C5324" s="1">
        <v>46144</v>
      </c>
    </row>
    <row r="5325" spans="1:3" x14ac:dyDescent="0.25">
      <c r="A5325" t="s">
        <v>2207</v>
      </c>
      <c r="B5325" t="s">
        <v>6962</v>
      </c>
      <c r="C5325" s="1">
        <v>46148</v>
      </c>
    </row>
    <row r="5326" spans="1:3" x14ac:dyDescent="0.25">
      <c r="A5326" t="s">
        <v>2205</v>
      </c>
      <c r="B5326" t="s">
        <v>6962</v>
      </c>
      <c r="C5326" s="1">
        <v>46144</v>
      </c>
    </row>
    <row r="5327" spans="1:3" x14ac:dyDescent="0.25">
      <c r="A5327" t="s">
        <v>2205</v>
      </c>
      <c r="B5327" t="s">
        <v>6962</v>
      </c>
      <c r="C5327" s="1">
        <v>46144</v>
      </c>
    </row>
    <row r="5328" spans="1:3" x14ac:dyDescent="0.25">
      <c r="A5328" t="s">
        <v>2204</v>
      </c>
      <c r="B5328" t="s">
        <v>39</v>
      </c>
      <c r="C5328" s="1"/>
    </row>
    <row r="5329" spans="1:3" x14ac:dyDescent="0.25">
      <c r="A5329" t="s">
        <v>2203</v>
      </c>
      <c r="B5329" t="s">
        <v>6962</v>
      </c>
      <c r="C5329" s="1">
        <v>46143</v>
      </c>
    </row>
    <row r="5330" spans="1:3" x14ac:dyDescent="0.25">
      <c r="A5330" t="s">
        <v>2202</v>
      </c>
      <c r="B5330" t="s">
        <v>6962</v>
      </c>
      <c r="C5330" s="1">
        <v>46141</v>
      </c>
    </row>
    <row r="5331" spans="1:3" x14ac:dyDescent="0.25">
      <c r="A5331" t="s">
        <v>2201</v>
      </c>
      <c r="B5331" t="s">
        <v>6962</v>
      </c>
      <c r="C5331" s="1">
        <v>46142</v>
      </c>
    </row>
    <row r="5332" spans="1:3" x14ac:dyDescent="0.25">
      <c r="A5332" t="s">
        <v>2200</v>
      </c>
      <c r="B5332" t="s">
        <v>39</v>
      </c>
      <c r="C5332" s="1"/>
    </row>
    <row r="5333" spans="1:3" x14ac:dyDescent="0.25">
      <c r="A5333" t="s">
        <v>2198</v>
      </c>
      <c r="B5333" t="s">
        <v>39</v>
      </c>
      <c r="C5333" s="1"/>
    </row>
    <row r="5334" spans="1:3" x14ac:dyDescent="0.25">
      <c r="A5334" t="s">
        <v>2249</v>
      </c>
      <c r="B5334" t="s">
        <v>6962</v>
      </c>
      <c r="C5334" s="1">
        <v>46141</v>
      </c>
    </row>
    <row r="5335" spans="1:3" x14ac:dyDescent="0.25">
      <c r="A5335" t="s">
        <v>2222</v>
      </c>
      <c r="B5335" t="s">
        <v>6962</v>
      </c>
      <c r="C5335" s="1">
        <v>46141</v>
      </c>
    </row>
    <row r="5336" spans="1:3" x14ac:dyDescent="0.25">
      <c r="A5336" t="s">
        <v>2197</v>
      </c>
      <c r="B5336" t="s">
        <v>6962</v>
      </c>
      <c r="C5336" s="1">
        <v>46147</v>
      </c>
    </row>
    <row r="5337" spans="1:3" x14ac:dyDescent="0.25">
      <c r="A5337" t="s">
        <v>2196</v>
      </c>
      <c r="B5337" t="s">
        <v>6962</v>
      </c>
      <c r="C5337" s="1">
        <v>46154</v>
      </c>
    </row>
    <row r="5338" spans="1:3" x14ac:dyDescent="0.25">
      <c r="A5338" t="s">
        <v>2195</v>
      </c>
      <c r="B5338" t="s">
        <v>6962</v>
      </c>
      <c r="C5338" s="1">
        <v>46142</v>
      </c>
    </row>
    <row r="5339" spans="1:3" x14ac:dyDescent="0.25">
      <c r="A5339" t="s">
        <v>2193</v>
      </c>
      <c r="B5339" t="s">
        <v>39</v>
      </c>
      <c r="C5339" s="1"/>
    </row>
    <row r="5340" spans="1:3" x14ac:dyDescent="0.25">
      <c r="A5340" t="s">
        <v>2192</v>
      </c>
      <c r="B5340" t="s">
        <v>6962</v>
      </c>
      <c r="C5340" s="1">
        <v>46142</v>
      </c>
    </row>
    <row r="5341" spans="1:3" x14ac:dyDescent="0.25">
      <c r="A5341" t="s">
        <v>2191</v>
      </c>
      <c r="B5341" t="s">
        <v>6962</v>
      </c>
      <c r="C5341" s="1">
        <v>46148</v>
      </c>
    </row>
    <row r="5342" spans="1:3" x14ac:dyDescent="0.25">
      <c r="A5342" t="s">
        <v>2190</v>
      </c>
      <c r="B5342" t="s">
        <v>6962</v>
      </c>
      <c r="C5342" s="1">
        <v>46148</v>
      </c>
    </row>
    <row r="5343" spans="1:3" x14ac:dyDescent="0.25">
      <c r="A5343" t="s">
        <v>2186</v>
      </c>
      <c r="B5343" t="s">
        <v>6962</v>
      </c>
      <c r="C5343" s="1">
        <v>46143</v>
      </c>
    </row>
    <row r="5344" spans="1:3" x14ac:dyDescent="0.25">
      <c r="A5344" t="s">
        <v>2185</v>
      </c>
      <c r="B5344" t="s">
        <v>6962</v>
      </c>
      <c r="C5344" s="1">
        <v>46142</v>
      </c>
    </row>
    <row r="5345" spans="1:3" x14ac:dyDescent="0.25">
      <c r="A5345" t="s">
        <v>2184</v>
      </c>
      <c r="B5345" t="s">
        <v>6962</v>
      </c>
      <c r="C5345" s="1">
        <v>46149</v>
      </c>
    </row>
    <row r="5346" spans="1:3" x14ac:dyDescent="0.25">
      <c r="A5346" t="s">
        <v>2183</v>
      </c>
      <c r="B5346" t="s">
        <v>6962</v>
      </c>
      <c r="C5346" s="1">
        <v>45781</v>
      </c>
    </row>
    <row r="5347" spans="1:3" x14ac:dyDescent="0.25">
      <c r="A5347" t="s">
        <v>2181</v>
      </c>
      <c r="B5347" t="s">
        <v>6962</v>
      </c>
      <c r="C5347" s="1">
        <v>46146</v>
      </c>
    </row>
    <row r="5348" spans="1:3" x14ac:dyDescent="0.25">
      <c r="A5348" t="s">
        <v>2180</v>
      </c>
      <c r="B5348" t="s">
        <v>6962</v>
      </c>
      <c r="C5348" s="1">
        <v>46147</v>
      </c>
    </row>
    <row r="5349" spans="1:3" x14ac:dyDescent="0.25">
      <c r="A5349" t="s">
        <v>2179</v>
      </c>
      <c r="B5349" t="s">
        <v>39</v>
      </c>
      <c r="C5349" s="1"/>
    </row>
    <row r="5350" spans="1:3" x14ac:dyDescent="0.25">
      <c r="A5350" t="s">
        <v>2177</v>
      </c>
      <c r="B5350" t="s">
        <v>6962</v>
      </c>
      <c r="C5350" s="1">
        <v>46154</v>
      </c>
    </row>
    <row r="5351" spans="1:3" x14ac:dyDescent="0.25">
      <c r="A5351" t="s">
        <v>2176</v>
      </c>
      <c r="B5351" t="s">
        <v>6962</v>
      </c>
      <c r="C5351" s="1">
        <v>46147</v>
      </c>
    </row>
    <row r="5352" spans="1:3" x14ac:dyDescent="0.25">
      <c r="A5352" t="s">
        <v>2174</v>
      </c>
      <c r="B5352" t="s">
        <v>39</v>
      </c>
      <c r="C5352" s="1"/>
    </row>
    <row r="5353" spans="1:3" x14ac:dyDescent="0.25">
      <c r="A5353" t="s">
        <v>2173</v>
      </c>
      <c r="B5353" t="s">
        <v>6962</v>
      </c>
      <c r="C5353" s="1">
        <v>46148</v>
      </c>
    </row>
    <row r="5354" spans="1:3" x14ac:dyDescent="0.25">
      <c r="A5354" t="s">
        <v>2171</v>
      </c>
      <c r="B5354" t="s">
        <v>6962</v>
      </c>
      <c r="C5354" s="1">
        <v>46149</v>
      </c>
    </row>
    <row r="5355" spans="1:3" x14ac:dyDescent="0.25">
      <c r="A5355" t="s">
        <v>2169</v>
      </c>
      <c r="B5355" t="s">
        <v>6962</v>
      </c>
      <c r="C5355" s="1">
        <v>46149</v>
      </c>
    </row>
    <row r="5356" spans="1:3" x14ac:dyDescent="0.25">
      <c r="A5356" t="s">
        <v>2168</v>
      </c>
      <c r="B5356" t="s">
        <v>6962</v>
      </c>
      <c r="C5356" s="1">
        <v>46146</v>
      </c>
    </row>
    <row r="5357" spans="1:3" x14ac:dyDescent="0.25">
      <c r="A5357" t="s">
        <v>2167</v>
      </c>
      <c r="B5357" t="s">
        <v>39</v>
      </c>
      <c r="C5357" s="1"/>
    </row>
    <row r="5358" spans="1:3" x14ac:dyDescent="0.25">
      <c r="A5358" t="s">
        <v>2166</v>
      </c>
      <c r="B5358" t="s">
        <v>6962</v>
      </c>
      <c r="C5358" s="1">
        <v>46142</v>
      </c>
    </row>
    <row r="5359" spans="1:3" x14ac:dyDescent="0.25">
      <c r="A5359" t="s">
        <v>2166</v>
      </c>
      <c r="B5359" t="s">
        <v>6962</v>
      </c>
      <c r="C5359" s="1">
        <v>46142</v>
      </c>
    </row>
    <row r="5360" spans="1:3" x14ac:dyDescent="0.25">
      <c r="A5360" t="s">
        <v>2165</v>
      </c>
      <c r="B5360" t="s">
        <v>6962</v>
      </c>
      <c r="C5360" s="1">
        <v>46148</v>
      </c>
    </row>
    <row r="5361" spans="1:3" x14ac:dyDescent="0.25">
      <c r="A5361" t="s">
        <v>2165</v>
      </c>
      <c r="B5361" t="s">
        <v>6962</v>
      </c>
      <c r="C5361" s="1">
        <v>46148</v>
      </c>
    </row>
    <row r="5362" spans="1:3" x14ac:dyDescent="0.25">
      <c r="A5362" t="s">
        <v>2162</v>
      </c>
      <c r="B5362" t="s">
        <v>6962</v>
      </c>
      <c r="C5362" s="1">
        <v>46148</v>
      </c>
    </row>
    <row r="5363" spans="1:3" x14ac:dyDescent="0.25">
      <c r="A5363" t="s">
        <v>2161</v>
      </c>
      <c r="B5363" t="s">
        <v>6962</v>
      </c>
      <c r="C5363" s="1">
        <v>46147</v>
      </c>
    </row>
    <row r="5364" spans="1:3" x14ac:dyDescent="0.25">
      <c r="A5364" t="s">
        <v>2160</v>
      </c>
      <c r="B5364" t="s">
        <v>6962</v>
      </c>
      <c r="C5364" s="1">
        <v>46149</v>
      </c>
    </row>
    <row r="5365" spans="1:3" x14ac:dyDescent="0.25">
      <c r="A5365" t="s">
        <v>2159</v>
      </c>
      <c r="B5365" t="s">
        <v>6962</v>
      </c>
      <c r="C5365" s="1">
        <v>46150</v>
      </c>
    </row>
    <row r="5366" spans="1:3" x14ac:dyDescent="0.25">
      <c r="A5366" t="s">
        <v>2156</v>
      </c>
      <c r="B5366" t="s">
        <v>39</v>
      </c>
      <c r="C5366" s="1"/>
    </row>
    <row r="5367" spans="1:3" x14ac:dyDescent="0.25">
      <c r="A5367" t="s">
        <v>2155</v>
      </c>
      <c r="B5367" t="s">
        <v>6962</v>
      </c>
      <c r="C5367" s="1">
        <v>46148</v>
      </c>
    </row>
    <row r="5368" spans="1:3" x14ac:dyDescent="0.25">
      <c r="A5368" t="s">
        <v>2154</v>
      </c>
      <c r="B5368" t="s">
        <v>6962</v>
      </c>
      <c r="C5368" s="1">
        <v>46149</v>
      </c>
    </row>
    <row r="5369" spans="1:3" x14ac:dyDescent="0.25">
      <c r="A5369" t="s">
        <v>2175</v>
      </c>
      <c r="B5369" t="s">
        <v>6962</v>
      </c>
      <c r="C5369" s="1">
        <v>46142</v>
      </c>
    </row>
    <row r="5370" spans="1:3" x14ac:dyDescent="0.25">
      <c r="A5370" t="s">
        <v>2151</v>
      </c>
      <c r="B5370" t="s">
        <v>39</v>
      </c>
      <c r="C5370" s="1"/>
    </row>
    <row r="5371" spans="1:3" x14ac:dyDescent="0.25">
      <c r="A5371" t="s">
        <v>2149</v>
      </c>
      <c r="B5371" t="s">
        <v>39</v>
      </c>
      <c r="C5371" s="1"/>
    </row>
    <row r="5372" spans="1:3" x14ac:dyDescent="0.25">
      <c r="A5372" t="s">
        <v>2148</v>
      </c>
      <c r="B5372" t="s">
        <v>6962</v>
      </c>
      <c r="C5372" s="1">
        <v>46149</v>
      </c>
    </row>
    <row r="5373" spans="1:3" x14ac:dyDescent="0.25">
      <c r="A5373" t="s">
        <v>2146</v>
      </c>
      <c r="B5373" t="s">
        <v>39</v>
      </c>
      <c r="C5373" s="1"/>
    </row>
    <row r="5374" spans="1:3" x14ac:dyDescent="0.25">
      <c r="A5374" t="s">
        <v>2145</v>
      </c>
      <c r="B5374" t="s">
        <v>6962</v>
      </c>
      <c r="C5374" s="1">
        <v>46149</v>
      </c>
    </row>
    <row r="5375" spans="1:3" x14ac:dyDescent="0.25">
      <c r="A5375" t="s">
        <v>2144</v>
      </c>
      <c r="B5375" t="s">
        <v>6962</v>
      </c>
      <c r="C5375" s="1">
        <v>46146</v>
      </c>
    </row>
    <row r="5376" spans="1:3" x14ac:dyDescent="0.25">
      <c r="A5376" t="s">
        <v>2142</v>
      </c>
      <c r="B5376" t="s">
        <v>6962</v>
      </c>
      <c r="C5376" s="1">
        <v>46147</v>
      </c>
    </row>
    <row r="5377" spans="1:3" x14ac:dyDescent="0.25">
      <c r="A5377" t="s">
        <v>2134</v>
      </c>
      <c r="B5377" t="s">
        <v>6962</v>
      </c>
      <c r="C5377" s="1">
        <v>46148</v>
      </c>
    </row>
    <row r="5378" spans="1:3" x14ac:dyDescent="0.25">
      <c r="A5378" t="s">
        <v>2132</v>
      </c>
      <c r="B5378" t="s">
        <v>6962</v>
      </c>
      <c r="C5378" s="1">
        <v>46150</v>
      </c>
    </row>
    <row r="5379" spans="1:3" x14ac:dyDescent="0.25">
      <c r="A5379" t="s">
        <v>2132</v>
      </c>
      <c r="B5379" t="s">
        <v>6962</v>
      </c>
      <c r="C5379" s="1">
        <v>46150</v>
      </c>
    </row>
    <row r="5380" spans="1:3" x14ac:dyDescent="0.25">
      <c r="A5380" t="s">
        <v>2130</v>
      </c>
      <c r="B5380" t="s">
        <v>6962</v>
      </c>
      <c r="C5380" s="1">
        <v>46147</v>
      </c>
    </row>
    <row r="5381" spans="1:3" x14ac:dyDescent="0.25">
      <c r="A5381" t="s">
        <v>2130</v>
      </c>
      <c r="B5381" t="s">
        <v>6962</v>
      </c>
      <c r="C5381" s="1">
        <v>46147</v>
      </c>
    </row>
    <row r="5382" spans="1:3" x14ac:dyDescent="0.25">
      <c r="A5382" t="s">
        <v>2126</v>
      </c>
      <c r="B5382" t="s">
        <v>6962</v>
      </c>
      <c r="C5382" s="1">
        <v>46146</v>
      </c>
    </row>
    <row r="5383" spans="1:3" x14ac:dyDescent="0.25">
      <c r="A5383" t="s">
        <v>2124</v>
      </c>
      <c r="B5383" t="s">
        <v>6962</v>
      </c>
      <c r="C5383" s="1">
        <v>46150</v>
      </c>
    </row>
    <row r="5384" spans="1:3" x14ac:dyDescent="0.25">
      <c r="A5384" t="s">
        <v>2122</v>
      </c>
      <c r="B5384" t="s">
        <v>6962</v>
      </c>
      <c r="C5384" s="1">
        <v>46150</v>
      </c>
    </row>
    <row r="5385" spans="1:3" x14ac:dyDescent="0.25">
      <c r="A5385" t="s">
        <v>2120</v>
      </c>
      <c r="B5385" t="s">
        <v>6962</v>
      </c>
      <c r="C5385" s="1">
        <v>46147</v>
      </c>
    </row>
    <row r="5386" spans="1:3" x14ac:dyDescent="0.25">
      <c r="A5386" t="s">
        <v>2118</v>
      </c>
      <c r="B5386" t="s">
        <v>6962</v>
      </c>
      <c r="C5386" s="1">
        <v>46149</v>
      </c>
    </row>
    <row r="5387" spans="1:3" x14ac:dyDescent="0.25">
      <c r="A5387" t="s">
        <v>1153</v>
      </c>
      <c r="B5387" t="s">
        <v>6962</v>
      </c>
      <c r="C5387" s="1">
        <v>46134</v>
      </c>
    </row>
    <row r="5388" spans="1:3" x14ac:dyDescent="0.25">
      <c r="A5388" t="s">
        <v>2103</v>
      </c>
      <c r="B5388" t="s">
        <v>6962</v>
      </c>
      <c r="C5388" s="1">
        <v>46163</v>
      </c>
    </row>
    <row r="5389" spans="1:3" x14ac:dyDescent="0.25">
      <c r="A5389" t="s">
        <v>2100</v>
      </c>
      <c r="B5389" t="s">
        <v>6962</v>
      </c>
      <c r="C5389" s="1">
        <v>46163</v>
      </c>
    </row>
    <row r="5390" spans="1:3" x14ac:dyDescent="0.25">
      <c r="A5390" t="s">
        <v>2097</v>
      </c>
      <c r="B5390" t="s">
        <v>6962</v>
      </c>
      <c r="C5390" s="1">
        <v>46164</v>
      </c>
    </row>
    <row r="5391" spans="1:3" x14ac:dyDescent="0.25">
      <c r="A5391" t="s">
        <v>2094</v>
      </c>
      <c r="B5391" t="s">
        <v>6962</v>
      </c>
      <c r="C5391" s="1">
        <v>46163</v>
      </c>
    </row>
    <row r="5392" spans="1:3" x14ac:dyDescent="0.25">
      <c r="A5392" t="s">
        <v>2088</v>
      </c>
      <c r="B5392" t="s">
        <v>39</v>
      </c>
      <c r="C5392" s="1"/>
    </row>
    <row r="5393" spans="1:3" x14ac:dyDescent="0.25">
      <c r="A5393" t="s">
        <v>2080</v>
      </c>
      <c r="B5393" t="s">
        <v>39</v>
      </c>
      <c r="C5393" s="1"/>
    </row>
    <row r="5394" spans="1:3" x14ac:dyDescent="0.25">
      <c r="A5394" t="s">
        <v>2076</v>
      </c>
      <c r="B5394" t="s">
        <v>6962</v>
      </c>
      <c r="C5394" s="1">
        <v>46155</v>
      </c>
    </row>
    <row r="5395" spans="1:3" x14ac:dyDescent="0.25">
      <c r="A5395" t="s">
        <v>2074</v>
      </c>
      <c r="B5395" t="s">
        <v>6962</v>
      </c>
      <c r="C5395" s="1">
        <v>46154</v>
      </c>
    </row>
    <row r="5396" spans="1:3" x14ac:dyDescent="0.25">
      <c r="A5396" t="s">
        <v>2069</v>
      </c>
      <c r="B5396" t="s">
        <v>6962</v>
      </c>
      <c r="C5396" s="1">
        <v>46154</v>
      </c>
    </row>
    <row r="5397" spans="1:3" x14ac:dyDescent="0.25">
      <c r="A5397" t="s">
        <v>2063</v>
      </c>
      <c r="B5397" t="s">
        <v>6962</v>
      </c>
      <c r="C5397" s="1">
        <v>46154</v>
      </c>
    </row>
    <row r="5398" spans="1:3" x14ac:dyDescent="0.25">
      <c r="A5398" t="s">
        <v>2058</v>
      </c>
      <c r="B5398" t="s">
        <v>6962</v>
      </c>
      <c r="C5398" s="1">
        <v>46154</v>
      </c>
    </row>
    <row r="5399" spans="1:3" x14ac:dyDescent="0.25">
      <c r="A5399" t="s">
        <v>2344</v>
      </c>
      <c r="B5399" t="s">
        <v>6962</v>
      </c>
      <c r="C5399" s="1">
        <v>46134</v>
      </c>
    </row>
    <row r="5400" spans="1:3" x14ac:dyDescent="0.25">
      <c r="A5400" t="s">
        <v>2345</v>
      </c>
      <c r="B5400" t="s">
        <v>6964</v>
      </c>
      <c r="C5400" s="1">
        <v>46158</v>
      </c>
    </row>
    <row r="5401" spans="1:3" x14ac:dyDescent="0.25">
      <c r="A5401" t="s">
        <v>2050</v>
      </c>
      <c r="B5401" t="s">
        <v>39</v>
      </c>
      <c r="C5401" s="1"/>
    </row>
    <row r="5402" spans="1:3" x14ac:dyDescent="0.25">
      <c r="A5402" t="s">
        <v>2047</v>
      </c>
      <c r="B5402" t="s">
        <v>6962</v>
      </c>
      <c r="C5402" s="1">
        <v>46163</v>
      </c>
    </row>
    <row r="5403" spans="1:3" x14ac:dyDescent="0.25">
      <c r="A5403" t="s">
        <v>2038</v>
      </c>
      <c r="B5403" t="s">
        <v>6962</v>
      </c>
      <c r="C5403" s="1">
        <v>46163</v>
      </c>
    </row>
    <row r="5404" spans="1:3" x14ac:dyDescent="0.25">
      <c r="A5404" t="s">
        <v>2036</v>
      </c>
      <c r="B5404" t="s">
        <v>6962</v>
      </c>
      <c r="C5404" s="1">
        <v>46157</v>
      </c>
    </row>
    <row r="5405" spans="1:3" x14ac:dyDescent="0.25">
      <c r="A5405" t="s">
        <v>2033</v>
      </c>
      <c r="B5405" t="s">
        <v>6962</v>
      </c>
      <c r="C5405" s="1">
        <v>46158</v>
      </c>
    </row>
    <row r="5406" spans="1:3" x14ac:dyDescent="0.25">
      <c r="A5406" t="s">
        <v>2031</v>
      </c>
      <c r="B5406" t="s">
        <v>6962</v>
      </c>
      <c r="C5406" s="1">
        <v>46150</v>
      </c>
    </row>
    <row r="5407" spans="1:3" x14ac:dyDescent="0.25">
      <c r="A5407" t="s">
        <v>2029</v>
      </c>
      <c r="B5407" t="s">
        <v>6962</v>
      </c>
      <c r="C5407" s="1">
        <v>46150</v>
      </c>
    </row>
    <row r="5408" spans="1:3" x14ac:dyDescent="0.25">
      <c r="A5408" t="s">
        <v>2029</v>
      </c>
      <c r="B5408" t="s">
        <v>6962</v>
      </c>
      <c r="C5408" s="1">
        <v>46150</v>
      </c>
    </row>
    <row r="5409" spans="1:3" x14ac:dyDescent="0.25">
      <c r="A5409" t="s">
        <v>2027</v>
      </c>
      <c r="B5409" t="s">
        <v>6962</v>
      </c>
      <c r="C5409" s="1">
        <v>46149</v>
      </c>
    </row>
    <row r="5410" spans="1:3" x14ac:dyDescent="0.25">
      <c r="A5410" t="s">
        <v>2024</v>
      </c>
      <c r="B5410" t="s">
        <v>6962</v>
      </c>
      <c r="C5410" s="1">
        <v>46163</v>
      </c>
    </row>
    <row r="5411" spans="1:3" x14ac:dyDescent="0.25">
      <c r="A5411" t="s">
        <v>2022</v>
      </c>
      <c r="B5411" t="s">
        <v>6962</v>
      </c>
      <c r="C5411" s="1">
        <v>46163</v>
      </c>
    </row>
    <row r="5412" spans="1:3" x14ac:dyDescent="0.25">
      <c r="A5412" t="s">
        <v>2017</v>
      </c>
      <c r="B5412" t="s">
        <v>6962</v>
      </c>
      <c r="C5412" s="1">
        <v>46154</v>
      </c>
    </row>
    <row r="5413" spans="1:3" x14ac:dyDescent="0.25">
      <c r="A5413" t="s">
        <v>2240</v>
      </c>
      <c r="B5413" t="s">
        <v>6962</v>
      </c>
      <c r="C5413" s="1">
        <v>46148</v>
      </c>
    </row>
    <row r="5414" spans="1:3" x14ac:dyDescent="0.25">
      <c r="A5414" t="s">
        <v>2251</v>
      </c>
      <c r="B5414" t="s">
        <v>6962</v>
      </c>
      <c r="C5414" s="1">
        <v>46133</v>
      </c>
    </row>
    <row r="5415" spans="1:3" x14ac:dyDescent="0.25">
      <c r="A5415" t="s">
        <v>2015</v>
      </c>
      <c r="B5415" t="s">
        <v>6962</v>
      </c>
      <c r="C5415" s="1">
        <v>46154</v>
      </c>
    </row>
    <row r="5416" spans="1:3" x14ac:dyDescent="0.25">
      <c r="A5416" t="s">
        <v>2013</v>
      </c>
      <c r="B5416" t="s">
        <v>6962</v>
      </c>
      <c r="C5416" s="1">
        <v>46149</v>
      </c>
    </row>
    <row r="5417" spans="1:3" x14ac:dyDescent="0.25">
      <c r="A5417" t="s">
        <v>2011</v>
      </c>
      <c r="B5417" t="s">
        <v>6962</v>
      </c>
      <c r="C5417" s="1">
        <v>46154</v>
      </c>
    </row>
    <row r="5418" spans="1:3" x14ac:dyDescent="0.25">
      <c r="A5418" t="s">
        <v>2009</v>
      </c>
      <c r="B5418" t="s">
        <v>6962</v>
      </c>
      <c r="C5418" s="1">
        <v>46150</v>
      </c>
    </row>
    <row r="5419" spans="1:3" x14ac:dyDescent="0.25">
      <c r="A5419" t="s">
        <v>2007</v>
      </c>
      <c r="B5419" t="s">
        <v>6962</v>
      </c>
      <c r="C5419" s="1">
        <v>46154</v>
      </c>
    </row>
    <row r="5420" spans="1:3" x14ac:dyDescent="0.25">
      <c r="A5420" t="s">
        <v>2005</v>
      </c>
      <c r="B5420" t="s">
        <v>6962</v>
      </c>
      <c r="C5420" s="1">
        <v>46149</v>
      </c>
    </row>
    <row r="5421" spans="1:3" x14ac:dyDescent="0.25">
      <c r="A5421" t="s">
        <v>1989</v>
      </c>
      <c r="B5421" t="s">
        <v>6962</v>
      </c>
      <c r="C5421" s="1">
        <v>46155</v>
      </c>
    </row>
    <row r="5422" spans="1:3" x14ac:dyDescent="0.25">
      <c r="A5422" t="s">
        <v>1986</v>
      </c>
      <c r="B5422" t="s">
        <v>6962</v>
      </c>
      <c r="C5422" s="1">
        <v>46154</v>
      </c>
    </row>
    <row r="5423" spans="1:3" x14ac:dyDescent="0.25">
      <c r="A5423" t="s">
        <v>1986</v>
      </c>
      <c r="B5423" t="s">
        <v>6962</v>
      </c>
      <c r="C5423" s="1">
        <v>46154</v>
      </c>
    </row>
    <row r="5424" spans="1:3" x14ac:dyDescent="0.25">
      <c r="A5424" t="s">
        <v>1979</v>
      </c>
      <c r="B5424" t="s">
        <v>6962</v>
      </c>
      <c r="C5424" s="1">
        <v>46163</v>
      </c>
    </row>
    <row r="5425" spans="1:3" x14ac:dyDescent="0.25">
      <c r="A5425" t="s">
        <v>1977</v>
      </c>
      <c r="B5425" t="s">
        <v>39</v>
      </c>
      <c r="C5425" s="1"/>
    </row>
    <row r="5426" spans="1:3" x14ac:dyDescent="0.25">
      <c r="A5426" t="s">
        <v>1969</v>
      </c>
      <c r="B5426" t="s">
        <v>6962</v>
      </c>
      <c r="C5426" s="1">
        <v>46160</v>
      </c>
    </row>
    <row r="5427" spans="1:3" x14ac:dyDescent="0.25">
      <c r="A5427" t="s">
        <v>2065</v>
      </c>
      <c r="B5427" t="s">
        <v>6962</v>
      </c>
      <c r="C5427" s="1">
        <v>46149</v>
      </c>
    </row>
    <row r="5428" spans="1:3" x14ac:dyDescent="0.25">
      <c r="A5428" t="s">
        <v>1965</v>
      </c>
      <c r="B5428" t="s">
        <v>6962</v>
      </c>
      <c r="C5428" s="1">
        <v>46157</v>
      </c>
    </row>
    <row r="5429" spans="1:3" x14ac:dyDescent="0.25">
      <c r="A5429" t="s">
        <v>1963</v>
      </c>
      <c r="B5429" t="s">
        <v>6962</v>
      </c>
      <c r="C5429" s="1">
        <v>46158</v>
      </c>
    </row>
    <row r="5430" spans="1:3" x14ac:dyDescent="0.25">
      <c r="A5430" t="s">
        <v>1961</v>
      </c>
      <c r="B5430" t="s">
        <v>39</v>
      </c>
      <c r="C5430" s="1"/>
    </row>
    <row r="5431" spans="1:3" x14ac:dyDescent="0.25">
      <c r="A5431" t="s">
        <v>1956</v>
      </c>
      <c r="B5431" t="s">
        <v>6962</v>
      </c>
      <c r="C5431" s="1">
        <v>46155</v>
      </c>
    </row>
    <row r="5432" spans="1:3" x14ac:dyDescent="0.25">
      <c r="A5432" t="s">
        <v>1954</v>
      </c>
      <c r="B5432" t="s">
        <v>6962</v>
      </c>
      <c r="C5432" s="1">
        <v>46150</v>
      </c>
    </row>
    <row r="5433" spans="1:3" x14ac:dyDescent="0.25">
      <c r="A5433" t="s">
        <v>1951</v>
      </c>
      <c r="B5433" t="s">
        <v>6962</v>
      </c>
      <c r="C5433" s="1">
        <v>46150</v>
      </c>
    </row>
    <row r="5434" spans="1:3" x14ac:dyDescent="0.25">
      <c r="A5434" t="s">
        <v>1948</v>
      </c>
      <c r="B5434" t="s">
        <v>6962</v>
      </c>
      <c r="C5434" s="1">
        <v>46160</v>
      </c>
    </row>
    <row r="5435" spans="1:3" x14ac:dyDescent="0.25">
      <c r="A5435" t="s">
        <v>1946</v>
      </c>
      <c r="B5435" t="s">
        <v>6962</v>
      </c>
      <c r="C5435" s="1">
        <v>46160</v>
      </c>
    </row>
    <row r="5436" spans="1:3" x14ac:dyDescent="0.25">
      <c r="A5436" t="s">
        <v>1943</v>
      </c>
      <c r="B5436" t="s">
        <v>6962</v>
      </c>
      <c r="C5436" s="1">
        <v>46151</v>
      </c>
    </row>
    <row r="5437" spans="1:3" x14ac:dyDescent="0.25">
      <c r="A5437" t="s">
        <v>1938</v>
      </c>
      <c r="B5437" t="s">
        <v>6962</v>
      </c>
      <c r="C5437" s="1">
        <v>46158</v>
      </c>
    </row>
    <row r="5438" spans="1:3" x14ac:dyDescent="0.25">
      <c r="A5438" t="s">
        <v>1936</v>
      </c>
      <c r="B5438" t="s">
        <v>39</v>
      </c>
      <c r="C5438" s="1"/>
    </row>
    <row r="5439" spans="1:3" x14ac:dyDescent="0.25">
      <c r="A5439" t="s">
        <v>1930</v>
      </c>
      <c r="B5439" t="s">
        <v>6962</v>
      </c>
      <c r="C5439" s="1">
        <v>46155</v>
      </c>
    </row>
    <row r="5440" spans="1:3" x14ac:dyDescent="0.25">
      <c r="A5440" t="s">
        <v>2150</v>
      </c>
      <c r="B5440" t="s">
        <v>6962</v>
      </c>
      <c r="C5440" s="1">
        <v>46150</v>
      </c>
    </row>
    <row r="5441" spans="1:3" x14ac:dyDescent="0.25">
      <c r="A5441" t="s">
        <v>1925</v>
      </c>
      <c r="B5441" t="s">
        <v>6962</v>
      </c>
      <c r="C5441" s="1">
        <v>46157</v>
      </c>
    </row>
    <row r="5442" spans="1:3" x14ac:dyDescent="0.25">
      <c r="A5442" t="s">
        <v>1923</v>
      </c>
      <c r="B5442" t="s">
        <v>6962</v>
      </c>
      <c r="C5442" s="1">
        <v>46168</v>
      </c>
    </row>
    <row r="5443" spans="1:3" x14ac:dyDescent="0.25">
      <c r="A5443" t="s">
        <v>1923</v>
      </c>
      <c r="B5443" t="s">
        <v>6962</v>
      </c>
      <c r="C5443" s="1">
        <v>46155</v>
      </c>
    </row>
    <row r="5444" spans="1:3" x14ac:dyDescent="0.25">
      <c r="A5444" t="s">
        <v>1921</v>
      </c>
      <c r="B5444" t="s">
        <v>6962</v>
      </c>
      <c r="C5444" s="1">
        <v>46154</v>
      </c>
    </row>
    <row r="5445" spans="1:3" x14ac:dyDescent="0.25">
      <c r="A5445" t="s">
        <v>1919</v>
      </c>
      <c r="B5445" t="s">
        <v>6962</v>
      </c>
      <c r="C5445" s="1">
        <v>46154</v>
      </c>
    </row>
    <row r="5446" spans="1:3" x14ac:dyDescent="0.25">
      <c r="A5446" t="s">
        <v>1917</v>
      </c>
      <c r="B5446" t="s">
        <v>6962</v>
      </c>
      <c r="C5446" s="1">
        <v>46157</v>
      </c>
    </row>
    <row r="5447" spans="1:3" x14ac:dyDescent="0.25">
      <c r="A5447" t="s">
        <v>1915</v>
      </c>
      <c r="B5447" t="s">
        <v>6962</v>
      </c>
      <c r="C5447" s="1">
        <v>46155</v>
      </c>
    </row>
    <row r="5448" spans="1:3" x14ac:dyDescent="0.25">
      <c r="A5448" t="s">
        <v>1912</v>
      </c>
      <c r="B5448" t="s">
        <v>6962</v>
      </c>
      <c r="C5448" s="1">
        <v>46155</v>
      </c>
    </row>
    <row r="5449" spans="1:3" x14ac:dyDescent="0.25">
      <c r="A5449" t="s">
        <v>1910</v>
      </c>
      <c r="B5449" t="s">
        <v>6962</v>
      </c>
      <c r="C5449" s="1">
        <v>46155</v>
      </c>
    </row>
    <row r="5450" spans="1:3" x14ac:dyDescent="0.25">
      <c r="A5450" t="s">
        <v>1906</v>
      </c>
      <c r="B5450" t="s">
        <v>6962</v>
      </c>
      <c r="C5450" s="1">
        <v>46153</v>
      </c>
    </row>
    <row r="5451" spans="1:3" x14ac:dyDescent="0.25">
      <c r="A5451" t="s">
        <v>1896</v>
      </c>
      <c r="B5451" t="s">
        <v>6962</v>
      </c>
      <c r="C5451" s="1">
        <v>46160</v>
      </c>
    </row>
    <row r="5452" spans="1:3" x14ac:dyDescent="0.25">
      <c r="A5452" t="s">
        <v>1902</v>
      </c>
      <c r="B5452" t="s">
        <v>6966</v>
      </c>
      <c r="C5452" s="1"/>
    </row>
    <row r="5453" spans="1:3" x14ac:dyDescent="0.25">
      <c r="A5453" t="s">
        <v>1900</v>
      </c>
      <c r="B5453" t="s">
        <v>6967</v>
      </c>
      <c r="C5453" s="1"/>
    </row>
    <row r="5454" spans="1:3" x14ac:dyDescent="0.25">
      <c r="A5454" t="s">
        <v>1898</v>
      </c>
      <c r="B5454" t="s">
        <v>6962</v>
      </c>
      <c r="C5454" s="1">
        <v>46157</v>
      </c>
    </row>
    <row r="5455" spans="1:3" x14ac:dyDescent="0.25">
      <c r="A5455" t="s">
        <v>1888</v>
      </c>
      <c r="B5455" t="s">
        <v>6962</v>
      </c>
      <c r="C5455" s="1">
        <v>46157</v>
      </c>
    </row>
    <row r="5456" spans="1:3" x14ac:dyDescent="0.25">
      <c r="A5456" t="s">
        <v>1886</v>
      </c>
      <c r="B5456" t="s">
        <v>6962</v>
      </c>
      <c r="C5456" s="1">
        <v>46157</v>
      </c>
    </row>
    <row r="5457" spans="1:3" x14ac:dyDescent="0.25">
      <c r="A5457" t="s">
        <v>1883</v>
      </c>
      <c r="B5457" t="s">
        <v>6962</v>
      </c>
      <c r="C5457" s="1">
        <v>46155</v>
      </c>
    </row>
    <row r="5458" spans="1:3" x14ac:dyDescent="0.25">
      <c r="A5458" t="s">
        <v>1883</v>
      </c>
      <c r="B5458" t="s">
        <v>6962</v>
      </c>
      <c r="C5458" s="1">
        <v>46155</v>
      </c>
    </row>
    <row r="5459" spans="1:3" x14ac:dyDescent="0.25">
      <c r="A5459" t="s">
        <v>1880</v>
      </c>
      <c r="B5459" t="s">
        <v>39</v>
      </c>
      <c r="C5459" s="1"/>
    </row>
    <row r="5460" spans="1:3" x14ac:dyDescent="0.25">
      <c r="A5460" t="s">
        <v>6957</v>
      </c>
      <c r="B5460" t="s">
        <v>6963</v>
      </c>
      <c r="C5460" s="1"/>
    </row>
    <row r="5461" spans="1:3" x14ac:dyDescent="0.25">
      <c r="A5461" t="s">
        <v>6957</v>
      </c>
      <c r="B5461" t="s">
        <v>6963</v>
      </c>
      <c r="C5461" s="1"/>
    </row>
    <row r="5462" spans="1:3" x14ac:dyDescent="0.25">
      <c r="A5462" t="s">
        <v>1868</v>
      </c>
      <c r="B5462" t="s">
        <v>39</v>
      </c>
      <c r="C5462" s="1"/>
    </row>
    <row r="5463" spans="1:3" x14ac:dyDescent="0.25">
      <c r="A5463" t="s">
        <v>2172</v>
      </c>
      <c r="B5463" t="s">
        <v>6962</v>
      </c>
      <c r="C5463" s="1">
        <v>46154</v>
      </c>
    </row>
    <row r="5464" spans="1:3" x14ac:dyDescent="0.25">
      <c r="A5464" t="s">
        <v>2172</v>
      </c>
      <c r="B5464" t="s">
        <v>6962</v>
      </c>
      <c r="C5464" s="1">
        <v>46154</v>
      </c>
    </row>
    <row r="5465" spans="1:3" x14ac:dyDescent="0.25">
      <c r="A5465" t="s">
        <v>1863</v>
      </c>
      <c r="B5465" t="s">
        <v>6962</v>
      </c>
      <c r="C5465" s="1">
        <v>46163</v>
      </c>
    </row>
    <row r="5466" spans="1:3" x14ac:dyDescent="0.25">
      <c r="A5466" t="s">
        <v>1857</v>
      </c>
      <c r="B5466" t="s">
        <v>39</v>
      </c>
      <c r="C5466" s="1"/>
    </row>
    <row r="5467" spans="1:3" x14ac:dyDescent="0.25">
      <c r="A5467" t="s">
        <v>1852</v>
      </c>
      <c r="B5467" t="s">
        <v>6962</v>
      </c>
      <c r="C5467" s="1">
        <v>46158</v>
      </c>
    </row>
    <row r="5468" spans="1:3" x14ac:dyDescent="0.25">
      <c r="A5468" t="s">
        <v>1850</v>
      </c>
      <c r="B5468" t="s">
        <v>6962</v>
      </c>
      <c r="C5468" s="1">
        <v>46157</v>
      </c>
    </row>
    <row r="5469" spans="1:3" x14ac:dyDescent="0.25">
      <c r="A5469" t="s">
        <v>1848</v>
      </c>
      <c r="B5469" t="s">
        <v>6962</v>
      </c>
      <c r="C5469" s="1">
        <v>46157</v>
      </c>
    </row>
    <row r="5470" spans="1:3" x14ac:dyDescent="0.25">
      <c r="A5470" t="s">
        <v>1846</v>
      </c>
      <c r="B5470" t="s">
        <v>6962</v>
      </c>
      <c r="C5470" s="1">
        <v>46158</v>
      </c>
    </row>
    <row r="5471" spans="1:3" x14ac:dyDescent="0.25">
      <c r="A5471" t="s">
        <v>1836</v>
      </c>
      <c r="C5471" s="1"/>
    </row>
    <row r="5472" spans="1:3" x14ac:dyDescent="0.25">
      <c r="A5472" t="s">
        <v>1831</v>
      </c>
      <c r="B5472" t="s">
        <v>6962</v>
      </c>
      <c r="C5472" s="1">
        <v>46158</v>
      </c>
    </row>
    <row r="5473" spans="1:3" x14ac:dyDescent="0.25">
      <c r="A5473" t="s">
        <v>1826</v>
      </c>
      <c r="B5473" t="s">
        <v>6962</v>
      </c>
      <c r="C5473" s="1">
        <v>46160</v>
      </c>
    </row>
    <row r="5474" spans="1:3" x14ac:dyDescent="0.25">
      <c r="A5474" t="s">
        <v>1823</v>
      </c>
      <c r="B5474" t="s">
        <v>6962</v>
      </c>
      <c r="C5474" s="1">
        <v>46160</v>
      </c>
    </row>
    <row r="5475" spans="1:3" x14ac:dyDescent="0.25">
      <c r="A5475" t="s">
        <v>1819</v>
      </c>
      <c r="B5475" t="s">
        <v>39</v>
      </c>
      <c r="C5475" s="1"/>
    </row>
    <row r="5476" spans="1:3" x14ac:dyDescent="0.25">
      <c r="A5476" t="s">
        <v>1816</v>
      </c>
      <c r="B5476" t="s">
        <v>6962</v>
      </c>
      <c r="C5476" s="1">
        <v>46157</v>
      </c>
    </row>
    <row r="5477" spans="1:3" x14ac:dyDescent="0.25">
      <c r="A5477" t="s">
        <v>1816</v>
      </c>
      <c r="B5477" t="s">
        <v>6962</v>
      </c>
      <c r="C5477" s="1">
        <v>46157</v>
      </c>
    </row>
    <row r="5478" spans="1:3" x14ac:dyDescent="0.25">
      <c r="A5478" t="s">
        <v>1812</v>
      </c>
      <c r="B5478" t="s">
        <v>39</v>
      </c>
      <c r="C5478" s="1"/>
    </row>
    <row r="5479" spans="1:3" x14ac:dyDescent="0.25">
      <c r="A5479" t="s">
        <v>1810</v>
      </c>
      <c r="B5479" t="s">
        <v>6962</v>
      </c>
      <c r="C5479" s="1">
        <v>46158</v>
      </c>
    </row>
    <row r="5480" spans="1:3" x14ac:dyDescent="0.25">
      <c r="A5480" t="s">
        <v>1808</v>
      </c>
      <c r="B5480" t="s">
        <v>6962</v>
      </c>
      <c r="C5480" s="1">
        <v>46158</v>
      </c>
    </row>
    <row r="5481" spans="1:3" x14ac:dyDescent="0.25">
      <c r="A5481" t="s">
        <v>1805</v>
      </c>
      <c r="B5481" t="s">
        <v>6962</v>
      </c>
      <c r="C5481" s="1">
        <v>46161</v>
      </c>
    </row>
    <row r="5482" spans="1:3" x14ac:dyDescent="0.25">
      <c r="A5482" t="s">
        <v>1803</v>
      </c>
      <c r="B5482" t="s">
        <v>6962</v>
      </c>
      <c r="C5482" s="1">
        <v>46158</v>
      </c>
    </row>
    <row r="5483" spans="1:3" x14ac:dyDescent="0.25">
      <c r="A5483" t="s">
        <v>1801</v>
      </c>
      <c r="B5483" t="s">
        <v>6962</v>
      </c>
      <c r="C5483" s="1">
        <v>46157</v>
      </c>
    </row>
    <row r="5484" spans="1:3" x14ac:dyDescent="0.25">
      <c r="A5484" t="s">
        <v>1796</v>
      </c>
      <c r="B5484" t="s">
        <v>6962</v>
      </c>
      <c r="C5484" s="1">
        <v>46158</v>
      </c>
    </row>
    <row r="5485" spans="1:3" x14ac:dyDescent="0.25">
      <c r="A5485" t="s">
        <v>1792</v>
      </c>
      <c r="B5485" t="s">
        <v>6962</v>
      </c>
      <c r="C5485" s="1">
        <v>46158</v>
      </c>
    </row>
    <row r="5486" spans="1:3" x14ac:dyDescent="0.25">
      <c r="A5486" t="s">
        <v>1790</v>
      </c>
      <c r="B5486" t="s">
        <v>6962</v>
      </c>
      <c r="C5486" s="1">
        <v>46158</v>
      </c>
    </row>
    <row r="5487" spans="1:3" x14ac:dyDescent="0.25">
      <c r="A5487" t="s">
        <v>1788</v>
      </c>
      <c r="B5487" t="s">
        <v>39</v>
      </c>
      <c r="C5487" s="1"/>
    </row>
    <row r="5488" spans="1:3" x14ac:dyDescent="0.25">
      <c r="A5488" t="s">
        <v>1786</v>
      </c>
      <c r="B5488" t="s">
        <v>6962</v>
      </c>
      <c r="C5488" s="1">
        <v>46158</v>
      </c>
    </row>
    <row r="5489" spans="1:3" x14ac:dyDescent="0.25">
      <c r="A5489" t="s">
        <v>1784</v>
      </c>
      <c r="B5489" t="s">
        <v>6962</v>
      </c>
      <c r="C5489" s="1">
        <v>46157</v>
      </c>
    </row>
    <row r="5490" spans="1:3" x14ac:dyDescent="0.25">
      <c r="A5490" t="s">
        <v>1782</v>
      </c>
      <c r="B5490" t="s">
        <v>6962</v>
      </c>
      <c r="C5490" s="1">
        <v>46157</v>
      </c>
    </row>
    <row r="5491" spans="1:3" x14ac:dyDescent="0.25">
      <c r="A5491" t="s">
        <v>1782</v>
      </c>
      <c r="B5491" t="s">
        <v>6962</v>
      </c>
      <c r="C5491" s="1">
        <v>46157</v>
      </c>
    </row>
    <row r="5492" spans="1:3" x14ac:dyDescent="0.25">
      <c r="A5492" t="s">
        <v>1775</v>
      </c>
      <c r="B5492" t="s">
        <v>6962</v>
      </c>
      <c r="C5492" s="1">
        <v>46160</v>
      </c>
    </row>
    <row r="5493" spans="1:3" x14ac:dyDescent="0.25">
      <c r="A5493" t="s">
        <v>1771</v>
      </c>
      <c r="B5493" t="s">
        <v>6962</v>
      </c>
      <c r="C5493" s="1">
        <v>46161</v>
      </c>
    </row>
    <row r="5494" spans="1:3" x14ac:dyDescent="0.25">
      <c r="A5494" t="s">
        <v>1765</v>
      </c>
      <c r="B5494" t="s">
        <v>6962</v>
      </c>
      <c r="C5494" s="1">
        <v>46158</v>
      </c>
    </row>
    <row r="5495" spans="1:3" x14ac:dyDescent="0.25">
      <c r="A5495" t="s">
        <v>1762</v>
      </c>
      <c r="B5495" t="s">
        <v>6962</v>
      </c>
      <c r="C5495" s="1">
        <v>46163</v>
      </c>
    </row>
    <row r="5496" spans="1:3" x14ac:dyDescent="0.25">
      <c r="A5496" t="s">
        <v>1759</v>
      </c>
      <c r="B5496" t="s">
        <v>6962</v>
      </c>
      <c r="C5496" s="1">
        <v>46158</v>
      </c>
    </row>
    <row r="5497" spans="1:3" x14ac:dyDescent="0.25">
      <c r="A5497" t="s">
        <v>1753</v>
      </c>
      <c r="B5497" t="s">
        <v>6962</v>
      </c>
      <c r="C5497" s="1">
        <v>46158</v>
      </c>
    </row>
    <row r="5498" spans="1:3" x14ac:dyDescent="0.25">
      <c r="A5498" t="s">
        <v>1750</v>
      </c>
      <c r="B5498" t="s">
        <v>6962</v>
      </c>
      <c r="C5498" s="1">
        <v>46160</v>
      </c>
    </row>
    <row r="5499" spans="1:3" x14ac:dyDescent="0.25">
      <c r="A5499" t="s">
        <v>1745</v>
      </c>
      <c r="B5499" t="s">
        <v>6962</v>
      </c>
      <c r="C5499" s="1">
        <v>46158</v>
      </c>
    </row>
    <row r="5500" spans="1:3" x14ac:dyDescent="0.25">
      <c r="A5500" t="s">
        <v>1742</v>
      </c>
      <c r="B5500" t="s">
        <v>6962</v>
      </c>
      <c r="C5500" s="1">
        <v>46163</v>
      </c>
    </row>
    <row r="5501" spans="1:3" x14ac:dyDescent="0.25">
      <c r="A5501" t="s">
        <v>1741</v>
      </c>
      <c r="B5501" t="s">
        <v>6962</v>
      </c>
      <c r="C5501" s="1">
        <v>46158</v>
      </c>
    </row>
    <row r="5502" spans="1:3" x14ac:dyDescent="0.25">
      <c r="A5502" t="s">
        <v>1736</v>
      </c>
      <c r="B5502" t="s">
        <v>6962</v>
      </c>
      <c r="C5502" s="1">
        <v>46161</v>
      </c>
    </row>
    <row r="5503" spans="1:3" x14ac:dyDescent="0.25">
      <c r="A5503" t="s">
        <v>1733</v>
      </c>
      <c r="B5503" t="s">
        <v>6962</v>
      </c>
      <c r="C5503" s="1">
        <v>46160</v>
      </c>
    </row>
    <row r="5504" spans="1:3" x14ac:dyDescent="0.25">
      <c r="A5504" t="s">
        <v>1725</v>
      </c>
      <c r="B5504" t="s">
        <v>6962</v>
      </c>
      <c r="C5504" s="1">
        <v>46161</v>
      </c>
    </row>
    <row r="5505" spans="1:3" x14ac:dyDescent="0.25">
      <c r="A5505" t="s">
        <v>1721</v>
      </c>
      <c r="B5505" t="s">
        <v>6962</v>
      </c>
      <c r="C5505" s="1">
        <v>46163</v>
      </c>
    </row>
    <row r="5506" spans="1:3" x14ac:dyDescent="0.25">
      <c r="A5506" t="s">
        <v>1721</v>
      </c>
      <c r="B5506" t="s">
        <v>6962</v>
      </c>
      <c r="C5506" s="1">
        <v>46163</v>
      </c>
    </row>
    <row r="5507" spans="1:3" x14ac:dyDescent="0.25">
      <c r="A5507" t="s">
        <v>1717</v>
      </c>
      <c r="B5507" t="s">
        <v>6962</v>
      </c>
      <c r="C5507" s="1">
        <v>46163</v>
      </c>
    </row>
    <row r="5508" spans="1:3" x14ac:dyDescent="0.25">
      <c r="A5508" t="s">
        <v>1709</v>
      </c>
      <c r="B5508" t="s">
        <v>6962</v>
      </c>
      <c r="C5508" s="1">
        <v>46163</v>
      </c>
    </row>
    <row r="5509" spans="1:3" x14ac:dyDescent="0.25">
      <c r="A5509" t="s">
        <v>1700</v>
      </c>
      <c r="B5509" t="s">
        <v>6964</v>
      </c>
      <c r="C5509" s="1">
        <v>46167</v>
      </c>
    </row>
    <row r="5510" spans="1:3" x14ac:dyDescent="0.25">
      <c r="A5510" t="s">
        <v>1696</v>
      </c>
      <c r="B5510" t="s">
        <v>6967</v>
      </c>
      <c r="C5510" s="1"/>
    </row>
    <row r="5511" spans="1:3" x14ac:dyDescent="0.25">
      <c r="A5511" t="s">
        <v>1693</v>
      </c>
      <c r="B5511" t="s">
        <v>6962</v>
      </c>
      <c r="C5511" s="1">
        <v>46164</v>
      </c>
    </row>
    <row r="5512" spans="1:3" x14ac:dyDescent="0.25">
      <c r="A5512" t="s">
        <v>1684</v>
      </c>
      <c r="B5512" t="s">
        <v>6962</v>
      </c>
      <c r="C5512" s="1">
        <v>46164</v>
      </c>
    </row>
    <row r="5513" spans="1:3" x14ac:dyDescent="0.25">
      <c r="A5513" t="s">
        <v>1681</v>
      </c>
      <c r="B5513" t="s">
        <v>6962</v>
      </c>
      <c r="C5513" s="1">
        <v>46164</v>
      </c>
    </row>
    <row r="5514" spans="1:3" x14ac:dyDescent="0.25">
      <c r="A5514" t="s">
        <v>1675</v>
      </c>
      <c r="B5514" t="s">
        <v>6962</v>
      </c>
      <c r="C5514" s="1">
        <v>46162</v>
      </c>
    </row>
    <row r="5515" spans="1:3" x14ac:dyDescent="0.25">
      <c r="A5515" t="s">
        <v>1675</v>
      </c>
      <c r="B5515" t="s">
        <v>6962</v>
      </c>
      <c r="C5515" s="1">
        <v>46162</v>
      </c>
    </row>
    <row r="5516" spans="1:3" x14ac:dyDescent="0.25">
      <c r="A5516" t="s">
        <v>1645</v>
      </c>
      <c r="B5516" t="s">
        <v>6962</v>
      </c>
      <c r="C5516" s="1">
        <v>46163</v>
      </c>
    </row>
    <row r="5517" spans="1:3" x14ac:dyDescent="0.25">
      <c r="A5517" t="s">
        <v>1648</v>
      </c>
      <c r="B5517" t="s">
        <v>6962</v>
      </c>
      <c r="C5517" s="1">
        <v>46167</v>
      </c>
    </row>
    <row r="5518" spans="1:3" x14ac:dyDescent="0.25">
      <c r="A5518" t="s">
        <v>1634</v>
      </c>
      <c r="B5518" t="s">
        <v>6962</v>
      </c>
      <c r="C5518" s="1">
        <v>46164</v>
      </c>
    </row>
    <row r="5519" spans="1:3" x14ac:dyDescent="0.25">
      <c r="A5519" t="s">
        <v>1631</v>
      </c>
      <c r="B5519" t="s">
        <v>6962</v>
      </c>
      <c r="C5519" s="1">
        <v>46165</v>
      </c>
    </row>
    <row r="5520" spans="1:3" x14ac:dyDescent="0.25">
      <c r="A5520" t="s">
        <v>1622</v>
      </c>
      <c r="B5520" t="s">
        <v>6962</v>
      </c>
      <c r="C5520" s="1">
        <v>46164</v>
      </c>
    </row>
    <row r="5521" spans="1:3" x14ac:dyDescent="0.25">
      <c r="A5521" t="s">
        <v>1617</v>
      </c>
      <c r="B5521" t="s">
        <v>6967</v>
      </c>
      <c r="C5521" s="1"/>
    </row>
    <row r="5522" spans="1:3" x14ac:dyDescent="0.25">
      <c r="A5522" t="s">
        <v>1602</v>
      </c>
      <c r="B5522" t="s">
        <v>6962</v>
      </c>
      <c r="C5522" s="1">
        <v>46167</v>
      </c>
    </row>
    <row r="5523" spans="1:3" x14ac:dyDescent="0.25">
      <c r="A5523" t="s">
        <v>1628</v>
      </c>
      <c r="B5523" t="s">
        <v>6962</v>
      </c>
      <c r="C5523" s="1">
        <v>46165</v>
      </c>
    </row>
    <row r="5524" spans="1:3" x14ac:dyDescent="0.25">
      <c r="A5524" t="s">
        <v>1588</v>
      </c>
      <c r="B5524" t="s">
        <v>6962</v>
      </c>
      <c r="C5524" s="1">
        <v>46165</v>
      </c>
    </row>
    <row r="5525" spans="1:3" x14ac:dyDescent="0.25">
      <c r="A5525" t="s">
        <v>1637</v>
      </c>
      <c r="B5525" t="s">
        <v>6962</v>
      </c>
      <c r="C5525" s="1">
        <v>46165</v>
      </c>
    </row>
    <row r="5526" spans="1:3" x14ac:dyDescent="0.25">
      <c r="A5526" t="s">
        <v>1599</v>
      </c>
      <c r="B5526" t="s">
        <v>6962</v>
      </c>
      <c r="C5526" s="1">
        <v>46167</v>
      </c>
    </row>
    <row r="5527" spans="1:3" x14ac:dyDescent="0.25">
      <c r="A5527" t="s">
        <v>1596</v>
      </c>
      <c r="B5527" t="s">
        <v>6962</v>
      </c>
      <c r="C5527" s="1">
        <v>46165</v>
      </c>
    </row>
    <row r="5528" spans="1:3" x14ac:dyDescent="0.25">
      <c r="A5528" t="s">
        <v>1591</v>
      </c>
      <c r="B5528" t="s">
        <v>6968</v>
      </c>
      <c r="C5528" s="1"/>
    </row>
    <row r="5529" spans="1:3" x14ac:dyDescent="0.25">
      <c r="A5529" t="s">
        <v>1591</v>
      </c>
      <c r="B5529" t="s">
        <v>6968</v>
      </c>
      <c r="C5529" s="1"/>
    </row>
    <row r="5530" spans="1:3" x14ac:dyDescent="0.25">
      <c r="A5530" t="s">
        <v>1586</v>
      </c>
      <c r="B5530" t="s">
        <v>6967</v>
      </c>
      <c r="C5530" s="1"/>
    </row>
    <row r="5531" spans="1:3" x14ac:dyDescent="0.25">
      <c r="A5531" t="s">
        <v>1577</v>
      </c>
      <c r="B5531" t="s">
        <v>6962</v>
      </c>
      <c r="C5531" s="1">
        <v>46167</v>
      </c>
    </row>
    <row r="5532" spans="1:3" x14ac:dyDescent="0.25">
      <c r="A5532" t="s">
        <v>1570</v>
      </c>
      <c r="B5532" t="s">
        <v>6962</v>
      </c>
      <c r="C5532" s="1">
        <v>46168</v>
      </c>
    </row>
    <row r="5533" spans="1:3" x14ac:dyDescent="0.25">
      <c r="A5533" t="s">
        <v>1568</v>
      </c>
      <c r="B5533" t="s">
        <v>6967</v>
      </c>
      <c r="C5533" s="1"/>
    </row>
    <row r="5534" spans="1:3" x14ac:dyDescent="0.25">
      <c r="A5534" t="s">
        <v>1565</v>
      </c>
      <c r="B5534" t="s">
        <v>6962</v>
      </c>
      <c r="C5534" s="1">
        <v>46169</v>
      </c>
    </row>
    <row r="5535" spans="1:3" x14ac:dyDescent="0.25">
      <c r="A5535" t="s">
        <v>1559</v>
      </c>
      <c r="B5535" t="s">
        <v>6969</v>
      </c>
      <c r="C5535" s="1"/>
    </row>
    <row r="5536" spans="1:3" x14ac:dyDescent="0.25">
      <c r="A5536" t="s">
        <v>1549</v>
      </c>
      <c r="B5536" t="s">
        <v>6967</v>
      </c>
      <c r="C5536" s="1"/>
    </row>
    <row r="5537" spans="1:3" x14ac:dyDescent="0.25">
      <c r="A5537" t="s">
        <v>1540</v>
      </c>
      <c r="B5537" t="s">
        <v>6967</v>
      </c>
      <c r="C5537" s="1"/>
    </row>
    <row r="5538" spans="1:3" x14ac:dyDescent="0.25">
      <c r="A5538" t="s">
        <v>1538</v>
      </c>
      <c r="B5538" t="s">
        <v>6962</v>
      </c>
      <c r="C5538" s="1">
        <v>46168</v>
      </c>
    </row>
    <row r="5539" spans="1:3" x14ac:dyDescent="0.25">
      <c r="A5539" t="s">
        <v>1534</v>
      </c>
      <c r="B5539" t="s">
        <v>39</v>
      </c>
      <c r="C5539" s="1"/>
    </row>
    <row r="5540" spans="1:3" x14ac:dyDescent="0.25">
      <c r="A5540" t="s">
        <v>1519</v>
      </c>
      <c r="B5540" t="s">
        <v>6962</v>
      </c>
      <c r="C5540" s="1">
        <v>46168</v>
      </c>
    </row>
    <row r="5541" spans="1:3" x14ac:dyDescent="0.25">
      <c r="A5541" t="s">
        <v>1531</v>
      </c>
      <c r="B5541" t="s">
        <v>6970</v>
      </c>
      <c r="C5541" s="1"/>
    </row>
    <row r="5542" spans="1:3" x14ac:dyDescent="0.25">
      <c r="A5542" t="s">
        <v>1526</v>
      </c>
      <c r="B5542" t="s">
        <v>6967</v>
      </c>
      <c r="C5542" s="1"/>
    </row>
    <row r="5543" spans="1:3" x14ac:dyDescent="0.25">
      <c r="A5543" t="s">
        <v>1523</v>
      </c>
      <c r="B5543" t="s">
        <v>6970</v>
      </c>
      <c r="C5543" s="1"/>
    </row>
    <row r="5544" spans="1:3" x14ac:dyDescent="0.25">
      <c r="A5544" t="s">
        <v>2378</v>
      </c>
      <c r="B5544" t="s">
        <v>6962</v>
      </c>
      <c r="C5544" s="1"/>
    </row>
    <row r="5545" spans="1:3" x14ac:dyDescent="0.25">
      <c r="A5545" t="s">
        <v>6958</v>
      </c>
      <c r="B5545" t="s">
        <v>6969</v>
      </c>
      <c r="C5545" s="1"/>
    </row>
    <row r="5546" spans="1:3" x14ac:dyDescent="0.25">
      <c r="A5546" t="s">
        <v>6959</v>
      </c>
      <c r="B5546" t="s">
        <v>6968</v>
      </c>
      <c r="C5546" s="1"/>
    </row>
    <row r="5547" spans="1:3" x14ac:dyDescent="0.25">
      <c r="A5547" t="s">
        <v>6960</v>
      </c>
      <c r="B5547" t="s">
        <v>6968</v>
      </c>
      <c r="C5547" s="1"/>
    </row>
    <row r="5548" spans="1:3" x14ac:dyDescent="0.25">
      <c r="A5548" t="s">
        <v>6961</v>
      </c>
      <c r="B5548" t="s">
        <v>6967</v>
      </c>
      <c r="C5548" s="1"/>
    </row>
    <row r="5549" spans="1:3" x14ac:dyDescent="0.25">
      <c r="A5549" t="s">
        <v>6961</v>
      </c>
      <c r="B5549" t="s">
        <v>6967</v>
      </c>
      <c r="C5549" s="1"/>
    </row>
    <row r="5550" spans="1:3" x14ac:dyDescent="0.25">
      <c r="A5550" t="s">
        <v>6972</v>
      </c>
      <c r="B5550" t="s">
        <v>8188</v>
      </c>
      <c r="C5550" s="1">
        <v>45593</v>
      </c>
    </row>
    <row r="5551" spans="1:3" x14ac:dyDescent="0.25">
      <c r="A5551" t="s">
        <v>6973</v>
      </c>
      <c r="B5551" t="s">
        <v>8188</v>
      </c>
      <c r="C5551" s="1">
        <v>45669</v>
      </c>
    </row>
    <row r="5552" spans="1:3" x14ac:dyDescent="0.25">
      <c r="A5552" t="s">
        <v>6974</v>
      </c>
      <c r="B5552" t="s">
        <v>8188</v>
      </c>
      <c r="C5552" s="1">
        <v>45574</v>
      </c>
    </row>
    <row r="5553" spans="1:3" x14ac:dyDescent="0.25">
      <c r="A5553" t="s">
        <v>6974</v>
      </c>
      <c r="B5553" t="s">
        <v>8188</v>
      </c>
      <c r="C5553" s="1">
        <v>45677</v>
      </c>
    </row>
    <row r="5554" spans="1:3" x14ac:dyDescent="0.25">
      <c r="A5554" t="s">
        <v>6975</v>
      </c>
      <c r="B5554" t="s">
        <v>8188</v>
      </c>
      <c r="C5554" s="1">
        <v>45569</v>
      </c>
    </row>
    <row r="5555" spans="1:3" x14ac:dyDescent="0.25">
      <c r="A5555" t="s">
        <v>6976</v>
      </c>
      <c r="B5555" t="s">
        <v>8188</v>
      </c>
      <c r="C5555" s="1">
        <v>45568</v>
      </c>
    </row>
    <row r="5556" spans="1:3" x14ac:dyDescent="0.25">
      <c r="A5556" t="s">
        <v>6977</v>
      </c>
      <c r="B5556" t="s">
        <v>8188</v>
      </c>
      <c r="C5556" s="1">
        <v>45569</v>
      </c>
    </row>
    <row r="5557" spans="1:3" x14ac:dyDescent="0.25">
      <c r="A5557" t="s">
        <v>6978</v>
      </c>
      <c r="B5557" t="s">
        <v>8188</v>
      </c>
      <c r="C5557" s="1">
        <v>45668</v>
      </c>
    </row>
    <row r="5558" spans="1:3" x14ac:dyDescent="0.25">
      <c r="A5558" t="s">
        <v>6979</v>
      </c>
      <c r="B5558" t="s">
        <v>8188</v>
      </c>
      <c r="C5558" s="1">
        <v>45568</v>
      </c>
    </row>
    <row r="5559" spans="1:3" x14ac:dyDescent="0.25">
      <c r="A5559" t="s">
        <v>6980</v>
      </c>
      <c r="B5559" t="s">
        <v>8188</v>
      </c>
      <c r="C5559" s="1">
        <v>45572</v>
      </c>
    </row>
    <row r="5560" spans="1:3" x14ac:dyDescent="0.25">
      <c r="A5560" t="s">
        <v>6981</v>
      </c>
      <c r="B5560" t="s">
        <v>8188</v>
      </c>
      <c r="C5560" s="1">
        <v>45551</v>
      </c>
    </row>
    <row r="5561" spans="1:3" x14ac:dyDescent="0.25">
      <c r="A5561" t="s">
        <v>6982</v>
      </c>
      <c r="B5561" t="s">
        <v>39</v>
      </c>
      <c r="C5561" s="1"/>
    </row>
    <row r="5562" spans="1:3" x14ac:dyDescent="0.25">
      <c r="A5562" t="s">
        <v>6983</v>
      </c>
      <c r="B5562" t="s">
        <v>8188</v>
      </c>
      <c r="C5562" s="1">
        <v>45569</v>
      </c>
    </row>
    <row r="5563" spans="1:3" x14ac:dyDescent="0.25">
      <c r="A5563" t="s">
        <v>6984</v>
      </c>
      <c r="B5563" t="s">
        <v>8188</v>
      </c>
      <c r="C5563" s="1">
        <v>45572</v>
      </c>
    </row>
    <row r="5564" spans="1:3" x14ac:dyDescent="0.25">
      <c r="A5564" t="s">
        <v>6985</v>
      </c>
      <c r="B5564" t="s">
        <v>8188</v>
      </c>
      <c r="C5564" s="1">
        <v>45677</v>
      </c>
    </row>
    <row r="5565" spans="1:3" x14ac:dyDescent="0.25">
      <c r="A5565" t="s">
        <v>6986</v>
      </c>
      <c r="B5565" t="s">
        <v>8188</v>
      </c>
      <c r="C5565" s="1">
        <v>45569</v>
      </c>
    </row>
    <row r="5566" spans="1:3" x14ac:dyDescent="0.25">
      <c r="A5566" t="s">
        <v>6987</v>
      </c>
      <c r="B5566" t="s">
        <v>8188</v>
      </c>
      <c r="C5566" s="1">
        <v>45579</v>
      </c>
    </row>
    <row r="5567" spans="1:3" x14ac:dyDescent="0.25">
      <c r="A5567" t="s">
        <v>6988</v>
      </c>
      <c r="B5567" t="s">
        <v>8188</v>
      </c>
      <c r="C5567" s="1">
        <v>45669</v>
      </c>
    </row>
    <row r="5568" spans="1:3" x14ac:dyDescent="0.25">
      <c r="A5568" t="s">
        <v>1341</v>
      </c>
      <c r="B5568" t="s">
        <v>8188</v>
      </c>
      <c r="C5568" s="1">
        <v>45584</v>
      </c>
    </row>
    <row r="5569" spans="1:3" x14ac:dyDescent="0.25">
      <c r="A5569" t="s">
        <v>1341</v>
      </c>
      <c r="B5569" t="s">
        <v>8188</v>
      </c>
      <c r="C5569" s="1">
        <v>45584</v>
      </c>
    </row>
    <row r="5570" spans="1:3" x14ac:dyDescent="0.25">
      <c r="A5570" t="s">
        <v>6989</v>
      </c>
      <c r="B5570" t="s">
        <v>8188</v>
      </c>
      <c r="C5570" s="1">
        <v>45591</v>
      </c>
    </row>
    <row r="5571" spans="1:3" x14ac:dyDescent="0.25">
      <c r="A5571" t="s">
        <v>6990</v>
      </c>
      <c r="B5571" t="s">
        <v>8188</v>
      </c>
      <c r="C5571" s="1">
        <v>45617</v>
      </c>
    </row>
    <row r="5572" spans="1:3" x14ac:dyDescent="0.25">
      <c r="A5572" t="s">
        <v>6991</v>
      </c>
      <c r="B5572" t="s">
        <v>39</v>
      </c>
      <c r="C5572" s="1"/>
    </row>
    <row r="5573" spans="1:3" x14ac:dyDescent="0.25">
      <c r="A5573" t="s">
        <v>6992</v>
      </c>
      <c r="B5573" t="s">
        <v>8188</v>
      </c>
      <c r="C5573" s="1">
        <v>45770</v>
      </c>
    </row>
    <row r="5574" spans="1:3" x14ac:dyDescent="0.25">
      <c r="A5574" t="s">
        <v>6992</v>
      </c>
      <c r="B5574" t="s">
        <v>8188</v>
      </c>
      <c r="C5574" s="1">
        <v>45780</v>
      </c>
    </row>
    <row r="5575" spans="1:3" x14ac:dyDescent="0.25">
      <c r="A5575" t="s">
        <v>6993</v>
      </c>
      <c r="B5575" t="s">
        <v>8188</v>
      </c>
      <c r="C5575" s="1">
        <v>45729</v>
      </c>
    </row>
    <row r="5576" spans="1:3" x14ac:dyDescent="0.25">
      <c r="A5576" t="s">
        <v>6994</v>
      </c>
      <c r="B5576" t="s">
        <v>39</v>
      </c>
      <c r="C5576" s="1"/>
    </row>
    <row r="5577" spans="1:3" x14ac:dyDescent="0.25">
      <c r="A5577" t="s">
        <v>6995</v>
      </c>
      <c r="B5577" t="s">
        <v>8188</v>
      </c>
      <c r="C5577" s="1">
        <v>45763</v>
      </c>
    </row>
    <row r="5578" spans="1:3" x14ac:dyDescent="0.25">
      <c r="A5578" t="s">
        <v>6996</v>
      </c>
      <c r="B5578" t="s">
        <v>8188</v>
      </c>
      <c r="C5578" s="1">
        <v>45755</v>
      </c>
    </row>
    <row r="5579" spans="1:3" x14ac:dyDescent="0.25">
      <c r="A5579" t="s">
        <v>6997</v>
      </c>
      <c r="B5579" t="s">
        <v>39</v>
      </c>
      <c r="C5579" s="1"/>
    </row>
    <row r="5580" spans="1:3" x14ac:dyDescent="0.25">
      <c r="A5580" t="s">
        <v>6998</v>
      </c>
      <c r="B5580" t="s">
        <v>39</v>
      </c>
      <c r="C5580" s="1"/>
    </row>
    <row r="5581" spans="1:3" x14ac:dyDescent="0.25">
      <c r="A5581" t="s">
        <v>6999</v>
      </c>
      <c r="B5581" t="s">
        <v>39</v>
      </c>
      <c r="C5581" s="1"/>
    </row>
    <row r="5582" spans="1:3" x14ac:dyDescent="0.25">
      <c r="A5582" t="s">
        <v>7000</v>
      </c>
      <c r="B5582" t="s">
        <v>8188</v>
      </c>
      <c r="C5582" s="1">
        <v>45737</v>
      </c>
    </row>
    <row r="5583" spans="1:3" x14ac:dyDescent="0.25">
      <c r="A5583" t="s">
        <v>7001</v>
      </c>
      <c r="B5583" t="s">
        <v>39</v>
      </c>
      <c r="C5583" s="1"/>
    </row>
    <row r="5584" spans="1:3" x14ac:dyDescent="0.25">
      <c r="A5584" t="s">
        <v>7002</v>
      </c>
      <c r="B5584" t="s">
        <v>8188</v>
      </c>
      <c r="C5584" s="1">
        <v>45815</v>
      </c>
    </row>
    <row r="5585" spans="1:3" x14ac:dyDescent="0.25">
      <c r="A5585" t="s">
        <v>7002</v>
      </c>
      <c r="B5585" t="s">
        <v>8188</v>
      </c>
      <c r="C5585" s="1">
        <v>45833</v>
      </c>
    </row>
    <row r="5586" spans="1:3" x14ac:dyDescent="0.25">
      <c r="A5586" t="s">
        <v>7003</v>
      </c>
      <c r="B5586" t="s">
        <v>8188</v>
      </c>
      <c r="C5586" s="1">
        <v>45778</v>
      </c>
    </row>
    <row r="5587" spans="1:3" x14ac:dyDescent="0.25">
      <c r="A5587" t="s">
        <v>7004</v>
      </c>
      <c r="B5587" t="s">
        <v>39</v>
      </c>
      <c r="C5587" s="1"/>
    </row>
    <row r="5588" spans="1:3" x14ac:dyDescent="0.25">
      <c r="A5588" t="s">
        <v>7005</v>
      </c>
      <c r="B5588" t="s">
        <v>8188</v>
      </c>
      <c r="C5588" s="1">
        <v>45764</v>
      </c>
    </row>
    <row r="5589" spans="1:3" x14ac:dyDescent="0.25">
      <c r="A5589" t="s">
        <v>7005</v>
      </c>
      <c r="B5589" t="s">
        <v>8188</v>
      </c>
      <c r="C5589" s="1">
        <v>45782</v>
      </c>
    </row>
    <row r="5590" spans="1:3" x14ac:dyDescent="0.25">
      <c r="A5590" t="s">
        <v>7006</v>
      </c>
      <c r="B5590" t="s">
        <v>8188</v>
      </c>
      <c r="C5590" s="1">
        <v>45748</v>
      </c>
    </row>
    <row r="5591" spans="1:3" x14ac:dyDescent="0.25">
      <c r="A5591" t="s">
        <v>7007</v>
      </c>
      <c r="B5591" t="s">
        <v>8188</v>
      </c>
      <c r="C5591" s="1">
        <v>45798</v>
      </c>
    </row>
    <row r="5592" spans="1:3" x14ac:dyDescent="0.25">
      <c r="A5592" t="s">
        <v>7008</v>
      </c>
      <c r="B5592" t="s">
        <v>8188</v>
      </c>
      <c r="C5592" s="1">
        <v>45757</v>
      </c>
    </row>
    <row r="5593" spans="1:3" x14ac:dyDescent="0.25">
      <c r="A5593" t="s">
        <v>7009</v>
      </c>
      <c r="B5593" t="s">
        <v>8188</v>
      </c>
      <c r="C5593" s="1">
        <v>45772</v>
      </c>
    </row>
    <row r="5594" spans="1:3" x14ac:dyDescent="0.25">
      <c r="A5594" t="s">
        <v>7009</v>
      </c>
      <c r="B5594" t="s">
        <v>8188</v>
      </c>
      <c r="C5594" s="1">
        <v>45784</v>
      </c>
    </row>
    <row r="5595" spans="1:3" x14ac:dyDescent="0.25">
      <c r="A5595" t="s">
        <v>7010</v>
      </c>
      <c r="B5595" t="s">
        <v>8188</v>
      </c>
      <c r="C5595" s="1">
        <v>45757</v>
      </c>
    </row>
    <row r="5596" spans="1:3" x14ac:dyDescent="0.25">
      <c r="A5596" t="s">
        <v>7011</v>
      </c>
      <c r="B5596" t="s">
        <v>39</v>
      </c>
      <c r="C5596" s="1"/>
    </row>
    <row r="5597" spans="1:3" x14ac:dyDescent="0.25">
      <c r="A5597" t="s">
        <v>7012</v>
      </c>
      <c r="B5597" t="s">
        <v>8188</v>
      </c>
      <c r="C5597" s="1">
        <v>45776</v>
      </c>
    </row>
    <row r="5598" spans="1:3" x14ac:dyDescent="0.25">
      <c r="A5598" t="s">
        <v>7012</v>
      </c>
      <c r="B5598" t="s">
        <v>8188</v>
      </c>
      <c r="C5598" s="1">
        <v>45776</v>
      </c>
    </row>
    <row r="5599" spans="1:3" x14ac:dyDescent="0.25">
      <c r="A5599" t="s">
        <v>7013</v>
      </c>
      <c r="B5599" t="s">
        <v>8188</v>
      </c>
      <c r="C5599" s="1">
        <v>45754</v>
      </c>
    </row>
    <row r="5600" spans="1:3" x14ac:dyDescent="0.25">
      <c r="A5600" t="s">
        <v>7014</v>
      </c>
      <c r="B5600" t="s">
        <v>8188</v>
      </c>
      <c r="C5600" s="1">
        <v>45771</v>
      </c>
    </row>
    <row r="5601" spans="1:3" x14ac:dyDescent="0.25">
      <c r="A5601" t="s">
        <v>7014</v>
      </c>
      <c r="B5601" t="s">
        <v>8188</v>
      </c>
      <c r="C5601" s="1">
        <v>45771</v>
      </c>
    </row>
    <row r="5602" spans="1:3" x14ac:dyDescent="0.25">
      <c r="A5602" t="s">
        <v>7015</v>
      </c>
      <c r="B5602" t="s">
        <v>8188</v>
      </c>
      <c r="C5602" s="1">
        <v>45805</v>
      </c>
    </row>
    <row r="5603" spans="1:3" x14ac:dyDescent="0.25">
      <c r="A5603" t="s">
        <v>7015</v>
      </c>
      <c r="B5603" t="s">
        <v>8188</v>
      </c>
      <c r="C5603" s="1">
        <v>45805</v>
      </c>
    </row>
    <row r="5604" spans="1:3" x14ac:dyDescent="0.25">
      <c r="A5604" t="s">
        <v>7016</v>
      </c>
      <c r="B5604" t="s">
        <v>39</v>
      </c>
      <c r="C5604" s="1"/>
    </row>
    <row r="5605" spans="1:3" x14ac:dyDescent="0.25">
      <c r="A5605" t="s">
        <v>7017</v>
      </c>
      <c r="B5605" t="s">
        <v>8188</v>
      </c>
      <c r="C5605" s="1">
        <v>45803</v>
      </c>
    </row>
    <row r="5606" spans="1:3" x14ac:dyDescent="0.25">
      <c r="A5606" t="s">
        <v>7018</v>
      </c>
      <c r="B5606" t="s">
        <v>8188</v>
      </c>
      <c r="C5606" s="1">
        <v>45786</v>
      </c>
    </row>
    <row r="5607" spans="1:3" x14ac:dyDescent="0.25">
      <c r="A5607" t="s">
        <v>7019</v>
      </c>
      <c r="B5607" t="s">
        <v>8188</v>
      </c>
      <c r="C5607" s="1">
        <v>45861</v>
      </c>
    </row>
    <row r="5608" spans="1:3" x14ac:dyDescent="0.25">
      <c r="A5608" t="s">
        <v>7020</v>
      </c>
      <c r="B5608" t="s">
        <v>8188</v>
      </c>
      <c r="C5608" s="1">
        <v>45787</v>
      </c>
    </row>
    <row r="5609" spans="1:3" x14ac:dyDescent="0.25">
      <c r="A5609" t="s">
        <v>7021</v>
      </c>
      <c r="B5609" t="s">
        <v>8188</v>
      </c>
      <c r="C5609" s="1">
        <v>45786</v>
      </c>
    </row>
    <row r="5610" spans="1:3" x14ac:dyDescent="0.25">
      <c r="A5610" t="s">
        <v>7022</v>
      </c>
      <c r="B5610" t="s">
        <v>8188</v>
      </c>
      <c r="C5610" s="1">
        <v>45777</v>
      </c>
    </row>
    <row r="5611" spans="1:3" x14ac:dyDescent="0.25">
      <c r="A5611" t="s">
        <v>7023</v>
      </c>
      <c r="B5611" t="s">
        <v>8188</v>
      </c>
      <c r="C5611" s="1">
        <v>45800</v>
      </c>
    </row>
    <row r="5612" spans="1:3" x14ac:dyDescent="0.25">
      <c r="A5612" t="s">
        <v>5436</v>
      </c>
      <c r="B5612" t="s">
        <v>8188</v>
      </c>
      <c r="C5612" s="1">
        <v>45786</v>
      </c>
    </row>
    <row r="5613" spans="1:3" x14ac:dyDescent="0.25">
      <c r="A5613" t="s">
        <v>5437</v>
      </c>
      <c r="B5613" t="s">
        <v>8188</v>
      </c>
      <c r="C5613" s="1">
        <v>45780</v>
      </c>
    </row>
    <row r="5614" spans="1:3" x14ac:dyDescent="0.25">
      <c r="A5614" t="s">
        <v>3243</v>
      </c>
      <c r="B5614" t="s">
        <v>8188</v>
      </c>
      <c r="C5614" s="1">
        <v>45815</v>
      </c>
    </row>
    <row r="5615" spans="1:3" x14ac:dyDescent="0.25">
      <c r="A5615" t="s">
        <v>3243</v>
      </c>
      <c r="B5615" t="s">
        <v>8188</v>
      </c>
      <c r="C5615" s="1">
        <v>45815</v>
      </c>
    </row>
    <row r="5616" spans="1:3" x14ac:dyDescent="0.25">
      <c r="A5616" t="s">
        <v>5438</v>
      </c>
      <c r="B5616" t="s">
        <v>8188</v>
      </c>
      <c r="C5616" s="1">
        <v>45784</v>
      </c>
    </row>
    <row r="5617" spans="1:3" x14ac:dyDescent="0.25">
      <c r="A5617" t="s">
        <v>5409</v>
      </c>
      <c r="B5617" t="s">
        <v>8188</v>
      </c>
      <c r="C5617" s="1">
        <v>45759</v>
      </c>
    </row>
    <row r="5618" spans="1:3" x14ac:dyDescent="0.25">
      <c r="A5618" t="s">
        <v>5439</v>
      </c>
      <c r="B5618" t="s">
        <v>8188</v>
      </c>
      <c r="C5618" s="1">
        <v>45764</v>
      </c>
    </row>
    <row r="5619" spans="1:3" x14ac:dyDescent="0.25">
      <c r="A5619" t="s">
        <v>5440</v>
      </c>
      <c r="B5619" t="s">
        <v>8188</v>
      </c>
      <c r="C5619" s="1">
        <v>45778</v>
      </c>
    </row>
    <row r="5620" spans="1:3" x14ac:dyDescent="0.25">
      <c r="A5620" t="s">
        <v>5441</v>
      </c>
      <c r="B5620" t="s">
        <v>8188</v>
      </c>
      <c r="C5620" s="1">
        <v>45763</v>
      </c>
    </row>
    <row r="5621" spans="1:3" x14ac:dyDescent="0.25">
      <c r="A5621" t="s">
        <v>5418</v>
      </c>
      <c r="B5621" t="s">
        <v>8188</v>
      </c>
      <c r="C5621" s="1">
        <v>45782</v>
      </c>
    </row>
    <row r="5622" spans="1:3" x14ac:dyDescent="0.25">
      <c r="A5622" t="s">
        <v>5418</v>
      </c>
      <c r="B5622" t="s">
        <v>39</v>
      </c>
      <c r="C5622" s="1">
        <v>45782</v>
      </c>
    </row>
    <row r="5623" spans="1:3" x14ac:dyDescent="0.25">
      <c r="A5623" t="s">
        <v>5442</v>
      </c>
      <c r="B5623" t="s">
        <v>8188</v>
      </c>
      <c r="C5623" s="1">
        <v>45782</v>
      </c>
    </row>
    <row r="5624" spans="1:3" x14ac:dyDescent="0.25">
      <c r="A5624" t="s">
        <v>5443</v>
      </c>
      <c r="B5624" t="s">
        <v>8188</v>
      </c>
      <c r="C5624" s="1">
        <v>45782</v>
      </c>
    </row>
    <row r="5625" spans="1:3" x14ac:dyDescent="0.25">
      <c r="A5625" t="s">
        <v>5419</v>
      </c>
      <c r="B5625" t="s">
        <v>8188</v>
      </c>
      <c r="C5625" s="1">
        <v>45784</v>
      </c>
    </row>
    <row r="5626" spans="1:3" x14ac:dyDescent="0.25">
      <c r="A5626" t="s">
        <v>5419</v>
      </c>
      <c r="B5626" t="s">
        <v>8188</v>
      </c>
      <c r="C5626" s="1">
        <v>45822</v>
      </c>
    </row>
    <row r="5627" spans="1:3" x14ac:dyDescent="0.25">
      <c r="A5627" t="s">
        <v>5419</v>
      </c>
      <c r="B5627" t="s">
        <v>8188</v>
      </c>
      <c r="C5627" s="1">
        <v>45834</v>
      </c>
    </row>
    <row r="5628" spans="1:3" x14ac:dyDescent="0.25">
      <c r="A5628" t="s">
        <v>3309</v>
      </c>
      <c r="B5628" t="s">
        <v>8188</v>
      </c>
      <c r="C5628" s="1">
        <v>45824</v>
      </c>
    </row>
    <row r="5629" spans="1:3" x14ac:dyDescent="0.25">
      <c r="A5629" t="s">
        <v>3084</v>
      </c>
      <c r="B5629" t="s">
        <v>8188</v>
      </c>
      <c r="C5629" s="1">
        <v>45768</v>
      </c>
    </row>
    <row r="5630" spans="1:3" x14ac:dyDescent="0.25">
      <c r="A5630" t="s">
        <v>3084</v>
      </c>
      <c r="B5630" t="s">
        <v>8188</v>
      </c>
      <c r="C5630" s="1">
        <v>45768</v>
      </c>
    </row>
    <row r="5631" spans="1:3" x14ac:dyDescent="0.25">
      <c r="A5631" t="s">
        <v>3085</v>
      </c>
      <c r="B5631" t="s">
        <v>8188</v>
      </c>
      <c r="C5631" s="1">
        <v>45778</v>
      </c>
    </row>
    <row r="5632" spans="1:3" x14ac:dyDescent="0.25">
      <c r="A5632" t="s">
        <v>3085</v>
      </c>
      <c r="B5632" t="s">
        <v>8188</v>
      </c>
      <c r="C5632" s="1">
        <v>45771</v>
      </c>
    </row>
    <row r="5633" spans="1:3" x14ac:dyDescent="0.25">
      <c r="A5633" t="s">
        <v>3085</v>
      </c>
      <c r="B5633" t="s">
        <v>8188</v>
      </c>
      <c r="C5633" s="1">
        <v>45812</v>
      </c>
    </row>
    <row r="5634" spans="1:3" x14ac:dyDescent="0.25">
      <c r="A5634" t="s">
        <v>5147</v>
      </c>
      <c r="B5634" t="s">
        <v>8188</v>
      </c>
      <c r="C5634" s="1">
        <v>45776</v>
      </c>
    </row>
    <row r="5635" spans="1:3" x14ac:dyDescent="0.25">
      <c r="A5635" t="s">
        <v>5444</v>
      </c>
      <c r="B5635" t="s">
        <v>8188</v>
      </c>
      <c r="C5635" s="1">
        <v>45789</v>
      </c>
    </row>
    <row r="5636" spans="1:3" x14ac:dyDescent="0.25">
      <c r="A5636" t="s">
        <v>5148</v>
      </c>
      <c r="B5636" t="s">
        <v>8188</v>
      </c>
      <c r="C5636" s="1">
        <v>45799</v>
      </c>
    </row>
    <row r="5637" spans="1:3" x14ac:dyDescent="0.25">
      <c r="A5637" t="s">
        <v>5149</v>
      </c>
      <c r="B5637" t="s">
        <v>8188</v>
      </c>
      <c r="C5637" s="1">
        <v>45764</v>
      </c>
    </row>
    <row r="5638" spans="1:3" x14ac:dyDescent="0.25">
      <c r="A5638" t="s">
        <v>5149</v>
      </c>
      <c r="B5638" t="s">
        <v>8188</v>
      </c>
      <c r="C5638" s="1">
        <v>45766</v>
      </c>
    </row>
    <row r="5639" spans="1:3" x14ac:dyDescent="0.25">
      <c r="A5639" t="s">
        <v>5149</v>
      </c>
      <c r="B5639" t="s">
        <v>8188</v>
      </c>
      <c r="C5639" s="1">
        <v>45775</v>
      </c>
    </row>
    <row r="5640" spans="1:3" x14ac:dyDescent="0.25">
      <c r="A5640" t="s">
        <v>5150</v>
      </c>
      <c r="B5640" t="s">
        <v>8188</v>
      </c>
      <c r="C5640" s="1">
        <v>45833</v>
      </c>
    </row>
    <row r="5641" spans="1:3" x14ac:dyDescent="0.25">
      <c r="A5641" t="s">
        <v>5420</v>
      </c>
      <c r="B5641" t="s">
        <v>8188</v>
      </c>
      <c r="C5641" s="1">
        <v>45772</v>
      </c>
    </row>
    <row r="5642" spans="1:3" x14ac:dyDescent="0.25">
      <c r="A5642" t="s">
        <v>3086</v>
      </c>
      <c r="B5642" t="s">
        <v>8188</v>
      </c>
      <c r="C5642" s="1">
        <v>45771</v>
      </c>
    </row>
    <row r="5643" spans="1:3" x14ac:dyDescent="0.25">
      <c r="A5643" t="s">
        <v>3086</v>
      </c>
      <c r="B5643" t="s">
        <v>8188</v>
      </c>
      <c r="C5643" s="1">
        <v>45772</v>
      </c>
    </row>
    <row r="5644" spans="1:3" x14ac:dyDescent="0.25">
      <c r="A5644" t="s">
        <v>5151</v>
      </c>
      <c r="B5644" t="s">
        <v>8188</v>
      </c>
      <c r="C5644" s="1">
        <v>45832</v>
      </c>
    </row>
    <row r="5645" spans="1:3" x14ac:dyDescent="0.25">
      <c r="A5645" t="s">
        <v>5421</v>
      </c>
      <c r="B5645" t="s">
        <v>8188</v>
      </c>
      <c r="C5645" s="1">
        <v>45752</v>
      </c>
    </row>
    <row r="5646" spans="1:3" x14ac:dyDescent="0.25">
      <c r="A5646" t="s">
        <v>3377</v>
      </c>
      <c r="B5646" t="s">
        <v>8188</v>
      </c>
      <c r="C5646" s="1">
        <v>45824</v>
      </c>
    </row>
    <row r="5647" spans="1:3" x14ac:dyDescent="0.25">
      <c r="A5647" t="s">
        <v>3404</v>
      </c>
      <c r="B5647" t="s">
        <v>39</v>
      </c>
      <c r="C5647" s="1"/>
    </row>
    <row r="5648" spans="1:3" x14ac:dyDescent="0.25">
      <c r="A5648" t="s">
        <v>7024</v>
      </c>
      <c r="B5648" t="s">
        <v>39</v>
      </c>
      <c r="C5648" s="1"/>
    </row>
    <row r="5649" spans="1:3" x14ac:dyDescent="0.25">
      <c r="A5649" t="s">
        <v>3089</v>
      </c>
      <c r="B5649" t="s">
        <v>8188</v>
      </c>
      <c r="C5649" s="1">
        <v>45792</v>
      </c>
    </row>
    <row r="5650" spans="1:3" x14ac:dyDescent="0.25">
      <c r="A5650" t="s">
        <v>3089</v>
      </c>
      <c r="B5650" t="s">
        <v>8188</v>
      </c>
      <c r="C5650" s="1">
        <v>45784</v>
      </c>
    </row>
    <row r="5651" spans="1:3" x14ac:dyDescent="0.25">
      <c r="A5651" t="s">
        <v>5445</v>
      </c>
      <c r="B5651" t="s">
        <v>8188</v>
      </c>
      <c r="C5651" s="1">
        <v>45791</v>
      </c>
    </row>
    <row r="5652" spans="1:3" x14ac:dyDescent="0.25">
      <c r="A5652" t="s">
        <v>5445</v>
      </c>
      <c r="B5652" t="s">
        <v>8188</v>
      </c>
      <c r="C5652" s="1">
        <v>45791</v>
      </c>
    </row>
    <row r="5653" spans="1:3" x14ac:dyDescent="0.25">
      <c r="A5653" t="s">
        <v>5446</v>
      </c>
      <c r="B5653" t="s">
        <v>8188</v>
      </c>
      <c r="C5653" s="1">
        <v>45786</v>
      </c>
    </row>
    <row r="5654" spans="1:3" x14ac:dyDescent="0.25">
      <c r="A5654" t="s">
        <v>5447</v>
      </c>
      <c r="B5654" t="s">
        <v>8188</v>
      </c>
      <c r="C5654" s="1">
        <v>45787</v>
      </c>
    </row>
    <row r="5655" spans="1:3" x14ac:dyDescent="0.25">
      <c r="A5655" t="s">
        <v>5448</v>
      </c>
      <c r="B5655" t="s">
        <v>8188</v>
      </c>
      <c r="C5655" s="1">
        <v>45784</v>
      </c>
    </row>
    <row r="5656" spans="1:3" x14ac:dyDescent="0.25">
      <c r="A5656" t="s">
        <v>2514</v>
      </c>
      <c r="B5656" t="s">
        <v>8188</v>
      </c>
      <c r="C5656" s="1">
        <v>45836</v>
      </c>
    </row>
    <row r="5657" spans="1:3" x14ac:dyDescent="0.25">
      <c r="A5657" t="s">
        <v>5449</v>
      </c>
      <c r="B5657" t="s">
        <v>8188</v>
      </c>
      <c r="C5657" s="1">
        <v>45792</v>
      </c>
    </row>
    <row r="5658" spans="1:3" x14ac:dyDescent="0.25">
      <c r="A5658" t="s">
        <v>5450</v>
      </c>
      <c r="B5658" t="s">
        <v>8188</v>
      </c>
      <c r="C5658" s="1">
        <v>45817</v>
      </c>
    </row>
    <row r="5659" spans="1:3" x14ac:dyDescent="0.25">
      <c r="A5659" t="s">
        <v>5152</v>
      </c>
      <c r="B5659" t="s">
        <v>8188</v>
      </c>
      <c r="C5659" s="1">
        <v>45782</v>
      </c>
    </row>
    <row r="5660" spans="1:3" x14ac:dyDescent="0.25">
      <c r="A5660" t="s">
        <v>3090</v>
      </c>
      <c r="B5660" t="s">
        <v>8188</v>
      </c>
      <c r="C5660" s="1">
        <v>45838</v>
      </c>
    </row>
    <row r="5661" spans="1:3" x14ac:dyDescent="0.25">
      <c r="A5661" t="s">
        <v>3090</v>
      </c>
      <c r="B5661" t="s">
        <v>8188</v>
      </c>
      <c r="C5661" s="1">
        <v>45793</v>
      </c>
    </row>
    <row r="5662" spans="1:3" x14ac:dyDescent="0.25">
      <c r="A5662" t="s">
        <v>5153</v>
      </c>
      <c r="B5662" t="s">
        <v>8188</v>
      </c>
      <c r="C5662" s="1">
        <v>45812</v>
      </c>
    </row>
    <row r="5663" spans="1:3" x14ac:dyDescent="0.25">
      <c r="A5663" t="s">
        <v>5154</v>
      </c>
      <c r="B5663" t="s">
        <v>8188</v>
      </c>
      <c r="C5663" s="1">
        <v>45784</v>
      </c>
    </row>
    <row r="5664" spans="1:3" x14ac:dyDescent="0.25">
      <c r="A5664" t="s">
        <v>7025</v>
      </c>
      <c r="B5664" t="s">
        <v>8188</v>
      </c>
      <c r="C5664" s="1">
        <v>45787</v>
      </c>
    </row>
    <row r="5665" spans="1:3" x14ac:dyDescent="0.25">
      <c r="A5665" t="s">
        <v>5451</v>
      </c>
      <c r="B5665" t="s">
        <v>8188</v>
      </c>
      <c r="C5665" s="1">
        <v>45787</v>
      </c>
    </row>
    <row r="5666" spans="1:3" x14ac:dyDescent="0.25">
      <c r="A5666" t="s">
        <v>2527</v>
      </c>
      <c r="B5666" t="s">
        <v>8188</v>
      </c>
      <c r="C5666" s="1">
        <v>45792</v>
      </c>
    </row>
    <row r="5667" spans="1:3" x14ac:dyDescent="0.25">
      <c r="A5667" t="s">
        <v>2528</v>
      </c>
      <c r="B5667" t="s">
        <v>8188</v>
      </c>
      <c r="C5667" s="1">
        <v>45786</v>
      </c>
    </row>
    <row r="5668" spans="1:3" x14ac:dyDescent="0.25">
      <c r="A5668" t="s">
        <v>5452</v>
      </c>
      <c r="B5668" t="s">
        <v>8188</v>
      </c>
      <c r="C5668" s="1">
        <v>45782</v>
      </c>
    </row>
    <row r="5669" spans="1:3" x14ac:dyDescent="0.25">
      <c r="A5669" t="s">
        <v>5156</v>
      </c>
      <c r="B5669" t="s">
        <v>8188</v>
      </c>
      <c r="C5669" s="1">
        <v>45779</v>
      </c>
    </row>
    <row r="5670" spans="1:3" x14ac:dyDescent="0.25">
      <c r="A5670" t="s">
        <v>3091</v>
      </c>
      <c r="B5670" t="s">
        <v>8188</v>
      </c>
      <c r="C5670" s="1">
        <v>45782</v>
      </c>
    </row>
    <row r="5671" spans="1:3" x14ac:dyDescent="0.25">
      <c r="A5671" t="s">
        <v>5157</v>
      </c>
      <c r="B5671" t="s">
        <v>8188</v>
      </c>
      <c r="C5671" s="1">
        <v>45784</v>
      </c>
    </row>
    <row r="5672" spans="1:3" x14ac:dyDescent="0.25">
      <c r="A5672" t="s">
        <v>5422</v>
      </c>
      <c r="B5672" t="s">
        <v>39</v>
      </c>
      <c r="C5672" s="1"/>
    </row>
    <row r="5673" spans="1:3" x14ac:dyDescent="0.25">
      <c r="A5673" t="s">
        <v>5453</v>
      </c>
      <c r="B5673" t="s">
        <v>8188</v>
      </c>
      <c r="C5673" s="1">
        <v>45803</v>
      </c>
    </row>
    <row r="5674" spans="1:3" x14ac:dyDescent="0.25">
      <c r="A5674" t="s">
        <v>5158</v>
      </c>
      <c r="B5674" t="s">
        <v>8188</v>
      </c>
      <c r="C5674" s="1">
        <v>45814</v>
      </c>
    </row>
    <row r="5675" spans="1:3" x14ac:dyDescent="0.25">
      <c r="A5675" t="s">
        <v>5158</v>
      </c>
      <c r="B5675" t="s">
        <v>8188</v>
      </c>
      <c r="C5675" s="1">
        <v>45845</v>
      </c>
    </row>
    <row r="5676" spans="1:3" x14ac:dyDescent="0.25">
      <c r="A5676" t="s">
        <v>5158</v>
      </c>
      <c r="B5676" t="s">
        <v>8188</v>
      </c>
      <c r="C5676" s="1">
        <v>45813</v>
      </c>
    </row>
    <row r="5677" spans="1:3" x14ac:dyDescent="0.25">
      <c r="A5677" t="s">
        <v>3539</v>
      </c>
      <c r="B5677" t="s">
        <v>8188</v>
      </c>
      <c r="C5677" s="1">
        <v>45801</v>
      </c>
    </row>
    <row r="5678" spans="1:3" x14ac:dyDescent="0.25">
      <c r="A5678" t="s">
        <v>3539</v>
      </c>
      <c r="B5678" t="s">
        <v>8188</v>
      </c>
      <c r="C5678" s="1">
        <v>45791</v>
      </c>
    </row>
    <row r="5679" spans="1:3" x14ac:dyDescent="0.25">
      <c r="A5679" t="s">
        <v>5159</v>
      </c>
      <c r="B5679" t="s">
        <v>8188</v>
      </c>
      <c r="C5679" s="1">
        <v>45796</v>
      </c>
    </row>
    <row r="5680" spans="1:3" x14ac:dyDescent="0.25">
      <c r="A5680" t="s">
        <v>5160</v>
      </c>
      <c r="B5680" t="s">
        <v>8188</v>
      </c>
      <c r="C5680" s="1">
        <v>45803</v>
      </c>
    </row>
    <row r="5681" spans="1:3" x14ac:dyDescent="0.25">
      <c r="A5681" t="s">
        <v>5455</v>
      </c>
      <c r="B5681" t="s">
        <v>8188</v>
      </c>
      <c r="C5681" s="1">
        <v>45793</v>
      </c>
    </row>
    <row r="5682" spans="1:3" x14ac:dyDescent="0.25">
      <c r="A5682" t="s">
        <v>2534</v>
      </c>
      <c r="B5682" t="s">
        <v>8188</v>
      </c>
      <c r="C5682" s="1">
        <v>45786</v>
      </c>
    </row>
    <row r="5683" spans="1:3" x14ac:dyDescent="0.25">
      <c r="A5683" t="s">
        <v>5456</v>
      </c>
      <c r="B5683" t="s">
        <v>8188</v>
      </c>
      <c r="C5683" s="1">
        <v>45787</v>
      </c>
    </row>
    <row r="5684" spans="1:3" x14ac:dyDescent="0.25">
      <c r="A5684" t="s">
        <v>5167</v>
      </c>
      <c r="B5684" t="s">
        <v>8188</v>
      </c>
      <c r="C5684" s="1">
        <v>45833</v>
      </c>
    </row>
    <row r="5685" spans="1:3" x14ac:dyDescent="0.25">
      <c r="A5685" t="s">
        <v>5466</v>
      </c>
      <c r="B5685" t="s">
        <v>8188</v>
      </c>
      <c r="C5685" s="1">
        <v>45818</v>
      </c>
    </row>
    <row r="5686" spans="1:3" x14ac:dyDescent="0.25">
      <c r="A5686" t="s">
        <v>7026</v>
      </c>
      <c r="B5686" t="s">
        <v>39</v>
      </c>
      <c r="C5686" s="1">
        <v>45834</v>
      </c>
    </row>
    <row r="5687" spans="1:3" x14ac:dyDescent="0.25">
      <c r="A5687" t="s">
        <v>3704</v>
      </c>
      <c r="B5687" t="s">
        <v>8188</v>
      </c>
      <c r="C5687" s="1">
        <v>45845</v>
      </c>
    </row>
    <row r="5688" spans="1:3" x14ac:dyDescent="0.25">
      <c r="A5688" t="s">
        <v>3094</v>
      </c>
      <c r="B5688" t="s">
        <v>8188</v>
      </c>
      <c r="C5688" s="1">
        <v>45834</v>
      </c>
    </row>
    <row r="5689" spans="1:3" x14ac:dyDescent="0.25">
      <c r="A5689" t="s">
        <v>2544</v>
      </c>
      <c r="B5689" t="s">
        <v>8188</v>
      </c>
      <c r="C5689" s="1">
        <v>45817</v>
      </c>
    </row>
    <row r="5690" spans="1:3" x14ac:dyDescent="0.25">
      <c r="A5690" t="s">
        <v>3021</v>
      </c>
      <c r="B5690" t="s">
        <v>8188</v>
      </c>
      <c r="C5690" s="1">
        <v>45798</v>
      </c>
    </row>
    <row r="5691" spans="1:3" x14ac:dyDescent="0.25">
      <c r="A5691" t="s">
        <v>3021</v>
      </c>
      <c r="B5691" t="s">
        <v>8188</v>
      </c>
      <c r="C5691" s="1">
        <v>45847</v>
      </c>
    </row>
    <row r="5692" spans="1:3" x14ac:dyDescent="0.25">
      <c r="A5692" t="s">
        <v>5161</v>
      </c>
      <c r="B5692" t="s">
        <v>8188</v>
      </c>
      <c r="C5692" s="1">
        <v>45827</v>
      </c>
    </row>
    <row r="5693" spans="1:3" x14ac:dyDescent="0.25">
      <c r="A5693" t="s">
        <v>3607</v>
      </c>
      <c r="B5693" t="s">
        <v>8188</v>
      </c>
      <c r="C5693" s="1">
        <v>45812</v>
      </c>
    </row>
    <row r="5694" spans="1:3" x14ac:dyDescent="0.25">
      <c r="A5694" t="s">
        <v>3096</v>
      </c>
      <c r="B5694" t="s">
        <v>8188</v>
      </c>
      <c r="C5694" s="1">
        <v>45824</v>
      </c>
    </row>
    <row r="5695" spans="1:3" x14ac:dyDescent="0.25">
      <c r="A5695" t="s">
        <v>3096</v>
      </c>
      <c r="B5695" t="s">
        <v>8188</v>
      </c>
      <c r="C5695" s="1">
        <v>45803</v>
      </c>
    </row>
    <row r="5696" spans="1:3" x14ac:dyDescent="0.25">
      <c r="A5696" t="s">
        <v>5458</v>
      </c>
      <c r="B5696" t="s">
        <v>8188</v>
      </c>
      <c r="C5696" s="1">
        <v>45814</v>
      </c>
    </row>
    <row r="5697" spans="1:3" x14ac:dyDescent="0.25">
      <c r="A5697" t="s">
        <v>5162</v>
      </c>
      <c r="B5697" t="s">
        <v>8188</v>
      </c>
      <c r="C5697" s="1">
        <v>45798</v>
      </c>
    </row>
    <row r="5698" spans="1:3" x14ac:dyDescent="0.25">
      <c r="A5698" t="s">
        <v>3631</v>
      </c>
      <c r="B5698" t="s">
        <v>8188</v>
      </c>
      <c r="C5698" s="1">
        <v>45800</v>
      </c>
    </row>
    <row r="5699" spans="1:3" x14ac:dyDescent="0.25">
      <c r="A5699" t="s">
        <v>5163</v>
      </c>
      <c r="B5699" t="s">
        <v>8188</v>
      </c>
      <c r="C5699" s="1">
        <v>45797</v>
      </c>
    </row>
    <row r="5700" spans="1:3" x14ac:dyDescent="0.25">
      <c r="A5700" t="s">
        <v>3644</v>
      </c>
      <c r="B5700" t="s">
        <v>8188</v>
      </c>
      <c r="C5700" s="1">
        <v>45799</v>
      </c>
    </row>
    <row r="5701" spans="1:3" x14ac:dyDescent="0.25">
      <c r="A5701" t="s">
        <v>3647</v>
      </c>
      <c r="B5701" t="s">
        <v>8188</v>
      </c>
      <c r="C5701" s="1">
        <v>45799</v>
      </c>
    </row>
    <row r="5702" spans="1:3" x14ac:dyDescent="0.25">
      <c r="A5702" t="s">
        <v>5462</v>
      </c>
      <c r="B5702" t="s">
        <v>8188</v>
      </c>
      <c r="C5702" s="1">
        <v>45822</v>
      </c>
    </row>
    <row r="5703" spans="1:3" x14ac:dyDescent="0.25">
      <c r="A5703" t="s">
        <v>2552</v>
      </c>
      <c r="B5703" t="s">
        <v>8188</v>
      </c>
      <c r="C5703" s="1">
        <v>45813</v>
      </c>
    </row>
    <row r="5704" spans="1:3" x14ac:dyDescent="0.25">
      <c r="A5704" t="s">
        <v>7027</v>
      </c>
      <c r="B5704" t="s">
        <v>39</v>
      </c>
      <c r="C5704" s="1"/>
    </row>
    <row r="5705" spans="1:3" x14ac:dyDescent="0.25">
      <c r="A5705" t="s">
        <v>7028</v>
      </c>
      <c r="B5705" t="s">
        <v>8188</v>
      </c>
      <c r="C5705" s="1">
        <v>45803</v>
      </c>
    </row>
    <row r="5706" spans="1:3" x14ac:dyDescent="0.25">
      <c r="A5706" t="s">
        <v>3688</v>
      </c>
      <c r="B5706" t="s">
        <v>8188</v>
      </c>
      <c r="C5706" s="1">
        <v>45820</v>
      </c>
    </row>
    <row r="5707" spans="1:3" x14ac:dyDescent="0.25">
      <c r="A5707" t="s">
        <v>7029</v>
      </c>
      <c r="B5707" t="s">
        <v>8188</v>
      </c>
      <c r="C5707" s="1">
        <v>45568</v>
      </c>
    </row>
    <row r="5708" spans="1:3" x14ac:dyDescent="0.25">
      <c r="A5708" t="s">
        <v>7030</v>
      </c>
      <c r="B5708" t="s">
        <v>8188</v>
      </c>
      <c r="C5708" s="1">
        <v>45577</v>
      </c>
    </row>
    <row r="5709" spans="1:3" x14ac:dyDescent="0.25">
      <c r="A5709" t="s">
        <v>7031</v>
      </c>
      <c r="B5709" t="s">
        <v>8188</v>
      </c>
      <c r="C5709" s="1">
        <v>45584</v>
      </c>
    </row>
    <row r="5710" spans="1:3" x14ac:dyDescent="0.25">
      <c r="A5710" t="s">
        <v>7032</v>
      </c>
      <c r="B5710" t="s">
        <v>8188</v>
      </c>
      <c r="C5710" s="1">
        <v>45572</v>
      </c>
    </row>
    <row r="5711" spans="1:3" x14ac:dyDescent="0.25">
      <c r="A5711" t="s">
        <v>7033</v>
      </c>
      <c r="B5711" t="s">
        <v>8188</v>
      </c>
      <c r="C5711" s="1">
        <v>45561</v>
      </c>
    </row>
    <row r="5712" spans="1:3" x14ac:dyDescent="0.25">
      <c r="A5712" t="s">
        <v>7034</v>
      </c>
      <c r="B5712" t="s">
        <v>8188</v>
      </c>
      <c r="C5712" s="1">
        <v>45561</v>
      </c>
    </row>
    <row r="5713" spans="1:3" x14ac:dyDescent="0.25">
      <c r="A5713" t="s">
        <v>7035</v>
      </c>
      <c r="B5713" t="s">
        <v>8188</v>
      </c>
      <c r="C5713" s="1">
        <v>45570</v>
      </c>
    </row>
    <row r="5714" spans="1:3" x14ac:dyDescent="0.25">
      <c r="A5714" t="s">
        <v>7036</v>
      </c>
      <c r="B5714" t="s">
        <v>8188</v>
      </c>
      <c r="C5714" s="1">
        <v>45568</v>
      </c>
    </row>
    <row r="5715" spans="1:3" x14ac:dyDescent="0.25">
      <c r="A5715" t="s">
        <v>7037</v>
      </c>
      <c r="B5715" t="s">
        <v>8188</v>
      </c>
      <c r="C5715" s="1">
        <v>45568</v>
      </c>
    </row>
    <row r="5716" spans="1:3" x14ac:dyDescent="0.25">
      <c r="A5716" t="s">
        <v>7038</v>
      </c>
      <c r="B5716" t="s">
        <v>8188</v>
      </c>
      <c r="C5716" s="1">
        <v>45582</v>
      </c>
    </row>
    <row r="5717" spans="1:3" x14ac:dyDescent="0.25">
      <c r="A5717" t="s">
        <v>7039</v>
      </c>
      <c r="B5717" t="s">
        <v>8188</v>
      </c>
      <c r="C5717" s="1">
        <v>45568</v>
      </c>
    </row>
    <row r="5718" spans="1:3" x14ac:dyDescent="0.25">
      <c r="A5718" t="s">
        <v>7040</v>
      </c>
      <c r="B5718" t="s">
        <v>8188</v>
      </c>
      <c r="C5718" s="1">
        <v>45584</v>
      </c>
    </row>
    <row r="5719" spans="1:3" x14ac:dyDescent="0.25">
      <c r="A5719" t="s">
        <v>7041</v>
      </c>
      <c r="B5719" t="s">
        <v>8188</v>
      </c>
      <c r="C5719" s="1">
        <v>45573</v>
      </c>
    </row>
    <row r="5720" spans="1:3" x14ac:dyDescent="0.25">
      <c r="A5720" t="s">
        <v>7042</v>
      </c>
      <c r="B5720" t="s">
        <v>8188</v>
      </c>
      <c r="C5720" s="1">
        <v>45581</v>
      </c>
    </row>
    <row r="5721" spans="1:3" x14ac:dyDescent="0.25">
      <c r="A5721" t="s">
        <v>7043</v>
      </c>
      <c r="B5721" t="s">
        <v>8188</v>
      </c>
      <c r="C5721" s="1">
        <v>45584</v>
      </c>
    </row>
    <row r="5722" spans="1:3" x14ac:dyDescent="0.25">
      <c r="A5722" t="s">
        <v>7044</v>
      </c>
      <c r="B5722" t="s">
        <v>8188</v>
      </c>
      <c r="C5722" s="1">
        <v>45586</v>
      </c>
    </row>
    <row r="5723" spans="1:3" x14ac:dyDescent="0.25">
      <c r="A5723" t="s">
        <v>7045</v>
      </c>
      <c r="B5723" t="s">
        <v>8188</v>
      </c>
      <c r="C5723" s="1">
        <v>45573</v>
      </c>
    </row>
    <row r="5724" spans="1:3" x14ac:dyDescent="0.25">
      <c r="A5724" t="s">
        <v>7045</v>
      </c>
      <c r="B5724" t="s">
        <v>8188</v>
      </c>
      <c r="C5724" s="1">
        <v>45573</v>
      </c>
    </row>
    <row r="5725" spans="1:3" x14ac:dyDescent="0.25">
      <c r="A5725" t="s">
        <v>7046</v>
      </c>
      <c r="B5725" t="s">
        <v>8188</v>
      </c>
      <c r="C5725" s="1">
        <v>45579</v>
      </c>
    </row>
    <row r="5726" spans="1:3" x14ac:dyDescent="0.25">
      <c r="A5726" t="s">
        <v>7047</v>
      </c>
      <c r="B5726" t="s">
        <v>8188</v>
      </c>
      <c r="C5726" s="1">
        <v>45614</v>
      </c>
    </row>
    <row r="5727" spans="1:3" x14ac:dyDescent="0.25">
      <c r="A5727" t="s">
        <v>7048</v>
      </c>
      <c r="B5727" t="s">
        <v>8188</v>
      </c>
      <c r="C5727" s="1">
        <v>45797</v>
      </c>
    </row>
    <row r="5728" spans="1:3" x14ac:dyDescent="0.25">
      <c r="A5728" t="s">
        <v>7049</v>
      </c>
      <c r="B5728" t="s">
        <v>8188</v>
      </c>
      <c r="C5728" s="1">
        <v>45593</v>
      </c>
    </row>
    <row r="5729" spans="1:3" x14ac:dyDescent="0.25">
      <c r="A5729" t="s">
        <v>7050</v>
      </c>
      <c r="B5729" t="s">
        <v>8188</v>
      </c>
      <c r="C5729" s="1">
        <v>45622</v>
      </c>
    </row>
    <row r="5730" spans="1:3" x14ac:dyDescent="0.25">
      <c r="A5730" t="s">
        <v>7051</v>
      </c>
      <c r="B5730" t="s">
        <v>8188</v>
      </c>
      <c r="C5730" s="1">
        <v>45594</v>
      </c>
    </row>
    <row r="5731" spans="1:3" x14ac:dyDescent="0.25">
      <c r="A5731" t="s">
        <v>7052</v>
      </c>
      <c r="B5731" t="s">
        <v>8188</v>
      </c>
      <c r="C5731" s="1">
        <v>45582</v>
      </c>
    </row>
    <row r="5732" spans="1:3" x14ac:dyDescent="0.25">
      <c r="A5732" t="s">
        <v>7052</v>
      </c>
      <c r="B5732" t="s">
        <v>8188</v>
      </c>
      <c r="C5732" s="1">
        <v>45677</v>
      </c>
    </row>
    <row r="5733" spans="1:3" x14ac:dyDescent="0.25">
      <c r="A5733" t="s">
        <v>7053</v>
      </c>
      <c r="B5733" t="s">
        <v>8188</v>
      </c>
      <c r="C5733" s="1">
        <v>45654</v>
      </c>
    </row>
    <row r="5734" spans="1:3" x14ac:dyDescent="0.25">
      <c r="A5734" t="s">
        <v>7054</v>
      </c>
      <c r="B5734" t="s">
        <v>8188</v>
      </c>
      <c r="C5734" s="1">
        <v>45583</v>
      </c>
    </row>
    <row r="5735" spans="1:3" x14ac:dyDescent="0.25">
      <c r="A5735" t="s">
        <v>7055</v>
      </c>
      <c r="B5735" t="s">
        <v>8188</v>
      </c>
      <c r="C5735" s="1">
        <v>45583</v>
      </c>
    </row>
    <row r="5736" spans="1:3" x14ac:dyDescent="0.25">
      <c r="A5736" t="s">
        <v>7056</v>
      </c>
      <c r="B5736" t="s">
        <v>8188</v>
      </c>
      <c r="C5736" s="1">
        <v>45584</v>
      </c>
    </row>
    <row r="5737" spans="1:3" x14ac:dyDescent="0.25">
      <c r="A5737" t="s">
        <v>7057</v>
      </c>
      <c r="B5737" t="s">
        <v>8188</v>
      </c>
      <c r="C5737" s="1">
        <v>45584</v>
      </c>
    </row>
    <row r="5738" spans="1:3" x14ac:dyDescent="0.25">
      <c r="A5738" t="s">
        <v>7058</v>
      </c>
      <c r="B5738" t="s">
        <v>8188</v>
      </c>
      <c r="C5738" s="1">
        <v>45584</v>
      </c>
    </row>
    <row r="5739" spans="1:3" x14ac:dyDescent="0.25">
      <c r="A5739" t="s">
        <v>7059</v>
      </c>
      <c r="B5739" t="s">
        <v>8188</v>
      </c>
      <c r="C5739" s="1">
        <v>45584</v>
      </c>
    </row>
    <row r="5740" spans="1:3" x14ac:dyDescent="0.25">
      <c r="A5740" t="s">
        <v>7060</v>
      </c>
      <c r="B5740" t="s">
        <v>8188</v>
      </c>
      <c r="C5740" s="1">
        <v>45581</v>
      </c>
    </row>
    <row r="5741" spans="1:3" x14ac:dyDescent="0.25">
      <c r="A5741" t="s">
        <v>7061</v>
      </c>
      <c r="B5741" t="s">
        <v>39</v>
      </c>
      <c r="C5741" s="1"/>
    </row>
    <row r="5742" spans="1:3" x14ac:dyDescent="0.25">
      <c r="A5742" t="s">
        <v>7062</v>
      </c>
      <c r="B5742" t="s">
        <v>8188</v>
      </c>
      <c r="C5742" s="1">
        <v>45579</v>
      </c>
    </row>
    <row r="5743" spans="1:3" x14ac:dyDescent="0.25">
      <c r="A5743" t="s">
        <v>7063</v>
      </c>
      <c r="B5743" t="s">
        <v>8188</v>
      </c>
      <c r="C5743" s="1">
        <v>45579</v>
      </c>
    </row>
    <row r="5744" spans="1:3" x14ac:dyDescent="0.25">
      <c r="A5744" t="s">
        <v>7064</v>
      </c>
      <c r="B5744" t="s">
        <v>8188</v>
      </c>
      <c r="C5744" s="1">
        <v>45584</v>
      </c>
    </row>
    <row r="5745" spans="1:3" x14ac:dyDescent="0.25">
      <c r="A5745" t="s">
        <v>7065</v>
      </c>
      <c r="B5745" t="s">
        <v>8188</v>
      </c>
      <c r="C5745" s="1">
        <v>45584</v>
      </c>
    </row>
    <row r="5746" spans="1:3" x14ac:dyDescent="0.25">
      <c r="A5746" t="s">
        <v>7066</v>
      </c>
      <c r="B5746" t="s">
        <v>8188</v>
      </c>
      <c r="C5746" s="1">
        <v>45590</v>
      </c>
    </row>
    <row r="5747" spans="1:3" x14ac:dyDescent="0.25">
      <c r="A5747" t="s">
        <v>7067</v>
      </c>
      <c r="B5747" t="s">
        <v>8188</v>
      </c>
      <c r="C5747" s="1">
        <v>45590</v>
      </c>
    </row>
    <row r="5748" spans="1:3" x14ac:dyDescent="0.25">
      <c r="A5748" t="s">
        <v>7068</v>
      </c>
      <c r="B5748" t="s">
        <v>8188</v>
      </c>
      <c r="C5748" s="1">
        <v>45586</v>
      </c>
    </row>
    <row r="5749" spans="1:3" x14ac:dyDescent="0.25">
      <c r="A5749" t="s">
        <v>4090</v>
      </c>
      <c r="B5749" t="s">
        <v>8188</v>
      </c>
      <c r="C5749" s="1">
        <v>45586</v>
      </c>
    </row>
    <row r="5750" spans="1:3" x14ac:dyDescent="0.25">
      <c r="A5750" t="s">
        <v>7069</v>
      </c>
      <c r="B5750" t="s">
        <v>8188</v>
      </c>
      <c r="C5750" s="1">
        <v>45587</v>
      </c>
    </row>
    <row r="5751" spans="1:3" x14ac:dyDescent="0.25">
      <c r="A5751" t="s">
        <v>7070</v>
      </c>
      <c r="B5751" t="s">
        <v>8188</v>
      </c>
      <c r="C5751" s="1">
        <v>45588</v>
      </c>
    </row>
    <row r="5752" spans="1:3" x14ac:dyDescent="0.25">
      <c r="A5752" t="s">
        <v>7071</v>
      </c>
      <c r="B5752" t="s">
        <v>8188</v>
      </c>
      <c r="C5752" s="1">
        <v>45588</v>
      </c>
    </row>
    <row r="5753" spans="1:3" x14ac:dyDescent="0.25">
      <c r="A5753" t="s">
        <v>7072</v>
      </c>
      <c r="B5753" t="s">
        <v>39</v>
      </c>
      <c r="C5753" s="1">
        <v>45686</v>
      </c>
    </row>
    <row r="5754" spans="1:3" x14ac:dyDescent="0.25">
      <c r="A5754" t="s">
        <v>7073</v>
      </c>
      <c r="B5754" t="s">
        <v>39</v>
      </c>
      <c r="C5754" s="1"/>
    </row>
    <row r="5755" spans="1:3" x14ac:dyDescent="0.25">
      <c r="A5755" t="s">
        <v>7074</v>
      </c>
      <c r="B5755" t="s">
        <v>8188</v>
      </c>
      <c r="C5755" s="1">
        <v>45752</v>
      </c>
    </row>
    <row r="5756" spans="1:3" x14ac:dyDescent="0.25">
      <c r="A5756" t="s">
        <v>7075</v>
      </c>
      <c r="B5756" t="s">
        <v>8188</v>
      </c>
      <c r="C5756" s="1">
        <v>45600</v>
      </c>
    </row>
    <row r="5757" spans="1:3" x14ac:dyDescent="0.25">
      <c r="A5757" t="s">
        <v>7076</v>
      </c>
      <c r="B5757" t="s">
        <v>8188</v>
      </c>
      <c r="C5757" s="1">
        <v>45594</v>
      </c>
    </row>
    <row r="5758" spans="1:3" x14ac:dyDescent="0.25">
      <c r="A5758" t="s">
        <v>7077</v>
      </c>
      <c r="B5758" t="s">
        <v>8188</v>
      </c>
      <c r="C5758" s="1">
        <v>45678</v>
      </c>
    </row>
    <row r="5759" spans="1:3" x14ac:dyDescent="0.25">
      <c r="A5759" t="s">
        <v>7078</v>
      </c>
      <c r="B5759" t="s">
        <v>8188</v>
      </c>
      <c r="C5759" s="1">
        <v>45587</v>
      </c>
    </row>
    <row r="5760" spans="1:3" x14ac:dyDescent="0.25">
      <c r="A5760" t="s">
        <v>7078</v>
      </c>
      <c r="B5760" t="s">
        <v>8188</v>
      </c>
      <c r="C5760" s="1">
        <v>45587</v>
      </c>
    </row>
    <row r="5761" spans="1:3" x14ac:dyDescent="0.25">
      <c r="A5761" t="s">
        <v>7079</v>
      </c>
      <c r="B5761" t="s">
        <v>8188</v>
      </c>
      <c r="C5761" s="1">
        <v>45589</v>
      </c>
    </row>
    <row r="5762" spans="1:3" x14ac:dyDescent="0.25">
      <c r="A5762" t="s">
        <v>7080</v>
      </c>
      <c r="B5762" t="s">
        <v>8188</v>
      </c>
      <c r="C5762" s="1">
        <v>45587</v>
      </c>
    </row>
    <row r="5763" spans="1:3" x14ac:dyDescent="0.25">
      <c r="A5763" t="s">
        <v>7081</v>
      </c>
      <c r="B5763" t="s">
        <v>8188</v>
      </c>
      <c r="C5763" s="1">
        <v>45590</v>
      </c>
    </row>
    <row r="5764" spans="1:3" x14ac:dyDescent="0.25">
      <c r="A5764" t="s">
        <v>7082</v>
      </c>
      <c r="B5764" t="s">
        <v>8188</v>
      </c>
      <c r="C5764" s="1">
        <v>45630</v>
      </c>
    </row>
    <row r="5765" spans="1:3" x14ac:dyDescent="0.25">
      <c r="A5765" t="s">
        <v>7083</v>
      </c>
      <c r="B5765" t="s">
        <v>8188</v>
      </c>
      <c r="C5765" s="1">
        <v>45622</v>
      </c>
    </row>
    <row r="5766" spans="1:3" x14ac:dyDescent="0.25">
      <c r="A5766" t="s">
        <v>7084</v>
      </c>
      <c r="B5766" t="s">
        <v>8188</v>
      </c>
      <c r="C5766" s="1">
        <v>45600</v>
      </c>
    </row>
    <row r="5767" spans="1:3" x14ac:dyDescent="0.25">
      <c r="A5767" t="s">
        <v>7085</v>
      </c>
      <c r="B5767" t="s">
        <v>8188</v>
      </c>
      <c r="C5767" s="1">
        <v>45590</v>
      </c>
    </row>
    <row r="5768" spans="1:3" x14ac:dyDescent="0.25">
      <c r="A5768" t="s">
        <v>7086</v>
      </c>
      <c r="B5768" t="s">
        <v>8188</v>
      </c>
      <c r="C5768" s="1">
        <v>45642</v>
      </c>
    </row>
    <row r="5769" spans="1:3" x14ac:dyDescent="0.25">
      <c r="A5769" t="s">
        <v>7087</v>
      </c>
      <c r="B5769" t="s">
        <v>8188</v>
      </c>
      <c r="C5769" s="1">
        <v>45600</v>
      </c>
    </row>
    <row r="5770" spans="1:3" x14ac:dyDescent="0.25">
      <c r="A5770" t="s">
        <v>7088</v>
      </c>
      <c r="B5770" t="s">
        <v>8188</v>
      </c>
      <c r="C5770" s="1">
        <v>45625</v>
      </c>
    </row>
    <row r="5771" spans="1:3" x14ac:dyDescent="0.25">
      <c r="A5771" t="s">
        <v>7089</v>
      </c>
      <c r="B5771" t="s">
        <v>8188</v>
      </c>
      <c r="C5771" s="1">
        <v>45601</v>
      </c>
    </row>
    <row r="5772" spans="1:3" x14ac:dyDescent="0.25">
      <c r="A5772" t="s">
        <v>7090</v>
      </c>
      <c r="B5772" t="s">
        <v>8188</v>
      </c>
      <c r="C5772" s="1">
        <v>45666</v>
      </c>
    </row>
    <row r="5773" spans="1:3" x14ac:dyDescent="0.25">
      <c r="A5773" t="s">
        <v>7091</v>
      </c>
      <c r="B5773" t="s">
        <v>39</v>
      </c>
      <c r="C5773" s="1"/>
    </row>
    <row r="5774" spans="1:3" x14ac:dyDescent="0.25">
      <c r="A5774" t="s">
        <v>7092</v>
      </c>
      <c r="B5774" t="s">
        <v>8188</v>
      </c>
      <c r="C5774" s="1">
        <v>45677</v>
      </c>
    </row>
    <row r="5775" spans="1:3" x14ac:dyDescent="0.25">
      <c r="A5775" t="s">
        <v>7093</v>
      </c>
      <c r="B5775" t="s">
        <v>8188</v>
      </c>
      <c r="C5775" s="1">
        <v>45594</v>
      </c>
    </row>
    <row r="5776" spans="1:3" x14ac:dyDescent="0.25">
      <c r="A5776" t="s">
        <v>7093</v>
      </c>
      <c r="B5776" t="s">
        <v>8188</v>
      </c>
      <c r="C5776" s="1">
        <v>45594</v>
      </c>
    </row>
    <row r="5777" spans="1:3" x14ac:dyDescent="0.25">
      <c r="A5777" t="s">
        <v>7094</v>
      </c>
      <c r="B5777" t="s">
        <v>8188</v>
      </c>
      <c r="C5777" s="1">
        <v>45593</v>
      </c>
    </row>
    <row r="5778" spans="1:3" x14ac:dyDescent="0.25">
      <c r="A5778" t="s">
        <v>7095</v>
      </c>
      <c r="B5778" t="s">
        <v>8188</v>
      </c>
      <c r="C5778" s="1">
        <v>45590</v>
      </c>
    </row>
    <row r="5779" spans="1:3" x14ac:dyDescent="0.25">
      <c r="A5779" t="s">
        <v>7096</v>
      </c>
      <c r="B5779" t="s">
        <v>8188</v>
      </c>
      <c r="C5779" s="1">
        <v>45590</v>
      </c>
    </row>
    <row r="5780" spans="1:3" x14ac:dyDescent="0.25">
      <c r="A5780" t="s">
        <v>7097</v>
      </c>
      <c r="B5780" t="s">
        <v>8188</v>
      </c>
      <c r="C5780" s="1">
        <v>45600</v>
      </c>
    </row>
    <row r="5781" spans="1:3" x14ac:dyDescent="0.25">
      <c r="A5781" t="s">
        <v>7098</v>
      </c>
      <c r="B5781" t="s">
        <v>8188</v>
      </c>
      <c r="C5781" s="1">
        <v>45602</v>
      </c>
    </row>
    <row r="5782" spans="1:3" x14ac:dyDescent="0.25">
      <c r="A5782" t="s">
        <v>7099</v>
      </c>
      <c r="B5782" t="s">
        <v>8188</v>
      </c>
      <c r="C5782" s="1">
        <v>45590</v>
      </c>
    </row>
    <row r="5783" spans="1:3" x14ac:dyDescent="0.25">
      <c r="A5783" t="s">
        <v>7100</v>
      </c>
      <c r="B5783" t="s">
        <v>8188</v>
      </c>
      <c r="C5783" s="1">
        <v>45590</v>
      </c>
    </row>
    <row r="5784" spans="1:3" x14ac:dyDescent="0.25">
      <c r="A5784" t="s">
        <v>7101</v>
      </c>
      <c r="B5784" t="s">
        <v>8188</v>
      </c>
      <c r="C5784" s="1">
        <v>45603</v>
      </c>
    </row>
    <row r="5785" spans="1:3" x14ac:dyDescent="0.25">
      <c r="A5785" t="s">
        <v>7102</v>
      </c>
      <c r="B5785" t="s">
        <v>8188</v>
      </c>
      <c r="C5785" s="1">
        <v>45600</v>
      </c>
    </row>
    <row r="5786" spans="1:3" x14ac:dyDescent="0.25">
      <c r="A5786" t="s">
        <v>7103</v>
      </c>
      <c r="B5786" t="s">
        <v>8188</v>
      </c>
      <c r="C5786" s="1">
        <v>45593</v>
      </c>
    </row>
    <row r="5787" spans="1:3" x14ac:dyDescent="0.25">
      <c r="A5787" t="s">
        <v>7104</v>
      </c>
      <c r="B5787" t="s">
        <v>8188</v>
      </c>
      <c r="C5787" s="1">
        <v>45593</v>
      </c>
    </row>
    <row r="5788" spans="1:3" x14ac:dyDescent="0.25">
      <c r="A5788" t="s">
        <v>7105</v>
      </c>
      <c r="B5788" t="s">
        <v>8188</v>
      </c>
      <c r="C5788" s="1">
        <v>45587</v>
      </c>
    </row>
    <row r="5789" spans="1:3" x14ac:dyDescent="0.25">
      <c r="A5789" t="s">
        <v>7105</v>
      </c>
      <c r="B5789" t="s">
        <v>8188</v>
      </c>
      <c r="C5789" s="1">
        <v>45587</v>
      </c>
    </row>
    <row r="5790" spans="1:3" x14ac:dyDescent="0.25">
      <c r="A5790" t="s">
        <v>7106</v>
      </c>
      <c r="B5790" t="s">
        <v>8188</v>
      </c>
      <c r="C5790" s="1">
        <v>45603</v>
      </c>
    </row>
    <row r="5791" spans="1:3" x14ac:dyDescent="0.25">
      <c r="A5791" t="s">
        <v>7107</v>
      </c>
      <c r="B5791" t="s">
        <v>8188</v>
      </c>
      <c r="C5791" s="1">
        <v>45623</v>
      </c>
    </row>
    <row r="5792" spans="1:3" x14ac:dyDescent="0.25">
      <c r="A5792" t="s">
        <v>7107</v>
      </c>
      <c r="B5792" t="s">
        <v>8188</v>
      </c>
      <c r="C5792" s="1">
        <v>45623</v>
      </c>
    </row>
    <row r="5793" spans="1:3" x14ac:dyDescent="0.25">
      <c r="A5793" t="s">
        <v>7108</v>
      </c>
      <c r="B5793" t="s">
        <v>8188</v>
      </c>
      <c r="C5793" s="1">
        <v>45594</v>
      </c>
    </row>
    <row r="5794" spans="1:3" x14ac:dyDescent="0.25">
      <c r="A5794" t="s">
        <v>7109</v>
      </c>
      <c r="B5794" t="s">
        <v>8188</v>
      </c>
      <c r="C5794" s="1">
        <v>45598</v>
      </c>
    </row>
    <row r="5795" spans="1:3" x14ac:dyDescent="0.25">
      <c r="A5795" t="s">
        <v>7109</v>
      </c>
      <c r="B5795" t="s">
        <v>8188</v>
      </c>
      <c r="C5795" s="1">
        <v>45598</v>
      </c>
    </row>
    <row r="5796" spans="1:3" x14ac:dyDescent="0.25">
      <c r="A5796" t="s">
        <v>7110</v>
      </c>
      <c r="B5796" t="s">
        <v>8188</v>
      </c>
      <c r="C5796" s="1">
        <v>45598</v>
      </c>
    </row>
    <row r="5797" spans="1:3" x14ac:dyDescent="0.25">
      <c r="A5797" t="s">
        <v>7111</v>
      </c>
      <c r="B5797" t="s">
        <v>8188</v>
      </c>
      <c r="C5797" s="1">
        <v>45604</v>
      </c>
    </row>
    <row r="5798" spans="1:3" x14ac:dyDescent="0.25">
      <c r="A5798" t="s">
        <v>7111</v>
      </c>
      <c r="B5798" t="s">
        <v>8188</v>
      </c>
      <c r="C5798" s="1">
        <v>45604</v>
      </c>
    </row>
    <row r="5799" spans="1:3" x14ac:dyDescent="0.25">
      <c r="A5799" t="s">
        <v>7112</v>
      </c>
      <c r="B5799" t="s">
        <v>8188</v>
      </c>
      <c r="C5799" s="1">
        <v>45601</v>
      </c>
    </row>
    <row r="5800" spans="1:3" x14ac:dyDescent="0.25">
      <c r="A5800" t="s">
        <v>7113</v>
      </c>
      <c r="B5800" t="s">
        <v>8188</v>
      </c>
      <c r="C5800" s="1">
        <v>45594</v>
      </c>
    </row>
    <row r="5801" spans="1:3" x14ac:dyDescent="0.25">
      <c r="A5801" t="s">
        <v>7114</v>
      </c>
      <c r="B5801" t="s">
        <v>8188</v>
      </c>
      <c r="C5801" s="1">
        <v>45594</v>
      </c>
    </row>
    <row r="5802" spans="1:3" x14ac:dyDescent="0.25">
      <c r="A5802" t="s">
        <v>7115</v>
      </c>
      <c r="B5802" t="s">
        <v>8188</v>
      </c>
      <c r="C5802" s="1">
        <v>45744</v>
      </c>
    </row>
    <row r="5803" spans="1:3" x14ac:dyDescent="0.25">
      <c r="A5803" t="s">
        <v>7115</v>
      </c>
      <c r="B5803" t="s">
        <v>8188</v>
      </c>
      <c r="C5803" s="1">
        <v>45869</v>
      </c>
    </row>
    <row r="5804" spans="1:3" x14ac:dyDescent="0.25">
      <c r="A5804" t="s">
        <v>7116</v>
      </c>
      <c r="B5804" t="s">
        <v>8188</v>
      </c>
      <c r="C5804" s="1">
        <v>45594</v>
      </c>
    </row>
    <row r="5805" spans="1:3" x14ac:dyDescent="0.25">
      <c r="A5805" t="s">
        <v>7117</v>
      </c>
      <c r="B5805" t="s">
        <v>8188</v>
      </c>
      <c r="C5805" s="1">
        <v>45603</v>
      </c>
    </row>
    <row r="5806" spans="1:3" x14ac:dyDescent="0.25">
      <c r="A5806" t="s">
        <v>7118</v>
      </c>
      <c r="B5806" t="s">
        <v>8188</v>
      </c>
      <c r="C5806" s="1">
        <v>45601</v>
      </c>
    </row>
    <row r="5807" spans="1:3" x14ac:dyDescent="0.25">
      <c r="A5807" t="s">
        <v>7119</v>
      </c>
      <c r="B5807" t="s">
        <v>8188</v>
      </c>
      <c r="C5807" s="1">
        <v>45601</v>
      </c>
    </row>
    <row r="5808" spans="1:3" x14ac:dyDescent="0.25">
      <c r="A5808" t="s">
        <v>7120</v>
      </c>
      <c r="B5808" t="s">
        <v>8188</v>
      </c>
      <c r="C5808" s="1">
        <v>45601</v>
      </c>
    </row>
    <row r="5809" spans="1:3" x14ac:dyDescent="0.25">
      <c r="A5809" t="s">
        <v>7121</v>
      </c>
      <c r="B5809" t="s">
        <v>8188</v>
      </c>
      <c r="C5809" s="1">
        <v>45838</v>
      </c>
    </row>
    <row r="5810" spans="1:3" x14ac:dyDescent="0.25">
      <c r="A5810" t="s">
        <v>7122</v>
      </c>
      <c r="B5810" t="s">
        <v>8188</v>
      </c>
      <c r="C5810" s="1">
        <v>45625</v>
      </c>
    </row>
    <row r="5811" spans="1:3" x14ac:dyDescent="0.25">
      <c r="A5811" t="s">
        <v>7123</v>
      </c>
      <c r="B5811" t="s">
        <v>8188</v>
      </c>
      <c r="C5811" s="1">
        <v>45604</v>
      </c>
    </row>
    <row r="5812" spans="1:3" x14ac:dyDescent="0.25">
      <c r="A5812" t="s">
        <v>7124</v>
      </c>
      <c r="B5812" t="s">
        <v>8188</v>
      </c>
      <c r="C5812" s="1">
        <v>45668</v>
      </c>
    </row>
    <row r="5813" spans="1:3" x14ac:dyDescent="0.25">
      <c r="A5813" t="s">
        <v>7125</v>
      </c>
      <c r="B5813" t="s">
        <v>8188</v>
      </c>
      <c r="C5813" s="1">
        <v>45615</v>
      </c>
    </row>
    <row r="5814" spans="1:3" x14ac:dyDescent="0.25">
      <c r="A5814" t="s">
        <v>7126</v>
      </c>
      <c r="B5814" t="s">
        <v>8188</v>
      </c>
      <c r="C5814" s="1">
        <v>45602</v>
      </c>
    </row>
    <row r="5815" spans="1:3" x14ac:dyDescent="0.25">
      <c r="A5815" t="s">
        <v>7127</v>
      </c>
      <c r="B5815" t="s">
        <v>8188</v>
      </c>
      <c r="C5815" s="1">
        <v>45601</v>
      </c>
    </row>
    <row r="5816" spans="1:3" x14ac:dyDescent="0.25">
      <c r="A5816" t="s">
        <v>7128</v>
      </c>
      <c r="B5816" t="s">
        <v>8188</v>
      </c>
      <c r="C5816" s="1">
        <v>45601</v>
      </c>
    </row>
    <row r="5817" spans="1:3" x14ac:dyDescent="0.25">
      <c r="A5817" t="s">
        <v>7129</v>
      </c>
      <c r="B5817" t="s">
        <v>8188</v>
      </c>
      <c r="C5817" s="1">
        <v>45603</v>
      </c>
    </row>
    <row r="5818" spans="1:3" x14ac:dyDescent="0.25">
      <c r="A5818" t="s">
        <v>7130</v>
      </c>
      <c r="B5818" t="s">
        <v>8188</v>
      </c>
      <c r="C5818" s="1">
        <v>45623</v>
      </c>
    </row>
    <row r="5819" spans="1:3" x14ac:dyDescent="0.25">
      <c r="A5819" t="s">
        <v>7131</v>
      </c>
      <c r="B5819" t="s">
        <v>8188</v>
      </c>
      <c r="C5819" s="1">
        <v>45602</v>
      </c>
    </row>
    <row r="5820" spans="1:3" x14ac:dyDescent="0.25">
      <c r="A5820" t="s">
        <v>7132</v>
      </c>
      <c r="B5820" t="s">
        <v>8188</v>
      </c>
      <c r="C5820" s="1">
        <v>45617</v>
      </c>
    </row>
    <row r="5821" spans="1:3" x14ac:dyDescent="0.25">
      <c r="A5821" t="s">
        <v>7133</v>
      </c>
      <c r="B5821" t="s">
        <v>8188</v>
      </c>
      <c r="C5821" s="1">
        <v>45607</v>
      </c>
    </row>
    <row r="5822" spans="1:3" x14ac:dyDescent="0.25">
      <c r="A5822" t="s">
        <v>7134</v>
      </c>
      <c r="B5822" t="s">
        <v>8188</v>
      </c>
      <c r="C5822" s="1">
        <v>45745</v>
      </c>
    </row>
    <row r="5823" spans="1:3" x14ac:dyDescent="0.25">
      <c r="A5823" t="s">
        <v>7135</v>
      </c>
      <c r="B5823" t="s">
        <v>8188</v>
      </c>
      <c r="C5823" s="1">
        <v>45603</v>
      </c>
    </row>
    <row r="5824" spans="1:3" x14ac:dyDescent="0.25">
      <c r="A5824" t="s">
        <v>7136</v>
      </c>
      <c r="B5824" t="s">
        <v>8188</v>
      </c>
      <c r="C5824" s="1">
        <v>45610</v>
      </c>
    </row>
    <row r="5825" spans="1:3" x14ac:dyDescent="0.25">
      <c r="A5825" t="s">
        <v>7137</v>
      </c>
      <c r="B5825" t="s">
        <v>8188</v>
      </c>
      <c r="C5825" s="1">
        <v>45612</v>
      </c>
    </row>
    <row r="5826" spans="1:3" x14ac:dyDescent="0.25">
      <c r="A5826" t="s">
        <v>7138</v>
      </c>
      <c r="B5826" t="s">
        <v>8188</v>
      </c>
      <c r="C5826" s="1">
        <v>45679</v>
      </c>
    </row>
    <row r="5827" spans="1:3" x14ac:dyDescent="0.25">
      <c r="A5827" t="s">
        <v>7139</v>
      </c>
      <c r="B5827" t="s">
        <v>8188</v>
      </c>
      <c r="C5827" s="1">
        <v>45623</v>
      </c>
    </row>
    <row r="5828" spans="1:3" x14ac:dyDescent="0.25">
      <c r="A5828" t="s">
        <v>7140</v>
      </c>
      <c r="B5828" t="s">
        <v>8188</v>
      </c>
      <c r="C5828" s="1">
        <v>45612</v>
      </c>
    </row>
    <row r="5829" spans="1:3" x14ac:dyDescent="0.25">
      <c r="A5829" t="s">
        <v>7140</v>
      </c>
      <c r="B5829" t="s">
        <v>8188</v>
      </c>
      <c r="C5829" s="1">
        <v>45612</v>
      </c>
    </row>
    <row r="5830" spans="1:3" x14ac:dyDescent="0.25">
      <c r="A5830" t="s">
        <v>7141</v>
      </c>
      <c r="B5830" t="s">
        <v>8188</v>
      </c>
      <c r="C5830" s="1">
        <v>45663</v>
      </c>
    </row>
    <row r="5831" spans="1:3" x14ac:dyDescent="0.25">
      <c r="A5831" t="s">
        <v>7142</v>
      </c>
      <c r="B5831" t="s">
        <v>8188</v>
      </c>
      <c r="C5831" s="1">
        <v>45623</v>
      </c>
    </row>
    <row r="5832" spans="1:3" x14ac:dyDescent="0.25">
      <c r="A5832" t="s">
        <v>7143</v>
      </c>
      <c r="B5832" t="s">
        <v>8188</v>
      </c>
      <c r="C5832" s="1">
        <v>45639</v>
      </c>
    </row>
    <row r="5833" spans="1:3" x14ac:dyDescent="0.25">
      <c r="A5833" t="s">
        <v>7144</v>
      </c>
      <c r="B5833" t="s">
        <v>8188</v>
      </c>
      <c r="C5833" s="1">
        <v>45618</v>
      </c>
    </row>
    <row r="5834" spans="1:3" x14ac:dyDescent="0.25">
      <c r="A5834" t="s">
        <v>7145</v>
      </c>
      <c r="B5834" t="s">
        <v>8188</v>
      </c>
      <c r="C5834" s="1">
        <v>45666</v>
      </c>
    </row>
    <row r="5835" spans="1:3" x14ac:dyDescent="0.25">
      <c r="A5835" t="s">
        <v>7146</v>
      </c>
      <c r="B5835" t="s">
        <v>8188</v>
      </c>
      <c r="C5835" s="1">
        <v>45623</v>
      </c>
    </row>
    <row r="5836" spans="1:3" x14ac:dyDescent="0.25">
      <c r="A5836" t="s">
        <v>7147</v>
      </c>
      <c r="B5836" t="s">
        <v>8188</v>
      </c>
      <c r="C5836" s="1">
        <v>45639</v>
      </c>
    </row>
    <row r="5837" spans="1:3" x14ac:dyDescent="0.25">
      <c r="A5837" t="s">
        <v>7148</v>
      </c>
      <c r="B5837" t="s">
        <v>8188</v>
      </c>
      <c r="C5837" s="1">
        <v>45678</v>
      </c>
    </row>
    <row r="5838" spans="1:3" x14ac:dyDescent="0.25">
      <c r="A5838" t="s">
        <v>7149</v>
      </c>
      <c r="B5838" t="s">
        <v>8188</v>
      </c>
      <c r="C5838" s="1">
        <v>45684</v>
      </c>
    </row>
    <row r="5839" spans="1:3" x14ac:dyDescent="0.25">
      <c r="A5839" t="s">
        <v>7150</v>
      </c>
      <c r="B5839" t="s">
        <v>8188</v>
      </c>
      <c r="C5839" s="1">
        <v>45626</v>
      </c>
    </row>
    <row r="5840" spans="1:3" x14ac:dyDescent="0.25">
      <c r="A5840" t="s">
        <v>7151</v>
      </c>
      <c r="B5840" t="s">
        <v>8188</v>
      </c>
      <c r="C5840" s="1">
        <v>45835</v>
      </c>
    </row>
    <row r="5841" spans="1:3" x14ac:dyDescent="0.25">
      <c r="A5841" t="s">
        <v>7152</v>
      </c>
      <c r="B5841" t="s">
        <v>8188</v>
      </c>
      <c r="C5841" s="1">
        <v>45654</v>
      </c>
    </row>
    <row r="5842" spans="1:3" x14ac:dyDescent="0.25">
      <c r="A5842" t="s">
        <v>7153</v>
      </c>
      <c r="B5842" t="s">
        <v>8188</v>
      </c>
      <c r="C5842" s="1">
        <v>45668</v>
      </c>
    </row>
    <row r="5843" spans="1:3" x14ac:dyDescent="0.25">
      <c r="A5843" t="s">
        <v>7154</v>
      </c>
      <c r="B5843" t="s">
        <v>8188</v>
      </c>
      <c r="C5843" s="1">
        <v>45607</v>
      </c>
    </row>
    <row r="5844" spans="1:3" x14ac:dyDescent="0.25">
      <c r="A5844" t="s">
        <v>7155</v>
      </c>
      <c r="B5844" t="s">
        <v>8188</v>
      </c>
      <c r="C5844" s="1">
        <v>45630</v>
      </c>
    </row>
    <row r="5845" spans="1:3" x14ac:dyDescent="0.25">
      <c r="A5845" t="s">
        <v>7156</v>
      </c>
      <c r="B5845" t="s">
        <v>8188</v>
      </c>
      <c r="C5845" s="1">
        <v>45715</v>
      </c>
    </row>
    <row r="5846" spans="1:3" x14ac:dyDescent="0.25">
      <c r="A5846" t="s">
        <v>7157</v>
      </c>
      <c r="B5846" t="s">
        <v>8188</v>
      </c>
      <c r="C5846" s="1">
        <v>45660</v>
      </c>
    </row>
    <row r="5847" spans="1:3" x14ac:dyDescent="0.25">
      <c r="A5847" t="s">
        <v>7158</v>
      </c>
      <c r="B5847" t="s">
        <v>8188</v>
      </c>
      <c r="C5847" s="1">
        <v>45845</v>
      </c>
    </row>
    <row r="5848" spans="1:3" x14ac:dyDescent="0.25">
      <c r="A5848" t="s">
        <v>7158</v>
      </c>
      <c r="B5848" t="s">
        <v>8188</v>
      </c>
      <c r="C5848" s="1">
        <v>45857</v>
      </c>
    </row>
    <row r="5849" spans="1:3" x14ac:dyDescent="0.25">
      <c r="A5849" t="s">
        <v>7159</v>
      </c>
      <c r="B5849" t="s">
        <v>8188</v>
      </c>
      <c r="C5849" s="1">
        <v>45608</v>
      </c>
    </row>
    <row r="5850" spans="1:3" x14ac:dyDescent="0.25">
      <c r="A5850" t="s">
        <v>7160</v>
      </c>
      <c r="B5850" t="s">
        <v>8188</v>
      </c>
      <c r="C5850" s="1">
        <v>45626</v>
      </c>
    </row>
    <row r="5851" spans="1:3" x14ac:dyDescent="0.25">
      <c r="A5851" t="s">
        <v>7161</v>
      </c>
      <c r="B5851" t="s">
        <v>8188</v>
      </c>
      <c r="C5851" s="1">
        <v>45615</v>
      </c>
    </row>
    <row r="5852" spans="1:3" x14ac:dyDescent="0.25">
      <c r="A5852" t="s">
        <v>7162</v>
      </c>
      <c r="B5852" t="s">
        <v>8188</v>
      </c>
      <c r="C5852" s="1">
        <v>45609</v>
      </c>
    </row>
    <row r="5853" spans="1:3" x14ac:dyDescent="0.25">
      <c r="A5853" t="s">
        <v>7163</v>
      </c>
      <c r="B5853" t="s">
        <v>8188</v>
      </c>
      <c r="C5853" s="1">
        <v>45745</v>
      </c>
    </row>
    <row r="5854" spans="1:3" x14ac:dyDescent="0.25">
      <c r="A5854" t="s">
        <v>7163</v>
      </c>
      <c r="B5854" t="s">
        <v>8188</v>
      </c>
      <c r="C5854" s="1">
        <v>45682</v>
      </c>
    </row>
    <row r="5855" spans="1:3" x14ac:dyDescent="0.25">
      <c r="A5855" t="s">
        <v>7164</v>
      </c>
      <c r="B5855" t="s">
        <v>8188</v>
      </c>
      <c r="C5855" s="1">
        <v>45614</v>
      </c>
    </row>
    <row r="5856" spans="1:3" x14ac:dyDescent="0.25">
      <c r="A5856" t="s">
        <v>7165</v>
      </c>
      <c r="B5856" t="s">
        <v>8188</v>
      </c>
      <c r="C5856" s="1">
        <v>45608</v>
      </c>
    </row>
    <row r="5857" spans="1:3" x14ac:dyDescent="0.25">
      <c r="A5857" t="s">
        <v>7166</v>
      </c>
      <c r="B5857" t="s">
        <v>8188</v>
      </c>
      <c r="C5857" s="1">
        <v>45654</v>
      </c>
    </row>
    <row r="5858" spans="1:3" x14ac:dyDescent="0.25">
      <c r="A5858" t="s">
        <v>7167</v>
      </c>
      <c r="B5858" t="s">
        <v>8188</v>
      </c>
      <c r="C5858" s="1">
        <v>45666</v>
      </c>
    </row>
    <row r="5859" spans="1:3" x14ac:dyDescent="0.25">
      <c r="A5859" t="s">
        <v>7168</v>
      </c>
      <c r="B5859" t="s">
        <v>8188</v>
      </c>
      <c r="C5859" s="1">
        <v>45784</v>
      </c>
    </row>
    <row r="5860" spans="1:3" x14ac:dyDescent="0.25">
      <c r="A5860" t="s">
        <v>7169</v>
      </c>
      <c r="B5860" t="s">
        <v>8188</v>
      </c>
      <c r="C5860" s="1">
        <v>45668</v>
      </c>
    </row>
    <row r="5861" spans="1:3" x14ac:dyDescent="0.25">
      <c r="A5861" t="s">
        <v>7170</v>
      </c>
      <c r="B5861" t="s">
        <v>8188</v>
      </c>
      <c r="C5861" s="1">
        <v>45644</v>
      </c>
    </row>
    <row r="5862" spans="1:3" x14ac:dyDescent="0.25">
      <c r="A5862" t="s">
        <v>7171</v>
      </c>
      <c r="B5862" t="s">
        <v>8188</v>
      </c>
      <c r="C5862" s="1">
        <v>45623</v>
      </c>
    </row>
    <row r="5863" spans="1:3" x14ac:dyDescent="0.25">
      <c r="A5863" t="s">
        <v>7172</v>
      </c>
      <c r="B5863" t="s">
        <v>8188</v>
      </c>
      <c r="C5863" s="1">
        <v>45731</v>
      </c>
    </row>
    <row r="5864" spans="1:3" x14ac:dyDescent="0.25">
      <c r="A5864" t="s">
        <v>7173</v>
      </c>
      <c r="B5864" t="s">
        <v>8188</v>
      </c>
      <c r="C5864" s="1">
        <v>45639</v>
      </c>
    </row>
    <row r="5865" spans="1:3" x14ac:dyDescent="0.25">
      <c r="A5865" t="s">
        <v>7173</v>
      </c>
      <c r="B5865" t="s">
        <v>8188</v>
      </c>
      <c r="C5865" s="1">
        <v>45639</v>
      </c>
    </row>
    <row r="5866" spans="1:3" x14ac:dyDescent="0.25">
      <c r="A5866" t="s">
        <v>7174</v>
      </c>
      <c r="B5866" t="s">
        <v>8188</v>
      </c>
      <c r="C5866" s="1">
        <v>45654</v>
      </c>
    </row>
    <row r="5867" spans="1:3" x14ac:dyDescent="0.25">
      <c r="A5867" t="s">
        <v>7175</v>
      </c>
      <c r="B5867" t="s">
        <v>8188</v>
      </c>
      <c r="C5867" s="1">
        <v>45623</v>
      </c>
    </row>
    <row r="5868" spans="1:3" x14ac:dyDescent="0.25">
      <c r="A5868" t="s">
        <v>7176</v>
      </c>
      <c r="B5868" t="s">
        <v>8188</v>
      </c>
      <c r="C5868" s="1">
        <v>45668</v>
      </c>
    </row>
    <row r="5869" spans="1:3" x14ac:dyDescent="0.25">
      <c r="A5869" t="s">
        <v>7177</v>
      </c>
      <c r="B5869" t="s">
        <v>8188</v>
      </c>
      <c r="C5869" s="1">
        <v>45659</v>
      </c>
    </row>
    <row r="5870" spans="1:3" x14ac:dyDescent="0.25">
      <c r="A5870" t="s">
        <v>7178</v>
      </c>
      <c r="B5870" t="s">
        <v>8188</v>
      </c>
      <c r="C5870" s="1">
        <v>45668</v>
      </c>
    </row>
    <row r="5871" spans="1:3" x14ac:dyDescent="0.25">
      <c r="A5871" t="s">
        <v>7179</v>
      </c>
      <c r="B5871" t="s">
        <v>39</v>
      </c>
      <c r="C5871" s="1">
        <v>45686</v>
      </c>
    </row>
    <row r="5872" spans="1:3" x14ac:dyDescent="0.25">
      <c r="A5872" t="s">
        <v>7180</v>
      </c>
      <c r="B5872" t="s">
        <v>8188</v>
      </c>
      <c r="C5872" s="1">
        <v>45610</v>
      </c>
    </row>
    <row r="5873" spans="1:3" x14ac:dyDescent="0.25">
      <c r="A5873" t="s">
        <v>7181</v>
      </c>
      <c r="B5873" t="s">
        <v>8188</v>
      </c>
      <c r="C5873" s="1">
        <v>45610</v>
      </c>
    </row>
    <row r="5874" spans="1:3" x14ac:dyDescent="0.25">
      <c r="A5874" t="s">
        <v>7182</v>
      </c>
      <c r="B5874" t="s">
        <v>8188</v>
      </c>
      <c r="C5874" s="1">
        <v>45692</v>
      </c>
    </row>
    <row r="5875" spans="1:3" x14ac:dyDescent="0.25">
      <c r="A5875" t="s">
        <v>7183</v>
      </c>
      <c r="B5875" t="s">
        <v>8188</v>
      </c>
      <c r="C5875" s="1">
        <v>45616</v>
      </c>
    </row>
    <row r="5876" spans="1:3" x14ac:dyDescent="0.25">
      <c r="A5876" t="s">
        <v>7184</v>
      </c>
      <c r="B5876" t="s">
        <v>8188</v>
      </c>
      <c r="C5876" s="1">
        <v>45637</v>
      </c>
    </row>
    <row r="5877" spans="1:3" x14ac:dyDescent="0.25">
      <c r="A5877" t="s">
        <v>7185</v>
      </c>
      <c r="B5877" t="s">
        <v>8188</v>
      </c>
      <c r="C5877" s="1">
        <v>45686</v>
      </c>
    </row>
    <row r="5878" spans="1:3" x14ac:dyDescent="0.25">
      <c r="A5878" t="s">
        <v>7186</v>
      </c>
      <c r="B5878" t="s">
        <v>8188</v>
      </c>
      <c r="C5878" s="1">
        <v>45736</v>
      </c>
    </row>
    <row r="5879" spans="1:3" x14ac:dyDescent="0.25">
      <c r="A5879" t="s">
        <v>7187</v>
      </c>
      <c r="B5879" t="s">
        <v>8188</v>
      </c>
      <c r="C5879" s="1">
        <v>45629</v>
      </c>
    </row>
    <row r="5880" spans="1:3" x14ac:dyDescent="0.25">
      <c r="A5880" t="s">
        <v>7187</v>
      </c>
      <c r="B5880" t="s">
        <v>8188</v>
      </c>
      <c r="C5880" s="1">
        <v>45629</v>
      </c>
    </row>
    <row r="5881" spans="1:3" x14ac:dyDescent="0.25">
      <c r="A5881" t="s">
        <v>7188</v>
      </c>
      <c r="B5881" t="s">
        <v>8188</v>
      </c>
      <c r="C5881" s="1">
        <v>45666</v>
      </c>
    </row>
    <row r="5882" spans="1:3" x14ac:dyDescent="0.25">
      <c r="A5882" t="s">
        <v>7189</v>
      </c>
      <c r="B5882" t="s">
        <v>8188</v>
      </c>
      <c r="C5882" s="1">
        <v>45636</v>
      </c>
    </row>
    <row r="5883" spans="1:3" x14ac:dyDescent="0.25">
      <c r="A5883" t="s">
        <v>7190</v>
      </c>
      <c r="B5883" t="s">
        <v>8188</v>
      </c>
      <c r="C5883" s="1">
        <v>45847</v>
      </c>
    </row>
    <row r="5884" spans="1:3" x14ac:dyDescent="0.25">
      <c r="A5884" t="s">
        <v>7191</v>
      </c>
      <c r="B5884" t="s">
        <v>8188</v>
      </c>
      <c r="C5884" s="1">
        <v>45624</v>
      </c>
    </row>
    <row r="5885" spans="1:3" x14ac:dyDescent="0.25">
      <c r="A5885" t="s">
        <v>7192</v>
      </c>
      <c r="B5885" t="s">
        <v>8188</v>
      </c>
      <c r="C5885" s="1">
        <v>45666</v>
      </c>
    </row>
    <row r="5886" spans="1:3" x14ac:dyDescent="0.25">
      <c r="A5886" t="s">
        <v>7193</v>
      </c>
      <c r="B5886" t="s">
        <v>8188</v>
      </c>
      <c r="C5886" s="1">
        <v>45638</v>
      </c>
    </row>
    <row r="5887" spans="1:3" x14ac:dyDescent="0.25">
      <c r="A5887" t="s">
        <v>7194</v>
      </c>
      <c r="B5887" t="s">
        <v>8188</v>
      </c>
      <c r="C5887" s="1">
        <v>45669</v>
      </c>
    </row>
    <row r="5888" spans="1:3" x14ac:dyDescent="0.25">
      <c r="A5888" t="s">
        <v>7195</v>
      </c>
      <c r="B5888" t="s">
        <v>8188</v>
      </c>
      <c r="C5888" s="1">
        <v>45638</v>
      </c>
    </row>
    <row r="5889" spans="1:3" x14ac:dyDescent="0.25">
      <c r="A5889" t="s">
        <v>7196</v>
      </c>
      <c r="B5889" t="s">
        <v>39</v>
      </c>
      <c r="C5889" s="1"/>
    </row>
    <row r="5890" spans="1:3" x14ac:dyDescent="0.25">
      <c r="A5890" t="s">
        <v>7197</v>
      </c>
      <c r="B5890" t="s">
        <v>8188</v>
      </c>
      <c r="C5890" s="1">
        <v>45757</v>
      </c>
    </row>
    <row r="5891" spans="1:3" x14ac:dyDescent="0.25">
      <c r="A5891" t="s">
        <v>7198</v>
      </c>
      <c r="B5891" t="s">
        <v>8188</v>
      </c>
      <c r="C5891" s="1">
        <v>45708</v>
      </c>
    </row>
    <row r="5892" spans="1:3" x14ac:dyDescent="0.25">
      <c r="A5892" t="s">
        <v>7199</v>
      </c>
      <c r="B5892" t="s">
        <v>39</v>
      </c>
      <c r="C5892" s="1"/>
    </row>
    <row r="5893" spans="1:3" x14ac:dyDescent="0.25">
      <c r="A5893" t="s">
        <v>7200</v>
      </c>
      <c r="B5893" t="s">
        <v>8188</v>
      </c>
      <c r="C5893" s="1">
        <v>45612</v>
      </c>
    </row>
    <row r="5894" spans="1:3" x14ac:dyDescent="0.25">
      <c r="A5894" t="s">
        <v>7201</v>
      </c>
      <c r="B5894" t="s">
        <v>8188</v>
      </c>
      <c r="C5894" s="1">
        <v>45665</v>
      </c>
    </row>
    <row r="5895" spans="1:3" x14ac:dyDescent="0.25">
      <c r="A5895" t="s">
        <v>7202</v>
      </c>
      <c r="B5895" t="s">
        <v>8188</v>
      </c>
      <c r="C5895" s="1">
        <v>45664</v>
      </c>
    </row>
    <row r="5896" spans="1:3" x14ac:dyDescent="0.25">
      <c r="A5896" t="s">
        <v>7203</v>
      </c>
      <c r="B5896" t="s">
        <v>8188</v>
      </c>
      <c r="C5896" s="1">
        <v>45671</v>
      </c>
    </row>
    <row r="5897" spans="1:3" x14ac:dyDescent="0.25">
      <c r="A5897" t="s">
        <v>7203</v>
      </c>
      <c r="B5897" t="s">
        <v>8188</v>
      </c>
      <c r="C5897" s="1">
        <v>45629</v>
      </c>
    </row>
    <row r="5898" spans="1:3" x14ac:dyDescent="0.25">
      <c r="A5898" t="s">
        <v>7204</v>
      </c>
      <c r="B5898" t="s">
        <v>8188</v>
      </c>
      <c r="C5898" s="1">
        <v>45673</v>
      </c>
    </row>
    <row r="5899" spans="1:3" x14ac:dyDescent="0.25">
      <c r="A5899" t="s">
        <v>7205</v>
      </c>
      <c r="B5899" t="s">
        <v>8188</v>
      </c>
      <c r="C5899" s="1">
        <v>45673</v>
      </c>
    </row>
    <row r="5900" spans="1:3" x14ac:dyDescent="0.25">
      <c r="A5900" t="s">
        <v>7206</v>
      </c>
      <c r="B5900" t="s">
        <v>8188</v>
      </c>
      <c r="C5900" s="1">
        <v>45665</v>
      </c>
    </row>
    <row r="5901" spans="1:3" x14ac:dyDescent="0.25">
      <c r="A5901" t="s">
        <v>7206</v>
      </c>
      <c r="B5901" t="s">
        <v>8188</v>
      </c>
      <c r="C5901" s="1">
        <v>45665</v>
      </c>
    </row>
    <row r="5902" spans="1:3" x14ac:dyDescent="0.25">
      <c r="A5902" t="s">
        <v>7207</v>
      </c>
      <c r="B5902" t="s">
        <v>8188</v>
      </c>
      <c r="C5902" s="1">
        <v>45698</v>
      </c>
    </row>
    <row r="5903" spans="1:3" x14ac:dyDescent="0.25">
      <c r="A5903" t="s">
        <v>7208</v>
      </c>
      <c r="B5903" t="s">
        <v>8188</v>
      </c>
      <c r="C5903" s="1">
        <v>45713</v>
      </c>
    </row>
    <row r="5904" spans="1:3" x14ac:dyDescent="0.25">
      <c r="A5904" t="s">
        <v>7209</v>
      </c>
      <c r="B5904" t="s">
        <v>8188</v>
      </c>
      <c r="C5904" s="1">
        <v>45669</v>
      </c>
    </row>
    <row r="5905" spans="1:3" x14ac:dyDescent="0.25">
      <c r="A5905" t="s">
        <v>7210</v>
      </c>
      <c r="B5905" t="s">
        <v>8188</v>
      </c>
      <c r="C5905" s="1">
        <v>45623</v>
      </c>
    </row>
    <row r="5906" spans="1:3" x14ac:dyDescent="0.25">
      <c r="A5906" t="s">
        <v>7211</v>
      </c>
      <c r="B5906" t="s">
        <v>8188</v>
      </c>
      <c r="C5906" s="1">
        <v>45735</v>
      </c>
    </row>
    <row r="5907" spans="1:3" x14ac:dyDescent="0.25">
      <c r="A5907" t="s">
        <v>7212</v>
      </c>
      <c r="B5907" t="s">
        <v>8188</v>
      </c>
      <c r="C5907" s="1">
        <v>45616</v>
      </c>
    </row>
    <row r="5908" spans="1:3" x14ac:dyDescent="0.25">
      <c r="A5908" t="s">
        <v>7213</v>
      </c>
      <c r="B5908" t="s">
        <v>8188</v>
      </c>
      <c r="C5908" s="1">
        <v>45667</v>
      </c>
    </row>
    <row r="5909" spans="1:3" x14ac:dyDescent="0.25">
      <c r="A5909" t="s">
        <v>7214</v>
      </c>
      <c r="B5909" t="s">
        <v>8188</v>
      </c>
      <c r="C5909" s="1">
        <v>45692</v>
      </c>
    </row>
    <row r="5910" spans="1:3" x14ac:dyDescent="0.25">
      <c r="A5910" t="s">
        <v>7215</v>
      </c>
      <c r="B5910" t="s">
        <v>8188</v>
      </c>
      <c r="C5910" s="1">
        <v>45662</v>
      </c>
    </row>
    <row r="5911" spans="1:3" x14ac:dyDescent="0.25">
      <c r="A5911" t="s">
        <v>7216</v>
      </c>
      <c r="B5911" t="s">
        <v>39</v>
      </c>
      <c r="C5911" s="1">
        <v>45686</v>
      </c>
    </row>
    <row r="5912" spans="1:3" x14ac:dyDescent="0.25">
      <c r="A5912" t="s">
        <v>7217</v>
      </c>
      <c r="B5912" t="s">
        <v>8188</v>
      </c>
      <c r="C5912" s="1">
        <v>45624</v>
      </c>
    </row>
    <row r="5913" spans="1:3" x14ac:dyDescent="0.25">
      <c r="A5913" t="s">
        <v>7218</v>
      </c>
      <c r="B5913" t="s">
        <v>8188</v>
      </c>
      <c r="C5913" s="1">
        <v>45623</v>
      </c>
    </row>
    <row r="5914" spans="1:3" x14ac:dyDescent="0.25">
      <c r="A5914" t="s">
        <v>7219</v>
      </c>
      <c r="B5914" t="s">
        <v>39</v>
      </c>
      <c r="C5914" s="1"/>
    </row>
    <row r="5915" spans="1:3" x14ac:dyDescent="0.25">
      <c r="A5915" t="s">
        <v>7220</v>
      </c>
      <c r="B5915" t="s">
        <v>8188</v>
      </c>
      <c r="C5915" s="1">
        <v>45662</v>
      </c>
    </row>
    <row r="5916" spans="1:3" x14ac:dyDescent="0.25">
      <c r="A5916" t="s">
        <v>7221</v>
      </c>
      <c r="B5916" t="s">
        <v>8188</v>
      </c>
      <c r="C5916" s="1">
        <v>45626</v>
      </c>
    </row>
    <row r="5917" spans="1:3" x14ac:dyDescent="0.25">
      <c r="A5917" t="s">
        <v>7222</v>
      </c>
      <c r="B5917" t="s">
        <v>8188</v>
      </c>
      <c r="C5917" s="1">
        <v>45665</v>
      </c>
    </row>
    <row r="5918" spans="1:3" x14ac:dyDescent="0.25">
      <c r="A5918" t="s">
        <v>7223</v>
      </c>
      <c r="B5918" t="s">
        <v>8188</v>
      </c>
      <c r="C5918" s="1">
        <v>45628</v>
      </c>
    </row>
    <row r="5919" spans="1:3" x14ac:dyDescent="0.25">
      <c r="A5919" t="s">
        <v>7224</v>
      </c>
      <c r="B5919" t="s">
        <v>8188</v>
      </c>
      <c r="C5919" s="1">
        <v>45623</v>
      </c>
    </row>
    <row r="5920" spans="1:3" x14ac:dyDescent="0.25">
      <c r="A5920" t="s">
        <v>7225</v>
      </c>
      <c r="B5920" t="s">
        <v>8188</v>
      </c>
      <c r="C5920" s="1">
        <v>45639</v>
      </c>
    </row>
    <row r="5921" spans="1:3" x14ac:dyDescent="0.25">
      <c r="A5921" t="s">
        <v>7226</v>
      </c>
      <c r="B5921" t="s">
        <v>8188</v>
      </c>
      <c r="C5921" s="1">
        <v>45660</v>
      </c>
    </row>
    <row r="5922" spans="1:3" x14ac:dyDescent="0.25">
      <c r="A5922" t="s">
        <v>7227</v>
      </c>
      <c r="B5922" t="s">
        <v>39</v>
      </c>
      <c r="C5922" s="1"/>
    </row>
    <row r="5923" spans="1:3" x14ac:dyDescent="0.25">
      <c r="A5923" t="s">
        <v>7228</v>
      </c>
      <c r="B5923" t="s">
        <v>8188</v>
      </c>
      <c r="C5923" s="1">
        <v>45665</v>
      </c>
    </row>
    <row r="5924" spans="1:3" x14ac:dyDescent="0.25">
      <c r="A5924" t="s">
        <v>7229</v>
      </c>
      <c r="B5924" t="s">
        <v>39</v>
      </c>
      <c r="C5924" s="1">
        <v>45686</v>
      </c>
    </row>
    <row r="5925" spans="1:3" x14ac:dyDescent="0.25">
      <c r="A5925" t="s">
        <v>7230</v>
      </c>
      <c r="B5925" t="s">
        <v>8188</v>
      </c>
      <c r="C5925" s="1">
        <v>45662</v>
      </c>
    </row>
    <row r="5926" spans="1:3" x14ac:dyDescent="0.25">
      <c r="A5926" t="s">
        <v>7231</v>
      </c>
      <c r="B5926" t="s">
        <v>8188</v>
      </c>
      <c r="C5926" s="1">
        <v>45665</v>
      </c>
    </row>
    <row r="5927" spans="1:3" x14ac:dyDescent="0.25">
      <c r="A5927" t="s">
        <v>7232</v>
      </c>
      <c r="B5927" t="s">
        <v>8188</v>
      </c>
      <c r="C5927" s="1">
        <v>45694</v>
      </c>
    </row>
    <row r="5928" spans="1:3" x14ac:dyDescent="0.25">
      <c r="A5928" t="s">
        <v>7233</v>
      </c>
      <c r="B5928" t="s">
        <v>8188</v>
      </c>
      <c r="C5928" s="1">
        <v>45681</v>
      </c>
    </row>
    <row r="5929" spans="1:3" x14ac:dyDescent="0.25">
      <c r="A5929" t="s">
        <v>7234</v>
      </c>
      <c r="B5929" t="s">
        <v>8188</v>
      </c>
      <c r="C5929" s="1">
        <v>45701</v>
      </c>
    </row>
    <row r="5930" spans="1:3" x14ac:dyDescent="0.25">
      <c r="A5930" t="s">
        <v>7235</v>
      </c>
      <c r="B5930" t="s">
        <v>8188</v>
      </c>
      <c r="C5930" s="1">
        <v>45665</v>
      </c>
    </row>
    <row r="5931" spans="1:3" x14ac:dyDescent="0.25">
      <c r="A5931" t="s">
        <v>7236</v>
      </c>
      <c r="B5931" t="s">
        <v>8188</v>
      </c>
      <c r="C5931" s="1">
        <v>45622</v>
      </c>
    </row>
    <row r="5932" spans="1:3" x14ac:dyDescent="0.25">
      <c r="A5932" t="s">
        <v>7237</v>
      </c>
      <c r="B5932" t="s">
        <v>8188</v>
      </c>
      <c r="C5932" s="1">
        <v>45665</v>
      </c>
    </row>
    <row r="5933" spans="1:3" x14ac:dyDescent="0.25">
      <c r="A5933" t="s">
        <v>7238</v>
      </c>
      <c r="B5933" t="s">
        <v>8188</v>
      </c>
      <c r="C5933" s="1">
        <v>45660</v>
      </c>
    </row>
    <row r="5934" spans="1:3" x14ac:dyDescent="0.25">
      <c r="A5934" t="s">
        <v>7239</v>
      </c>
      <c r="B5934" t="s">
        <v>8188</v>
      </c>
      <c r="C5934" s="1">
        <v>45654</v>
      </c>
    </row>
    <row r="5935" spans="1:3" x14ac:dyDescent="0.25">
      <c r="A5935" t="s">
        <v>7240</v>
      </c>
      <c r="B5935" t="s">
        <v>8188</v>
      </c>
      <c r="C5935" s="1">
        <v>45631</v>
      </c>
    </row>
    <row r="5936" spans="1:3" x14ac:dyDescent="0.25">
      <c r="A5936" t="s">
        <v>7241</v>
      </c>
      <c r="B5936" t="s">
        <v>8188</v>
      </c>
      <c r="C5936" s="1">
        <v>45666</v>
      </c>
    </row>
    <row r="5937" spans="1:3" x14ac:dyDescent="0.25">
      <c r="A5937" t="s">
        <v>7242</v>
      </c>
      <c r="B5937" t="s">
        <v>8188</v>
      </c>
      <c r="C5937" s="1">
        <v>45632</v>
      </c>
    </row>
    <row r="5938" spans="1:3" x14ac:dyDescent="0.25">
      <c r="A5938" t="s">
        <v>7242</v>
      </c>
      <c r="B5938" t="s">
        <v>8188</v>
      </c>
      <c r="C5938" s="1">
        <v>45632</v>
      </c>
    </row>
    <row r="5939" spans="1:3" x14ac:dyDescent="0.25">
      <c r="A5939" t="s">
        <v>7243</v>
      </c>
      <c r="B5939" t="s">
        <v>8188</v>
      </c>
      <c r="C5939" s="1">
        <v>45694</v>
      </c>
    </row>
    <row r="5940" spans="1:3" x14ac:dyDescent="0.25">
      <c r="A5940" t="s">
        <v>7244</v>
      </c>
      <c r="B5940" t="s">
        <v>8188</v>
      </c>
      <c r="C5940" s="1">
        <v>45647</v>
      </c>
    </row>
    <row r="5941" spans="1:3" x14ac:dyDescent="0.25">
      <c r="A5941" t="s">
        <v>7245</v>
      </c>
      <c r="B5941" t="s">
        <v>8188</v>
      </c>
      <c r="C5941" s="1">
        <v>45622</v>
      </c>
    </row>
    <row r="5942" spans="1:3" x14ac:dyDescent="0.25">
      <c r="A5942" t="s">
        <v>7246</v>
      </c>
      <c r="B5942" t="s">
        <v>8188</v>
      </c>
      <c r="C5942" s="1">
        <v>45700</v>
      </c>
    </row>
    <row r="5943" spans="1:3" x14ac:dyDescent="0.25">
      <c r="A5943" t="s">
        <v>7247</v>
      </c>
      <c r="B5943" t="s">
        <v>8188</v>
      </c>
      <c r="C5943" s="1">
        <v>45667</v>
      </c>
    </row>
    <row r="5944" spans="1:3" x14ac:dyDescent="0.25">
      <c r="A5944" t="s">
        <v>7248</v>
      </c>
      <c r="B5944" t="s">
        <v>8188</v>
      </c>
      <c r="C5944" s="1">
        <v>45626</v>
      </c>
    </row>
    <row r="5945" spans="1:3" x14ac:dyDescent="0.25">
      <c r="A5945" t="s">
        <v>7249</v>
      </c>
      <c r="B5945" t="s">
        <v>8188</v>
      </c>
      <c r="C5945" s="1">
        <v>45660</v>
      </c>
    </row>
    <row r="5946" spans="1:3" x14ac:dyDescent="0.25">
      <c r="A5946" t="s">
        <v>7250</v>
      </c>
      <c r="B5946" t="s">
        <v>8188</v>
      </c>
      <c r="C5946" s="1">
        <v>45666</v>
      </c>
    </row>
    <row r="5947" spans="1:3" x14ac:dyDescent="0.25">
      <c r="A5947" t="s">
        <v>7251</v>
      </c>
      <c r="B5947" t="s">
        <v>8188</v>
      </c>
      <c r="C5947" s="1">
        <v>45692</v>
      </c>
    </row>
    <row r="5948" spans="1:3" x14ac:dyDescent="0.25">
      <c r="A5948" t="s">
        <v>7251</v>
      </c>
      <c r="B5948" t="s">
        <v>8188</v>
      </c>
      <c r="C5948" s="1">
        <v>45692</v>
      </c>
    </row>
    <row r="5949" spans="1:3" x14ac:dyDescent="0.25">
      <c r="A5949" t="s">
        <v>7252</v>
      </c>
      <c r="B5949" t="s">
        <v>8188</v>
      </c>
      <c r="C5949" s="1">
        <v>45692</v>
      </c>
    </row>
    <row r="5950" spans="1:3" x14ac:dyDescent="0.25">
      <c r="A5950" t="s">
        <v>7252</v>
      </c>
      <c r="B5950" t="s">
        <v>8188</v>
      </c>
      <c r="C5950" s="1">
        <v>45713</v>
      </c>
    </row>
    <row r="5951" spans="1:3" x14ac:dyDescent="0.25">
      <c r="A5951" t="s">
        <v>7252</v>
      </c>
      <c r="B5951" t="s">
        <v>8188</v>
      </c>
      <c r="C5951" s="1">
        <v>45694</v>
      </c>
    </row>
    <row r="5952" spans="1:3" x14ac:dyDescent="0.25">
      <c r="A5952" t="s">
        <v>7253</v>
      </c>
      <c r="B5952" t="s">
        <v>8188</v>
      </c>
      <c r="C5952" s="1">
        <v>45660</v>
      </c>
    </row>
    <row r="5953" spans="1:3" x14ac:dyDescent="0.25">
      <c r="A5953" t="s">
        <v>7254</v>
      </c>
      <c r="B5953" t="s">
        <v>8188</v>
      </c>
      <c r="C5953" s="1">
        <v>45707</v>
      </c>
    </row>
    <row r="5954" spans="1:3" x14ac:dyDescent="0.25">
      <c r="A5954" t="s">
        <v>7255</v>
      </c>
      <c r="B5954" t="s">
        <v>8188</v>
      </c>
      <c r="C5954" s="1">
        <v>45650</v>
      </c>
    </row>
    <row r="5955" spans="1:3" x14ac:dyDescent="0.25">
      <c r="A5955" t="s">
        <v>7256</v>
      </c>
      <c r="B5955" t="s">
        <v>8188</v>
      </c>
      <c r="C5955" s="1">
        <v>45692</v>
      </c>
    </row>
    <row r="5956" spans="1:3" x14ac:dyDescent="0.25">
      <c r="A5956" t="s">
        <v>7257</v>
      </c>
      <c r="B5956" t="s">
        <v>8188</v>
      </c>
      <c r="C5956" s="1">
        <v>45622</v>
      </c>
    </row>
    <row r="5957" spans="1:3" x14ac:dyDescent="0.25">
      <c r="A5957" t="s">
        <v>7258</v>
      </c>
      <c r="B5957" t="s">
        <v>39</v>
      </c>
      <c r="C5957" s="1"/>
    </row>
    <row r="5958" spans="1:3" x14ac:dyDescent="0.25">
      <c r="A5958" t="s">
        <v>7259</v>
      </c>
      <c r="B5958" t="s">
        <v>8188</v>
      </c>
      <c r="C5958" s="1">
        <v>45692</v>
      </c>
    </row>
    <row r="5959" spans="1:3" x14ac:dyDescent="0.25">
      <c r="A5959" t="s">
        <v>7260</v>
      </c>
      <c r="B5959" t="s">
        <v>8188</v>
      </c>
      <c r="C5959" s="1">
        <v>45635</v>
      </c>
    </row>
    <row r="5960" spans="1:3" x14ac:dyDescent="0.25">
      <c r="A5960" t="s">
        <v>7261</v>
      </c>
      <c r="B5960" t="s">
        <v>8188</v>
      </c>
      <c r="C5960" s="1">
        <v>45622</v>
      </c>
    </row>
    <row r="5961" spans="1:3" x14ac:dyDescent="0.25">
      <c r="A5961" t="s">
        <v>7262</v>
      </c>
      <c r="B5961" t="s">
        <v>8188</v>
      </c>
      <c r="C5961" s="1">
        <v>45662</v>
      </c>
    </row>
    <row r="5962" spans="1:3" x14ac:dyDescent="0.25">
      <c r="A5962" t="s">
        <v>7263</v>
      </c>
      <c r="B5962" t="s">
        <v>8188</v>
      </c>
      <c r="C5962" s="1">
        <v>45668</v>
      </c>
    </row>
    <row r="5963" spans="1:3" x14ac:dyDescent="0.25">
      <c r="A5963" t="s">
        <v>7263</v>
      </c>
      <c r="B5963" t="s">
        <v>8188</v>
      </c>
      <c r="C5963" s="1">
        <v>45668</v>
      </c>
    </row>
    <row r="5964" spans="1:3" x14ac:dyDescent="0.25">
      <c r="A5964" t="s">
        <v>7264</v>
      </c>
      <c r="B5964" t="s">
        <v>8188</v>
      </c>
      <c r="C5964" s="1">
        <v>45692</v>
      </c>
    </row>
    <row r="5965" spans="1:3" x14ac:dyDescent="0.25">
      <c r="A5965" t="s">
        <v>7265</v>
      </c>
      <c r="B5965" t="s">
        <v>8188</v>
      </c>
      <c r="C5965" s="1">
        <v>45839</v>
      </c>
    </row>
    <row r="5966" spans="1:3" x14ac:dyDescent="0.25">
      <c r="A5966" t="s">
        <v>7266</v>
      </c>
      <c r="B5966" t="s">
        <v>8188</v>
      </c>
      <c r="C5966" s="1">
        <v>45660</v>
      </c>
    </row>
    <row r="5967" spans="1:3" x14ac:dyDescent="0.25">
      <c r="A5967" t="s">
        <v>7267</v>
      </c>
      <c r="B5967" t="s">
        <v>8188</v>
      </c>
      <c r="C5967" s="1">
        <v>45663</v>
      </c>
    </row>
    <row r="5968" spans="1:3" x14ac:dyDescent="0.25">
      <c r="A5968" t="s">
        <v>7268</v>
      </c>
      <c r="B5968" t="s">
        <v>39</v>
      </c>
      <c r="C5968" s="1">
        <v>45686</v>
      </c>
    </row>
    <row r="5969" spans="1:3" x14ac:dyDescent="0.25">
      <c r="A5969" t="s">
        <v>7269</v>
      </c>
      <c r="B5969" t="s">
        <v>8188</v>
      </c>
      <c r="C5969" s="1">
        <v>45669</v>
      </c>
    </row>
    <row r="5970" spans="1:3" x14ac:dyDescent="0.25">
      <c r="A5970" t="s">
        <v>7270</v>
      </c>
      <c r="B5970" t="s">
        <v>8188</v>
      </c>
      <c r="C5970" s="1">
        <v>45660</v>
      </c>
    </row>
    <row r="5971" spans="1:3" x14ac:dyDescent="0.25">
      <c r="A5971" t="s">
        <v>7271</v>
      </c>
      <c r="B5971" t="s">
        <v>8188</v>
      </c>
      <c r="C5971" s="1">
        <v>45719</v>
      </c>
    </row>
    <row r="5972" spans="1:3" x14ac:dyDescent="0.25">
      <c r="A5972" t="s">
        <v>7271</v>
      </c>
      <c r="B5972" t="s">
        <v>8188</v>
      </c>
      <c r="C5972" s="1">
        <v>45680</v>
      </c>
    </row>
    <row r="5973" spans="1:3" x14ac:dyDescent="0.25">
      <c r="A5973" t="s">
        <v>7272</v>
      </c>
      <c r="B5973" t="s">
        <v>8188</v>
      </c>
      <c r="C5973" s="1">
        <v>45665</v>
      </c>
    </row>
    <row r="5974" spans="1:3" x14ac:dyDescent="0.25">
      <c r="A5974" t="s">
        <v>7273</v>
      </c>
      <c r="B5974" t="s">
        <v>8188</v>
      </c>
      <c r="C5974" s="1">
        <v>45635</v>
      </c>
    </row>
    <row r="5975" spans="1:3" x14ac:dyDescent="0.25">
      <c r="A5975" t="s">
        <v>7274</v>
      </c>
      <c r="B5975" t="s">
        <v>8188</v>
      </c>
      <c r="C5975" s="1">
        <v>45954</v>
      </c>
    </row>
    <row r="5976" spans="1:3" x14ac:dyDescent="0.25">
      <c r="A5976" t="s">
        <v>5747</v>
      </c>
      <c r="B5976" t="s">
        <v>8188</v>
      </c>
      <c r="C5976" s="1">
        <v>45668</v>
      </c>
    </row>
    <row r="5977" spans="1:3" x14ac:dyDescent="0.25">
      <c r="A5977" t="s">
        <v>7275</v>
      </c>
      <c r="B5977" t="s">
        <v>8188</v>
      </c>
      <c r="C5977" s="1">
        <v>45666</v>
      </c>
    </row>
    <row r="5978" spans="1:3" x14ac:dyDescent="0.25">
      <c r="A5978" t="s">
        <v>7276</v>
      </c>
      <c r="B5978" t="s">
        <v>8188</v>
      </c>
      <c r="C5978" s="1">
        <v>45742</v>
      </c>
    </row>
    <row r="5979" spans="1:3" x14ac:dyDescent="0.25">
      <c r="A5979" t="s">
        <v>7277</v>
      </c>
      <c r="B5979" t="s">
        <v>8188</v>
      </c>
      <c r="C5979" s="1">
        <v>45737</v>
      </c>
    </row>
    <row r="5980" spans="1:3" x14ac:dyDescent="0.25">
      <c r="A5980" t="s">
        <v>7278</v>
      </c>
      <c r="B5980" t="s">
        <v>8188</v>
      </c>
      <c r="C5980" s="1">
        <v>45626</v>
      </c>
    </row>
    <row r="5981" spans="1:3" x14ac:dyDescent="0.25">
      <c r="A5981" t="s">
        <v>7278</v>
      </c>
      <c r="B5981" t="s">
        <v>8188</v>
      </c>
      <c r="C5981" s="1">
        <v>45628</v>
      </c>
    </row>
    <row r="5982" spans="1:3" x14ac:dyDescent="0.25">
      <c r="A5982" t="s">
        <v>7279</v>
      </c>
      <c r="B5982" t="s">
        <v>8188</v>
      </c>
      <c r="C5982" s="1">
        <v>45698</v>
      </c>
    </row>
    <row r="5983" spans="1:3" x14ac:dyDescent="0.25">
      <c r="A5983" t="s">
        <v>7280</v>
      </c>
      <c r="B5983" t="s">
        <v>8188</v>
      </c>
      <c r="C5983" s="1">
        <v>45622</v>
      </c>
    </row>
    <row r="5984" spans="1:3" x14ac:dyDescent="0.25">
      <c r="A5984" t="s">
        <v>7281</v>
      </c>
      <c r="B5984" t="s">
        <v>8188</v>
      </c>
      <c r="C5984" s="1">
        <v>45737</v>
      </c>
    </row>
    <row r="5985" spans="1:3" x14ac:dyDescent="0.25">
      <c r="A5985" t="s">
        <v>7282</v>
      </c>
      <c r="B5985" t="s">
        <v>8188</v>
      </c>
      <c r="C5985" s="1">
        <v>45665</v>
      </c>
    </row>
    <row r="5986" spans="1:3" x14ac:dyDescent="0.25">
      <c r="A5986" t="s">
        <v>7283</v>
      </c>
      <c r="B5986" t="s">
        <v>8188</v>
      </c>
      <c r="C5986" s="1">
        <v>45668</v>
      </c>
    </row>
    <row r="5987" spans="1:3" x14ac:dyDescent="0.25">
      <c r="A5987" t="s">
        <v>7284</v>
      </c>
      <c r="B5987" t="s">
        <v>8188</v>
      </c>
      <c r="C5987" s="1">
        <v>45665</v>
      </c>
    </row>
    <row r="5988" spans="1:3" x14ac:dyDescent="0.25">
      <c r="A5988" t="s">
        <v>7285</v>
      </c>
      <c r="B5988" t="s">
        <v>8188</v>
      </c>
      <c r="C5988" s="1">
        <v>45698</v>
      </c>
    </row>
    <row r="5989" spans="1:3" x14ac:dyDescent="0.25">
      <c r="A5989" t="s">
        <v>7286</v>
      </c>
      <c r="B5989" t="s">
        <v>8188</v>
      </c>
      <c r="C5989" s="1">
        <v>45659</v>
      </c>
    </row>
    <row r="5990" spans="1:3" x14ac:dyDescent="0.25">
      <c r="A5990" t="s">
        <v>7287</v>
      </c>
      <c r="B5990" t="s">
        <v>8188</v>
      </c>
      <c r="C5990" s="1">
        <v>45692</v>
      </c>
    </row>
    <row r="5991" spans="1:3" x14ac:dyDescent="0.25">
      <c r="A5991" t="s">
        <v>7288</v>
      </c>
      <c r="B5991" t="s">
        <v>8188</v>
      </c>
      <c r="C5991" s="1">
        <v>45626</v>
      </c>
    </row>
    <row r="5992" spans="1:3" x14ac:dyDescent="0.25">
      <c r="A5992" t="s">
        <v>7289</v>
      </c>
      <c r="B5992" t="s">
        <v>8188</v>
      </c>
      <c r="C5992" s="1">
        <v>45662</v>
      </c>
    </row>
    <row r="5993" spans="1:3" x14ac:dyDescent="0.25">
      <c r="A5993" t="s">
        <v>7289</v>
      </c>
      <c r="B5993" t="s">
        <v>8188</v>
      </c>
      <c r="C5993" s="1">
        <v>45662</v>
      </c>
    </row>
    <row r="5994" spans="1:3" x14ac:dyDescent="0.25">
      <c r="A5994" t="s">
        <v>7290</v>
      </c>
      <c r="B5994" t="s">
        <v>8188</v>
      </c>
      <c r="C5994" s="1">
        <v>45666</v>
      </c>
    </row>
    <row r="5995" spans="1:3" x14ac:dyDescent="0.25">
      <c r="A5995" t="s">
        <v>7291</v>
      </c>
      <c r="B5995" t="s">
        <v>8188</v>
      </c>
      <c r="C5995" s="1">
        <v>45737</v>
      </c>
    </row>
    <row r="5996" spans="1:3" x14ac:dyDescent="0.25">
      <c r="A5996" t="s">
        <v>7292</v>
      </c>
      <c r="B5996" t="s">
        <v>8188</v>
      </c>
      <c r="C5996" s="1">
        <v>45635</v>
      </c>
    </row>
    <row r="5997" spans="1:3" x14ac:dyDescent="0.25">
      <c r="A5997" t="s">
        <v>7293</v>
      </c>
      <c r="B5997" t="s">
        <v>8188</v>
      </c>
      <c r="C5997" s="1">
        <v>45666</v>
      </c>
    </row>
    <row r="5998" spans="1:3" x14ac:dyDescent="0.25">
      <c r="A5998" t="s">
        <v>7294</v>
      </c>
      <c r="B5998" t="s">
        <v>8188</v>
      </c>
      <c r="C5998" s="1">
        <v>45666</v>
      </c>
    </row>
    <row r="5999" spans="1:3" x14ac:dyDescent="0.25">
      <c r="A5999" t="s">
        <v>7295</v>
      </c>
      <c r="B5999" t="s">
        <v>8188</v>
      </c>
      <c r="C5999" s="1">
        <v>45637</v>
      </c>
    </row>
    <row r="6000" spans="1:3" x14ac:dyDescent="0.25">
      <c r="A6000" t="s">
        <v>7296</v>
      </c>
      <c r="B6000" t="s">
        <v>8188</v>
      </c>
      <c r="C6000" s="1">
        <v>45643</v>
      </c>
    </row>
    <row r="6001" spans="1:3" x14ac:dyDescent="0.25">
      <c r="A6001" t="s">
        <v>7297</v>
      </c>
      <c r="B6001" t="s">
        <v>8188</v>
      </c>
      <c r="C6001" s="1">
        <v>45665</v>
      </c>
    </row>
    <row r="6002" spans="1:3" x14ac:dyDescent="0.25">
      <c r="A6002" t="s">
        <v>7298</v>
      </c>
      <c r="B6002" t="s">
        <v>8188</v>
      </c>
      <c r="C6002" s="1">
        <v>45668</v>
      </c>
    </row>
    <row r="6003" spans="1:3" x14ac:dyDescent="0.25">
      <c r="A6003" t="s">
        <v>7299</v>
      </c>
      <c r="B6003" t="s">
        <v>8188</v>
      </c>
      <c r="C6003" s="1">
        <v>45630</v>
      </c>
    </row>
    <row r="6004" spans="1:3" x14ac:dyDescent="0.25">
      <c r="A6004" t="s">
        <v>7299</v>
      </c>
      <c r="B6004" t="s">
        <v>8188</v>
      </c>
      <c r="C6004" s="1">
        <v>45630</v>
      </c>
    </row>
    <row r="6005" spans="1:3" x14ac:dyDescent="0.25">
      <c r="A6005" t="s">
        <v>7300</v>
      </c>
      <c r="B6005" t="s">
        <v>8188</v>
      </c>
      <c r="C6005" s="1">
        <v>45666</v>
      </c>
    </row>
    <row r="6006" spans="1:3" x14ac:dyDescent="0.25">
      <c r="A6006" t="s">
        <v>7301</v>
      </c>
      <c r="B6006" t="s">
        <v>8188</v>
      </c>
      <c r="C6006" s="1">
        <v>45673</v>
      </c>
    </row>
    <row r="6007" spans="1:3" x14ac:dyDescent="0.25">
      <c r="A6007" t="s">
        <v>7302</v>
      </c>
      <c r="B6007" t="s">
        <v>8188</v>
      </c>
      <c r="C6007" s="1">
        <v>45623</v>
      </c>
    </row>
    <row r="6008" spans="1:3" x14ac:dyDescent="0.25">
      <c r="A6008" t="s">
        <v>7303</v>
      </c>
      <c r="B6008" t="s">
        <v>8188</v>
      </c>
      <c r="C6008" s="1">
        <v>45698</v>
      </c>
    </row>
    <row r="6009" spans="1:3" x14ac:dyDescent="0.25">
      <c r="A6009" t="s">
        <v>7304</v>
      </c>
      <c r="B6009" t="s">
        <v>8188</v>
      </c>
      <c r="C6009" s="1">
        <v>45666</v>
      </c>
    </row>
    <row r="6010" spans="1:3" x14ac:dyDescent="0.25">
      <c r="A6010" t="s">
        <v>7305</v>
      </c>
      <c r="B6010" t="s">
        <v>8188</v>
      </c>
      <c r="C6010" s="1">
        <v>45668</v>
      </c>
    </row>
    <row r="6011" spans="1:3" x14ac:dyDescent="0.25">
      <c r="A6011" t="s">
        <v>7306</v>
      </c>
      <c r="B6011" t="s">
        <v>8188</v>
      </c>
      <c r="C6011" s="1">
        <v>45666</v>
      </c>
    </row>
    <row r="6012" spans="1:3" x14ac:dyDescent="0.25">
      <c r="A6012" t="s">
        <v>7307</v>
      </c>
      <c r="B6012" t="s">
        <v>8188</v>
      </c>
      <c r="C6012" s="1">
        <v>45665</v>
      </c>
    </row>
    <row r="6013" spans="1:3" x14ac:dyDescent="0.25">
      <c r="A6013" t="s">
        <v>7308</v>
      </c>
      <c r="B6013" t="s">
        <v>8188</v>
      </c>
      <c r="C6013" s="1">
        <v>45666</v>
      </c>
    </row>
    <row r="6014" spans="1:3" x14ac:dyDescent="0.25">
      <c r="A6014" t="s">
        <v>7309</v>
      </c>
      <c r="B6014" t="s">
        <v>39</v>
      </c>
      <c r="C6014" s="1">
        <v>45686</v>
      </c>
    </row>
    <row r="6015" spans="1:3" x14ac:dyDescent="0.25">
      <c r="A6015" t="s">
        <v>7310</v>
      </c>
      <c r="B6015" t="s">
        <v>8188</v>
      </c>
      <c r="C6015" s="1">
        <v>45692</v>
      </c>
    </row>
    <row r="6016" spans="1:3" x14ac:dyDescent="0.25">
      <c r="A6016" t="s">
        <v>7311</v>
      </c>
      <c r="B6016" t="s">
        <v>8188</v>
      </c>
      <c r="C6016" s="1">
        <v>45673</v>
      </c>
    </row>
    <row r="6017" spans="1:3" x14ac:dyDescent="0.25">
      <c r="A6017" t="s">
        <v>7312</v>
      </c>
      <c r="B6017" t="s">
        <v>8188</v>
      </c>
      <c r="C6017" s="1">
        <v>45685</v>
      </c>
    </row>
    <row r="6018" spans="1:3" x14ac:dyDescent="0.25">
      <c r="A6018" t="s">
        <v>7313</v>
      </c>
      <c r="B6018" t="s">
        <v>39</v>
      </c>
      <c r="C6018" s="1">
        <v>45686</v>
      </c>
    </row>
    <row r="6019" spans="1:3" x14ac:dyDescent="0.25">
      <c r="A6019" t="s">
        <v>7314</v>
      </c>
      <c r="B6019" t="s">
        <v>8188</v>
      </c>
      <c r="C6019" s="1">
        <v>45692</v>
      </c>
    </row>
    <row r="6020" spans="1:3" x14ac:dyDescent="0.25">
      <c r="A6020" t="s">
        <v>7315</v>
      </c>
      <c r="B6020" t="s">
        <v>8188</v>
      </c>
      <c r="C6020" s="1">
        <v>45657</v>
      </c>
    </row>
    <row r="6021" spans="1:3" x14ac:dyDescent="0.25">
      <c r="A6021" t="s">
        <v>7316</v>
      </c>
      <c r="B6021" t="s">
        <v>8188</v>
      </c>
      <c r="C6021" s="1">
        <v>45665</v>
      </c>
    </row>
    <row r="6022" spans="1:3" x14ac:dyDescent="0.25">
      <c r="A6022" t="s">
        <v>7317</v>
      </c>
      <c r="B6022" t="s">
        <v>8188</v>
      </c>
      <c r="C6022" s="1">
        <v>45742</v>
      </c>
    </row>
    <row r="6023" spans="1:3" x14ac:dyDescent="0.25">
      <c r="A6023" t="s">
        <v>7318</v>
      </c>
      <c r="B6023" t="s">
        <v>8188</v>
      </c>
      <c r="C6023" s="1">
        <v>45665</v>
      </c>
    </row>
    <row r="6024" spans="1:3" x14ac:dyDescent="0.25">
      <c r="A6024" t="s">
        <v>7319</v>
      </c>
      <c r="B6024" t="s">
        <v>8188</v>
      </c>
      <c r="C6024" s="1">
        <v>45626</v>
      </c>
    </row>
    <row r="6025" spans="1:3" x14ac:dyDescent="0.25">
      <c r="A6025" t="s">
        <v>7320</v>
      </c>
      <c r="B6025" t="s">
        <v>8188</v>
      </c>
      <c r="C6025" s="1">
        <v>45746</v>
      </c>
    </row>
    <row r="6026" spans="1:3" x14ac:dyDescent="0.25">
      <c r="A6026" t="s">
        <v>7321</v>
      </c>
      <c r="B6026" t="s">
        <v>8188</v>
      </c>
      <c r="C6026" s="1">
        <v>45667</v>
      </c>
    </row>
    <row r="6027" spans="1:3" x14ac:dyDescent="0.25">
      <c r="A6027" t="s">
        <v>7322</v>
      </c>
      <c r="B6027" t="s">
        <v>8188</v>
      </c>
      <c r="C6027" s="1">
        <v>45643</v>
      </c>
    </row>
    <row r="6028" spans="1:3" x14ac:dyDescent="0.25">
      <c r="A6028" t="s">
        <v>7323</v>
      </c>
      <c r="B6028" t="s">
        <v>8188</v>
      </c>
      <c r="C6028" s="1">
        <v>45630</v>
      </c>
    </row>
    <row r="6029" spans="1:3" x14ac:dyDescent="0.25">
      <c r="A6029" t="s">
        <v>7324</v>
      </c>
      <c r="B6029" t="s">
        <v>8188</v>
      </c>
      <c r="C6029" s="1">
        <v>45629</v>
      </c>
    </row>
    <row r="6030" spans="1:3" x14ac:dyDescent="0.25">
      <c r="A6030" t="s">
        <v>7324</v>
      </c>
      <c r="B6030" t="s">
        <v>8188</v>
      </c>
      <c r="C6030" s="1">
        <v>45630</v>
      </c>
    </row>
    <row r="6031" spans="1:3" x14ac:dyDescent="0.25">
      <c r="A6031" t="s">
        <v>7324</v>
      </c>
      <c r="B6031" t="s">
        <v>8188</v>
      </c>
      <c r="C6031" s="1">
        <v>45636</v>
      </c>
    </row>
    <row r="6032" spans="1:3" x14ac:dyDescent="0.25">
      <c r="A6032" t="s">
        <v>7325</v>
      </c>
      <c r="B6032" t="s">
        <v>8188</v>
      </c>
      <c r="C6032" s="1">
        <v>45667</v>
      </c>
    </row>
    <row r="6033" spans="1:3" x14ac:dyDescent="0.25">
      <c r="A6033" t="s">
        <v>7326</v>
      </c>
      <c r="B6033" t="s">
        <v>8188</v>
      </c>
      <c r="C6033" s="1">
        <v>45629</v>
      </c>
    </row>
    <row r="6034" spans="1:3" x14ac:dyDescent="0.25">
      <c r="A6034" t="s">
        <v>7327</v>
      </c>
      <c r="B6034" t="s">
        <v>8188</v>
      </c>
      <c r="C6034" s="1">
        <v>45692</v>
      </c>
    </row>
    <row r="6035" spans="1:3" x14ac:dyDescent="0.25">
      <c r="A6035" t="s">
        <v>7328</v>
      </c>
      <c r="B6035" t="s">
        <v>8188</v>
      </c>
      <c r="C6035" s="1">
        <v>45829</v>
      </c>
    </row>
    <row r="6036" spans="1:3" x14ac:dyDescent="0.25">
      <c r="A6036" t="s">
        <v>7329</v>
      </c>
      <c r="B6036" t="s">
        <v>8188</v>
      </c>
      <c r="C6036" s="1">
        <v>45692</v>
      </c>
    </row>
    <row r="6037" spans="1:3" x14ac:dyDescent="0.25">
      <c r="A6037" t="s">
        <v>7329</v>
      </c>
      <c r="B6037" t="s">
        <v>8188</v>
      </c>
      <c r="C6037" s="1">
        <v>45692</v>
      </c>
    </row>
    <row r="6038" spans="1:3" x14ac:dyDescent="0.25">
      <c r="A6038" t="s">
        <v>7330</v>
      </c>
      <c r="B6038" t="s">
        <v>8188</v>
      </c>
      <c r="C6038" s="1">
        <v>45666</v>
      </c>
    </row>
    <row r="6039" spans="1:3" x14ac:dyDescent="0.25">
      <c r="A6039" t="s">
        <v>7331</v>
      </c>
      <c r="B6039" t="s">
        <v>8188</v>
      </c>
      <c r="C6039" s="1">
        <v>45628</v>
      </c>
    </row>
    <row r="6040" spans="1:3" x14ac:dyDescent="0.25">
      <c r="A6040" t="s">
        <v>7332</v>
      </c>
      <c r="B6040" t="s">
        <v>8188</v>
      </c>
      <c r="C6040" s="1">
        <v>45657</v>
      </c>
    </row>
    <row r="6041" spans="1:3" x14ac:dyDescent="0.25">
      <c r="A6041" t="s">
        <v>7333</v>
      </c>
      <c r="B6041" t="s">
        <v>8188</v>
      </c>
      <c r="C6041" s="1">
        <v>45692</v>
      </c>
    </row>
    <row r="6042" spans="1:3" x14ac:dyDescent="0.25">
      <c r="A6042" t="s">
        <v>7333</v>
      </c>
      <c r="B6042" t="s">
        <v>8188</v>
      </c>
      <c r="C6042" s="1">
        <v>45673</v>
      </c>
    </row>
    <row r="6043" spans="1:3" x14ac:dyDescent="0.25">
      <c r="A6043" t="s">
        <v>7334</v>
      </c>
      <c r="B6043" t="s">
        <v>8188</v>
      </c>
      <c r="C6043" s="1">
        <v>45666</v>
      </c>
    </row>
    <row r="6044" spans="1:3" x14ac:dyDescent="0.25">
      <c r="A6044" t="s">
        <v>7335</v>
      </c>
      <c r="B6044" t="s">
        <v>8188</v>
      </c>
      <c r="C6044" s="1">
        <v>45678</v>
      </c>
    </row>
    <row r="6045" spans="1:3" x14ac:dyDescent="0.25">
      <c r="A6045" t="s">
        <v>7336</v>
      </c>
      <c r="B6045" t="s">
        <v>8188</v>
      </c>
      <c r="C6045" s="1">
        <v>45692</v>
      </c>
    </row>
    <row r="6046" spans="1:3" x14ac:dyDescent="0.25">
      <c r="A6046" t="s">
        <v>7337</v>
      </c>
      <c r="B6046" t="s">
        <v>8188</v>
      </c>
      <c r="C6046" s="1">
        <v>45654</v>
      </c>
    </row>
    <row r="6047" spans="1:3" x14ac:dyDescent="0.25">
      <c r="A6047" t="s">
        <v>7338</v>
      </c>
      <c r="B6047" t="s">
        <v>8188</v>
      </c>
      <c r="C6047" s="1">
        <v>45752</v>
      </c>
    </row>
    <row r="6048" spans="1:3" x14ac:dyDescent="0.25">
      <c r="A6048" t="s">
        <v>7338</v>
      </c>
      <c r="B6048" t="s">
        <v>8188</v>
      </c>
      <c r="C6048" s="1">
        <v>45772</v>
      </c>
    </row>
    <row r="6049" spans="1:3" x14ac:dyDescent="0.25">
      <c r="A6049" t="s">
        <v>7339</v>
      </c>
      <c r="B6049" t="s">
        <v>8188</v>
      </c>
      <c r="C6049" s="1">
        <v>45654</v>
      </c>
    </row>
    <row r="6050" spans="1:3" x14ac:dyDescent="0.25">
      <c r="A6050" t="s">
        <v>7340</v>
      </c>
      <c r="B6050" t="s">
        <v>8188</v>
      </c>
      <c r="C6050" s="1">
        <v>45666</v>
      </c>
    </row>
    <row r="6051" spans="1:3" x14ac:dyDescent="0.25">
      <c r="A6051" t="s">
        <v>7341</v>
      </c>
      <c r="B6051" t="s">
        <v>8188</v>
      </c>
      <c r="C6051" s="1">
        <v>45791</v>
      </c>
    </row>
    <row r="6052" spans="1:3" x14ac:dyDescent="0.25">
      <c r="A6052" t="s">
        <v>7341</v>
      </c>
      <c r="B6052" t="s">
        <v>8188</v>
      </c>
      <c r="C6052" s="1">
        <v>45836</v>
      </c>
    </row>
    <row r="6053" spans="1:3" x14ac:dyDescent="0.25">
      <c r="A6053" t="s">
        <v>7342</v>
      </c>
      <c r="B6053" t="s">
        <v>8188</v>
      </c>
      <c r="C6053" s="1">
        <v>45675</v>
      </c>
    </row>
    <row r="6054" spans="1:3" x14ac:dyDescent="0.25">
      <c r="A6054" t="s">
        <v>7342</v>
      </c>
      <c r="B6054" t="s">
        <v>8188</v>
      </c>
      <c r="C6054" s="1">
        <v>45839</v>
      </c>
    </row>
    <row r="6055" spans="1:3" x14ac:dyDescent="0.25">
      <c r="A6055" t="s">
        <v>7343</v>
      </c>
      <c r="B6055" t="s">
        <v>8188</v>
      </c>
      <c r="C6055" s="1">
        <v>45709</v>
      </c>
    </row>
    <row r="6056" spans="1:3" x14ac:dyDescent="0.25">
      <c r="A6056" t="s">
        <v>7344</v>
      </c>
      <c r="B6056" t="s">
        <v>8188</v>
      </c>
      <c r="C6056" s="1">
        <v>45669</v>
      </c>
    </row>
    <row r="6057" spans="1:3" x14ac:dyDescent="0.25">
      <c r="A6057" t="s">
        <v>7345</v>
      </c>
      <c r="B6057" t="s">
        <v>8188</v>
      </c>
      <c r="C6057" s="1">
        <v>45629</v>
      </c>
    </row>
    <row r="6058" spans="1:3" x14ac:dyDescent="0.25">
      <c r="A6058" t="s">
        <v>7346</v>
      </c>
      <c r="B6058" t="s">
        <v>8188</v>
      </c>
      <c r="C6058" s="1">
        <v>45685</v>
      </c>
    </row>
    <row r="6059" spans="1:3" x14ac:dyDescent="0.25">
      <c r="A6059" t="s">
        <v>7347</v>
      </c>
      <c r="B6059" t="s">
        <v>8188</v>
      </c>
      <c r="C6059" s="1">
        <v>45684</v>
      </c>
    </row>
    <row r="6060" spans="1:3" x14ac:dyDescent="0.25">
      <c r="A6060" t="s">
        <v>7348</v>
      </c>
      <c r="B6060" t="s">
        <v>8188</v>
      </c>
      <c r="C6060" s="1">
        <v>45860</v>
      </c>
    </row>
    <row r="6061" spans="1:3" x14ac:dyDescent="0.25">
      <c r="A6061" t="s">
        <v>7349</v>
      </c>
      <c r="B6061" t="s">
        <v>8188</v>
      </c>
      <c r="C6061" s="1">
        <v>45667</v>
      </c>
    </row>
    <row r="6062" spans="1:3" x14ac:dyDescent="0.25">
      <c r="A6062" t="s">
        <v>7350</v>
      </c>
      <c r="B6062" t="s">
        <v>8188</v>
      </c>
      <c r="C6062" s="1">
        <v>45765</v>
      </c>
    </row>
    <row r="6063" spans="1:3" x14ac:dyDescent="0.25">
      <c r="A6063" t="s">
        <v>7351</v>
      </c>
      <c r="B6063" t="s">
        <v>8188</v>
      </c>
      <c r="C6063" s="1">
        <v>45656</v>
      </c>
    </row>
    <row r="6064" spans="1:3" x14ac:dyDescent="0.25">
      <c r="A6064" t="s">
        <v>7352</v>
      </c>
      <c r="B6064" t="s">
        <v>8188</v>
      </c>
      <c r="C6064" s="1">
        <v>45667</v>
      </c>
    </row>
    <row r="6065" spans="1:3" x14ac:dyDescent="0.25">
      <c r="A6065" t="s">
        <v>7353</v>
      </c>
      <c r="B6065" t="s">
        <v>8188</v>
      </c>
      <c r="C6065" s="1">
        <v>45659</v>
      </c>
    </row>
    <row r="6066" spans="1:3" x14ac:dyDescent="0.25">
      <c r="A6066" t="s">
        <v>7354</v>
      </c>
      <c r="B6066" t="s">
        <v>8188</v>
      </c>
      <c r="C6066" s="1">
        <v>45692</v>
      </c>
    </row>
    <row r="6067" spans="1:3" x14ac:dyDescent="0.25">
      <c r="A6067" t="s">
        <v>7355</v>
      </c>
      <c r="B6067" t="s">
        <v>8188</v>
      </c>
      <c r="C6067" s="1">
        <v>45666</v>
      </c>
    </row>
    <row r="6068" spans="1:3" x14ac:dyDescent="0.25">
      <c r="A6068" t="s">
        <v>7356</v>
      </c>
      <c r="B6068" t="s">
        <v>8188</v>
      </c>
      <c r="C6068" s="1">
        <v>45632</v>
      </c>
    </row>
    <row r="6069" spans="1:3" x14ac:dyDescent="0.25">
      <c r="A6069" t="s">
        <v>7357</v>
      </c>
      <c r="B6069" t="s">
        <v>8188</v>
      </c>
      <c r="C6069" s="1">
        <v>45692</v>
      </c>
    </row>
    <row r="6070" spans="1:3" x14ac:dyDescent="0.25">
      <c r="A6070" t="s">
        <v>7358</v>
      </c>
      <c r="B6070" t="s">
        <v>39</v>
      </c>
      <c r="C6070" s="1"/>
    </row>
    <row r="6071" spans="1:3" x14ac:dyDescent="0.25">
      <c r="A6071" t="s">
        <v>7359</v>
      </c>
      <c r="B6071" t="s">
        <v>39</v>
      </c>
      <c r="C6071" s="1">
        <v>45737</v>
      </c>
    </row>
    <row r="6072" spans="1:3" x14ac:dyDescent="0.25">
      <c r="A6072" t="s">
        <v>7360</v>
      </c>
      <c r="B6072" t="s">
        <v>8188</v>
      </c>
      <c r="C6072" s="1">
        <v>45692</v>
      </c>
    </row>
    <row r="6073" spans="1:3" x14ac:dyDescent="0.25">
      <c r="A6073" t="s">
        <v>7361</v>
      </c>
      <c r="B6073" t="s">
        <v>8188</v>
      </c>
      <c r="C6073" s="1">
        <v>45678</v>
      </c>
    </row>
    <row r="6074" spans="1:3" x14ac:dyDescent="0.25">
      <c r="A6074" t="s">
        <v>7362</v>
      </c>
      <c r="B6074" t="s">
        <v>8188</v>
      </c>
      <c r="C6074" s="1">
        <v>45677</v>
      </c>
    </row>
    <row r="6075" spans="1:3" x14ac:dyDescent="0.25">
      <c r="A6075" t="s">
        <v>7363</v>
      </c>
      <c r="B6075" t="s">
        <v>8188</v>
      </c>
      <c r="C6075" s="1">
        <v>45656</v>
      </c>
    </row>
    <row r="6076" spans="1:3" x14ac:dyDescent="0.25">
      <c r="A6076" t="s">
        <v>7364</v>
      </c>
      <c r="B6076" t="s">
        <v>8188</v>
      </c>
      <c r="C6076" s="1">
        <v>45778</v>
      </c>
    </row>
    <row r="6077" spans="1:3" x14ac:dyDescent="0.25">
      <c r="A6077" t="s">
        <v>7365</v>
      </c>
      <c r="B6077" t="s">
        <v>8188</v>
      </c>
      <c r="C6077" s="1">
        <v>45631</v>
      </c>
    </row>
    <row r="6078" spans="1:3" x14ac:dyDescent="0.25">
      <c r="A6078" t="s">
        <v>7366</v>
      </c>
      <c r="B6078" t="s">
        <v>8188</v>
      </c>
      <c r="C6078" s="1">
        <v>45666</v>
      </c>
    </row>
    <row r="6079" spans="1:3" x14ac:dyDescent="0.25">
      <c r="A6079" t="s">
        <v>7367</v>
      </c>
      <c r="B6079" t="s">
        <v>8188</v>
      </c>
      <c r="C6079" s="1">
        <v>45666</v>
      </c>
    </row>
    <row r="6080" spans="1:3" x14ac:dyDescent="0.25">
      <c r="A6080" t="s">
        <v>7368</v>
      </c>
      <c r="B6080" t="s">
        <v>8188</v>
      </c>
      <c r="C6080" s="1">
        <v>45666</v>
      </c>
    </row>
    <row r="6081" spans="1:3" x14ac:dyDescent="0.25">
      <c r="A6081" t="s">
        <v>7369</v>
      </c>
      <c r="B6081" t="s">
        <v>8188</v>
      </c>
      <c r="C6081" s="1">
        <v>45692</v>
      </c>
    </row>
    <row r="6082" spans="1:3" x14ac:dyDescent="0.25">
      <c r="A6082" t="s">
        <v>7370</v>
      </c>
      <c r="B6082" t="s">
        <v>8188</v>
      </c>
      <c r="C6082" s="1">
        <v>45652</v>
      </c>
    </row>
    <row r="6083" spans="1:3" x14ac:dyDescent="0.25">
      <c r="A6083" t="s">
        <v>7371</v>
      </c>
      <c r="B6083" t="s">
        <v>39</v>
      </c>
      <c r="C6083" s="1">
        <v>45677</v>
      </c>
    </row>
    <row r="6084" spans="1:3" x14ac:dyDescent="0.25">
      <c r="A6084" t="s">
        <v>7372</v>
      </c>
      <c r="B6084" t="s">
        <v>8188</v>
      </c>
      <c r="C6084" s="1">
        <v>45652</v>
      </c>
    </row>
    <row r="6085" spans="1:3" x14ac:dyDescent="0.25">
      <c r="A6085" t="s">
        <v>7373</v>
      </c>
      <c r="B6085" t="s">
        <v>8188</v>
      </c>
      <c r="C6085" s="1">
        <v>45667</v>
      </c>
    </row>
    <row r="6086" spans="1:3" x14ac:dyDescent="0.25">
      <c r="A6086" t="s">
        <v>7374</v>
      </c>
      <c r="B6086" t="s">
        <v>8188</v>
      </c>
      <c r="C6086" s="1">
        <v>45692</v>
      </c>
    </row>
    <row r="6087" spans="1:3" x14ac:dyDescent="0.25">
      <c r="A6087" t="s">
        <v>7375</v>
      </c>
      <c r="B6087" t="s">
        <v>8188</v>
      </c>
      <c r="C6087" s="1">
        <v>45817</v>
      </c>
    </row>
    <row r="6088" spans="1:3" x14ac:dyDescent="0.25">
      <c r="A6088" t="s">
        <v>7376</v>
      </c>
      <c r="B6088" t="s">
        <v>8188</v>
      </c>
      <c r="C6088" s="1">
        <v>45684</v>
      </c>
    </row>
    <row r="6089" spans="1:3" x14ac:dyDescent="0.25">
      <c r="A6089" t="s">
        <v>7377</v>
      </c>
      <c r="B6089" t="s">
        <v>8188</v>
      </c>
      <c r="C6089" s="1">
        <v>45666</v>
      </c>
    </row>
    <row r="6090" spans="1:3" x14ac:dyDescent="0.25">
      <c r="A6090" t="s">
        <v>7378</v>
      </c>
      <c r="B6090" t="s">
        <v>8188</v>
      </c>
      <c r="C6090" s="1">
        <v>45668</v>
      </c>
    </row>
    <row r="6091" spans="1:3" x14ac:dyDescent="0.25">
      <c r="A6091" t="s">
        <v>7379</v>
      </c>
      <c r="B6091" t="s">
        <v>8188</v>
      </c>
      <c r="C6091" s="1">
        <v>45692</v>
      </c>
    </row>
    <row r="6092" spans="1:3" x14ac:dyDescent="0.25">
      <c r="A6092" t="s">
        <v>7380</v>
      </c>
      <c r="B6092" t="s">
        <v>8188</v>
      </c>
      <c r="C6092" s="1">
        <v>45737</v>
      </c>
    </row>
    <row r="6093" spans="1:3" x14ac:dyDescent="0.25">
      <c r="A6093" t="s">
        <v>7381</v>
      </c>
      <c r="B6093" t="s">
        <v>8188</v>
      </c>
      <c r="C6093" s="1">
        <v>45685</v>
      </c>
    </row>
    <row r="6094" spans="1:3" x14ac:dyDescent="0.25">
      <c r="A6094" t="s">
        <v>7382</v>
      </c>
      <c r="B6094" t="s">
        <v>8188</v>
      </c>
      <c r="C6094" s="1">
        <v>45692</v>
      </c>
    </row>
    <row r="6095" spans="1:3" x14ac:dyDescent="0.25">
      <c r="A6095" t="s">
        <v>7383</v>
      </c>
      <c r="B6095" t="s">
        <v>8188</v>
      </c>
      <c r="C6095" s="1">
        <v>45652</v>
      </c>
    </row>
    <row r="6096" spans="1:3" x14ac:dyDescent="0.25">
      <c r="A6096" t="s">
        <v>7384</v>
      </c>
      <c r="B6096" t="s">
        <v>8188</v>
      </c>
      <c r="C6096" s="1">
        <v>45653</v>
      </c>
    </row>
    <row r="6097" spans="1:3" x14ac:dyDescent="0.25">
      <c r="A6097" t="s">
        <v>7385</v>
      </c>
      <c r="B6097" t="s">
        <v>8188</v>
      </c>
      <c r="C6097" s="1">
        <v>45647</v>
      </c>
    </row>
    <row r="6098" spans="1:3" x14ac:dyDescent="0.25">
      <c r="A6098" t="s">
        <v>7386</v>
      </c>
      <c r="B6098" t="s">
        <v>8188</v>
      </c>
      <c r="C6098" s="1">
        <v>45685</v>
      </c>
    </row>
    <row r="6099" spans="1:3" x14ac:dyDescent="0.25">
      <c r="A6099" t="s">
        <v>7387</v>
      </c>
      <c r="B6099" t="s">
        <v>8188</v>
      </c>
      <c r="C6099" s="1">
        <v>45677</v>
      </c>
    </row>
    <row r="6100" spans="1:3" x14ac:dyDescent="0.25">
      <c r="A6100" t="s">
        <v>7388</v>
      </c>
      <c r="B6100" t="s">
        <v>8188</v>
      </c>
      <c r="C6100" s="1">
        <v>45676</v>
      </c>
    </row>
    <row r="6101" spans="1:3" x14ac:dyDescent="0.25">
      <c r="A6101" t="s">
        <v>7388</v>
      </c>
      <c r="B6101" t="s">
        <v>8188</v>
      </c>
      <c r="C6101" s="1">
        <v>45676</v>
      </c>
    </row>
    <row r="6102" spans="1:3" x14ac:dyDescent="0.25">
      <c r="A6102" t="s">
        <v>7389</v>
      </c>
      <c r="B6102" t="s">
        <v>8188</v>
      </c>
      <c r="C6102" s="1">
        <v>45713</v>
      </c>
    </row>
    <row r="6103" spans="1:3" x14ac:dyDescent="0.25">
      <c r="A6103" t="s">
        <v>7390</v>
      </c>
      <c r="B6103" t="s">
        <v>8188</v>
      </c>
      <c r="C6103" s="1">
        <v>45667</v>
      </c>
    </row>
    <row r="6104" spans="1:3" x14ac:dyDescent="0.25">
      <c r="A6104" t="s">
        <v>7391</v>
      </c>
      <c r="B6104" t="s">
        <v>39</v>
      </c>
      <c r="C6104" s="1"/>
    </row>
    <row r="6105" spans="1:3" x14ac:dyDescent="0.25">
      <c r="A6105" t="s">
        <v>7392</v>
      </c>
      <c r="B6105" t="s">
        <v>8188</v>
      </c>
      <c r="C6105" s="1">
        <v>45685</v>
      </c>
    </row>
    <row r="6106" spans="1:3" x14ac:dyDescent="0.25">
      <c r="A6106" t="s">
        <v>7393</v>
      </c>
      <c r="B6106" t="s">
        <v>8188</v>
      </c>
      <c r="C6106" s="1">
        <v>45661</v>
      </c>
    </row>
    <row r="6107" spans="1:3" x14ac:dyDescent="0.25">
      <c r="A6107" t="s">
        <v>7393</v>
      </c>
      <c r="B6107" t="s">
        <v>8188</v>
      </c>
      <c r="C6107" s="1">
        <v>45661</v>
      </c>
    </row>
    <row r="6108" spans="1:3" x14ac:dyDescent="0.25">
      <c r="A6108" t="s">
        <v>7394</v>
      </c>
      <c r="B6108" t="s">
        <v>8188</v>
      </c>
      <c r="C6108" s="1">
        <v>45653</v>
      </c>
    </row>
    <row r="6109" spans="1:3" x14ac:dyDescent="0.25">
      <c r="A6109" t="s">
        <v>7395</v>
      </c>
      <c r="B6109" t="s">
        <v>8188</v>
      </c>
      <c r="C6109" s="1">
        <v>45653</v>
      </c>
    </row>
    <row r="6110" spans="1:3" x14ac:dyDescent="0.25">
      <c r="A6110" t="s">
        <v>7396</v>
      </c>
      <c r="B6110" t="s">
        <v>8188</v>
      </c>
      <c r="C6110" s="1">
        <v>45650</v>
      </c>
    </row>
    <row r="6111" spans="1:3" x14ac:dyDescent="0.25">
      <c r="A6111" t="s">
        <v>7397</v>
      </c>
      <c r="B6111" t="s">
        <v>8188</v>
      </c>
      <c r="C6111" s="1">
        <v>45685</v>
      </c>
    </row>
    <row r="6112" spans="1:3" x14ac:dyDescent="0.25">
      <c r="A6112" t="s">
        <v>7398</v>
      </c>
      <c r="B6112" t="s">
        <v>8188</v>
      </c>
      <c r="C6112" s="1">
        <v>45654</v>
      </c>
    </row>
    <row r="6113" spans="1:3" x14ac:dyDescent="0.25">
      <c r="A6113" t="s">
        <v>7399</v>
      </c>
      <c r="B6113" t="s">
        <v>8188</v>
      </c>
      <c r="C6113" s="1">
        <v>45654</v>
      </c>
    </row>
    <row r="6114" spans="1:3" x14ac:dyDescent="0.25">
      <c r="A6114" t="s">
        <v>7400</v>
      </c>
      <c r="B6114" t="s">
        <v>8188</v>
      </c>
      <c r="C6114" s="1">
        <v>45654</v>
      </c>
    </row>
    <row r="6115" spans="1:3" x14ac:dyDescent="0.25">
      <c r="A6115" t="s">
        <v>7401</v>
      </c>
      <c r="B6115" t="s">
        <v>39</v>
      </c>
      <c r="C6115" s="1">
        <v>45668</v>
      </c>
    </row>
    <row r="6116" spans="1:3" x14ac:dyDescent="0.25">
      <c r="A6116" t="s">
        <v>7402</v>
      </c>
      <c r="B6116" t="s">
        <v>8188</v>
      </c>
      <c r="C6116" s="1">
        <v>45666</v>
      </c>
    </row>
    <row r="6117" spans="1:3" x14ac:dyDescent="0.25">
      <c r="A6117" t="s">
        <v>7403</v>
      </c>
      <c r="B6117" t="s">
        <v>8188</v>
      </c>
      <c r="C6117" s="1">
        <v>45685</v>
      </c>
    </row>
    <row r="6118" spans="1:3" x14ac:dyDescent="0.25">
      <c r="A6118" t="s">
        <v>7404</v>
      </c>
      <c r="B6118" t="s">
        <v>8188</v>
      </c>
      <c r="C6118" s="1">
        <v>45709</v>
      </c>
    </row>
    <row r="6119" spans="1:3" x14ac:dyDescent="0.25">
      <c r="A6119" t="s">
        <v>7405</v>
      </c>
      <c r="B6119" t="s">
        <v>8188</v>
      </c>
      <c r="C6119" s="1">
        <v>45752</v>
      </c>
    </row>
    <row r="6120" spans="1:3" x14ac:dyDescent="0.25">
      <c r="A6120" t="s">
        <v>7406</v>
      </c>
      <c r="B6120" t="s">
        <v>8188</v>
      </c>
      <c r="C6120" s="1">
        <v>45699</v>
      </c>
    </row>
    <row r="6121" spans="1:3" x14ac:dyDescent="0.25">
      <c r="A6121" t="s">
        <v>7407</v>
      </c>
      <c r="B6121" t="s">
        <v>8188</v>
      </c>
      <c r="C6121" s="1">
        <v>45650</v>
      </c>
    </row>
    <row r="6122" spans="1:3" x14ac:dyDescent="0.25">
      <c r="A6122" t="s">
        <v>7408</v>
      </c>
      <c r="B6122" t="s">
        <v>8188</v>
      </c>
      <c r="C6122" s="1">
        <v>45887</v>
      </c>
    </row>
    <row r="6123" spans="1:3" x14ac:dyDescent="0.25">
      <c r="A6123" t="s">
        <v>7409</v>
      </c>
      <c r="B6123" t="s">
        <v>8188</v>
      </c>
      <c r="C6123" s="1">
        <v>45652</v>
      </c>
    </row>
    <row r="6124" spans="1:3" x14ac:dyDescent="0.25">
      <c r="A6124" t="s">
        <v>7410</v>
      </c>
      <c r="B6124" t="s">
        <v>8188</v>
      </c>
      <c r="C6124" s="1">
        <v>45713</v>
      </c>
    </row>
    <row r="6125" spans="1:3" x14ac:dyDescent="0.25">
      <c r="A6125" t="s">
        <v>7411</v>
      </c>
      <c r="B6125" t="s">
        <v>8188</v>
      </c>
      <c r="C6125" s="1">
        <v>45715</v>
      </c>
    </row>
    <row r="6126" spans="1:3" x14ac:dyDescent="0.25">
      <c r="A6126" t="s">
        <v>7412</v>
      </c>
      <c r="B6126" t="s">
        <v>39</v>
      </c>
      <c r="C6126" s="1"/>
    </row>
    <row r="6127" spans="1:3" x14ac:dyDescent="0.25">
      <c r="A6127" t="s">
        <v>7413</v>
      </c>
      <c r="B6127" t="s">
        <v>39</v>
      </c>
      <c r="C6127" s="1"/>
    </row>
    <row r="6128" spans="1:3" x14ac:dyDescent="0.25">
      <c r="A6128" t="s">
        <v>7414</v>
      </c>
      <c r="B6128" t="s">
        <v>39</v>
      </c>
      <c r="C6128" s="1"/>
    </row>
    <row r="6129" spans="1:3" x14ac:dyDescent="0.25">
      <c r="A6129" t="s">
        <v>7415</v>
      </c>
      <c r="B6129" t="s">
        <v>39</v>
      </c>
      <c r="C6129" s="1"/>
    </row>
    <row r="6130" spans="1:3" x14ac:dyDescent="0.25">
      <c r="A6130" t="s">
        <v>7416</v>
      </c>
      <c r="B6130" t="s">
        <v>8188</v>
      </c>
      <c r="C6130" s="1">
        <v>45666</v>
      </c>
    </row>
    <row r="6131" spans="1:3" x14ac:dyDescent="0.25">
      <c r="A6131" t="s">
        <v>7417</v>
      </c>
      <c r="B6131" t="s">
        <v>39</v>
      </c>
      <c r="C6131" s="1">
        <v>45668</v>
      </c>
    </row>
    <row r="6132" spans="1:3" x14ac:dyDescent="0.25">
      <c r="A6132" t="s">
        <v>7418</v>
      </c>
      <c r="B6132" t="s">
        <v>8188</v>
      </c>
      <c r="C6132" s="1">
        <v>45713</v>
      </c>
    </row>
    <row r="6133" spans="1:3" x14ac:dyDescent="0.25">
      <c r="A6133" t="s">
        <v>7419</v>
      </c>
      <c r="B6133" t="s">
        <v>8188</v>
      </c>
      <c r="C6133" s="1">
        <v>45636</v>
      </c>
    </row>
    <row r="6134" spans="1:3" x14ac:dyDescent="0.25">
      <c r="A6134" t="s">
        <v>7420</v>
      </c>
      <c r="B6134" t="s">
        <v>8188</v>
      </c>
      <c r="C6134" s="1">
        <v>45669</v>
      </c>
    </row>
    <row r="6135" spans="1:3" x14ac:dyDescent="0.25">
      <c r="A6135" t="s">
        <v>7421</v>
      </c>
      <c r="B6135" t="s">
        <v>8188</v>
      </c>
      <c r="C6135" s="1">
        <v>45834</v>
      </c>
    </row>
    <row r="6136" spans="1:3" x14ac:dyDescent="0.25">
      <c r="A6136" t="s">
        <v>7421</v>
      </c>
      <c r="B6136" t="s">
        <v>8188</v>
      </c>
      <c r="C6136" s="1">
        <v>45834</v>
      </c>
    </row>
    <row r="6137" spans="1:3" x14ac:dyDescent="0.25">
      <c r="A6137" t="s">
        <v>7422</v>
      </c>
      <c r="B6137" t="s">
        <v>8188</v>
      </c>
      <c r="C6137" s="1">
        <v>45699</v>
      </c>
    </row>
    <row r="6138" spans="1:3" x14ac:dyDescent="0.25">
      <c r="A6138" t="s">
        <v>7423</v>
      </c>
      <c r="B6138" t="s">
        <v>8188</v>
      </c>
      <c r="C6138" s="1">
        <v>45666</v>
      </c>
    </row>
    <row r="6139" spans="1:3" x14ac:dyDescent="0.25">
      <c r="A6139" t="s">
        <v>7424</v>
      </c>
      <c r="B6139" t="s">
        <v>8188</v>
      </c>
      <c r="C6139" s="1">
        <v>45685</v>
      </c>
    </row>
    <row r="6140" spans="1:3" x14ac:dyDescent="0.25">
      <c r="A6140" t="s">
        <v>7425</v>
      </c>
      <c r="B6140" t="s">
        <v>8188</v>
      </c>
      <c r="C6140" s="1">
        <v>45765</v>
      </c>
    </row>
    <row r="6141" spans="1:3" x14ac:dyDescent="0.25">
      <c r="A6141" t="s">
        <v>7425</v>
      </c>
      <c r="B6141" t="s">
        <v>8188</v>
      </c>
      <c r="C6141" s="1">
        <v>45828</v>
      </c>
    </row>
    <row r="6142" spans="1:3" x14ac:dyDescent="0.25">
      <c r="A6142" t="s">
        <v>7426</v>
      </c>
      <c r="B6142" t="s">
        <v>8188</v>
      </c>
      <c r="C6142" s="1">
        <v>45666</v>
      </c>
    </row>
    <row r="6143" spans="1:3" x14ac:dyDescent="0.25">
      <c r="A6143" t="s">
        <v>7427</v>
      </c>
      <c r="B6143" t="s">
        <v>8188</v>
      </c>
      <c r="C6143" s="1">
        <v>45666</v>
      </c>
    </row>
    <row r="6144" spans="1:3" x14ac:dyDescent="0.25">
      <c r="A6144" t="s">
        <v>7428</v>
      </c>
      <c r="B6144" t="s">
        <v>8188</v>
      </c>
      <c r="C6144" s="1">
        <v>45666</v>
      </c>
    </row>
    <row r="6145" spans="1:3" x14ac:dyDescent="0.25">
      <c r="A6145" t="s">
        <v>7429</v>
      </c>
      <c r="B6145" t="s">
        <v>8188</v>
      </c>
      <c r="C6145" s="1">
        <v>45666</v>
      </c>
    </row>
    <row r="6146" spans="1:3" x14ac:dyDescent="0.25">
      <c r="A6146" t="s">
        <v>7430</v>
      </c>
      <c r="B6146" t="s">
        <v>8188</v>
      </c>
      <c r="C6146" s="1">
        <v>45707</v>
      </c>
    </row>
    <row r="6147" spans="1:3" x14ac:dyDescent="0.25">
      <c r="A6147" t="s">
        <v>7431</v>
      </c>
      <c r="B6147" t="s">
        <v>8188</v>
      </c>
      <c r="C6147" s="1">
        <v>45670</v>
      </c>
    </row>
    <row r="6148" spans="1:3" x14ac:dyDescent="0.25">
      <c r="A6148" t="s">
        <v>7432</v>
      </c>
      <c r="B6148" t="s">
        <v>8188</v>
      </c>
      <c r="C6148" s="1">
        <v>45667</v>
      </c>
    </row>
    <row r="6149" spans="1:3" x14ac:dyDescent="0.25">
      <c r="A6149" t="s">
        <v>7433</v>
      </c>
      <c r="B6149" t="s">
        <v>39</v>
      </c>
      <c r="C6149" s="1"/>
    </row>
    <row r="6150" spans="1:3" x14ac:dyDescent="0.25">
      <c r="A6150" t="s">
        <v>7434</v>
      </c>
      <c r="B6150" t="s">
        <v>8188</v>
      </c>
      <c r="C6150" s="1">
        <v>45666</v>
      </c>
    </row>
    <row r="6151" spans="1:3" x14ac:dyDescent="0.25">
      <c r="A6151" t="s">
        <v>7435</v>
      </c>
      <c r="B6151" t="s">
        <v>8188</v>
      </c>
      <c r="C6151" s="1">
        <v>45673</v>
      </c>
    </row>
    <row r="6152" spans="1:3" x14ac:dyDescent="0.25">
      <c r="A6152" t="s">
        <v>7436</v>
      </c>
      <c r="B6152" t="s">
        <v>8188</v>
      </c>
      <c r="C6152" s="1">
        <v>45653</v>
      </c>
    </row>
    <row r="6153" spans="1:3" x14ac:dyDescent="0.25">
      <c r="A6153" t="s">
        <v>7437</v>
      </c>
      <c r="B6153" t="s">
        <v>8188</v>
      </c>
      <c r="C6153" s="1">
        <v>45654</v>
      </c>
    </row>
    <row r="6154" spans="1:3" x14ac:dyDescent="0.25">
      <c r="A6154" t="s">
        <v>7438</v>
      </c>
      <c r="B6154" t="s">
        <v>8188</v>
      </c>
      <c r="C6154" s="1">
        <v>45666</v>
      </c>
    </row>
    <row r="6155" spans="1:3" x14ac:dyDescent="0.25">
      <c r="A6155" t="s">
        <v>7439</v>
      </c>
      <c r="B6155" t="s">
        <v>8188</v>
      </c>
      <c r="C6155" s="1">
        <v>45654</v>
      </c>
    </row>
    <row r="6156" spans="1:3" x14ac:dyDescent="0.25">
      <c r="A6156" t="s">
        <v>7440</v>
      </c>
      <c r="B6156" t="s">
        <v>8188</v>
      </c>
      <c r="C6156" s="1">
        <v>45654</v>
      </c>
    </row>
    <row r="6157" spans="1:3" x14ac:dyDescent="0.25">
      <c r="A6157" t="s">
        <v>7441</v>
      </c>
      <c r="B6157" t="s">
        <v>8188</v>
      </c>
      <c r="C6157" s="1">
        <v>45643</v>
      </c>
    </row>
    <row r="6158" spans="1:3" x14ac:dyDescent="0.25">
      <c r="A6158" t="s">
        <v>7442</v>
      </c>
      <c r="B6158" t="s">
        <v>8188</v>
      </c>
      <c r="C6158" s="1">
        <v>45654</v>
      </c>
    </row>
    <row r="6159" spans="1:3" x14ac:dyDescent="0.25">
      <c r="A6159" t="s">
        <v>7443</v>
      </c>
      <c r="B6159" t="s">
        <v>8188</v>
      </c>
      <c r="C6159" s="1">
        <v>45667</v>
      </c>
    </row>
    <row r="6160" spans="1:3" x14ac:dyDescent="0.25">
      <c r="A6160" t="s">
        <v>7444</v>
      </c>
      <c r="B6160" t="s">
        <v>8188</v>
      </c>
      <c r="C6160" s="1">
        <v>45811</v>
      </c>
    </row>
    <row r="6161" spans="1:3" x14ac:dyDescent="0.25">
      <c r="A6161" t="s">
        <v>7445</v>
      </c>
      <c r="B6161" t="s">
        <v>8188</v>
      </c>
      <c r="C6161" s="1">
        <v>45654</v>
      </c>
    </row>
    <row r="6162" spans="1:3" x14ac:dyDescent="0.25">
      <c r="A6162" t="s">
        <v>7446</v>
      </c>
      <c r="B6162" t="s">
        <v>8188</v>
      </c>
      <c r="C6162" s="1">
        <v>45666</v>
      </c>
    </row>
    <row r="6163" spans="1:3" x14ac:dyDescent="0.25">
      <c r="A6163" t="s">
        <v>7447</v>
      </c>
      <c r="B6163" t="s">
        <v>8188</v>
      </c>
      <c r="C6163" s="1">
        <v>45673</v>
      </c>
    </row>
    <row r="6164" spans="1:3" x14ac:dyDescent="0.25">
      <c r="A6164" t="s">
        <v>7448</v>
      </c>
      <c r="B6164" t="s">
        <v>8188</v>
      </c>
      <c r="C6164" s="1">
        <v>45666</v>
      </c>
    </row>
    <row r="6165" spans="1:3" x14ac:dyDescent="0.25">
      <c r="A6165" t="s">
        <v>7449</v>
      </c>
      <c r="B6165" t="s">
        <v>8188</v>
      </c>
      <c r="C6165" s="1">
        <v>45818</v>
      </c>
    </row>
    <row r="6166" spans="1:3" x14ac:dyDescent="0.25">
      <c r="A6166" t="s">
        <v>7450</v>
      </c>
      <c r="B6166" t="s">
        <v>8188</v>
      </c>
      <c r="C6166" s="1">
        <v>45737</v>
      </c>
    </row>
    <row r="6167" spans="1:3" x14ac:dyDescent="0.25">
      <c r="A6167" t="s">
        <v>7451</v>
      </c>
      <c r="B6167" t="s">
        <v>8188</v>
      </c>
      <c r="C6167" s="1">
        <v>45742</v>
      </c>
    </row>
    <row r="6168" spans="1:3" x14ac:dyDescent="0.25">
      <c r="A6168" t="s">
        <v>7452</v>
      </c>
      <c r="B6168" t="s">
        <v>8188</v>
      </c>
      <c r="C6168" s="1">
        <v>45685</v>
      </c>
    </row>
    <row r="6169" spans="1:3" x14ac:dyDescent="0.25">
      <c r="A6169" t="s">
        <v>7453</v>
      </c>
      <c r="B6169" t="s">
        <v>8188</v>
      </c>
      <c r="C6169" s="1">
        <v>45737</v>
      </c>
    </row>
    <row r="6170" spans="1:3" x14ac:dyDescent="0.25">
      <c r="A6170" t="s">
        <v>7454</v>
      </c>
      <c r="B6170" t="s">
        <v>8188</v>
      </c>
      <c r="C6170" s="1">
        <v>45657</v>
      </c>
    </row>
    <row r="6171" spans="1:3" x14ac:dyDescent="0.25">
      <c r="A6171" t="s">
        <v>7455</v>
      </c>
      <c r="B6171" t="s">
        <v>8188</v>
      </c>
      <c r="C6171" s="1">
        <v>45673</v>
      </c>
    </row>
    <row r="6172" spans="1:3" x14ac:dyDescent="0.25">
      <c r="A6172" t="s">
        <v>7456</v>
      </c>
      <c r="B6172" t="s">
        <v>8188</v>
      </c>
      <c r="C6172" s="1">
        <v>45665</v>
      </c>
    </row>
    <row r="6173" spans="1:3" x14ac:dyDescent="0.25">
      <c r="A6173" t="s">
        <v>7457</v>
      </c>
      <c r="B6173" t="s">
        <v>8188</v>
      </c>
      <c r="C6173" s="1">
        <v>45656</v>
      </c>
    </row>
    <row r="6174" spans="1:3" x14ac:dyDescent="0.25">
      <c r="A6174" t="s">
        <v>7458</v>
      </c>
      <c r="B6174" t="s">
        <v>8188</v>
      </c>
      <c r="C6174" s="1">
        <v>45650</v>
      </c>
    </row>
    <row r="6175" spans="1:3" x14ac:dyDescent="0.25">
      <c r="A6175" t="s">
        <v>7459</v>
      </c>
      <c r="B6175" t="s">
        <v>8188</v>
      </c>
      <c r="C6175" s="1">
        <v>45684</v>
      </c>
    </row>
    <row r="6176" spans="1:3" x14ac:dyDescent="0.25">
      <c r="A6176" t="s">
        <v>7460</v>
      </c>
      <c r="B6176" t="s">
        <v>39</v>
      </c>
      <c r="C6176" s="1">
        <v>45686</v>
      </c>
    </row>
    <row r="6177" spans="1:3" x14ac:dyDescent="0.25">
      <c r="A6177" t="s">
        <v>7461</v>
      </c>
      <c r="B6177" t="s">
        <v>8188</v>
      </c>
      <c r="C6177" s="1">
        <v>45656</v>
      </c>
    </row>
    <row r="6178" spans="1:3" x14ac:dyDescent="0.25">
      <c r="A6178" t="s">
        <v>7462</v>
      </c>
      <c r="B6178" t="s">
        <v>8188</v>
      </c>
      <c r="C6178" s="1">
        <v>45660</v>
      </c>
    </row>
    <row r="6179" spans="1:3" x14ac:dyDescent="0.25">
      <c r="A6179" t="s">
        <v>7463</v>
      </c>
      <c r="B6179" t="s">
        <v>8188</v>
      </c>
      <c r="C6179" s="1">
        <v>45853</v>
      </c>
    </row>
    <row r="6180" spans="1:3" x14ac:dyDescent="0.25">
      <c r="A6180" t="s">
        <v>7464</v>
      </c>
      <c r="B6180" t="s">
        <v>8188</v>
      </c>
      <c r="C6180" s="1">
        <v>45665</v>
      </c>
    </row>
    <row r="6181" spans="1:3" x14ac:dyDescent="0.25">
      <c r="A6181" t="s">
        <v>7465</v>
      </c>
      <c r="B6181" t="s">
        <v>8188</v>
      </c>
      <c r="C6181" s="1">
        <v>45642</v>
      </c>
    </row>
    <row r="6182" spans="1:3" x14ac:dyDescent="0.25">
      <c r="A6182" t="s">
        <v>7466</v>
      </c>
      <c r="B6182" t="s">
        <v>8188</v>
      </c>
      <c r="C6182" s="1">
        <v>45678</v>
      </c>
    </row>
    <row r="6183" spans="1:3" x14ac:dyDescent="0.25">
      <c r="A6183" t="s">
        <v>7467</v>
      </c>
      <c r="B6183" t="s">
        <v>8188</v>
      </c>
      <c r="C6183" s="1">
        <v>45666</v>
      </c>
    </row>
    <row r="6184" spans="1:3" x14ac:dyDescent="0.25">
      <c r="A6184" t="s">
        <v>7468</v>
      </c>
      <c r="B6184" t="s">
        <v>8188</v>
      </c>
      <c r="C6184" s="1">
        <v>45666</v>
      </c>
    </row>
    <row r="6185" spans="1:3" x14ac:dyDescent="0.25">
      <c r="A6185" t="s">
        <v>7469</v>
      </c>
      <c r="B6185" t="s">
        <v>8188</v>
      </c>
      <c r="C6185" s="1">
        <v>45752</v>
      </c>
    </row>
    <row r="6186" spans="1:3" x14ac:dyDescent="0.25">
      <c r="A6186" t="s">
        <v>7469</v>
      </c>
      <c r="B6186" t="s">
        <v>8188</v>
      </c>
      <c r="C6186" s="1">
        <v>45757</v>
      </c>
    </row>
    <row r="6187" spans="1:3" x14ac:dyDescent="0.25">
      <c r="A6187" t="s">
        <v>7469</v>
      </c>
      <c r="B6187" t="s">
        <v>8188</v>
      </c>
      <c r="C6187" s="1">
        <v>45653</v>
      </c>
    </row>
    <row r="6188" spans="1:3" x14ac:dyDescent="0.25">
      <c r="A6188" t="s">
        <v>7470</v>
      </c>
      <c r="B6188" t="s">
        <v>8188</v>
      </c>
      <c r="C6188" s="1">
        <v>45666</v>
      </c>
    </row>
    <row r="6189" spans="1:3" x14ac:dyDescent="0.25">
      <c r="A6189" t="s">
        <v>7471</v>
      </c>
      <c r="B6189" t="s">
        <v>8188</v>
      </c>
      <c r="C6189" s="1">
        <v>45678</v>
      </c>
    </row>
    <row r="6190" spans="1:3" x14ac:dyDescent="0.25">
      <c r="A6190" t="s">
        <v>7472</v>
      </c>
      <c r="B6190" t="s">
        <v>8188</v>
      </c>
      <c r="C6190" s="1">
        <v>45659</v>
      </c>
    </row>
    <row r="6191" spans="1:3" x14ac:dyDescent="0.25">
      <c r="A6191" t="s">
        <v>7473</v>
      </c>
      <c r="B6191" t="s">
        <v>8188</v>
      </c>
      <c r="C6191" s="1">
        <v>45666</v>
      </c>
    </row>
    <row r="6192" spans="1:3" x14ac:dyDescent="0.25">
      <c r="A6192" t="s">
        <v>7474</v>
      </c>
      <c r="B6192" t="s">
        <v>8188</v>
      </c>
      <c r="C6192" s="1">
        <v>45737</v>
      </c>
    </row>
    <row r="6193" spans="1:3" x14ac:dyDescent="0.25">
      <c r="A6193" t="s">
        <v>7475</v>
      </c>
      <c r="B6193" t="s">
        <v>8188</v>
      </c>
      <c r="C6193" s="1">
        <v>45694</v>
      </c>
    </row>
    <row r="6194" spans="1:3" x14ac:dyDescent="0.25">
      <c r="A6194" t="s">
        <v>7476</v>
      </c>
      <c r="B6194" t="s">
        <v>8188</v>
      </c>
      <c r="C6194" s="1">
        <v>45737</v>
      </c>
    </row>
    <row r="6195" spans="1:3" x14ac:dyDescent="0.25">
      <c r="A6195" t="s">
        <v>7477</v>
      </c>
      <c r="B6195" t="s">
        <v>8188</v>
      </c>
      <c r="C6195" s="1">
        <v>45849</v>
      </c>
    </row>
    <row r="6196" spans="1:3" x14ac:dyDescent="0.25">
      <c r="A6196" t="s">
        <v>7478</v>
      </c>
      <c r="B6196" t="s">
        <v>8188</v>
      </c>
      <c r="C6196" s="1">
        <v>45682</v>
      </c>
    </row>
    <row r="6197" spans="1:3" x14ac:dyDescent="0.25">
      <c r="A6197" t="s">
        <v>7479</v>
      </c>
      <c r="B6197" t="s">
        <v>8188</v>
      </c>
      <c r="C6197" s="1">
        <v>45796</v>
      </c>
    </row>
    <row r="6198" spans="1:3" x14ac:dyDescent="0.25">
      <c r="A6198" t="s">
        <v>7480</v>
      </c>
      <c r="B6198" t="s">
        <v>8188</v>
      </c>
      <c r="C6198" s="1">
        <v>45666</v>
      </c>
    </row>
    <row r="6199" spans="1:3" x14ac:dyDescent="0.25">
      <c r="A6199" t="s">
        <v>7481</v>
      </c>
      <c r="B6199" t="s">
        <v>8188</v>
      </c>
      <c r="C6199" s="1">
        <v>45660</v>
      </c>
    </row>
    <row r="6200" spans="1:3" x14ac:dyDescent="0.25">
      <c r="A6200" t="s">
        <v>7482</v>
      </c>
      <c r="B6200" t="s">
        <v>8188</v>
      </c>
      <c r="C6200" s="1">
        <v>45737</v>
      </c>
    </row>
    <row r="6201" spans="1:3" x14ac:dyDescent="0.25">
      <c r="A6201" t="s">
        <v>7483</v>
      </c>
      <c r="B6201" t="s">
        <v>8188</v>
      </c>
      <c r="C6201" s="1">
        <v>45667</v>
      </c>
    </row>
    <row r="6202" spans="1:3" x14ac:dyDescent="0.25">
      <c r="A6202" t="s">
        <v>7484</v>
      </c>
      <c r="B6202" t="s">
        <v>39</v>
      </c>
      <c r="C6202" s="1"/>
    </row>
    <row r="6203" spans="1:3" x14ac:dyDescent="0.25">
      <c r="A6203" t="s">
        <v>7485</v>
      </c>
      <c r="B6203" t="s">
        <v>8188</v>
      </c>
      <c r="C6203" s="1">
        <v>45737</v>
      </c>
    </row>
    <row r="6204" spans="1:3" x14ac:dyDescent="0.25">
      <c r="A6204" t="s">
        <v>7486</v>
      </c>
      <c r="B6204" t="s">
        <v>8188</v>
      </c>
      <c r="C6204" s="1">
        <v>45653</v>
      </c>
    </row>
    <row r="6205" spans="1:3" x14ac:dyDescent="0.25">
      <c r="A6205" t="s">
        <v>7487</v>
      </c>
      <c r="B6205" t="s">
        <v>8188</v>
      </c>
      <c r="C6205" s="1">
        <v>45666</v>
      </c>
    </row>
    <row r="6206" spans="1:3" x14ac:dyDescent="0.25">
      <c r="A6206" t="s">
        <v>7488</v>
      </c>
      <c r="B6206" t="s">
        <v>8188</v>
      </c>
      <c r="C6206" s="1">
        <v>45678</v>
      </c>
    </row>
    <row r="6207" spans="1:3" x14ac:dyDescent="0.25">
      <c r="A6207" t="s">
        <v>7489</v>
      </c>
      <c r="B6207" t="s">
        <v>8188</v>
      </c>
      <c r="C6207" s="1">
        <v>45667</v>
      </c>
    </row>
    <row r="6208" spans="1:3" x14ac:dyDescent="0.25">
      <c r="A6208" t="s">
        <v>7490</v>
      </c>
      <c r="B6208" t="s">
        <v>8188</v>
      </c>
      <c r="C6208" s="1">
        <v>45751</v>
      </c>
    </row>
    <row r="6209" spans="1:3" x14ac:dyDescent="0.25">
      <c r="A6209" t="s">
        <v>7491</v>
      </c>
      <c r="B6209" t="s">
        <v>8188</v>
      </c>
      <c r="C6209" s="1">
        <v>45673</v>
      </c>
    </row>
    <row r="6210" spans="1:3" x14ac:dyDescent="0.25">
      <c r="A6210" t="s">
        <v>7492</v>
      </c>
      <c r="B6210" t="s">
        <v>8188</v>
      </c>
      <c r="C6210" s="1">
        <v>45666</v>
      </c>
    </row>
    <row r="6211" spans="1:3" x14ac:dyDescent="0.25">
      <c r="A6211" t="s">
        <v>7493</v>
      </c>
      <c r="B6211" t="s">
        <v>8188</v>
      </c>
      <c r="C6211" s="1">
        <v>45667</v>
      </c>
    </row>
    <row r="6212" spans="1:3" x14ac:dyDescent="0.25">
      <c r="A6212" t="s">
        <v>7494</v>
      </c>
      <c r="B6212" t="s">
        <v>8188</v>
      </c>
      <c r="C6212" s="1">
        <v>45708</v>
      </c>
    </row>
    <row r="6213" spans="1:3" x14ac:dyDescent="0.25">
      <c r="A6213" t="s">
        <v>7495</v>
      </c>
      <c r="B6213" t="s">
        <v>8188</v>
      </c>
      <c r="C6213" s="1">
        <v>45668</v>
      </c>
    </row>
    <row r="6214" spans="1:3" x14ac:dyDescent="0.25">
      <c r="A6214" t="s">
        <v>7496</v>
      </c>
      <c r="B6214" t="s">
        <v>8188</v>
      </c>
      <c r="C6214" s="1">
        <v>45667</v>
      </c>
    </row>
    <row r="6215" spans="1:3" x14ac:dyDescent="0.25">
      <c r="A6215" t="s">
        <v>7497</v>
      </c>
      <c r="B6215" t="s">
        <v>8188</v>
      </c>
      <c r="C6215" s="1">
        <v>45731</v>
      </c>
    </row>
    <row r="6216" spans="1:3" x14ac:dyDescent="0.25">
      <c r="A6216" t="s">
        <v>7498</v>
      </c>
      <c r="B6216" t="s">
        <v>39</v>
      </c>
      <c r="C6216" s="1">
        <v>45666</v>
      </c>
    </row>
    <row r="6217" spans="1:3" x14ac:dyDescent="0.25">
      <c r="A6217" t="s">
        <v>7499</v>
      </c>
      <c r="B6217" t="s">
        <v>8188</v>
      </c>
      <c r="C6217" s="1">
        <v>45707</v>
      </c>
    </row>
    <row r="6218" spans="1:3" x14ac:dyDescent="0.25">
      <c r="A6218" t="s">
        <v>7499</v>
      </c>
      <c r="B6218" t="s">
        <v>39</v>
      </c>
      <c r="C6218" s="1">
        <v>45669</v>
      </c>
    </row>
    <row r="6219" spans="1:3" x14ac:dyDescent="0.25">
      <c r="A6219" t="s">
        <v>7500</v>
      </c>
      <c r="B6219" t="s">
        <v>8188</v>
      </c>
      <c r="C6219" s="1">
        <v>45667</v>
      </c>
    </row>
    <row r="6220" spans="1:3" x14ac:dyDescent="0.25">
      <c r="A6220" t="s">
        <v>7501</v>
      </c>
      <c r="B6220" t="s">
        <v>39</v>
      </c>
      <c r="C6220" s="1">
        <v>45668</v>
      </c>
    </row>
    <row r="6221" spans="1:3" x14ac:dyDescent="0.25">
      <c r="A6221" t="s">
        <v>7502</v>
      </c>
      <c r="B6221" t="s">
        <v>8188</v>
      </c>
      <c r="C6221" s="1">
        <v>45673</v>
      </c>
    </row>
    <row r="6222" spans="1:3" x14ac:dyDescent="0.25">
      <c r="A6222" t="s">
        <v>7503</v>
      </c>
      <c r="B6222" t="s">
        <v>8188</v>
      </c>
      <c r="C6222" s="1">
        <v>45673</v>
      </c>
    </row>
    <row r="6223" spans="1:3" x14ac:dyDescent="0.25">
      <c r="A6223" t="s">
        <v>7504</v>
      </c>
      <c r="B6223" t="s">
        <v>39</v>
      </c>
      <c r="C6223" s="1">
        <v>45709</v>
      </c>
    </row>
    <row r="6224" spans="1:3" x14ac:dyDescent="0.25">
      <c r="A6224" t="s">
        <v>7505</v>
      </c>
      <c r="B6224" t="s">
        <v>8188</v>
      </c>
      <c r="C6224" s="1">
        <v>45677</v>
      </c>
    </row>
    <row r="6225" spans="1:3" x14ac:dyDescent="0.25">
      <c r="A6225" t="s">
        <v>7506</v>
      </c>
      <c r="B6225" t="s">
        <v>39</v>
      </c>
      <c r="C6225" s="1">
        <v>45686</v>
      </c>
    </row>
    <row r="6226" spans="1:3" x14ac:dyDescent="0.25">
      <c r="A6226" t="s">
        <v>7507</v>
      </c>
      <c r="B6226" t="s">
        <v>8188</v>
      </c>
      <c r="C6226" s="1">
        <v>45839</v>
      </c>
    </row>
    <row r="6227" spans="1:3" x14ac:dyDescent="0.25">
      <c r="A6227" t="s">
        <v>7508</v>
      </c>
      <c r="B6227" t="s">
        <v>39</v>
      </c>
      <c r="C6227" s="1"/>
    </row>
    <row r="6228" spans="1:3" x14ac:dyDescent="0.25">
      <c r="A6228" t="s">
        <v>7509</v>
      </c>
      <c r="B6228" t="s">
        <v>8188</v>
      </c>
      <c r="C6228" s="1">
        <v>45699</v>
      </c>
    </row>
    <row r="6229" spans="1:3" x14ac:dyDescent="0.25">
      <c r="A6229" t="s">
        <v>7510</v>
      </c>
      <c r="B6229" t="s">
        <v>8188</v>
      </c>
      <c r="C6229" s="1">
        <v>45709</v>
      </c>
    </row>
    <row r="6230" spans="1:3" x14ac:dyDescent="0.25">
      <c r="A6230" t="s">
        <v>7511</v>
      </c>
      <c r="B6230" t="s">
        <v>8188</v>
      </c>
      <c r="C6230" s="1">
        <v>45672</v>
      </c>
    </row>
    <row r="6231" spans="1:3" x14ac:dyDescent="0.25">
      <c r="A6231" t="s">
        <v>7511</v>
      </c>
      <c r="B6231" t="s">
        <v>8188</v>
      </c>
      <c r="C6231" s="1">
        <v>45712</v>
      </c>
    </row>
    <row r="6232" spans="1:3" x14ac:dyDescent="0.25">
      <c r="A6232" t="s">
        <v>7512</v>
      </c>
      <c r="B6232" t="s">
        <v>39</v>
      </c>
      <c r="C6232" s="1">
        <v>45686</v>
      </c>
    </row>
    <row r="6233" spans="1:3" x14ac:dyDescent="0.25">
      <c r="A6233" t="s">
        <v>7512</v>
      </c>
      <c r="B6233" t="s">
        <v>8188</v>
      </c>
      <c r="C6233" s="1">
        <v>45694</v>
      </c>
    </row>
    <row r="6234" spans="1:3" x14ac:dyDescent="0.25">
      <c r="A6234" t="s">
        <v>7513</v>
      </c>
      <c r="B6234" t="s">
        <v>39</v>
      </c>
      <c r="C6234" s="1"/>
    </row>
    <row r="6235" spans="1:3" x14ac:dyDescent="0.25">
      <c r="A6235" t="s">
        <v>7514</v>
      </c>
      <c r="B6235" t="s">
        <v>8188</v>
      </c>
      <c r="C6235" s="1">
        <v>45653</v>
      </c>
    </row>
    <row r="6236" spans="1:3" x14ac:dyDescent="0.25">
      <c r="A6236" t="s">
        <v>7515</v>
      </c>
      <c r="B6236" t="s">
        <v>8188</v>
      </c>
      <c r="C6236" s="1">
        <v>45666</v>
      </c>
    </row>
    <row r="6237" spans="1:3" x14ac:dyDescent="0.25">
      <c r="A6237" t="s">
        <v>7516</v>
      </c>
      <c r="B6237" t="s">
        <v>39</v>
      </c>
      <c r="C6237" s="1">
        <v>45686</v>
      </c>
    </row>
    <row r="6238" spans="1:3" x14ac:dyDescent="0.25">
      <c r="A6238" t="s">
        <v>7517</v>
      </c>
      <c r="B6238" t="s">
        <v>8188</v>
      </c>
      <c r="C6238" s="1">
        <v>45667</v>
      </c>
    </row>
    <row r="6239" spans="1:3" x14ac:dyDescent="0.25">
      <c r="A6239" t="s">
        <v>7518</v>
      </c>
      <c r="B6239" t="s">
        <v>8188</v>
      </c>
      <c r="C6239" s="1">
        <v>45670</v>
      </c>
    </row>
    <row r="6240" spans="1:3" x14ac:dyDescent="0.25">
      <c r="A6240" t="s">
        <v>7519</v>
      </c>
      <c r="B6240" t="s">
        <v>8188</v>
      </c>
      <c r="C6240" s="1">
        <v>45667</v>
      </c>
    </row>
    <row r="6241" spans="1:3" x14ac:dyDescent="0.25">
      <c r="A6241" t="s">
        <v>7520</v>
      </c>
      <c r="B6241" t="s">
        <v>8188</v>
      </c>
      <c r="C6241" s="1">
        <v>45694</v>
      </c>
    </row>
    <row r="6242" spans="1:3" x14ac:dyDescent="0.25">
      <c r="A6242" t="s">
        <v>7521</v>
      </c>
      <c r="B6242" t="s">
        <v>8188</v>
      </c>
      <c r="C6242" s="1">
        <v>45708</v>
      </c>
    </row>
    <row r="6243" spans="1:3" x14ac:dyDescent="0.25">
      <c r="A6243" t="s">
        <v>7522</v>
      </c>
      <c r="B6243" t="s">
        <v>8188</v>
      </c>
      <c r="C6243" s="1">
        <v>45737</v>
      </c>
    </row>
    <row r="6244" spans="1:3" x14ac:dyDescent="0.25">
      <c r="A6244" t="s">
        <v>7523</v>
      </c>
      <c r="B6244" t="s">
        <v>8188</v>
      </c>
      <c r="C6244" s="1">
        <v>45668</v>
      </c>
    </row>
    <row r="6245" spans="1:3" x14ac:dyDescent="0.25">
      <c r="A6245" t="s">
        <v>7524</v>
      </c>
      <c r="B6245" t="s">
        <v>8188</v>
      </c>
      <c r="C6245" s="1">
        <v>45644</v>
      </c>
    </row>
    <row r="6246" spans="1:3" x14ac:dyDescent="0.25">
      <c r="A6246" t="s">
        <v>7525</v>
      </c>
      <c r="B6246" t="s">
        <v>8188</v>
      </c>
      <c r="C6246" s="1">
        <v>45737</v>
      </c>
    </row>
    <row r="6247" spans="1:3" x14ac:dyDescent="0.25">
      <c r="A6247" t="s">
        <v>7526</v>
      </c>
      <c r="B6247" t="s">
        <v>8188</v>
      </c>
      <c r="C6247" s="1">
        <v>45667</v>
      </c>
    </row>
    <row r="6248" spans="1:3" x14ac:dyDescent="0.25">
      <c r="A6248" t="s">
        <v>7527</v>
      </c>
      <c r="B6248" t="s">
        <v>8188</v>
      </c>
      <c r="C6248" s="1">
        <v>45666</v>
      </c>
    </row>
    <row r="6249" spans="1:3" x14ac:dyDescent="0.25">
      <c r="A6249" t="s">
        <v>7528</v>
      </c>
      <c r="B6249" t="s">
        <v>8188</v>
      </c>
      <c r="C6249" s="1">
        <v>45737</v>
      </c>
    </row>
    <row r="6250" spans="1:3" x14ac:dyDescent="0.25">
      <c r="A6250" t="s">
        <v>7529</v>
      </c>
      <c r="B6250" t="s">
        <v>8188</v>
      </c>
      <c r="C6250" s="1">
        <v>45645</v>
      </c>
    </row>
    <row r="6251" spans="1:3" x14ac:dyDescent="0.25">
      <c r="A6251" t="s">
        <v>7530</v>
      </c>
      <c r="B6251" t="s">
        <v>8188</v>
      </c>
      <c r="C6251" s="1">
        <v>45712</v>
      </c>
    </row>
    <row r="6252" spans="1:3" x14ac:dyDescent="0.25">
      <c r="A6252" t="s">
        <v>7531</v>
      </c>
      <c r="B6252" t="s">
        <v>8188</v>
      </c>
      <c r="C6252" s="1">
        <v>45667</v>
      </c>
    </row>
    <row r="6253" spans="1:3" x14ac:dyDescent="0.25">
      <c r="A6253" t="s">
        <v>7532</v>
      </c>
      <c r="B6253" t="s">
        <v>8188</v>
      </c>
      <c r="C6253" s="1">
        <v>45688</v>
      </c>
    </row>
    <row r="6254" spans="1:3" x14ac:dyDescent="0.25">
      <c r="A6254" t="s">
        <v>7533</v>
      </c>
      <c r="B6254" t="s">
        <v>8188</v>
      </c>
      <c r="C6254" s="1">
        <v>45737</v>
      </c>
    </row>
    <row r="6255" spans="1:3" x14ac:dyDescent="0.25">
      <c r="A6255" t="s">
        <v>7533</v>
      </c>
      <c r="B6255" t="s">
        <v>8188</v>
      </c>
      <c r="C6255" s="1">
        <v>45717</v>
      </c>
    </row>
    <row r="6256" spans="1:3" x14ac:dyDescent="0.25">
      <c r="A6256" t="s">
        <v>7534</v>
      </c>
      <c r="B6256" t="s">
        <v>8188</v>
      </c>
      <c r="C6256" s="1">
        <v>45654</v>
      </c>
    </row>
    <row r="6257" spans="1:3" x14ac:dyDescent="0.25">
      <c r="A6257" t="s">
        <v>7535</v>
      </c>
      <c r="B6257" t="s">
        <v>8188</v>
      </c>
      <c r="C6257" s="1">
        <v>45737</v>
      </c>
    </row>
    <row r="6258" spans="1:3" x14ac:dyDescent="0.25">
      <c r="A6258" t="s">
        <v>7536</v>
      </c>
      <c r="B6258" t="s">
        <v>39</v>
      </c>
      <c r="C6258" s="1">
        <v>45679</v>
      </c>
    </row>
    <row r="6259" spans="1:3" x14ac:dyDescent="0.25">
      <c r="A6259" t="s">
        <v>7537</v>
      </c>
      <c r="B6259" t="s">
        <v>8188</v>
      </c>
      <c r="C6259" s="1">
        <v>45674</v>
      </c>
    </row>
    <row r="6260" spans="1:3" x14ac:dyDescent="0.25">
      <c r="A6260" t="s">
        <v>7538</v>
      </c>
      <c r="B6260" t="s">
        <v>8188</v>
      </c>
      <c r="C6260" s="1">
        <v>45654</v>
      </c>
    </row>
    <row r="6261" spans="1:3" x14ac:dyDescent="0.25">
      <c r="A6261" t="s">
        <v>7539</v>
      </c>
      <c r="B6261" t="s">
        <v>8188</v>
      </c>
      <c r="C6261" s="1">
        <v>45666</v>
      </c>
    </row>
    <row r="6262" spans="1:3" x14ac:dyDescent="0.25">
      <c r="A6262" t="s">
        <v>7540</v>
      </c>
      <c r="B6262" t="s">
        <v>8188</v>
      </c>
      <c r="C6262" s="1">
        <v>45666</v>
      </c>
    </row>
    <row r="6263" spans="1:3" x14ac:dyDescent="0.25">
      <c r="A6263" t="s">
        <v>7541</v>
      </c>
      <c r="B6263" t="s">
        <v>8188</v>
      </c>
      <c r="C6263" s="1">
        <v>45668</v>
      </c>
    </row>
    <row r="6264" spans="1:3" x14ac:dyDescent="0.25">
      <c r="A6264" t="s">
        <v>7542</v>
      </c>
      <c r="B6264" t="s">
        <v>8188</v>
      </c>
      <c r="C6264" s="1">
        <v>45699</v>
      </c>
    </row>
    <row r="6265" spans="1:3" x14ac:dyDescent="0.25">
      <c r="A6265" t="s">
        <v>7543</v>
      </c>
      <c r="B6265" t="s">
        <v>8188</v>
      </c>
      <c r="C6265" s="1">
        <v>45653</v>
      </c>
    </row>
    <row r="6266" spans="1:3" x14ac:dyDescent="0.25">
      <c r="A6266" t="s">
        <v>7543</v>
      </c>
      <c r="B6266" t="s">
        <v>8188</v>
      </c>
      <c r="C6266" s="1">
        <v>45653</v>
      </c>
    </row>
    <row r="6267" spans="1:3" x14ac:dyDescent="0.25">
      <c r="A6267" t="s">
        <v>7544</v>
      </c>
      <c r="B6267" t="s">
        <v>8188</v>
      </c>
      <c r="C6267" s="1">
        <v>45670</v>
      </c>
    </row>
    <row r="6268" spans="1:3" x14ac:dyDescent="0.25">
      <c r="A6268" t="s">
        <v>7545</v>
      </c>
      <c r="B6268" t="s">
        <v>8188</v>
      </c>
      <c r="C6268" s="1">
        <v>45670</v>
      </c>
    </row>
    <row r="6269" spans="1:3" x14ac:dyDescent="0.25">
      <c r="A6269" t="s">
        <v>7546</v>
      </c>
      <c r="B6269" t="s">
        <v>8188</v>
      </c>
      <c r="C6269" s="1">
        <v>45654</v>
      </c>
    </row>
    <row r="6270" spans="1:3" x14ac:dyDescent="0.25">
      <c r="A6270" t="s">
        <v>7547</v>
      </c>
      <c r="B6270" t="s">
        <v>39</v>
      </c>
      <c r="C6270" s="1"/>
    </row>
    <row r="6271" spans="1:3" x14ac:dyDescent="0.25">
      <c r="A6271" t="s">
        <v>7548</v>
      </c>
      <c r="B6271" t="s">
        <v>8188</v>
      </c>
      <c r="C6271" s="1">
        <v>45666</v>
      </c>
    </row>
    <row r="6272" spans="1:3" x14ac:dyDescent="0.25">
      <c r="A6272" t="s">
        <v>7549</v>
      </c>
      <c r="B6272" t="s">
        <v>8188</v>
      </c>
      <c r="C6272" s="1">
        <v>45661</v>
      </c>
    </row>
    <row r="6273" spans="1:3" x14ac:dyDescent="0.25">
      <c r="A6273" t="s">
        <v>7550</v>
      </c>
      <c r="B6273" t="s">
        <v>8188</v>
      </c>
      <c r="C6273" s="1">
        <v>45672</v>
      </c>
    </row>
    <row r="6274" spans="1:3" x14ac:dyDescent="0.25">
      <c r="A6274" t="s">
        <v>7551</v>
      </c>
      <c r="B6274" t="s">
        <v>39</v>
      </c>
      <c r="C6274" s="1"/>
    </row>
    <row r="6275" spans="1:3" x14ac:dyDescent="0.25">
      <c r="A6275" t="s">
        <v>7552</v>
      </c>
      <c r="B6275" t="s">
        <v>8188</v>
      </c>
      <c r="C6275" s="1">
        <v>45654</v>
      </c>
    </row>
    <row r="6276" spans="1:3" x14ac:dyDescent="0.25">
      <c r="A6276" t="s">
        <v>7553</v>
      </c>
      <c r="B6276" t="s">
        <v>8188</v>
      </c>
      <c r="C6276" s="1">
        <v>45667</v>
      </c>
    </row>
    <row r="6277" spans="1:3" x14ac:dyDescent="0.25">
      <c r="A6277" t="s">
        <v>7554</v>
      </c>
      <c r="B6277" t="s">
        <v>8188</v>
      </c>
      <c r="C6277" s="1">
        <v>45667</v>
      </c>
    </row>
    <row r="6278" spans="1:3" x14ac:dyDescent="0.25">
      <c r="A6278" t="s">
        <v>7555</v>
      </c>
      <c r="B6278" t="s">
        <v>8188</v>
      </c>
      <c r="C6278" s="1">
        <v>45694</v>
      </c>
    </row>
    <row r="6279" spans="1:3" x14ac:dyDescent="0.25">
      <c r="A6279" t="s">
        <v>7556</v>
      </c>
      <c r="B6279" t="s">
        <v>8188</v>
      </c>
      <c r="C6279" s="1">
        <v>45657</v>
      </c>
    </row>
    <row r="6280" spans="1:3" x14ac:dyDescent="0.25">
      <c r="A6280" t="s">
        <v>7557</v>
      </c>
      <c r="B6280" t="s">
        <v>8188</v>
      </c>
      <c r="C6280" s="1">
        <v>45667</v>
      </c>
    </row>
    <row r="6281" spans="1:3" x14ac:dyDescent="0.25">
      <c r="A6281" t="s">
        <v>7558</v>
      </c>
      <c r="B6281" t="s">
        <v>8188</v>
      </c>
      <c r="C6281" s="1">
        <v>45667</v>
      </c>
    </row>
    <row r="6282" spans="1:3" x14ac:dyDescent="0.25">
      <c r="A6282" t="s">
        <v>7559</v>
      </c>
      <c r="B6282" t="s">
        <v>8188</v>
      </c>
      <c r="C6282" s="1">
        <v>45668</v>
      </c>
    </row>
    <row r="6283" spans="1:3" x14ac:dyDescent="0.25">
      <c r="A6283" t="s">
        <v>7560</v>
      </c>
      <c r="B6283" t="s">
        <v>8188</v>
      </c>
      <c r="C6283" s="1">
        <v>45669</v>
      </c>
    </row>
    <row r="6284" spans="1:3" x14ac:dyDescent="0.25">
      <c r="A6284" t="s">
        <v>7561</v>
      </c>
      <c r="B6284" t="s">
        <v>8188</v>
      </c>
      <c r="C6284" s="1">
        <v>45775</v>
      </c>
    </row>
    <row r="6285" spans="1:3" x14ac:dyDescent="0.25">
      <c r="A6285" t="s">
        <v>7562</v>
      </c>
      <c r="B6285" t="s">
        <v>8188</v>
      </c>
      <c r="C6285" s="1">
        <v>45737</v>
      </c>
    </row>
    <row r="6286" spans="1:3" x14ac:dyDescent="0.25">
      <c r="A6286" t="s">
        <v>7563</v>
      </c>
      <c r="B6286" t="s">
        <v>8188</v>
      </c>
      <c r="C6286" s="1">
        <v>45713</v>
      </c>
    </row>
    <row r="6287" spans="1:3" x14ac:dyDescent="0.25">
      <c r="A6287" t="s">
        <v>7564</v>
      </c>
      <c r="B6287" t="s">
        <v>8188</v>
      </c>
      <c r="C6287" s="1">
        <v>45668</v>
      </c>
    </row>
    <row r="6288" spans="1:3" x14ac:dyDescent="0.25">
      <c r="A6288" t="s">
        <v>7565</v>
      </c>
      <c r="B6288" t="s">
        <v>39</v>
      </c>
      <c r="C6288" s="1"/>
    </row>
    <row r="6289" spans="1:3" x14ac:dyDescent="0.25">
      <c r="A6289" t="s">
        <v>7566</v>
      </c>
      <c r="B6289" t="s">
        <v>8188</v>
      </c>
      <c r="C6289" s="1">
        <v>45693</v>
      </c>
    </row>
    <row r="6290" spans="1:3" x14ac:dyDescent="0.25">
      <c r="A6290" t="s">
        <v>7567</v>
      </c>
      <c r="B6290" t="s">
        <v>8188</v>
      </c>
      <c r="C6290" s="1">
        <v>45667</v>
      </c>
    </row>
    <row r="6291" spans="1:3" x14ac:dyDescent="0.25">
      <c r="A6291" t="s">
        <v>7568</v>
      </c>
      <c r="B6291" t="s">
        <v>8188</v>
      </c>
      <c r="C6291" s="1">
        <v>45673</v>
      </c>
    </row>
    <row r="6292" spans="1:3" x14ac:dyDescent="0.25">
      <c r="A6292" t="s">
        <v>7569</v>
      </c>
      <c r="B6292" t="s">
        <v>8188</v>
      </c>
      <c r="C6292" s="1">
        <v>45796</v>
      </c>
    </row>
    <row r="6293" spans="1:3" x14ac:dyDescent="0.25">
      <c r="A6293" t="s">
        <v>7570</v>
      </c>
      <c r="B6293" t="s">
        <v>8188</v>
      </c>
      <c r="C6293" s="1">
        <v>45778</v>
      </c>
    </row>
    <row r="6294" spans="1:3" x14ac:dyDescent="0.25">
      <c r="A6294" t="s">
        <v>7571</v>
      </c>
      <c r="B6294" t="s">
        <v>8188</v>
      </c>
      <c r="C6294" s="1">
        <v>45665</v>
      </c>
    </row>
    <row r="6295" spans="1:3" x14ac:dyDescent="0.25">
      <c r="A6295" t="s">
        <v>7572</v>
      </c>
      <c r="B6295" t="s">
        <v>39</v>
      </c>
      <c r="C6295" s="1">
        <v>45686</v>
      </c>
    </row>
    <row r="6296" spans="1:3" x14ac:dyDescent="0.25">
      <c r="A6296" t="s">
        <v>7573</v>
      </c>
      <c r="B6296" t="s">
        <v>39</v>
      </c>
      <c r="C6296" s="1"/>
    </row>
    <row r="6297" spans="1:3" x14ac:dyDescent="0.25">
      <c r="A6297" t="s">
        <v>7574</v>
      </c>
      <c r="B6297" t="s">
        <v>39</v>
      </c>
      <c r="C6297" s="1"/>
    </row>
    <row r="6298" spans="1:3" x14ac:dyDescent="0.25">
      <c r="A6298" t="s">
        <v>7575</v>
      </c>
      <c r="B6298" t="s">
        <v>8188</v>
      </c>
      <c r="C6298" s="1">
        <v>45742</v>
      </c>
    </row>
    <row r="6299" spans="1:3" x14ac:dyDescent="0.25">
      <c r="A6299" t="s">
        <v>7576</v>
      </c>
      <c r="B6299" t="s">
        <v>8188</v>
      </c>
      <c r="C6299" s="1">
        <v>45792</v>
      </c>
    </row>
    <row r="6300" spans="1:3" x14ac:dyDescent="0.25">
      <c r="A6300" t="s">
        <v>7577</v>
      </c>
      <c r="B6300" t="s">
        <v>8188</v>
      </c>
      <c r="C6300" s="1">
        <v>45693</v>
      </c>
    </row>
    <row r="6301" spans="1:3" x14ac:dyDescent="0.25">
      <c r="A6301" t="s">
        <v>7578</v>
      </c>
      <c r="B6301" t="s">
        <v>8188</v>
      </c>
      <c r="C6301" s="1">
        <v>45674</v>
      </c>
    </row>
    <row r="6302" spans="1:3" x14ac:dyDescent="0.25">
      <c r="A6302" t="s">
        <v>7579</v>
      </c>
      <c r="B6302" t="s">
        <v>8188</v>
      </c>
      <c r="C6302" s="1">
        <v>45693</v>
      </c>
    </row>
    <row r="6303" spans="1:3" x14ac:dyDescent="0.25">
      <c r="A6303" t="s">
        <v>7580</v>
      </c>
      <c r="B6303" t="s">
        <v>8188</v>
      </c>
      <c r="C6303" s="1">
        <v>45693</v>
      </c>
    </row>
    <row r="6304" spans="1:3" x14ac:dyDescent="0.25">
      <c r="A6304" t="s">
        <v>7581</v>
      </c>
      <c r="B6304" t="s">
        <v>8188</v>
      </c>
      <c r="C6304" s="1">
        <v>45833</v>
      </c>
    </row>
    <row r="6305" spans="1:3" x14ac:dyDescent="0.25">
      <c r="A6305" t="s">
        <v>7582</v>
      </c>
      <c r="B6305" t="s">
        <v>8188</v>
      </c>
      <c r="C6305" s="1">
        <v>45757</v>
      </c>
    </row>
    <row r="6306" spans="1:3" x14ac:dyDescent="0.25">
      <c r="A6306" t="s">
        <v>7583</v>
      </c>
      <c r="B6306" t="s">
        <v>8188</v>
      </c>
      <c r="C6306" s="1">
        <v>45693</v>
      </c>
    </row>
    <row r="6307" spans="1:3" x14ac:dyDescent="0.25">
      <c r="A6307" t="s">
        <v>7584</v>
      </c>
      <c r="B6307" t="s">
        <v>8188</v>
      </c>
      <c r="C6307" s="1">
        <v>45693</v>
      </c>
    </row>
    <row r="6308" spans="1:3" x14ac:dyDescent="0.25">
      <c r="A6308" t="s">
        <v>7585</v>
      </c>
      <c r="B6308" t="s">
        <v>8188</v>
      </c>
      <c r="C6308" s="1">
        <v>45668</v>
      </c>
    </row>
    <row r="6309" spans="1:3" x14ac:dyDescent="0.25">
      <c r="A6309" t="s">
        <v>7586</v>
      </c>
      <c r="B6309" t="s">
        <v>8188</v>
      </c>
      <c r="C6309" s="1">
        <v>45693</v>
      </c>
    </row>
    <row r="6310" spans="1:3" x14ac:dyDescent="0.25">
      <c r="A6310" t="s">
        <v>7587</v>
      </c>
      <c r="B6310" t="s">
        <v>8188</v>
      </c>
      <c r="C6310" s="1">
        <v>45693</v>
      </c>
    </row>
    <row r="6311" spans="1:3" x14ac:dyDescent="0.25">
      <c r="A6311" t="s">
        <v>7588</v>
      </c>
      <c r="B6311" t="s">
        <v>8188</v>
      </c>
      <c r="C6311" s="1">
        <v>45668</v>
      </c>
    </row>
    <row r="6312" spans="1:3" x14ac:dyDescent="0.25">
      <c r="A6312" t="s">
        <v>7589</v>
      </c>
      <c r="B6312" t="s">
        <v>8188</v>
      </c>
      <c r="C6312" s="1">
        <v>45693</v>
      </c>
    </row>
    <row r="6313" spans="1:3" x14ac:dyDescent="0.25">
      <c r="A6313" t="s">
        <v>7590</v>
      </c>
      <c r="B6313" t="s">
        <v>39</v>
      </c>
      <c r="C6313" s="1"/>
    </row>
    <row r="6314" spans="1:3" x14ac:dyDescent="0.25">
      <c r="A6314" t="s">
        <v>7591</v>
      </c>
      <c r="B6314" t="s">
        <v>8188</v>
      </c>
      <c r="C6314" s="1">
        <v>45661</v>
      </c>
    </row>
    <row r="6315" spans="1:3" x14ac:dyDescent="0.25">
      <c r="A6315" t="s">
        <v>7592</v>
      </c>
      <c r="B6315" t="s">
        <v>8188</v>
      </c>
      <c r="C6315" s="1">
        <v>45693</v>
      </c>
    </row>
    <row r="6316" spans="1:3" x14ac:dyDescent="0.25">
      <c r="A6316" t="s">
        <v>7593</v>
      </c>
      <c r="B6316" t="s">
        <v>8188</v>
      </c>
      <c r="C6316" s="1">
        <v>45668</v>
      </c>
    </row>
    <row r="6317" spans="1:3" x14ac:dyDescent="0.25">
      <c r="A6317" t="s">
        <v>7594</v>
      </c>
      <c r="B6317" t="s">
        <v>8188</v>
      </c>
      <c r="C6317" s="1">
        <v>45665</v>
      </c>
    </row>
    <row r="6318" spans="1:3" x14ac:dyDescent="0.25">
      <c r="A6318" t="s">
        <v>7595</v>
      </c>
      <c r="B6318" t="s">
        <v>39</v>
      </c>
      <c r="C6318" s="1"/>
    </row>
    <row r="6319" spans="1:3" x14ac:dyDescent="0.25">
      <c r="A6319" t="s">
        <v>7596</v>
      </c>
      <c r="B6319" t="s">
        <v>8188</v>
      </c>
      <c r="C6319" s="1">
        <v>45709</v>
      </c>
    </row>
    <row r="6320" spans="1:3" x14ac:dyDescent="0.25">
      <c r="A6320" t="s">
        <v>7597</v>
      </c>
      <c r="B6320" t="s">
        <v>8188</v>
      </c>
      <c r="C6320" s="1">
        <v>45693</v>
      </c>
    </row>
    <row r="6321" spans="1:3" x14ac:dyDescent="0.25">
      <c r="A6321" t="s">
        <v>7597</v>
      </c>
      <c r="B6321" t="s">
        <v>8188</v>
      </c>
      <c r="C6321" s="1">
        <v>45854</v>
      </c>
    </row>
    <row r="6322" spans="1:3" x14ac:dyDescent="0.25">
      <c r="A6322" t="s">
        <v>7597</v>
      </c>
      <c r="B6322" t="s">
        <v>8188</v>
      </c>
      <c r="C6322" s="1">
        <v>45892</v>
      </c>
    </row>
    <row r="6323" spans="1:3" x14ac:dyDescent="0.25">
      <c r="A6323" t="s">
        <v>7598</v>
      </c>
      <c r="B6323" t="s">
        <v>8188</v>
      </c>
      <c r="C6323" s="1">
        <v>45693</v>
      </c>
    </row>
    <row r="6324" spans="1:3" x14ac:dyDescent="0.25">
      <c r="A6324" t="s">
        <v>7599</v>
      </c>
      <c r="B6324" t="s">
        <v>8188</v>
      </c>
      <c r="C6324" s="1">
        <v>45713</v>
      </c>
    </row>
    <row r="6325" spans="1:3" x14ac:dyDescent="0.25">
      <c r="A6325" t="s">
        <v>7600</v>
      </c>
      <c r="B6325" t="s">
        <v>8188</v>
      </c>
      <c r="C6325" s="1">
        <v>45797</v>
      </c>
    </row>
    <row r="6326" spans="1:3" x14ac:dyDescent="0.25">
      <c r="A6326" t="s">
        <v>7601</v>
      </c>
      <c r="B6326" t="s">
        <v>8188</v>
      </c>
      <c r="C6326" s="1">
        <v>45670</v>
      </c>
    </row>
    <row r="6327" spans="1:3" x14ac:dyDescent="0.25">
      <c r="A6327" t="s">
        <v>7602</v>
      </c>
      <c r="B6327" t="s">
        <v>8188</v>
      </c>
      <c r="C6327" s="1">
        <v>45670</v>
      </c>
    </row>
    <row r="6328" spans="1:3" x14ac:dyDescent="0.25">
      <c r="A6328" t="s">
        <v>7603</v>
      </c>
      <c r="B6328" t="s">
        <v>8188</v>
      </c>
      <c r="C6328" s="1">
        <v>45666</v>
      </c>
    </row>
    <row r="6329" spans="1:3" x14ac:dyDescent="0.25">
      <c r="A6329" t="s">
        <v>7604</v>
      </c>
      <c r="B6329" t="s">
        <v>8188</v>
      </c>
      <c r="C6329" s="1">
        <v>45708</v>
      </c>
    </row>
    <row r="6330" spans="1:3" x14ac:dyDescent="0.25">
      <c r="A6330" t="s">
        <v>7605</v>
      </c>
      <c r="B6330" t="s">
        <v>8188</v>
      </c>
      <c r="C6330" s="1">
        <v>45669</v>
      </c>
    </row>
    <row r="6331" spans="1:3" x14ac:dyDescent="0.25">
      <c r="A6331" t="s">
        <v>7606</v>
      </c>
      <c r="B6331" t="s">
        <v>8188</v>
      </c>
      <c r="C6331" s="1">
        <v>45709</v>
      </c>
    </row>
    <row r="6332" spans="1:3" x14ac:dyDescent="0.25">
      <c r="A6332" t="s">
        <v>7607</v>
      </c>
      <c r="B6332" t="s">
        <v>8188</v>
      </c>
      <c r="C6332" s="1">
        <v>45797</v>
      </c>
    </row>
    <row r="6333" spans="1:3" x14ac:dyDescent="0.25">
      <c r="A6333" t="s">
        <v>7608</v>
      </c>
      <c r="B6333" t="s">
        <v>8188</v>
      </c>
      <c r="C6333" s="1">
        <v>45680</v>
      </c>
    </row>
    <row r="6334" spans="1:3" x14ac:dyDescent="0.25">
      <c r="A6334" t="s">
        <v>7609</v>
      </c>
      <c r="B6334" t="s">
        <v>8188</v>
      </c>
      <c r="C6334" s="1">
        <v>45699</v>
      </c>
    </row>
    <row r="6335" spans="1:3" x14ac:dyDescent="0.25">
      <c r="A6335" t="s">
        <v>7610</v>
      </c>
      <c r="B6335" t="s">
        <v>8188</v>
      </c>
      <c r="C6335" s="1">
        <v>45752</v>
      </c>
    </row>
    <row r="6336" spans="1:3" x14ac:dyDescent="0.25">
      <c r="A6336" t="s">
        <v>7611</v>
      </c>
      <c r="B6336" t="s">
        <v>39</v>
      </c>
      <c r="C6336" s="1"/>
    </row>
    <row r="6337" spans="1:3" x14ac:dyDescent="0.25">
      <c r="A6337" t="s">
        <v>7612</v>
      </c>
      <c r="B6337" t="s">
        <v>8188</v>
      </c>
      <c r="C6337" s="1">
        <v>45666</v>
      </c>
    </row>
    <row r="6338" spans="1:3" x14ac:dyDescent="0.25">
      <c r="A6338" t="s">
        <v>7613</v>
      </c>
      <c r="B6338" t="s">
        <v>8188</v>
      </c>
      <c r="C6338" s="1">
        <v>45737</v>
      </c>
    </row>
    <row r="6339" spans="1:3" x14ac:dyDescent="0.25">
      <c r="A6339" t="s">
        <v>7614</v>
      </c>
      <c r="B6339" t="s">
        <v>8188</v>
      </c>
      <c r="C6339" s="1">
        <v>45712</v>
      </c>
    </row>
    <row r="6340" spans="1:3" x14ac:dyDescent="0.25">
      <c r="A6340" t="s">
        <v>7615</v>
      </c>
      <c r="B6340" t="s">
        <v>8188</v>
      </c>
      <c r="C6340" s="1">
        <v>45687</v>
      </c>
    </row>
    <row r="6341" spans="1:3" x14ac:dyDescent="0.25">
      <c r="A6341" t="s">
        <v>7616</v>
      </c>
      <c r="B6341" t="s">
        <v>8188</v>
      </c>
      <c r="C6341" s="1">
        <v>45713</v>
      </c>
    </row>
    <row r="6342" spans="1:3" x14ac:dyDescent="0.25">
      <c r="A6342" t="s">
        <v>7617</v>
      </c>
      <c r="B6342" t="s">
        <v>8188</v>
      </c>
      <c r="C6342" s="1">
        <v>45665</v>
      </c>
    </row>
    <row r="6343" spans="1:3" x14ac:dyDescent="0.25">
      <c r="A6343" t="s">
        <v>7618</v>
      </c>
      <c r="B6343" t="s">
        <v>8188</v>
      </c>
      <c r="C6343" s="1">
        <v>45709</v>
      </c>
    </row>
    <row r="6344" spans="1:3" x14ac:dyDescent="0.25">
      <c r="A6344" t="s">
        <v>7619</v>
      </c>
      <c r="B6344" t="s">
        <v>8188</v>
      </c>
      <c r="C6344" s="1">
        <v>45677</v>
      </c>
    </row>
    <row r="6345" spans="1:3" x14ac:dyDescent="0.25">
      <c r="A6345" t="s">
        <v>7620</v>
      </c>
      <c r="B6345" t="s">
        <v>8188</v>
      </c>
      <c r="C6345" s="1">
        <v>45698</v>
      </c>
    </row>
    <row r="6346" spans="1:3" x14ac:dyDescent="0.25">
      <c r="A6346" t="s">
        <v>7621</v>
      </c>
      <c r="B6346" t="s">
        <v>8188</v>
      </c>
      <c r="C6346" s="1">
        <v>45712</v>
      </c>
    </row>
    <row r="6347" spans="1:3" x14ac:dyDescent="0.25">
      <c r="A6347" t="s">
        <v>7622</v>
      </c>
      <c r="B6347" t="s">
        <v>8188</v>
      </c>
      <c r="C6347" s="1">
        <v>45712</v>
      </c>
    </row>
    <row r="6348" spans="1:3" x14ac:dyDescent="0.25">
      <c r="A6348" t="s">
        <v>7623</v>
      </c>
      <c r="B6348" t="s">
        <v>8188</v>
      </c>
      <c r="C6348" s="1">
        <v>45742</v>
      </c>
    </row>
    <row r="6349" spans="1:3" x14ac:dyDescent="0.25">
      <c r="A6349" t="s">
        <v>7624</v>
      </c>
      <c r="B6349" t="s">
        <v>8188</v>
      </c>
      <c r="C6349" s="1">
        <v>45832</v>
      </c>
    </row>
    <row r="6350" spans="1:3" x14ac:dyDescent="0.25">
      <c r="A6350" t="s">
        <v>7625</v>
      </c>
      <c r="B6350" t="s">
        <v>8188</v>
      </c>
      <c r="C6350" s="1">
        <v>45669</v>
      </c>
    </row>
    <row r="6351" spans="1:3" x14ac:dyDescent="0.25">
      <c r="A6351" t="s">
        <v>7626</v>
      </c>
      <c r="B6351" t="s">
        <v>8188</v>
      </c>
      <c r="C6351" s="1">
        <v>45686</v>
      </c>
    </row>
    <row r="6352" spans="1:3" x14ac:dyDescent="0.25">
      <c r="A6352" t="s">
        <v>7627</v>
      </c>
      <c r="B6352" t="s">
        <v>8188</v>
      </c>
      <c r="C6352" s="1">
        <v>45712</v>
      </c>
    </row>
    <row r="6353" spans="1:3" x14ac:dyDescent="0.25">
      <c r="A6353" t="s">
        <v>7628</v>
      </c>
      <c r="B6353" t="s">
        <v>8188</v>
      </c>
      <c r="C6353" s="1">
        <v>45686</v>
      </c>
    </row>
    <row r="6354" spans="1:3" x14ac:dyDescent="0.25">
      <c r="A6354" t="s">
        <v>7629</v>
      </c>
      <c r="B6354" t="s">
        <v>8188</v>
      </c>
      <c r="C6354" s="1">
        <v>45715</v>
      </c>
    </row>
    <row r="6355" spans="1:3" x14ac:dyDescent="0.25">
      <c r="A6355" t="s">
        <v>7630</v>
      </c>
      <c r="B6355" t="s">
        <v>8188</v>
      </c>
      <c r="C6355" s="1">
        <v>45790</v>
      </c>
    </row>
    <row r="6356" spans="1:3" x14ac:dyDescent="0.25">
      <c r="A6356" t="s">
        <v>7631</v>
      </c>
      <c r="B6356" t="s">
        <v>8188</v>
      </c>
      <c r="C6356" s="1">
        <v>45666</v>
      </c>
    </row>
    <row r="6357" spans="1:3" x14ac:dyDescent="0.25">
      <c r="A6357" t="s">
        <v>7632</v>
      </c>
      <c r="B6357" t="s">
        <v>8188</v>
      </c>
      <c r="C6357" s="1">
        <v>45710</v>
      </c>
    </row>
    <row r="6358" spans="1:3" x14ac:dyDescent="0.25">
      <c r="A6358" t="s">
        <v>7633</v>
      </c>
      <c r="B6358" t="s">
        <v>8188</v>
      </c>
      <c r="C6358" s="1">
        <v>45713</v>
      </c>
    </row>
    <row r="6359" spans="1:3" x14ac:dyDescent="0.25">
      <c r="A6359" t="s">
        <v>7634</v>
      </c>
      <c r="B6359" t="s">
        <v>8188</v>
      </c>
      <c r="C6359" s="1">
        <v>45694</v>
      </c>
    </row>
    <row r="6360" spans="1:3" x14ac:dyDescent="0.25">
      <c r="A6360" t="s">
        <v>7635</v>
      </c>
      <c r="B6360" t="s">
        <v>8188</v>
      </c>
      <c r="C6360" s="1">
        <v>45829</v>
      </c>
    </row>
    <row r="6361" spans="1:3" x14ac:dyDescent="0.25">
      <c r="A6361" t="s">
        <v>7636</v>
      </c>
      <c r="B6361" t="s">
        <v>8188</v>
      </c>
      <c r="C6361" s="1">
        <v>45694</v>
      </c>
    </row>
    <row r="6362" spans="1:3" x14ac:dyDescent="0.25">
      <c r="A6362" t="s">
        <v>7637</v>
      </c>
      <c r="B6362" t="s">
        <v>8188</v>
      </c>
      <c r="C6362" s="1">
        <v>45673</v>
      </c>
    </row>
    <row r="6363" spans="1:3" x14ac:dyDescent="0.25">
      <c r="A6363" t="s">
        <v>7638</v>
      </c>
      <c r="B6363" t="s">
        <v>8188</v>
      </c>
      <c r="C6363" s="1">
        <v>45752</v>
      </c>
    </row>
    <row r="6364" spans="1:3" x14ac:dyDescent="0.25">
      <c r="A6364" t="s">
        <v>7639</v>
      </c>
      <c r="B6364" t="s">
        <v>8188</v>
      </c>
      <c r="C6364" s="1">
        <v>45717</v>
      </c>
    </row>
    <row r="6365" spans="1:3" x14ac:dyDescent="0.25">
      <c r="A6365" t="s">
        <v>7640</v>
      </c>
      <c r="B6365" t="s">
        <v>8188</v>
      </c>
      <c r="C6365" s="1">
        <v>45710</v>
      </c>
    </row>
    <row r="6366" spans="1:3" x14ac:dyDescent="0.25">
      <c r="A6366" t="s">
        <v>7641</v>
      </c>
      <c r="B6366" t="s">
        <v>8188</v>
      </c>
      <c r="C6366" s="1">
        <v>45737</v>
      </c>
    </row>
    <row r="6367" spans="1:3" x14ac:dyDescent="0.25">
      <c r="A6367" t="s">
        <v>7642</v>
      </c>
      <c r="B6367" t="s">
        <v>8188</v>
      </c>
      <c r="C6367" s="1">
        <v>45713</v>
      </c>
    </row>
    <row r="6368" spans="1:3" x14ac:dyDescent="0.25">
      <c r="A6368" t="s">
        <v>7643</v>
      </c>
      <c r="B6368" t="s">
        <v>8188</v>
      </c>
      <c r="C6368" s="1">
        <v>45780</v>
      </c>
    </row>
    <row r="6369" spans="1:3" x14ac:dyDescent="0.25">
      <c r="A6369" t="s">
        <v>7644</v>
      </c>
      <c r="B6369" t="s">
        <v>8188</v>
      </c>
      <c r="C6369" s="1">
        <v>45673</v>
      </c>
    </row>
    <row r="6370" spans="1:3" x14ac:dyDescent="0.25">
      <c r="A6370" t="s">
        <v>7645</v>
      </c>
      <c r="B6370" t="s">
        <v>8188</v>
      </c>
      <c r="C6370" s="1">
        <v>45700</v>
      </c>
    </row>
    <row r="6371" spans="1:3" x14ac:dyDescent="0.25">
      <c r="A6371" t="s">
        <v>7646</v>
      </c>
      <c r="B6371" t="s">
        <v>8188</v>
      </c>
      <c r="C6371" s="1">
        <v>45780</v>
      </c>
    </row>
    <row r="6372" spans="1:3" x14ac:dyDescent="0.25">
      <c r="A6372" t="s">
        <v>7647</v>
      </c>
      <c r="B6372" t="s">
        <v>8188</v>
      </c>
      <c r="C6372" s="1">
        <v>45746</v>
      </c>
    </row>
    <row r="6373" spans="1:3" x14ac:dyDescent="0.25">
      <c r="A6373" t="s">
        <v>7648</v>
      </c>
      <c r="B6373" t="s">
        <v>8188</v>
      </c>
      <c r="C6373" s="1">
        <v>45742</v>
      </c>
    </row>
    <row r="6374" spans="1:3" x14ac:dyDescent="0.25">
      <c r="A6374" t="s">
        <v>7649</v>
      </c>
      <c r="B6374" t="s">
        <v>8188</v>
      </c>
      <c r="C6374" s="1">
        <v>45709</v>
      </c>
    </row>
    <row r="6375" spans="1:3" x14ac:dyDescent="0.25">
      <c r="A6375" t="s">
        <v>7650</v>
      </c>
      <c r="B6375" t="s">
        <v>8188</v>
      </c>
      <c r="C6375" s="1">
        <v>45705</v>
      </c>
    </row>
    <row r="6376" spans="1:3" x14ac:dyDescent="0.25">
      <c r="A6376" t="s">
        <v>7651</v>
      </c>
      <c r="B6376" t="s">
        <v>8188</v>
      </c>
      <c r="C6376" s="1">
        <v>45713</v>
      </c>
    </row>
    <row r="6377" spans="1:3" x14ac:dyDescent="0.25">
      <c r="A6377" t="s">
        <v>7651</v>
      </c>
      <c r="B6377" t="s">
        <v>8188</v>
      </c>
      <c r="C6377" s="1">
        <v>45709</v>
      </c>
    </row>
    <row r="6378" spans="1:3" x14ac:dyDescent="0.25">
      <c r="A6378" t="s">
        <v>7652</v>
      </c>
      <c r="B6378" t="s">
        <v>8188</v>
      </c>
      <c r="C6378" s="1">
        <v>45687</v>
      </c>
    </row>
    <row r="6379" spans="1:3" x14ac:dyDescent="0.25">
      <c r="A6379" t="s">
        <v>7653</v>
      </c>
      <c r="B6379" t="s">
        <v>8188</v>
      </c>
      <c r="C6379" s="1">
        <v>45778</v>
      </c>
    </row>
    <row r="6380" spans="1:3" x14ac:dyDescent="0.25">
      <c r="A6380" t="s">
        <v>7654</v>
      </c>
      <c r="B6380" t="s">
        <v>39</v>
      </c>
      <c r="C6380" s="1"/>
    </row>
    <row r="6381" spans="1:3" x14ac:dyDescent="0.25">
      <c r="A6381" t="s">
        <v>7655</v>
      </c>
      <c r="B6381" t="s">
        <v>8188</v>
      </c>
      <c r="C6381" s="1">
        <v>45735</v>
      </c>
    </row>
    <row r="6382" spans="1:3" x14ac:dyDescent="0.25">
      <c r="A6382" t="s">
        <v>7656</v>
      </c>
      <c r="B6382" t="s">
        <v>8188</v>
      </c>
      <c r="C6382" s="1">
        <v>45692</v>
      </c>
    </row>
    <row r="6383" spans="1:3" x14ac:dyDescent="0.25">
      <c r="A6383" t="s">
        <v>7657</v>
      </c>
      <c r="B6383" t="s">
        <v>8188</v>
      </c>
      <c r="C6383" s="1">
        <v>45694</v>
      </c>
    </row>
    <row r="6384" spans="1:3" x14ac:dyDescent="0.25">
      <c r="A6384" t="s">
        <v>7658</v>
      </c>
      <c r="B6384" t="s">
        <v>8188</v>
      </c>
      <c r="C6384" s="1">
        <v>45694</v>
      </c>
    </row>
    <row r="6385" spans="1:3" x14ac:dyDescent="0.25">
      <c r="A6385" t="s">
        <v>7659</v>
      </c>
      <c r="B6385" t="s">
        <v>8188</v>
      </c>
      <c r="C6385" s="1">
        <v>45752</v>
      </c>
    </row>
    <row r="6386" spans="1:3" x14ac:dyDescent="0.25">
      <c r="A6386" t="s">
        <v>7660</v>
      </c>
      <c r="B6386" t="s">
        <v>8188</v>
      </c>
      <c r="C6386" s="1">
        <v>45778</v>
      </c>
    </row>
    <row r="6387" spans="1:3" x14ac:dyDescent="0.25">
      <c r="A6387" t="s">
        <v>7661</v>
      </c>
      <c r="B6387" t="s">
        <v>8188</v>
      </c>
      <c r="C6387" s="1">
        <v>45689</v>
      </c>
    </row>
    <row r="6388" spans="1:3" x14ac:dyDescent="0.25">
      <c r="A6388" t="s">
        <v>7662</v>
      </c>
      <c r="B6388" t="s">
        <v>8188</v>
      </c>
      <c r="C6388" s="1">
        <v>45778</v>
      </c>
    </row>
    <row r="6389" spans="1:3" x14ac:dyDescent="0.25">
      <c r="A6389" t="s">
        <v>7663</v>
      </c>
      <c r="B6389" t="s">
        <v>8188</v>
      </c>
      <c r="C6389" s="1">
        <v>45694</v>
      </c>
    </row>
    <row r="6390" spans="1:3" x14ac:dyDescent="0.25">
      <c r="A6390" t="s">
        <v>7664</v>
      </c>
      <c r="B6390" t="s">
        <v>8188</v>
      </c>
      <c r="C6390" s="1">
        <v>45694</v>
      </c>
    </row>
    <row r="6391" spans="1:3" x14ac:dyDescent="0.25">
      <c r="A6391" t="s">
        <v>7665</v>
      </c>
      <c r="B6391" t="s">
        <v>8188</v>
      </c>
      <c r="C6391" s="1">
        <v>45694</v>
      </c>
    </row>
    <row r="6392" spans="1:3" x14ac:dyDescent="0.25">
      <c r="A6392" t="s">
        <v>7666</v>
      </c>
      <c r="B6392" t="s">
        <v>8188</v>
      </c>
      <c r="C6392" s="1">
        <v>45793</v>
      </c>
    </row>
    <row r="6393" spans="1:3" x14ac:dyDescent="0.25">
      <c r="A6393" t="s">
        <v>7667</v>
      </c>
      <c r="B6393" t="s">
        <v>8188</v>
      </c>
      <c r="C6393" s="1">
        <v>45687</v>
      </c>
    </row>
    <row r="6394" spans="1:3" x14ac:dyDescent="0.25">
      <c r="A6394" t="s">
        <v>7668</v>
      </c>
      <c r="B6394" t="s">
        <v>8188</v>
      </c>
      <c r="C6394" s="1">
        <v>45724</v>
      </c>
    </row>
    <row r="6395" spans="1:3" x14ac:dyDescent="0.25">
      <c r="A6395" t="s">
        <v>7669</v>
      </c>
      <c r="B6395" t="s">
        <v>39</v>
      </c>
      <c r="C6395" s="1"/>
    </row>
    <row r="6396" spans="1:3" x14ac:dyDescent="0.25">
      <c r="A6396" t="s">
        <v>7670</v>
      </c>
      <c r="B6396" t="s">
        <v>8188</v>
      </c>
      <c r="C6396" s="1">
        <v>45673</v>
      </c>
    </row>
    <row r="6397" spans="1:3" x14ac:dyDescent="0.25">
      <c r="A6397" t="s">
        <v>7671</v>
      </c>
      <c r="B6397" t="s">
        <v>8188</v>
      </c>
      <c r="C6397" s="1">
        <v>45673</v>
      </c>
    </row>
    <row r="6398" spans="1:3" x14ac:dyDescent="0.25">
      <c r="A6398" t="s">
        <v>7672</v>
      </c>
      <c r="B6398" t="s">
        <v>8188</v>
      </c>
      <c r="C6398" s="1">
        <v>45673</v>
      </c>
    </row>
    <row r="6399" spans="1:3" x14ac:dyDescent="0.25">
      <c r="A6399" t="s">
        <v>7673</v>
      </c>
      <c r="B6399" t="s">
        <v>8188</v>
      </c>
      <c r="C6399" s="1">
        <v>45673</v>
      </c>
    </row>
    <row r="6400" spans="1:3" x14ac:dyDescent="0.25">
      <c r="A6400" t="s">
        <v>7674</v>
      </c>
      <c r="B6400" t="s">
        <v>8188</v>
      </c>
      <c r="C6400" s="1">
        <v>45684</v>
      </c>
    </row>
    <row r="6401" spans="1:3" x14ac:dyDescent="0.25">
      <c r="A6401" t="s">
        <v>7675</v>
      </c>
      <c r="B6401" t="s">
        <v>8188</v>
      </c>
      <c r="C6401" s="1">
        <v>45678</v>
      </c>
    </row>
    <row r="6402" spans="1:3" x14ac:dyDescent="0.25">
      <c r="A6402" t="s">
        <v>7676</v>
      </c>
      <c r="B6402" t="s">
        <v>8188</v>
      </c>
      <c r="C6402" s="1">
        <v>45673</v>
      </c>
    </row>
    <row r="6403" spans="1:3" x14ac:dyDescent="0.25">
      <c r="A6403" t="s">
        <v>7677</v>
      </c>
      <c r="B6403" t="s">
        <v>8188</v>
      </c>
      <c r="C6403" s="1">
        <v>45673</v>
      </c>
    </row>
    <row r="6404" spans="1:3" x14ac:dyDescent="0.25">
      <c r="A6404" t="s">
        <v>7678</v>
      </c>
      <c r="B6404" t="s">
        <v>8188</v>
      </c>
      <c r="C6404" s="1">
        <v>45684</v>
      </c>
    </row>
    <row r="6405" spans="1:3" x14ac:dyDescent="0.25">
      <c r="A6405" t="s">
        <v>7678</v>
      </c>
      <c r="B6405" t="s">
        <v>8188</v>
      </c>
      <c r="C6405" s="1">
        <v>45737</v>
      </c>
    </row>
    <row r="6406" spans="1:3" x14ac:dyDescent="0.25">
      <c r="A6406" t="s">
        <v>7679</v>
      </c>
      <c r="B6406" t="s">
        <v>8188</v>
      </c>
      <c r="C6406" s="1">
        <v>45684</v>
      </c>
    </row>
    <row r="6407" spans="1:3" x14ac:dyDescent="0.25">
      <c r="A6407" t="s">
        <v>7680</v>
      </c>
      <c r="B6407" t="s">
        <v>8188</v>
      </c>
      <c r="C6407" s="1">
        <v>45684</v>
      </c>
    </row>
    <row r="6408" spans="1:3" x14ac:dyDescent="0.25">
      <c r="A6408" t="s">
        <v>7681</v>
      </c>
      <c r="B6408" t="s">
        <v>8188</v>
      </c>
      <c r="C6408" s="1">
        <v>45684</v>
      </c>
    </row>
    <row r="6409" spans="1:3" x14ac:dyDescent="0.25">
      <c r="A6409" t="s">
        <v>7682</v>
      </c>
      <c r="B6409" t="s">
        <v>8188</v>
      </c>
      <c r="C6409" s="1">
        <v>45700</v>
      </c>
    </row>
    <row r="6410" spans="1:3" x14ac:dyDescent="0.25">
      <c r="A6410" t="s">
        <v>7683</v>
      </c>
      <c r="B6410" t="s">
        <v>8188</v>
      </c>
      <c r="C6410" s="1">
        <v>45684</v>
      </c>
    </row>
    <row r="6411" spans="1:3" x14ac:dyDescent="0.25">
      <c r="A6411" t="s">
        <v>7684</v>
      </c>
      <c r="B6411" t="s">
        <v>8188</v>
      </c>
      <c r="C6411" s="1">
        <v>45669</v>
      </c>
    </row>
    <row r="6412" spans="1:3" x14ac:dyDescent="0.25">
      <c r="A6412" t="s">
        <v>7685</v>
      </c>
      <c r="B6412" t="s">
        <v>8188</v>
      </c>
      <c r="C6412" s="1">
        <v>45684</v>
      </c>
    </row>
    <row r="6413" spans="1:3" x14ac:dyDescent="0.25">
      <c r="A6413" t="s">
        <v>7686</v>
      </c>
      <c r="B6413" t="s">
        <v>8188</v>
      </c>
      <c r="C6413" s="1">
        <v>45673</v>
      </c>
    </row>
    <row r="6414" spans="1:3" x14ac:dyDescent="0.25">
      <c r="A6414" t="s">
        <v>7687</v>
      </c>
      <c r="B6414" t="s">
        <v>8188</v>
      </c>
      <c r="C6414" s="1">
        <v>45713</v>
      </c>
    </row>
    <row r="6415" spans="1:3" x14ac:dyDescent="0.25">
      <c r="A6415" t="s">
        <v>7688</v>
      </c>
      <c r="B6415" t="s">
        <v>8188</v>
      </c>
      <c r="C6415" s="1">
        <v>45673</v>
      </c>
    </row>
    <row r="6416" spans="1:3" x14ac:dyDescent="0.25">
      <c r="A6416" t="s">
        <v>7689</v>
      </c>
      <c r="B6416" t="s">
        <v>8188</v>
      </c>
      <c r="C6416" s="1">
        <v>45742</v>
      </c>
    </row>
    <row r="6417" spans="1:3" x14ac:dyDescent="0.25">
      <c r="A6417" t="s">
        <v>7690</v>
      </c>
      <c r="B6417" t="s">
        <v>8188</v>
      </c>
      <c r="C6417" s="1">
        <v>45689</v>
      </c>
    </row>
    <row r="6418" spans="1:3" x14ac:dyDescent="0.25">
      <c r="A6418" t="s">
        <v>7691</v>
      </c>
      <c r="B6418" t="s">
        <v>8188</v>
      </c>
      <c r="C6418" s="1">
        <v>45778</v>
      </c>
    </row>
    <row r="6419" spans="1:3" x14ac:dyDescent="0.25">
      <c r="A6419" t="s">
        <v>7692</v>
      </c>
      <c r="B6419" t="s">
        <v>8188</v>
      </c>
      <c r="C6419" s="1">
        <v>45793</v>
      </c>
    </row>
    <row r="6420" spans="1:3" x14ac:dyDescent="0.25">
      <c r="A6420" t="s">
        <v>7693</v>
      </c>
      <c r="B6420" t="s">
        <v>8188</v>
      </c>
      <c r="C6420" s="1">
        <v>45694</v>
      </c>
    </row>
    <row r="6421" spans="1:3" x14ac:dyDescent="0.25">
      <c r="A6421" t="s">
        <v>7694</v>
      </c>
      <c r="B6421" t="s">
        <v>8188</v>
      </c>
      <c r="C6421" s="1">
        <v>45686</v>
      </c>
    </row>
    <row r="6422" spans="1:3" x14ac:dyDescent="0.25">
      <c r="A6422" t="s">
        <v>7695</v>
      </c>
      <c r="B6422" t="s">
        <v>8188</v>
      </c>
      <c r="C6422" s="1">
        <v>45713</v>
      </c>
    </row>
    <row r="6423" spans="1:3" x14ac:dyDescent="0.25">
      <c r="A6423" t="s">
        <v>7696</v>
      </c>
      <c r="B6423" t="s">
        <v>8188</v>
      </c>
      <c r="C6423" s="1">
        <v>45707</v>
      </c>
    </row>
    <row r="6424" spans="1:3" x14ac:dyDescent="0.25">
      <c r="A6424" t="s">
        <v>7697</v>
      </c>
      <c r="B6424" t="s">
        <v>8188</v>
      </c>
      <c r="C6424" s="1">
        <v>45694</v>
      </c>
    </row>
    <row r="6425" spans="1:3" x14ac:dyDescent="0.25">
      <c r="A6425" t="s">
        <v>7697</v>
      </c>
      <c r="B6425" t="s">
        <v>8188</v>
      </c>
      <c r="C6425" s="1">
        <v>45724</v>
      </c>
    </row>
    <row r="6426" spans="1:3" x14ac:dyDescent="0.25">
      <c r="A6426" t="s">
        <v>7698</v>
      </c>
      <c r="B6426" t="s">
        <v>8188</v>
      </c>
      <c r="C6426" s="1">
        <v>45709</v>
      </c>
    </row>
    <row r="6427" spans="1:3" x14ac:dyDescent="0.25">
      <c r="A6427" t="s">
        <v>7699</v>
      </c>
      <c r="B6427" t="s">
        <v>8188</v>
      </c>
      <c r="C6427" s="1">
        <v>45745</v>
      </c>
    </row>
    <row r="6428" spans="1:3" x14ac:dyDescent="0.25">
      <c r="A6428" t="s">
        <v>7700</v>
      </c>
      <c r="B6428" t="s">
        <v>8188</v>
      </c>
      <c r="C6428" s="1">
        <v>45684</v>
      </c>
    </row>
    <row r="6429" spans="1:3" x14ac:dyDescent="0.25">
      <c r="A6429" t="s">
        <v>7701</v>
      </c>
      <c r="B6429" t="s">
        <v>8188</v>
      </c>
      <c r="C6429" s="1">
        <v>45678</v>
      </c>
    </row>
    <row r="6430" spans="1:3" x14ac:dyDescent="0.25">
      <c r="A6430" t="s">
        <v>7702</v>
      </c>
      <c r="B6430" t="s">
        <v>39</v>
      </c>
      <c r="C6430" s="1">
        <v>45686</v>
      </c>
    </row>
    <row r="6431" spans="1:3" x14ac:dyDescent="0.25">
      <c r="A6431" t="s">
        <v>7703</v>
      </c>
      <c r="B6431" t="s">
        <v>39</v>
      </c>
      <c r="C6431" s="1">
        <v>45754</v>
      </c>
    </row>
    <row r="6432" spans="1:3" x14ac:dyDescent="0.25">
      <c r="A6432" t="s">
        <v>7704</v>
      </c>
      <c r="B6432" t="s">
        <v>39</v>
      </c>
      <c r="C6432" s="1">
        <v>45686</v>
      </c>
    </row>
    <row r="6433" spans="1:3" x14ac:dyDescent="0.25">
      <c r="A6433" t="s">
        <v>7705</v>
      </c>
      <c r="B6433" t="s">
        <v>8188</v>
      </c>
      <c r="C6433" s="1">
        <v>45735</v>
      </c>
    </row>
    <row r="6434" spans="1:3" x14ac:dyDescent="0.25">
      <c r="A6434" t="s">
        <v>7706</v>
      </c>
      <c r="B6434" t="s">
        <v>8188</v>
      </c>
      <c r="C6434" s="1">
        <v>45694</v>
      </c>
    </row>
    <row r="6435" spans="1:3" x14ac:dyDescent="0.25">
      <c r="A6435" t="s">
        <v>7707</v>
      </c>
      <c r="B6435" t="s">
        <v>8188</v>
      </c>
      <c r="C6435" s="1">
        <v>45699</v>
      </c>
    </row>
    <row r="6436" spans="1:3" x14ac:dyDescent="0.25">
      <c r="A6436" t="s">
        <v>7708</v>
      </c>
      <c r="B6436" t="s">
        <v>8188</v>
      </c>
      <c r="C6436" s="1">
        <v>45775</v>
      </c>
    </row>
    <row r="6437" spans="1:3" x14ac:dyDescent="0.25">
      <c r="A6437" t="s">
        <v>7709</v>
      </c>
      <c r="B6437" t="s">
        <v>8188</v>
      </c>
      <c r="C6437" s="1">
        <v>45717</v>
      </c>
    </row>
    <row r="6438" spans="1:3" x14ac:dyDescent="0.25">
      <c r="A6438" t="s">
        <v>7710</v>
      </c>
      <c r="B6438" t="s">
        <v>8188</v>
      </c>
      <c r="C6438" s="1">
        <v>45736</v>
      </c>
    </row>
    <row r="6439" spans="1:3" x14ac:dyDescent="0.25">
      <c r="A6439" t="s">
        <v>7711</v>
      </c>
      <c r="B6439" t="s">
        <v>8188</v>
      </c>
      <c r="C6439" s="1">
        <v>45674</v>
      </c>
    </row>
    <row r="6440" spans="1:3" x14ac:dyDescent="0.25">
      <c r="A6440" t="s">
        <v>7712</v>
      </c>
      <c r="B6440" t="s">
        <v>8188</v>
      </c>
      <c r="C6440" s="1">
        <v>45726</v>
      </c>
    </row>
    <row r="6441" spans="1:3" x14ac:dyDescent="0.25">
      <c r="A6441" t="s">
        <v>7713</v>
      </c>
      <c r="B6441" t="s">
        <v>8188</v>
      </c>
      <c r="C6441" s="1">
        <v>45708</v>
      </c>
    </row>
    <row r="6442" spans="1:3" x14ac:dyDescent="0.25">
      <c r="A6442" t="s">
        <v>7714</v>
      </c>
      <c r="B6442" t="s">
        <v>39</v>
      </c>
      <c r="C6442" s="1"/>
    </row>
    <row r="6443" spans="1:3" x14ac:dyDescent="0.25">
      <c r="A6443" t="s">
        <v>7715</v>
      </c>
      <c r="B6443" t="s">
        <v>8188</v>
      </c>
      <c r="C6443" s="1">
        <v>45688</v>
      </c>
    </row>
    <row r="6444" spans="1:3" x14ac:dyDescent="0.25">
      <c r="A6444" t="s">
        <v>7716</v>
      </c>
      <c r="B6444" t="s">
        <v>8188</v>
      </c>
      <c r="C6444" s="1">
        <v>45764</v>
      </c>
    </row>
    <row r="6445" spans="1:3" x14ac:dyDescent="0.25">
      <c r="A6445" t="s">
        <v>7717</v>
      </c>
      <c r="B6445" t="s">
        <v>8188</v>
      </c>
      <c r="C6445" s="1">
        <v>45709</v>
      </c>
    </row>
    <row r="6446" spans="1:3" x14ac:dyDescent="0.25">
      <c r="A6446" t="s">
        <v>7718</v>
      </c>
      <c r="B6446" t="s">
        <v>8188</v>
      </c>
      <c r="C6446" s="1">
        <v>45734</v>
      </c>
    </row>
    <row r="6447" spans="1:3" x14ac:dyDescent="0.25">
      <c r="A6447" t="s">
        <v>7719</v>
      </c>
      <c r="B6447" t="s">
        <v>8188</v>
      </c>
      <c r="C6447" s="1">
        <v>45712</v>
      </c>
    </row>
    <row r="6448" spans="1:3" x14ac:dyDescent="0.25">
      <c r="A6448" t="s">
        <v>7720</v>
      </c>
      <c r="B6448" t="s">
        <v>8188</v>
      </c>
      <c r="C6448" s="1">
        <v>45712</v>
      </c>
    </row>
    <row r="6449" spans="1:3" x14ac:dyDescent="0.25">
      <c r="A6449" t="s">
        <v>7721</v>
      </c>
      <c r="B6449" t="s">
        <v>8188</v>
      </c>
      <c r="C6449" s="1">
        <v>45742</v>
      </c>
    </row>
    <row r="6450" spans="1:3" x14ac:dyDescent="0.25">
      <c r="A6450" t="s">
        <v>7722</v>
      </c>
      <c r="B6450" t="s">
        <v>8188</v>
      </c>
      <c r="C6450" s="1">
        <v>45682</v>
      </c>
    </row>
    <row r="6451" spans="1:3" x14ac:dyDescent="0.25">
      <c r="A6451" t="s">
        <v>7723</v>
      </c>
      <c r="B6451" t="s">
        <v>8188</v>
      </c>
      <c r="C6451" s="1">
        <v>45709</v>
      </c>
    </row>
    <row r="6452" spans="1:3" x14ac:dyDescent="0.25">
      <c r="A6452" t="s">
        <v>7724</v>
      </c>
      <c r="B6452" t="s">
        <v>8188</v>
      </c>
      <c r="C6452" s="1">
        <v>45734</v>
      </c>
    </row>
    <row r="6453" spans="1:3" x14ac:dyDescent="0.25">
      <c r="A6453" t="s">
        <v>7724</v>
      </c>
      <c r="B6453" t="s">
        <v>39</v>
      </c>
      <c r="C6453" s="1"/>
    </row>
    <row r="6454" spans="1:3" x14ac:dyDescent="0.25">
      <c r="A6454" t="s">
        <v>7725</v>
      </c>
      <c r="B6454" t="s">
        <v>8188</v>
      </c>
      <c r="C6454" s="1">
        <v>45743</v>
      </c>
    </row>
    <row r="6455" spans="1:3" x14ac:dyDescent="0.25">
      <c r="A6455" t="s">
        <v>7726</v>
      </c>
      <c r="B6455" t="s">
        <v>8188</v>
      </c>
      <c r="C6455" s="1">
        <v>45699</v>
      </c>
    </row>
    <row r="6456" spans="1:3" x14ac:dyDescent="0.25">
      <c r="A6456" t="s">
        <v>7727</v>
      </c>
      <c r="B6456" t="s">
        <v>8188</v>
      </c>
      <c r="C6456" s="1">
        <v>45699</v>
      </c>
    </row>
    <row r="6457" spans="1:3" x14ac:dyDescent="0.25">
      <c r="A6457" t="s">
        <v>7728</v>
      </c>
      <c r="B6457" t="s">
        <v>8188</v>
      </c>
      <c r="C6457" s="1">
        <v>45737</v>
      </c>
    </row>
    <row r="6458" spans="1:3" x14ac:dyDescent="0.25">
      <c r="A6458" t="s">
        <v>7729</v>
      </c>
      <c r="B6458" t="s">
        <v>8188</v>
      </c>
      <c r="C6458" s="1">
        <v>45709</v>
      </c>
    </row>
    <row r="6459" spans="1:3" x14ac:dyDescent="0.25">
      <c r="A6459" t="s">
        <v>7730</v>
      </c>
      <c r="B6459" t="s">
        <v>8188</v>
      </c>
      <c r="C6459" s="1">
        <v>45752</v>
      </c>
    </row>
    <row r="6460" spans="1:3" x14ac:dyDescent="0.25">
      <c r="A6460" t="s">
        <v>7731</v>
      </c>
      <c r="B6460" t="s">
        <v>8188</v>
      </c>
      <c r="C6460" s="1">
        <v>45712</v>
      </c>
    </row>
    <row r="6461" spans="1:3" x14ac:dyDescent="0.25">
      <c r="A6461" t="s">
        <v>7732</v>
      </c>
      <c r="B6461" t="s">
        <v>8188</v>
      </c>
      <c r="C6461" s="1">
        <v>45698</v>
      </c>
    </row>
    <row r="6462" spans="1:3" x14ac:dyDescent="0.25">
      <c r="A6462" t="s">
        <v>7733</v>
      </c>
      <c r="B6462" t="s">
        <v>8188</v>
      </c>
      <c r="C6462" s="1">
        <v>45674</v>
      </c>
    </row>
    <row r="6463" spans="1:3" x14ac:dyDescent="0.25">
      <c r="A6463" t="s">
        <v>7734</v>
      </c>
      <c r="B6463" t="s">
        <v>8188</v>
      </c>
      <c r="C6463" s="1">
        <v>45708</v>
      </c>
    </row>
    <row r="6464" spans="1:3" x14ac:dyDescent="0.25">
      <c r="A6464" t="s">
        <v>7735</v>
      </c>
      <c r="B6464" t="s">
        <v>8188</v>
      </c>
      <c r="C6464" s="1">
        <v>45817</v>
      </c>
    </row>
    <row r="6465" spans="1:3" x14ac:dyDescent="0.25">
      <c r="A6465" t="s">
        <v>7736</v>
      </c>
      <c r="B6465" t="s">
        <v>8188</v>
      </c>
      <c r="C6465" s="1">
        <v>45685</v>
      </c>
    </row>
    <row r="6466" spans="1:3" x14ac:dyDescent="0.25">
      <c r="A6466" t="s">
        <v>7737</v>
      </c>
      <c r="B6466" t="s">
        <v>8188</v>
      </c>
      <c r="C6466" s="1">
        <v>45698</v>
      </c>
    </row>
    <row r="6467" spans="1:3" x14ac:dyDescent="0.25">
      <c r="A6467" t="s">
        <v>7738</v>
      </c>
      <c r="B6467" t="s">
        <v>8188</v>
      </c>
      <c r="C6467" s="1">
        <v>45694</v>
      </c>
    </row>
    <row r="6468" spans="1:3" x14ac:dyDescent="0.25">
      <c r="A6468" t="s">
        <v>7739</v>
      </c>
      <c r="B6468" t="s">
        <v>8188</v>
      </c>
      <c r="C6468" s="1">
        <v>45698</v>
      </c>
    </row>
    <row r="6469" spans="1:3" x14ac:dyDescent="0.25">
      <c r="A6469" t="s">
        <v>6664</v>
      </c>
      <c r="B6469" t="s">
        <v>39</v>
      </c>
      <c r="C6469" s="1"/>
    </row>
    <row r="6470" spans="1:3" x14ac:dyDescent="0.25">
      <c r="A6470" t="s">
        <v>7740</v>
      </c>
      <c r="B6470" t="s">
        <v>8188</v>
      </c>
      <c r="C6470" s="1">
        <v>45689</v>
      </c>
    </row>
    <row r="6471" spans="1:3" x14ac:dyDescent="0.25">
      <c r="A6471" t="s">
        <v>7740</v>
      </c>
      <c r="B6471" t="s">
        <v>8188</v>
      </c>
      <c r="C6471" s="1">
        <v>45700</v>
      </c>
    </row>
    <row r="6472" spans="1:3" x14ac:dyDescent="0.25">
      <c r="A6472" t="s">
        <v>7741</v>
      </c>
      <c r="B6472" t="s">
        <v>8188</v>
      </c>
      <c r="C6472" s="1">
        <v>45765</v>
      </c>
    </row>
    <row r="6473" spans="1:3" x14ac:dyDescent="0.25">
      <c r="A6473" t="s">
        <v>7742</v>
      </c>
      <c r="B6473" t="s">
        <v>8188</v>
      </c>
      <c r="C6473" s="1">
        <v>45695</v>
      </c>
    </row>
    <row r="6474" spans="1:3" x14ac:dyDescent="0.25">
      <c r="A6474" t="s">
        <v>7743</v>
      </c>
      <c r="B6474" t="s">
        <v>8188</v>
      </c>
      <c r="C6474" s="1">
        <v>45709</v>
      </c>
    </row>
    <row r="6475" spans="1:3" x14ac:dyDescent="0.25">
      <c r="A6475" t="s">
        <v>7744</v>
      </c>
      <c r="B6475" t="s">
        <v>8188</v>
      </c>
      <c r="C6475" s="1">
        <v>45734</v>
      </c>
    </row>
    <row r="6476" spans="1:3" x14ac:dyDescent="0.25">
      <c r="A6476" t="s">
        <v>7745</v>
      </c>
      <c r="B6476" t="s">
        <v>8188</v>
      </c>
      <c r="C6476" s="1">
        <v>45709</v>
      </c>
    </row>
    <row r="6477" spans="1:3" x14ac:dyDescent="0.25">
      <c r="A6477" t="s">
        <v>7746</v>
      </c>
      <c r="B6477" t="s">
        <v>8188</v>
      </c>
      <c r="C6477" s="1">
        <v>45717</v>
      </c>
    </row>
    <row r="6478" spans="1:3" x14ac:dyDescent="0.25">
      <c r="A6478" t="s">
        <v>7747</v>
      </c>
      <c r="B6478" t="s">
        <v>8188</v>
      </c>
      <c r="C6478" s="1">
        <v>45675</v>
      </c>
    </row>
    <row r="6479" spans="1:3" x14ac:dyDescent="0.25">
      <c r="A6479" t="s">
        <v>7748</v>
      </c>
      <c r="B6479" t="s">
        <v>8188</v>
      </c>
      <c r="C6479" s="1">
        <v>45709</v>
      </c>
    </row>
    <row r="6480" spans="1:3" x14ac:dyDescent="0.25">
      <c r="A6480" t="s">
        <v>7749</v>
      </c>
      <c r="B6480" t="s">
        <v>8188</v>
      </c>
      <c r="C6480" s="1">
        <v>45793</v>
      </c>
    </row>
    <row r="6481" spans="1:3" x14ac:dyDescent="0.25">
      <c r="A6481" t="s">
        <v>7750</v>
      </c>
      <c r="B6481" t="s">
        <v>8188</v>
      </c>
      <c r="C6481" s="1">
        <v>45792</v>
      </c>
    </row>
    <row r="6482" spans="1:3" x14ac:dyDescent="0.25">
      <c r="A6482" t="s">
        <v>7751</v>
      </c>
      <c r="B6482" t="s">
        <v>8188</v>
      </c>
      <c r="C6482" s="1">
        <v>45742</v>
      </c>
    </row>
    <row r="6483" spans="1:3" x14ac:dyDescent="0.25">
      <c r="A6483" t="s">
        <v>7752</v>
      </c>
      <c r="B6483" t="s">
        <v>8188</v>
      </c>
      <c r="C6483" s="1">
        <v>45723</v>
      </c>
    </row>
    <row r="6484" spans="1:3" x14ac:dyDescent="0.25">
      <c r="A6484" t="s">
        <v>7753</v>
      </c>
      <c r="B6484" t="s">
        <v>8188</v>
      </c>
      <c r="C6484" s="1">
        <v>45793</v>
      </c>
    </row>
    <row r="6485" spans="1:3" x14ac:dyDescent="0.25">
      <c r="A6485" t="s">
        <v>7753</v>
      </c>
      <c r="B6485" t="s">
        <v>8188</v>
      </c>
      <c r="C6485" s="1">
        <v>45793</v>
      </c>
    </row>
    <row r="6486" spans="1:3" x14ac:dyDescent="0.25">
      <c r="A6486" t="s">
        <v>7754</v>
      </c>
      <c r="B6486" t="s">
        <v>8188</v>
      </c>
      <c r="C6486" s="1">
        <v>45792</v>
      </c>
    </row>
    <row r="6487" spans="1:3" x14ac:dyDescent="0.25">
      <c r="A6487" t="s">
        <v>7755</v>
      </c>
      <c r="B6487" t="s">
        <v>8188</v>
      </c>
      <c r="C6487" s="1">
        <v>45684</v>
      </c>
    </row>
    <row r="6488" spans="1:3" x14ac:dyDescent="0.25">
      <c r="A6488" t="s">
        <v>7756</v>
      </c>
      <c r="B6488" t="s">
        <v>8188</v>
      </c>
      <c r="C6488" s="1">
        <v>45751</v>
      </c>
    </row>
    <row r="6489" spans="1:3" x14ac:dyDescent="0.25">
      <c r="A6489" t="s">
        <v>7756</v>
      </c>
      <c r="B6489" t="s">
        <v>8188</v>
      </c>
      <c r="C6489" s="1">
        <v>45751</v>
      </c>
    </row>
    <row r="6490" spans="1:3" x14ac:dyDescent="0.25">
      <c r="A6490" t="s">
        <v>7757</v>
      </c>
      <c r="B6490" t="s">
        <v>8188</v>
      </c>
      <c r="C6490" s="1">
        <v>45734</v>
      </c>
    </row>
    <row r="6491" spans="1:3" x14ac:dyDescent="0.25">
      <c r="A6491" t="s">
        <v>7758</v>
      </c>
      <c r="B6491" t="s">
        <v>8188</v>
      </c>
      <c r="C6491" s="1">
        <v>45765</v>
      </c>
    </row>
    <row r="6492" spans="1:3" x14ac:dyDescent="0.25">
      <c r="A6492" t="s">
        <v>7758</v>
      </c>
      <c r="B6492" t="s">
        <v>39</v>
      </c>
      <c r="C6492" s="1"/>
    </row>
    <row r="6493" spans="1:3" x14ac:dyDescent="0.25">
      <c r="A6493" t="s">
        <v>7759</v>
      </c>
      <c r="B6493" t="s">
        <v>8188</v>
      </c>
      <c r="C6493" s="1">
        <v>45775</v>
      </c>
    </row>
    <row r="6494" spans="1:3" x14ac:dyDescent="0.25">
      <c r="A6494" t="s">
        <v>7760</v>
      </c>
      <c r="B6494" t="s">
        <v>8188</v>
      </c>
      <c r="C6494" s="1">
        <v>45701</v>
      </c>
    </row>
    <row r="6495" spans="1:3" x14ac:dyDescent="0.25">
      <c r="A6495" t="s">
        <v>7761</v>
      </c>
      <c r="B6495" t="s">
        <v>8188</v>
      </c>
      <c r="C6495" s="1">
        <v>45699</v>
      </c>
    </row>
    <row r="6496" spans="1:3" x14ac:dyDescent="0.25">
      <c r="A6496" t="s">
        <v>7762</v>
      </c>
      <c r="B6496" t="s">
        <v>8188</v>
      </c>
      <c r="C6496" s="1">
        <v>45793</v>
      </c>
    </row>
    <row r="6497" spans="1:3" x14ac:dyDescent="0.25">
      <c r="A6497" t="s">
        <v>7762</v>
      </c>
      <c r="B6497" t="s">
        <v>8188</v>
      </c>
      <c r="C6497" s="1">
        <v>45819</v>
      </c>
    </row>
    <row r="6498" spans="1:3" x14ac:dyDescent="0.25">
      <c r="A6498" t="s">
        <v>7763</v>
      </c>
      <c r="B6498" t="s">
        <v>8188</v>
      </c>
      <c r="C6498" s="1">
        <v>45712</v>
      </c>
    </row>
    <row r="6499" spans="1:3" x14ac:dyDescent="0.25">
      <c r="A6499" t="s">
        <v>7764</v>
      </c>
      <c r="B6499" t="s">
        <v>8188</v>
      </c>
      <c r="C6499" s="1">
        <v>45712</v>
      </c>
    </row>
    <row r="6500" spans="1:3" x14ac:dyDescent="0.25">
      <c r="A6500" t="s">
        <v>7765</v>
      </c>
      <c r="B6500" t="s">
        <v>8188</v>
      </c>
      <c r="C6500" s="1">
        <v>45710</v>
      </c>
    </row>
    <row r="6501" spans="1:3" x14ac:dyDescent="0.25">
      <c r="A6501" t="s">
        <v>7766</v>
      </c>
      <c r="B6501" t="s">
        <v>8188</v>
      </c>
      <c r="C6501" s="1">
        <v>45829</v>
      </c>
    </row>
    <row r="6502" spans="1:3" x14ac:dyDescent="0.25">
      <c r="A6502" t="s">
        <v>7767</v>
      </c>
      <c r="B6502" t="s">
        <v>8188</v>
      </c>
      <c r="C6502" s="1">
        <v>45712</v>
      </c>
    </row>
    <row r="6503" spans="1:3" x14ac:dyDescent="0.25">
      <c r="A6503" t="s">
        <v>7768</v>
      </c>
      <c r="B6503" t="s">
        <v>8188</v>
      </c>
      <c r="C6503" s="1">
        <v>45694</v>
      </c>
    </row>
    <row r="6504" spans="1:3" x14ac:dyDescent="0.25">
      <c r="A6504" t="s">
        <v>7769</v>
      </c>
      <c r="B6504" t="s">
        <v>8188</v>
      </c>
      <c r="C6504" s="1">
        <v>45734</v>
      </c>
    </row>
    <row r="6505" spans="1:3" x14ac:dyDescent="0.25">
      <c r="A6505" t="s">
        <v>7770</v>
      </c>
      <c r="B6505" t="s">
        <v>8188</v>
      </c>
      <c r="C6505" s="1">
        <v>45699</v>
      </c>
    </row>
    <row r="6506" spans="1:3" x14ac:dyDescent="0.25">
      <c r="A6506" t="s">
        <v>7771</v>
      </c>
      <c r="B6506" t="s">
        <v>8188</v>
      </c>
      <c r="C6506" s="1">
        <v>45757</v>
      </c>
    </row>
    <row r="6507" spans="1:3" x14ac:dyDescent="0.25">
      <c r="A6507" t="s">
        <v>7772</v>
      </c>
      <c r="B6507" t="s">
        <v>8188</v>
      </c>
      <c r="C6507" s="1">
        <v>45712</v>
      </c>
    </row>
    <row r="6508" spans="1:3" x14ac:dyDescent="0.25">
      <c r="A6508" t="s">
        <v>7773</v>
      </c>
      <c r="B6508" t="s">
        <v>8188</v>
      </c>
      <c r="C6508" s="1">
        <v>45805</v>
      </c>
    </row>
    <row r="6509" spans="1:3" x14ac:dyDescent="0.25">
      <c r="A6509" t="s">
        <v>7773</v>
      </c>
      <c r="B6509" t="s">
        <v>39</v>
      </c>
      <c r="C6509" s="1"/>
    </row>
    <row r="6510" spans="1:3" x14ac:dyDescent="0.25">
      <c r="A6510" t="s">
        <v>7774</v>
      </c>
      <c r="B6510" t="s">
        <v>8188</v>
      </c>
      <c r="C6510" s="1">
        <v>45694</v>
      </c>
    </row>
    <row r="6511" spans="1:3" x14ac:dyDescent="0.25">
      <c r="A6511" t="s">
        <v>7775</v>
      </c>
      <c r="B6511" t="s">
        <v>8188</v>
      </c>
      <c r="C6511" s="1">
        <v>45731</v>
      </c>
    </row>
    <row r="6512" spans="1:3" x14ac:dyDescent="0.25">
      <c r="A6512" t="s">
        <v>7776</v>
      </c>
      <c r="B6512" t="s">
        <v>39</v>
      </c>
      <c r="C6512" s="1"/>
    </row>
    <row r="6513" spans="1:3" x14ac:dyDescent="0.25">
      <c r="A6513" t="s">
        <v>7777</v>
      </c>
      <c r="B6513" t="s">
        <v>8188</v>
      </c>
      <c r="C6513" s="1">
        <v>45834</v>
      </c>
    </row>
    <row r="6514" spans="1:3" x14ac:dyDescent="0.25">
      <c r="A6514" t="s">
        <v>7778</v>
      </c>
      <c r="B6514" t="s">
        <v>8188</v>
      </c>
      <c r="C6514" s="1">
        <v>45712</v>
      </c>
    </row>
    <row r="6515" spans="1:3" x14ac:dyDescent="0.25">
      <c r="A6515" t="s">
        <v>7779</v>
      </c>
      <c r="B6515" t="s">
        <v>8188</v>
      </c>
      <c r="C6515" s="1">
        <v>45699</v>
      </c>
    </row>
    <row r="6516" spans="1:3" x14ac:dyDescent="0.25">
      <c r="A6516" t="s">
        <v>7780</v>
      </c>
      <c r="B6516" t="s">
        <v>8188</v>
      </c>
      <c r="C6516" s="1">
        <v>45694</v>
      </c>
    </row>
    <row r="6517" spans="1:3" x14ac:dyDescent="0.25">
      <c r="A6517" t="s">
        <v>7781</v>
      </c>
      <c r="B6517" t="s">
        <v>8188</v>
      </c>
      <c r="C6517" s="1">
        <v>45745</v>
      </c>
    </row>
    <row r="6518" spans="1:3" x14ac:dyDescent="0.25">
      <c r="A6518" t="s">
        <v>7782</v>
      </c>
      <c r="B6518" t="s">
        <v>8188</v>
      </c>
      <c r="C6518" s="1">
        <v>45699</v>
      </c>
    </row>
    <row r="6519" spans="1:3" x14ac:dyDescent="0.25">
      <c r="A6519" t="s">
        <v>7783</v>
      </c>
      <c r="B6519" t="s">
        <v>8188</v>
      </c>
      <c r="C6519" s="1">
        <v>45728</v>
      </c>
    </row>
    <row r="6520" spans="1:3" x14ac:dyDescent="0.25">
      <c r="A6520" t="s">
        <v>7784</v>
      </c>
      <c r="B6520" t="s">
        <v>8188</v>
      </c>
      <c r="C6520" s="1">
        <v>45699</v>
      </c>
    </row>
    <row r="6521" spans="1:3" x14ac:dyDescent="0.25">
      <c r="A6521" t="s">
        <v>7785</v>
      </c>
      <c r="B6521" t="s">
        <v>39</v>
      </c>
      <c r="C6521" s="1"/>
    </row>
    <row r="6522" spans="1:3" x14ac:dyDescent="0.25">
      <c r="A6522" t="s">
        <v>7786</v>
      </c>
      <c r="B6522" t="s">
        <v>8188</v>
      </c>
      <c r="C6522" s="1">
        <v>45737</v>
      </c>
    </row>
    <row r="6523" spans="1:3" x14ac:dyDescent="0.25">
      <c r="A6523" t="s">
        <v>7787</v>
      </c>
      <c r="B6523" t="s">
        <v>8188</v>
      </c>
      <c r="C6523" s="1">
        <v>45681</v>
      </c>
    </row>
    <row r="6524" spans="1:3" x14ac:dyDescent="0.25">
      <c r="A6524" t="s">
        <v>7788</v>
      </c>
      <c r="B6524" t="s">
        <v>8188</v>
      </c>
      <c r="C6524" s="1">
        <v>45736</v>
      </c>
    </row>
    <row r="6525" spans="1:3" x14ac:dyDescent="0.25">
      <c r="A6525" t="s">
        <v>7789</v>
      </c>
      <c r="B6525" t="s">
        <v>8188</v>
      </c>
      <c r="C6525" s="1">
        <v>45719</v>
      </c>
    </row>
    <row r="6526" spans="1:3" x14ac:dyDescent="0.25">
      <c r="A6526" t="s">
        <v>7789</v>
      </c>
      <c r="B6526" t="s">
        <v>8188</v>
      </c>
      <c r="C6526" s="1">
        <v>45692</v>
      </c>
    </row>
    <row r="6527" spans="1:3" x14ac:dyDescent="0.25">
      <c r="A6527" t="s">
        <v>7790</v>
      </c>
      <c r="B6527" t="s">
        <v>8188</v>
      </c>
      <c r="C6527" s="1">
        <v>45734</v>
      </c>
    </row>
    <row r="6528" spans="1:3" x14ac:dyDescent="0.25">
      <c r="A6528" t="s">
        <v>7791</v>
      </c>
      <c r="B6528" t="s">
        <v>8188</v>
      </c>
      <c r="C6528" s="1">
        <v>45685</v>
      </c>
    </row>
    <row r="6529" spans="1:3" x14ac:dyDescent="0.25">
      <c r="A6529" t="s">
        <v>7792</v>
      </c>
      <c r="B6529" t="s">
        <v>8188</v>
      </c>
      <c r="C6529" s="1">
        <v>45753</v>
      </c>
    </row>
    <row r="6530" spans="1:3" x14ac:dyDescent="0.25">
      <c r="A6530" t="s">
        <v>7792</v>
      </c>
      <c r="B6530" t="s">
        <v>8188</v>
      </c>
      <c r="C6530" s="1">
        <v>45789</v>
      </c>
    </row>
    <row r="6531" spans="1:3" x14ac:dyDescent="0.25">
      <c r="A6531" t="s">
        <v>7793</v>
      </c>
      <c r="B6531" t="s">
        <v>8188</v>
      </c>
      <c r="C6531" s="1">
        <v>45770</v>
      </c>
    </row>
    <row r="6532" spans="1:3" x14ac:dyDescent="0.25">
      <c r="A6532" t="s">
        <v>7794</v>
      </c>
      <c r="B6532" t="s">
        <v>8188</v>
      </c>
      <c r="C6532" s="1">
        <v>45703</v>
      </c>
    </row>
    <row r="6533" spans="1:3" x14ac:dyDescent="0.25">
      <c r="A6533" t="s">
        <v>7795</v>
      </c>
      <c r="B6533" t="s">
        <v>8188</v>
      </c>
      <c r="C6533" s="1">
        <v>45756</v>
      </c>
    </row>
    <row r="6534" spans="1:3" x14ac:dyDescent="0.25">
      <c r="A6534" t="s">
        <v>7796</v>
      </c>
      <c r="B6534" t="s">
        <v>8188</v>
      </c>
      <c r="C6534" s="1">
        <v>45756</v>
      </c>
    </row>
    <row r="6535" spans="1:3" x14ac:dyDescent="0.25">
      <c r="A6535" t="s">
        <v>7797</v>
      </c>
      <c r="B6535" t="s">
        <v>8188</v>
      </c>
      <c r="C6535" s="1">
        <v>45794</v>
      </c>
    </row>
    <row r="6536" spans="1:3" x14ac:dyDescent="0.25">
      <c r="A6536" t="s">
        <v>7798</v>
      </c>
      <c r="B6536" t="s">
        <v>8188</v>
      </c>
      <c r="C6536" s="1">
        <v>45787</v>
      </c>
    </row>
    <row r="6537" spans="1:3" x14ac:dyDescent="0.25">
      <c r="A6537" t="s">
        <v>7799</v>
      </c>
      <c r="B6537" t="s">
        <v>8188</v>
      </c>
      <c r="C6537" s="1">
        <v>45764</v>
      </c>
    </row>
    <row r="6538" spans="1:3" x14ac:dyDescent="0.25">
      <c r="A6538" t="s">
        <v>7800</v>
      </c>
      <c r="B6538" t="s">
        <v>8188</v>
      </c>
      <c r="C6538" s="1">
        <v>45708</v>
      </c>
    </row>
    <row r="6539" spans="1:3" x14ac:dyDescent="0.25">
      <c r="A6539" t="s">
        <v>7801</v>
      </c>
      <c r="B6539" t="s">
        <v>8188</v>
      </c>
      <c r="C6539" s="1">
        <v>45689</v>
      </c>
    </row>
    <row r="6540" spans="1:3" x14ac:dyDescent="0.25">
      <c r="A6540" t="s">
        <v>7802</v>
      </c>
      <c r="B6540" t="s">
        <v>8188</v>
      </c>
      <c r="C6540" s="1">
        <v>45801</v>
      </c>
    </row>
    <row r="6541" spans="1:3" x14ac:dyDescent="0.25">
      <c r="A6541" t="s">
        <v>7803</v>
      </c>
      <c r="B6541" t="s">
        <v>8188</v>
      </c>
      <c r="C6541" s="1">
        <v>45692</v>
      </c>
    </row>
    <row r="6542" spans="1:3" x14ac:dyDescent="0.25">
      <c r="A6542" t="s">
        <v>7804</v>
      </c>
      <c r="B6542" t="s">
        <v>8188</v>
      </c>
      <c r="C6542" s="1">
        <v>45752</v>
      </c>
    </row>
    <row r="6543" spans="1:3" x14ac:dyDescent="0.25">
      <c r="A6543" t="s">
        <v>7804</v>
      </c>
      <c r="B6543" t="s">
        <v>8188</v>
      </c>
      <c r="C6543" s="1">
        <v>45719</v>
      </c>
    </row>
    <row r="6544" spans="1:3" x14ac:dyDescent="0.25">
      <c r="A6544" t="s">
        <v>7804</v>
      </c>
      <c r="B6544" t="s">
        <v>39</v>
      </c>
      <c r="C6544" s="1"/>
    </row>
    <row r="6545" spans="1:3" x14ac:dyDescent="0.25">
      <c r="A6545" t="s">
        <v>7805</v>
      </c>
      <c r="B6545" t="s">
        <v>8188</v>
      </c>
      <c r="C6545" s="1">
        <v>45695</v>
      </c>
    </row>
    <row r="6546" spans="1:3" x14ac:dyDescent="0.25">
      <c r="A6546" t="s">
        <v>7806</v>
      </c>
      <c r="B6546" t="s">
        <v>8188</v>
      </c>
      <c r="C6546" s="1">
        <v>45705</v>
      </c>
    </row>
    <row r="6547" spans="1:3" x14ac:dyDescent="0.25">
      <c r="A6547" t="s">
        <v>7807</v>
      </c>
      <c r="B6547" t="s">
        <v>8188</v>
      </c>
      <c r="C6547" s="1">
        <v>45765</v>
      </c>
    </row>
    <row r="6548" spans="1:3" x14ac:dyDescent="0.25">
      <c r="A6548" t="s">
        <v>7808</v>
      </c>
      <c r="B6548" t="s">
        <v>8188</v>
      </c>
      <c r="C6548" s="1">
        <v>45703</v>
      </c>
    </row>
    <row r="6549" spans="1:3" x14ac:dyDescent="0.25">
      <c r="A6549" t="s">
        <v>7809</v>
      </c>
      <c r="B6549" t="s">
        <v>8188</v>
      </c>
      <c r="C6549" s="1">
        <v>45770</v>
      </c>
    </row>
    <row r="6550" spans="1:3" x14ac:dyDescent="0.25">
      <c r="A6550" t="s">
        <v>7810</v>
      </c>
      <c r="B6550" t="s">
        <v>8188</v>
      </c>
      <c r="C6550" s="1">
        <v>45765</v>
      </c>
    </row>
    <row r="6551" spans="1:3" x14ac:dyDescent="0.25">
      <c r="A6551" t="s">
        <v>7811</v>
      </c>
      <c r="B6551" t="s">
        <v>8188</v>
      </c>
      <c r="C6551" s="1">
        <v>45703</v>
      </c>
    </row>
    <row r="6552" spans="1:3" x14ac:dyDescent="0.25">
      <c r="A6552" t="s">
        <v>7812</v>
      </c>
      <c r="B6552" t="s">
        <v>8188</v>
      </c>
      <c r="C6552" s="1">
        <v>45847</v>
      </c>
    </row>
    <row r="6553" spans="1:3" x14ac:dyDescent="0.25">
      <c r="A6553" t="s">
        <v>7813</v>
      </c>
      <c r="B6553" t="s">
        <v>39</v>
      </c>
      <c r="C6553" s="1"/>
    </row>
    <row r="6554" spans="1:3" x14ac:dyDescent="0.25">
      <c r="A6554" t="s">
        <v>7814</v>
      </c>
      <c r="B6554" t="s">
        <v>8188</v>
      </c>
      <c r="C6554" s="1">
        <v>45859</v>
      </c>
    </row>
    <row r="6555" spans="1:3" x14ac:dyDescent="0.25">
      <c r="A6555" t="s">
        <v>7815</v>
      </c>
      <c r="B6555" t="s">
        <v>8188</v>
      </c>
      <c r="C6555" s="1">
        <v>45713</v>
      </c>
    </row>
    <row r="6556" spans="1:3" x14ac:dyDescent="0.25">
      <c r="A6556" t="s">
        <v>7816</v>
      </c>
      <c r="B6556" t="s">
        <v>8188</v>
      </c>
      <c r="C6556" s="1">
        <v>45778</v>
      </c>
    </row>
    <row r="6557" spans="1:3" x14ac:dyDescent="0.25">
      <c r="A6557" t="s">
        <v>7817</v>
      </c>
      <c r="B6557" t="s">
        <v>39</v>
      </c>
      <c r="C6557" s="1">
        <v>45887</v>
      </c>
    </row>
    <row r="6558" spans="1:3" x14ac:dyDescent="0.25">
      <c r="A6558" t="s">
        <v>7818</v>
      </c>
      <c r="B6558" t="s">
        <v>8188</v>
      </c>
      <c r="C6558" s="1">
        <v>45712</v>
      </c>
    </row>
    <row r="6559" spans="1:3" x14ac:dyDescent="0.25">
      <c r="A6559" t="s">
        <v>7819</v>
      </c>
      <c r="B6559" t="s">
        <v>8188</v>
      </c>
      <c r="C6559" s="1">
        <v>45699</v>
      </c>
    </row>
    <row r="6560" spans="1:3" x14ac:dyDescent="0.25">
      <c r="A6560" t="s">
        <v>7820</v>
      </c>
      <c r="B6560" t="s">
        <v>8188</v>
      </c>
      <c r="C6560" s="1">
        <v>45709</v>
      </c>
    </row>
    <row r="6561" spans="1:3" x14ac:dyDescent="0.25">
      <c r="A6561" t="s">
        <v>7821</v>
      </c>
      <c r="B6561" t="s">
        <v>8188</v>
      </c>
      <c r="C6561" s="1">
        <v>45686</v>
      </c>
    </row>
    <row r="6562" spans="1:3" x14ac:dyDescent="0.25">
      <c r="A6562" t="s">
        <v>7822</v>
      </c>
      <c r="B6562" t="s">
        <v>8188</v>
      </c>
      <c r="C6562" s="1">
        <v>45695</v>
      </c>
    </row>
    <row r="6563" spans="1:3" x14ac:dyDescent="0.25">
      <c r="A6563" t="s">
        <v>7823</v>
      </c>
      <c r="B6563" t="s">
        <v>8188</v>
      </c>
      <c r="C6563" s="1">
        <v>45689</v>
      </c>
    </row>
    <row r="6564" spans="1:3" x14ac:dyDescent="0.25">
      <c r="A6564" t="s">
        <v>7824</v>
      </c>
      <c r="B6564" t="s">
        <v>8188</v>
      </c>
      <c r="C6564" s="1">
        <v>45731</v>
      </c>
    </row>
    <row r="6565" spans="1:3" x14ac:dyDescent="0.25">
      <c r="A6565" t="s">
        <v>7825</v>
      </c>
      <c r="B6565" t="s">
        <v>8188</v>
      </c>
      <c r="C6565" s="1">
        <v>45682</v>
      </c>
    </row>
    <row r="6566" spans="1:3" x14ac:dyDescent="0.25">
      <c r="A6566" t="s">
        <v>7826</v>
      </c>
      <c r="B6566" t="s">
        <v>8188</v>
      </c>
      <c r="C6566" s="1">
        <v>45737</v>
      </c>
    </row>
    <row r="6567" spans="1:3" x14ac:dyDescent="0.25">
      <c r="A6567" t="s">
        <v>7827</v>
      </c>
      <c r="B6567" t="s">
        <v>8188</v>
      </c>
      <c r="C6567" s="1">
        <v>45797</v>
      </c>
    </row>
    <row r="6568" spans="1:3" x14ac:dyDescent="0.25">
      <c r="A6568" t="s">
        <v>7828</v>
      </c>
      <c r="B6568" t="s">
        <v>8188</v>
      </c>
      <c r="C6568" s="1">
        <v>45745</v>
      </c>
    </row>
    <row r="6569" spans="1:3" x14ac:dyDescent="0.25">
      <c r="A6569" t="s">
        <v>7829</v>
      </c>
      <c r="B6569" t="s">
        <v>8188</v>
      </c>
      <c r="C6569" s="1">
        <v>45764</v>
      </c>
    </row>
    <row r="6570" spans="1:3" x14ac:dyDescent="0.25">
      <c r="A6570" t="s">
        <v>7830</v>
      </c>
      <c r="B6570" t="s">
        <v>8188</v>
      </c>
      <c r="C6570" s="1">
        <v>45724</v>
      </c>
    </row>
    <row r="6571" spans="1:3" x14ac:dyDescent="0.25">
      <c r="A6571" t="s">
        <v>7831</v>
      </c>
      <c r="B6571" t="s">
        <v>8188</v>
      </c>
      <c r="C6571" s="1">
        <v>45706</v>
      </c>
    </row>
    <row r="6572" spans="1:3" x14ac:dyDescent="0.25">
      <c r="A6572" t="s">
        <v>7832</v>
      </c>
      <c r="B6572" t="s">
        <v>8188</v>
      </c>
      <c r="C6572" s="1">
        <v>45705</v>
      </c>
    </row>
    <row r="6573" spans="1:3" x14ac:dyDescent="0.25">
      <c r="A6573" t="s">
        <v>7833</v>
      </c>
      <c r="B6573" t="s">
        <v>8188</v>
      </c>
      <c r="C6573" s="1">
        <v>45703</v>
      </c>
    </row>
    <row r="6574" spans="1:3" x14ac:dyDescent="0.25">
      <c r="A6574" t="s">
        <v>7834</v>
      </c>
      <c r="B6574" t="s">
        <v>8188</v>
      </c>
      <c r="C6574" s="1">
        <v>45706</v>
      </c>
    </row>
    <row r="6575" spans="1:3" x14ac:dyDescent="0.25">
      <c r="A6575" t="s">
        <v>7835</v>
      </c>
      <c r="B6575" t="s">
        <v>8188</v>
      </c>
      <c r="C6575" s="1">
        <v>45712</v>
      </c>
    </row>
    <row r="6576" spans="1:3" x14ac:dyDescent="0.25">
      <c r="A6576" t="s">
        <v>7836</v>
      </c>
      <c r="B6576" t="s">
        <v>8188</v>
      </c>
      <c r="C6576" s="1">
        <v>45754</v>
      </c>
    </row>
    <row r="6577" spans="1:3" x14ac:dyDescent="0.25">
      <c r="A6577" t="s">
        <v>7837</v>
      </c>
      <c r="B6577" t="s">
        <v>8188</v>
      </c>
      <c r="C6577" s="1">
        <v>45765</v>
      </c>
    </row>
    <row r="6578" spans="1:3" x14ac:dyDescent="0.25">
      <c r="A6578" t="s">
        <v>7838</v>
      </c>
      <c r="B6578" t="s">
        <v>8188</v>
      </c>
      <c r="C6578" s="1">
        <v>45736</v>
      </c>
    </row>
    <row r="6579" spans="1:3" x14ac:dyDescent="0.25">
      <c r="A6579" t="s">
        <v>7839</v>
      </c>
      <c r="B6579" t="s">
        <v>8188</v>
      </c>
      <c r="C6579" s="1">
        <v>45689</v>
      </c>
    </row>
    <row r="6580" spans="1:3" x14ac:dyDescent="0.25">
      <c r="A6580" t="s">
        <v>7840</v>
      </c>
      <c r="B6580" t="s">
        <v>8188</v>
      </c>
      <c r="C6580" s="1">
        <v>45689</v>
      </c>
    </row>
    <row r="6581" spans="1:3" x14ac:dyDescent="0.25">
      <c r="A6581" t="s">
        <v>7841</v>
      </c>
      <c r="B6581" t="s">
        <v>8188</v>
      </c>
      <c r="C6581" s="1">
        <v>45706</v>
      </c>
    </row>
    <row r="6582" spans="1:3" x14ac:dyDescent="0.25">
      <c r="A6582" t="s">
        <v>7842</v>
      </c>
      <c r="B6582" t="s">
        <v>8188</v>
      </c>
      <c r="C6582" s="1">
        <v>45699</v>
      </c>
    </row>
    <row r="6583" spans="1:3" x14ac:dyDescent="0.25">
      <c r="A6583" t="s">
        <v>7843</v>
      </c>
      <c r="B6583" t="s">
        <v>8188</v>
      </c>
      <c r="C6583" s="1">
        <v>45713</v>
      </c>
    </row>
    <row r="6584" spans="1:3" x14ac:dyDescent="0.25">
      <c r="A6584" t="s">
        <v>7844</v>
      </c>
      <c r="B6584" t="s">
        <v>8188</v>
      </c>
      <c r="C6584" s="1">
        <v>45700</v>
      </c>
    </row>
    <row r="6585" spans="1:3" x14ac:dyDescent="0.25">
      <c r="A6585" t="s">
        <v>7845</v>
      </c>
      <c r="B6585" t="s">
        <v>8188</v>
      </c>
      <c r="C6585" s="1">
        <v>45797</v>
      </c>
    </row>
    <row r="6586" spans="1:3" x14ac:dyDescent="0.25">
      <c r="A6586" t="s">
        <v>7846</v>
      </c>
      <c r="B6586" t="s">
        <v>8188</v>
      </c>
      <c r="C6586" s="1">
        <v>45745</v>
      </c>
    </row>
    <row r="6587" spans="1:3" x14ac:dyDescent="0.25">
      <c r="A6587" t="s">
        <v>7846</v>
      </c>
      <c r="B6587" t="s">
        <v>8188</v>
      </c>
      <c r="C6587" s="1">
        <v>45776</v>
      </c>
    </row>
    <row r="6588" spans="1:3" x14ac:dyDescent="0.25">
      <c r="A6588" t="s">
        <v>7846</v>
      </c>
      <c r="B6588" t="s">
        <v>8188</v>
      </c>
      <c r="C6588" s="1">
        <v>45869</v>
      </c>
    </row>
    <row r="6589" spans="1:3" x14ac:dyDescent="0.25">
      <c r="A6589" t="s">
        <v>7847</v>
      </c>
      <c r="B6589" t="s">
        <v>8188</v>
      </c>
      <c r="C6589" s="1">
        <v>45700</v>
      </c>
    </row>
    <row r="6590" spans="1:3" x14ac:dyDescent="0.25">
      <c r="A6590" t="s">
        <v>7848</v>
      </c>
      <c r="B6590" t="s">
        <v>8188</v>
      </c>
      <c r="C6590" s="1">
        <v>45699</v>
      </c>
    </row>
    <row r="6591" spans="1:3" x14ac:dyDescent="0.25">
      <c r="A6591" t="s">
        <v>7849</v>
      </c>
      <c r="B6591" t="s">
        <v>8188</v>
      </c>
      <c r="C6591" s="1">
        <v>45687</v>
      </c>
    </row>
    <row r="6592" spans="1:3" x14ac:dyDescent="0.25">
      <c r="A6592" t="s">
        <v>7850</v>
      </c>
      <c r="B6592" t="s">
        <v>8188</v>
      </c>
      <c r="C6592" s="1">
        <v>45720</v>
      </c>
    </row>
    <row r="6593" spans="1:3" x14ac:dyDescent="0.25">
      <c r="A6593" t="s">
        <v>7851</v>
      </c>
      <c r="B6593" t="s">
        <v>8188</v>
      </c>
      <c r="C6593" s="1">
        <v>45729</v>
      </c>
    </row>
    <row r="6594" spans="1:3" x14ac:dyDescent="0.25">
      <c r="A6594" t="s">
        <v>7852</v>
      </c>
      <c r="B6594" t="s">
        <v>8188</v>
      </c>
      <c r="C6594" s="1">
        <v>45717</v>
      </c>
    </row>
    <row r="6595" spans="1:3" x14ac:dyDescent="0.25">
      <c r="A6595" t="s">
        <v>7853</v>
      </c>
      <c r="B6595" t="s">
        <v>8188</v>
      </c>
      <c r="C6595" s="1">
        <v>45700</v>
      </c>
    </row>
    <row r="6596" spans="1:3" x14ac:dyDescent="0.25">
      <c r="A6596" t="s">
        <v>7854</v>
      </c>
      <c r="B6596" t="s">
        <v>8188</v>
      </c>
      <c r="C6596" s="1">
        <v>45866</v>
      </c>
    </row>
    <row r="6597" spans="1:3" x14ac:dyDescent="0.25">
      <c r="A6597" t="s">
        <v>7855</v>
      </c>
      <c r="B6597" t="s">
        <v>8188</v>
      </c>
      <c r="C6597" s="1">
        <v>45713</v>
      </c>
    </row>
    <row r="6598" spans="1:3" x14ac:dyDescent="0.25">
      <c r="A6598" t="s">
        <v>7856</v>
      </c>
      <c r="B6598" t="s">
        <v>8188</v>
      </c>
      <c r="C6598" s="1">
        <v>45713</v>
      </c>
    </row>
    <row r="6599" spans="1:3" x14ac:dyDescent="0.25">
      <c r="A6599" t="s">
        <v>7857</v>
      </c>
      <c r="B6599" t="s">
        <v>39</v>
      </c>
      <c r="C6599" s="1"/>
    </row>
    <row r="6600" spans="1:3" x14ac:dyDescent="0.25">
      <c r="A6600" t="s">
        <v>7858</v>
      </c>
      <c r="B6600" t="s">
        <v>8188</v>
      </c>
      <c r="C6600" s="1">
        <v>45719</v>
      </c>
    </row>
    <row r="6601" spans="1:3" x14ac:dyDescent="0.25">
      <c r="A6601" t="s">
        <v>7859</v>
      </c>
      <c r="B6601" t="s">
        <v>8188</v>
      </c>
      <c r="C6601" s="1">
        <v>45937</v>
      </c>
    </row>
    <row r="6602" spans="1:3" x14ac:dyDescent="0.25">
      <c r="A6602" t="s">
        <v>7860</v>
      </c>
      <c r="B6602" t="s">
        <v>8188</v>
      </c>
      <c r="C6602" s="1">
        <v>45749</v>
      </c>
    </row>
    <row r="6603" spans="1:3" x14ac:dyDescent="0.25">
      <c r="A6603" t="s">
        <v>7861</v>
      </c>
      <c r="B6603" t="s">
        <v>8188</v>
      </c>
      <c r="C6603" s="1">
        <v>45713</v>
      </c>
    </row>
    <row r="6604" spans="1:3" x14ac:dyDescent="0.25">
      <c r="A6604" t="s">
        <v>7862</v>
      </c>
      <c r="B6604" t="s">
        <v>8188</v>
      </c>
      <c r="C6604" s="1">
        <v>45713</v>
      </c>
    </row>
    <row r="6605" spans="1:3" x14ac:dyDescent="0.25">
      <c r="A6605" t="s">
        <v>7863</v>
      </c>
      <c r="B6605" t="s">
        <v>8188</v>
      </c>
      <c r="C6605" s="1">
        <v>45779</v>
      </c>
    </row>
    <row r="6606" spans="1:3" x14ac:dyDescent="0.25">
      <c r="A6606" t="s">
        <v>7864</v>
      </c>
      <c r="B6606" t="s">
        <v>8188</v>
      </c>
      <c r="C6606" s="1">
        <v>45835</v>
      </c>
    </row>
    <row r="6607" spans="1:3" x14ac:dyDescent="0.25">
      <c r="A6607" t="s">
        <v>7865</v>
      </c>
      <c r="B6607" t="s">
        <v>8188</v>
      </c>
      <c r="C6607" s="1">
        <v>45702</v>
      </c>
    </row>
    <row r="6608" spans="1:3" x14ac:dyDescent="0.25">
      <c r="A6608" t="s">
        <v>7866</v>
      </c>
      <c r="B6608" t="s">
        <v>8188</v>
      </c>
      <c r="C6608" s="1">
        <v>45745</v>
      </c>
    </row>
    <row r="6609" spans="1:3" x14ac:dyDescent="0.25">
      <c r="A6609" t="s">
        <v>7867</v>
      </c>
      <c r="B6609" t="s">
        <v>8188</v>
      </c>
      <c r="C6609" s="1">
        <v>45699</v>
      </c>
    </row>
    <row r="6610" spans="1:3" x14ac:dyDescent="0.25">
      <c r="A6610" t="s">
        <v>7868</v>
      </c>
      <c r="B6610" t="s">
        <v>8188</v>
      </c>
      <c r="C6610" s="1">
        <v>45709</v>
      </c>
    </row>
    <row r="6611" spans="1:3" x14ac:dyDescent="0.25">
      <c r="A6611" t="s">
        <v>7869</v>
      </c>
      <c r="B6611" t="s">
        <v>8188</v>
      </c>
      <c r="C6611" s="1">
        <v>45735</v>
      </c>
    </row>
    <row r="6612" spans="1:3" x14ac:dyDescent="0.25">
      <c r="A6612" t="s">
        <v>7870</v>
      </c>
      <c r="B6612" t="s">
        <v>8188</v>
      </c>
      <c r="C6612" s="1">
        <v>45701</v>
      </c>
    </row>
    <row r="6613" spans="1:3" x14ac:dyDescent="0.25">
      <c r="A6613" t="s">
        <v>7871</v>
      </c>
      <c r="B6613" t="s">
        <v>8188</v>
      </c>
      <c r="C6613" s="1">
        <v>45734</v>
      </c>
    </row>
    <row r="6614" spans="1:3" x14ac:dyDescent="0.25">
      <c r="A6614" t="s">
        <v>7872</v>
      </c>
      <c r="B6614" t="s">
        <v>8188</v>
      </c>
      <c r="C6614" s="1">
        <v>45726</v>
      </c>
    </row>
    <row r="6615" spans="1:3" x14ac:dyDescent="0.25">
      <c r="A6615" t="s">
        <v>7873</v>
      </c>
      <c r="B6615" t="s">
        <v>8188</v>
      </c>
      <c r="C6615" s="1">
        <v>45766</v>
      </c>
    </row>
    <row r="6616" spans="1:3" x14ac:dyDescent="0.25">
      <c r="A6616" t="s">
        <v>7874</v>
      </c>
      <c r="B6616" t="s">
        <v>8188</v>
      </c>
      <c r="C6616" s="1">
        <v>45703</v>
      </c>
    </row>
    <row r="6617" spans="1:3" x14ac:dyDescent="0.25">
      <c r="A6617" t="s">
        <v>7875</v>
      </c>
      <c r="B6617" t="s">
        <v>8188</v>
      </c>
      <c r="C6617" s="1">
        <v>45699</v>
      </c>
    </row>
    <row r="6618" spans="1:3" x14ac:dyDescent="0.25">
      <c r="A6618" t="s">
        <v>7876</v>
      </c>
      <c r="B6618" t="s">
        <v>8188</v>
      </c>
      <c r="C6618" s="1">
        <v>45769</v>
      </c>
    </row>
    <row r="6619" spans="1:3" x14ac:dyDescent="0.25">
      <c r="A6619" t="s">
        <v>7877</v>
      </c>
      <c r="B6619" t="s">
        <v>8188</v>
      </c>
      <c r="C6619" s="1">
        <v>45773</v>
      </c>
    </row>
    <row r="6620" spans="1:3" x14ac:dyDescent="0.25">
      <c r="A6620" t="s">
        <v>7878</v>
      </c>
      <c r="B6620" t="s">
        <v>8188</v>
      </c>
      <c r="C6620" s="1">
        <v>45720</v>
      </c>
    </row>
    <row r="6621" spans="1:3" x14ac:dyDescent="0.25">
      <c r="A6621" t="s">
        <v>7879</v>
      </c>
      <c r="B6621" t="s">
        <v>8188</v>
      </c>
      <c r="C6621" s="1">
        <v>45799</v>
      </c>
    </row>
    <row r="6622" spans="1:3" x14ac:dyDescent="0.25">
      <c r="A6622" t="s">
        <v>7880</v>
      </c>
      <c r="B6622" t="s">
        <v>39</v>
      </c>
      <c r="C6622" s="1"/>
    </row>
    <row r="6623" spans="1:3" x14ac:dyDescent="0.25">
      <c r="A6623" t="s">
        <v>7881</v>
      </c>
      <c r="B6623" t="s">
        <v>8188</v>
      </c>
      <c r="C6623" s="1">
        <v>45719</v>
      </c>
    </row>
    <row r="6624" spans="1:3" x14ac:dyDescent="0.25">
      <c r="A6624" t="s">
        <v>7882</v>
      </c>
      <c r="B6624" t="s">
        <v>8188</v>
      </c>
      <c r="C6624" s="1">
        <v>45797</v>
      </c>
    </row>
    <row r="6625" spans="1:3" x14ac:dyDescent="0.25">
      <c r="A6625" t="s">
        <v>7883</v>
      </c>
      <c r="B6625" t="s">
        <v>8188</v>
      </c>
      <c r="C6625" s="1">
        <v>45745</v>
      </c>
    </row>
    <row r="6626" spans="1:3" x14ac:dyDescent="0.25">
      <c r="A6626" t="s">
        <v>7884</v>
      </c>
      <c r="B6626" t="s">
        <v>8188</v>
      </c>
      <c r="C6626" s="1">
        <v>45765</v>
      </c>
    </row>
    <row r="6627" spans="1:3" x14ac:dyDescent="0.25">
      <c r="A6627" t="s">
        <v>6054</v>
      </c>
      <c r="B6627" t="s">
        <v>8188</v>
      </c>
      <c r="C6627" s="1">
        <v>45797</v>
      </c>
    </row>
    <row r="6628" spans="1:3" x14ac:dyDescent="0.25">
      <c r="A6628" t="s">
        <v>7885</v>
      </c>
      <c r="B6628" t="s">
        <v>8188</v>
      </c>
      <c r="C6628" s="1">
        <v>45731</v>
      </c>
    </row>
    <row r="6629" spans="1:3" x14ac:dyDescent="0.25">
      <c r="A6629" t="s">
        <v>7886</v>
      </c>
      <c r="B6629" t="s">
        <v>8188</v>
      </c>
      <c r="C6629" s="1">
        <v>45839</v>
      </c>
    </row>
    <row r="6630" spans="1:3" x14ac:dyDescent="0.25">
      <c r="A6630" t="s">
        <v>7887</v>
      </c>
      <c r="B6630" t="s">
        <v>8188</v>
      </c>
      <c r="C6630" s="1">
        <v>45703</v>
      </c>
    </row>
    <row r="6631" spans="1:3" x14ac:dyDescent="0.25">
      <c r="A6631" t="s">
        <v>7888</v>
      </c>
      <c r="B6631" t="s">
        <v>8188</v>
      </c>
      <c r="C6631" s="1">
        <v>45772</v>
      </c>
    </row>
    <row r="6632" spans="1:3" x14ac:dyDescent="0.25">
      <c r="A6632" t="s">
        <v>7888</v>
      </c>
      <c r="B6632" t="s">
        <v>8188</v>
      </c>
      <c r="C6632" s="1">
        <v>45786</v>
      </c>
    </row>
    <row r="6633" spans="1:3" x14ac:dyDescent="0.25">
      <c r="A6633" t="s">
        <v>7889</v>
      </c>
      <c r="B6633" t="s">
        <v>8188</v>
      </c>
      <c r="C6633" s="1">
        <v>45764</v>
      </c>
    </row>
    <row r="6634" spans="1:3" x14ac:dyDescent="0.25">
      <c r="A6634" t="s">
        <v>7889</v>
      </c>
      <c r="B6634" t="s">
        <v>8188</v>
      </c>
      <c r="C6634" s="1">
        <v>45847</v>
      </c>
    </row>
    <row r="6635" spans="1:3" x14ac:dyDescent="0.25">
      <c r="A6635" t="s">
        <v>7890</v>
      </c>
      <c r="B6635" t="s">
        <v>8188</v>
      </c>
      <c r="C6635" s="1">
        <v>45752</v>
      </c>
    </row>
    <row r="6636" spans="1:3" x14ac:dyDescent="0.25">
      <c r="A6636" t="s">
        <v>7890</v>
      </c>
      <c r="B6636" t="s">
        <v>8188</v>
      </c>
      <c r="C6636" s="1">
        <v>45794</v>
      </c>
    </row>
    <row r="6637" spans="1:3" x14ac:dyDescent="0.25">
      <c r="A6637" t="s">
        <v>7891</v>
      </c>
      <c r="B6637" t="s">
        <v>8188</v>
      </c>
      <c r="C6637" s="1">
        <v>45835</v>
      </c>
    </row>
    <row r="6638" spans="1:3" x14ac:dyDescent="0.25">
      <c r="A6638" t="s">
        <v>7892</v>
      </c>
      <c r="B6638" t="s">
        <v>8188</v>
      </c>
      <c r="C6638" s="1">
        <v>45752</v>
      </c>
    </row>
    <row r="6639" spans="1:3" x14ac:dyDescent="0.25">
      <c r="A6639" t="s">
        <v>7893</v>
      </c>
      <c r="B6639" t="s">
        <v>8188</v>
      </c>
      <c r="C6639" s="1">
        <v>45703</v>
      </c>
    </row>
    <row r="6640" spans="1:3" x14ac:dyDescent="0.25">
      <c r="A6640" t="s">
        <v>7894</v>
      </c>
      <c r="B6640" t="s">
        <v>8188</v>
      </c>
      <c r="C6640" s="1">
        <v>45724</v>
      </c>
    </row>
    <row r="6641" spans="1:3" x14ac:dyDescent="0.25">
      <c r="A6641" t="s">
        <v>7894</v>
      </c>
      <c r="B6641" t="s">
        <v>8188</v>
      </c>
      <c r="C6641" s="1">
        <v>45724</v>
      </c>
    </row>
    <row r="6642" spans="1:3" x14ac:dyDescent="0.25">
      <c r="A6642" t="s">
        <v>7895</v>
      </c>
      <c r="B6642" t="s">
        <v>8188</v>
      </c>
      <c r="C6642" s="1">
        <v>45737</v>
      </c>
    </row>
    <row r="6643" spans="1:3" x14ac:dyDescent="0.25">
      <c r="A6643" t="s">
        <v>7896</v>
      </c>
      <c r="B6643" t="s">
        <v>8188</v>
      </c>
      <c r="C6643" s="1">
        <v>45731</v>
      </c>
    </row>
    <row r="6644" spans="1:3" x14ac:dyDescent="0.25">
      <c r="A6644" t="s">
        <v>7897</v>
      </c>
      <c r="B6644" t="s">
        <v>8188</v>
      </c>
      <c r="C6644" s="1">
        <v>45695</v>
      </c>
    </row>
    <row r="6645" spans="1:3" x14ac:dyDescent="0.25">
      <c r="A6645" t="s">
        <v>7898</v>
      </c>
      <c r="B6645" t="s">
        <v>8188</v>
      </c>
      <c r="C6645" s="1">
        <v>45699</v>
      </c>
    </row>
    <row r="6646" spans="1:3" x14ac:dyDescent="0.25">
      <c r="A6646" t="s">
        <v>7899</v>
      </c>
      <c r="B6646" t="s">
        <v>8188</v>
      </c>
      <c r="C6646" s="1">
        <v>45701</v>
      </c>
    </row>
    <row r="6647" spans="1:3" x14ac:dyDescent="0.25">
      <c r="A6647" t="s">
        <v>7900</v>
      </c>
      <c r="B6647" t="s">
        <v>8188</v>
      </c>
      <c r="C6647" s="1">
        <v>45752</v>
      </c>
    </row>
    <row r="6648" spans="1:3" x14ac:dyDescent="0.25">
      <c r="A6648" t="s">
        <v>7901</v>
      </c>
      <c r="B6648" t="s">
        <v>8188</v>
      </c>
      <c r="C6648" s="1">
        <v>45723</v>
      </c>
    </row>
    <row r="6649" spans="1:3" x14ac:dyDescent="0.25">
      <c r="A6649" t="s">
        <v>7902</v>
      </c>
      <c r="B6649" t="s">
        <v>8188</v>
      </c>
      <c r="C6649" s="1">
        <v>45770</v>
      </c>
    </row>
    <row r="6650" spans="1:3" x14ac:dyDescent="0.25">
      <c r="A6650" t="s">
        <v>7902</v>
      </c>
      <c r="B6650" t="s">
        <v>8188</v>
      </c>
      <c r="C6650" s="1">
        <v>45752</v>
      </c>
    </row>
    <row r="6651" spans="1:3" x14ac:dyDescent="0.25">
      <c r="A6651" t="s">
        <v>7903</v>
      </c>
      <c r="B6651" t="s">
        <v>8188</v>
      </c>
      <c r="C6651" s="1">
        <v>45728</v>
      </c>
    </row>
    <row r="6652" spans="1:3" x14ac:dyDescent="0.25">
      <c r="A6652" t="s">
        <v>7904</v>
      </c>
      <c r="B6652" t="s">
        <v>39</v>
      </c>
      <c r="C6652" s="1"/>
    </row>
    <row r="6653" spans="1:3" x14ac:dyDescent="0.25">
      <c r="A6653" t="s">
        <v>7905</v>
      </c>
      <c r="B6653" t="s">
        <v>8188</v>
      </c>
      <c r="C6653" s="1">
        <v>45737</v>
      </c>
    </row>
    <row r="6654" spans="1:3" x14ac:dyDescent="0.25">
      <c r="A6654" t="s">
        <v>7906</v>
      </c>
      <c r="B6654" t="s">
        <v>8188</v>
      </c>
      <c r="C6654" s="1">
        <v>45834</v>
      </c>
    </row>
    <row r="6655" spans="1:3" x14ac:dyDescent="0.25">
      <c r="A6655" t="s">
        <v>7907</v>
      </c>
      <c r="B6655" t="s">
        <v>8188</v>
      </c>
      <c r="C6655" s="1">
        <v>45803</v>
      </c>
    </row>
    <row r="6656" spans="1:3" x14ac:dyDescent="0.25">
      <c r="A6656" t="s">
        <v>7908</v>
      </c>
      <c r="B6656" t="s">
        <v>8188</v>
      </c>
      <c r="C6656" s="1">
        <v>45768</v>
      </c>
    </row>
    <row r="6657" spans="1:3" x14ac:dyDescent="0.25">
      <c r="A6657" t="s">
        <v>7909</v>
      </c>
      <c r="B6657" t="s">
        <v>8188</v>
      </c>
      <c r="C6657" s="1">
        <v>45764</v>
      </c>
    </row>
    <row r="6658" spans="1:3" x14ac:dyDescent="0.25">
      <c r="A6658" t="s">
        <v>7910</v>
      </c>
      <c r="B6658" t="s">
        <v>8188</v>
      </c>
      <c r="C6658" s="1">
        <v>45737</v>
      </c>
    </row>
    <row r="6659" spans="1:3" x14ac:dyDescent="0.25">
      <c r="A6659" t="s">
        <v>7911</v>
      </c>
      <c r="B6659" t="s">
        <v>8188</v>
      </c>
      <c r="C6659" s="1">
        <v>45743</v>
      </c>
    </row>
    <row r="6660" spans="1:3" x14ac:dyDescent="0.25">
      <c r="A6660" t="s">
        <v>7912</v>
      </c>
      <c r="B6660" t="s">
        <v>8188</v>
      </c>
      <c r="C6660" s="1">
        <v>45796</v>
      </c>
    </row>
    <row r="6661" spans="1:3" x14ac:dyDescent="0.25">
      <c r="A6661" t="s">
        <v>7913</v>
      </c>
      <c r="B6661" t="s">
        <v>8188</v>
      </c>
      <c r="C6661" s="1">
        <v>45703</v>
      </c>
    </row>
    <row r="6662" spans="1:3" x14ac:dyDescent="0.25">
      <c r="A6662" t="s">
        <v>7913</v>
      </c>
      <c r="B6662" t="s">
        <v>8188</v>
      </c>
      <c r="C6662" s="1">
        <v>45713</v>
      </c>
    </row>
    <row r="6663" spans="1:3" x14ac:dyDescent="0.25">
      <c r="A6663" t="s">
        <v>7913</v>
      </c>
      <c r="B6663" t="s">
        <v>8188</v>
      </c>
      <c r="C6663" s="1">
        <v>45811</v>
      </c>
    </row>
    <row r="6664" spans="1:3" x14ac:dyDescent="0.25">
      <c r="A6664" t="s">
        <v>7914</v>
      </c>
      <c r="B6664" t="s">
        <v>39</v>
      </c>
      <c r="C6664" s="1"/>
    </row>
    <row r="6665" spans="1:3" x14ac:dyDescent="0.25">
      <c r="A6665" t="s">
        <v>7915</v>
      </c>
      <c r="B6665" t="s">
        <v>39</v>
      </c>
      <c r="C6665" s="1"/>
    </row>
    <row r="6666" spans="1:3" x14ac:dyDescent="0.25">
      <c r="A6666" t="s">
        <v>7916</v>
      </c>
      <c r="B6666" t="s">
        <v>8188</v>
      </c>
      <c r="C6666" s="1">
        <v>45755</v>
      </c>
    </row>
    <row r="6667" spans="1:3" x14ac:dyDescent="0.25">
      <c r="A6667" t="s">
        <v>7916</v>
      </c>
      <c r="B6667" t="s">
        <v>8188</v>
      </c>
      <c r="C6667" s="1">
        <v>45846</v>
      </c>
    </row>
    <row r="6668" spans="1:3" x14ac:dyDescent="0.25">
      <c r="A6668" t="s">
        <v>7917</v>
      </c>
      <c r="B6668" t="s">
        <v>8188</v>
      </c>
      <c r="C6668" s="1">
        <v>45712</v>
      </c>
    </row>
    <row r="6669" spans="1:3" x14ac:dyDescent="0.25">
      <c r="A6669" t="s">
        <v>7918</v>
      </c>
      <c r="B6669" t="s">
        <v>8188</v>
      </c>
      <c r="C6669" s="1">
        <v>45766</v>
      </c>
    </row>
    <row r="6670" spans="1:3" x14ac:dyDescent="0.25">
      <c r="A6670" t="s">
        <v>7919</v>
      </c>
      <c r="B6670" t="s">
        <v>8188</v>
      </c>
      <c r="C6670" s="1">
        <v>45742</v>
      </c>
    </row>
    <row r="6671" spans="1:3" x14ac:dyDescent="0.25">
      <c r="A6671" t="s">
        <v>7920</v>
      </c>
      <c r="B6671" t="s">
        <v>8188</v>
      </c>
      <c r="C6671" s="1">
        <v>45731</v>
      </c>
    </row>
    <row r="6672" spans="1:3" x14ac:dyDescent="0.25">
      <c r="A6672" t="s">
        <v>7921</v>
      </c>
      <c r="B6672" t="s">
        <v>8188</v>
      </c>
      <c r="C6672" s="1">
        <v>45703</v>
      </c>
    </row>
    <row r="6673" spans="1:3" x14ac:dyDescent="0.25">
      <c r="A6673" t="s">
        <v>7922</v>
      </c>
      <c r="B6673" t="s">
        <v>8188</v>
      </c>
      <c r="C6673" s="1">
        <v>45712</v>
      </c>
    </row>
    <row r="6674" spans="1:3" x14ac:dyDescent="0.25">
      <c r="A6674" t="s">
        <v>7923</v>
      </c>
      <c r="B6674" t="s">
        <v>8188</v>
      </c>
      <c r="C6674" s="1">
        <v>45800</v>
      </c>
    </row>
    <row r="6675" spans="1:3" x14ac:dyDescent="0.25">
      <c r="A6675" t="s">
        <v>7924</v>
      </c>
      <c r="B6675" t="s">
        <v>8188</v>
      </c>
      <c r="C6675" s="1">
        <v>45764</v>
      </c>
    </row>
    <row r="6676" spans="1:3" x14ac:dyDescent="0.25">
      <c r="A6676" t="s">
        <v>7925</v>
      </c>
      <c r="B6676" t="s">
        <v>8188</v>
      </c>
      <c r="C6676" s="1">
        <v>45746</v>
      </c>
    </row>
    <row r="6677" spans="1:3" x14ac:dyDescent="0.25">
      <c r="A6677" t="s">
        <v>7926</v>
      </c>
      <c r="B6677" t="s">
        <v>8188</v>
      </c>
      <c r="C6677" s="1">
        <v>45734</v>
      </c>
    </row>
    <row r="6678" spans="1:3" x14ac:dyDescent="0.25">
      <c r="A6678" t="s">
        <v>7927</v>
      </c>
      <c r="B6678" t="s">
        <v>39</v>
      </c>
      <c r="C6678" s="1"/>
    </row>
    <row r="6679" spans="1:3" x14ac:dyDescent="0.25">
      <c r="A6679" t="s">
        <v>7928</v>
      </c>
      <c r="B6679" t="s">
        <v>8188</v>
      </c>
      <c r="C6679" s="1">
        <v>45712</v>
      </c>
    </row>
    <row r="6680" spans="1:3" x14ac:dyDescent="0.25">
      <c r="A6680" t="s">
        <v>7929</v>
      </c>
      <c r="B6680" t="s">
        <v>39</v>
      </c>
      <c r="C6680" s="1"/>
    </row>
    <row r="6681" spans="1:3" x14ac:dyDescent="0.25">
      <c r="A6681" t="s">
        <v>7930</v>
      </c>
      <c r="B6681" t="s">
        <v>8188</v>
      </c>
      <c r="C6681" s="1">
        <v>45726</v>
      </c>
    </row>
    <row r="6682" spans="1:3" x14ac:dyDescent="0.25">
      <c r="A6682" t="s">
        <v>7931</v>
      </c>
      <c r="B6682" t="s">
        <v>8188</v>
      </c>
      <c r="C6682" s="1">
        <v>45855</v>
      </c>
    </row>
    <row r="6683" spans="1:3" x14ac:dyDescent="0.25">
      <c r="A6683" t="s">
        <v>7931</v>
      </c>
      <c r="B6683" t="s">
        <v>8188</v>
      </c>
      <c r="C6683" s="1">
        <v>45855</v>
      </c>
    </row>
    <row r="6684" spans="1:3" x14ac:dyDescent="0.25">
      <c r="A6684" t="s">
        <v>7932</v>
      </c>
      <c r="B6684" t="s">
        <v>8188</v>
      </c>
      <c r="C6684" s="1">
        <v>45717</v>
      </c>
    </row>
    <row r="6685" spans="1:3" x14ac:dyDescent="0.25">
      <c r="A6685" t="s">
        <v>7933</v>
      </c>
      <c r="B6685" t="s">
        <v>8188</v>
      </c>
      <c r="C6685" s="1">
        <v>45797</v>
      </c>
    </row>
    <row r="6686" spans="1:3" x14ac:dyDescent="0.25">
      <c r="A6686" t="s">
        <v>7934</v>
      </c>
      <c r="B6686" t="s">
        <v>8188</v>
      </c>
      <c r="C6686" s="1">
        <v>45745</v>
      </c>
    </row>
    <row r="6687" spans="1:3" x14ac:dyDescent="0.25">
      <c r="A6687" t="s">
        <v>7935</v>
      </c>
      <c r="B6687" t="s">
        <v>8188</v>
      </c>
      <c r="C6687" s="1">
        <v>45794</v>
      </c>
    </row>
    <row r="6688" spans="1:3" x14ac:dyDescent="0.25">
      <c r="A6688" t="s">
        <v>7936</v>
      </c>
      <c r="B6688" t="s">
        <v>8188</v>
      </c>
      <c r="C6688" s="1">
        <v>45737</v>
      </c>
    </row>
    <row r="6689" spans="1:3" x14ac:dyDescent="0.25">
      <c r="A6689" t="s">
        <v>7937</v>
      </c>
      <c r="B6689" t="s">
        <v>8188</v>
      </c>
      <c r="C6689" s="1">
        <v>45857</v>
      </c>
    </row>
    <row r="6690" spans="1:3" x14ac:dyDescent="0.25">
      <c r="A6690" t="s">
        <v>7937</v>
      </c>
      <c r="B6690" t="s">
        <v>8188</v>
      </c>
      <c r="C6690" s="1">
        <v>45810</v>
      </c>
    </row>
    <row r="6691" spans="1:3" x14ac:dyDescent="0.25">
      <c r="A6691" t="s">
        <v>7938</v>
      </c>
      <c r="B6691" t="s">
        <v>8188</v>
      </c>
      <c r="C6691" s="1">
        <v>45770</v>
      </c>
    </row>
    <row r="6692" spans="1:3" x14ac:dyDescent="0.25">
      <c r="A6692" t="s">
        <v>7939</v>
      </c>
      <c r="B6692" t="s">
        <v>8188</v>
      </c>
      <c r="C6692" s="1">
        <v>45836</v>
      </c>
    </row>
    <row r="6693" spans="1:3" x14ac:dyDescent="0.25">
      <c r="A6693" t="s">
        <v>7940</v>
      </c>
      <c r="B6693" t="s">
        <v>8188</v>
      </c>
      <c r="C6693" s="1">
        <v>45720</v>
      </c>
    </row>
    <row r="6694" spans="1:3" x14ac:dyDescent="0.25">
      <c r="A6694" t="s">
        <v>7941</v>
      </c>
      <c r="B6694" t="s">
        <v>8188</v>
      </c>
      <c r="C6694" s="1">
        <v>45745</v>
      </c>
    </row>
    <row r="6695" spans="1:3" x14ac:dyDescent="0.25">
      <c r="A6695" t="s">
        <v>7942</v>
      </c>
      <c r="B6695" t="s">
        <v>8188</v>
      </c>
      <c r="C6695" s="1">
        <v>45737</v>
      </c>
    </row>
    <row r="6696" spans="1:3" x14ac:dyDescent="0.25">
      <c r="A6696" t="s">
        <v>7943</v>
      </c>
      <c r="B6696" t="s">
        <v>8188</v>
      </c>
      <c r="C6696" s="1">
        <v>45712</v>
      </c>
    </row>
    <row r="6697" spans="1:3" x14ac:dyDescent="0.25">
      <c r="A6697" t="s">
        <v>7944</v>
      </c>
      <c r="B6697" t="s">
        <v>8188</v>
      </c>
      <c r="C6697" s="1">
        <v>45721</v>
      </c>
    </row>
    <row r="6698" spans="1:3" x14ac:dyDescent="0.25">
      <c r="A6698" t="s">
        <v>7945</v>
      </c>
      <c r="B6698" t="s">
        <v>8188</v>
      </c>
      <c r="C6698" s="1">
        <v>45803</v>
      </c>
    </row>
    <row r="6699" spans="1:3" x14ac:dyDescent="0.25">
      <c r="A6699" t="s">
        <v>7946</v>
      </c>
      <c r="B6699" t="s">
        <v>8188</v>
      </c>
      <c r="C6699" s="1">
        <v>45726</v>
      </c>
    </row>
    <row r="6700" spans="1:3" x14ac:dyDescent="0.25">
      <c r="A6700" t="s">
        <v>7947</v>
      </c>
      <c r="B6700" t="s">
        <v>8188</v>
      </c>
      <c r="C6700" s="1">
        <v>45796</v>
      </c>
    </row>
    <row r="6701" spans="1:3" x14ac:dyDescent="0.25">
      <c r="A6701" t="s">
        <v>7948</v>
      </c>
      <c r="B6701" t="s">
        <v>8188</v>
      </c>
      <c r="C6701" s="1">
        <v>45723</v>
      </c>
    </row>
    <row r="6702" spans="1:3" x14ac:dyDescent="0.25">
      <c r="A6702" t="s">
        <v>7949</v>
      </c>
      <c r="B6702" t="s">
        <v>8188</v>
      </c>
      <c r="C6702" s="1">
        <v>45755</v>
      </c>
    </row>
    <row r="6703" spans="1:3" x14ac:dyDescent="0.25">
      <c r="A6703" t="s">
        <v>7950</v>
      </c>
      <c r="B6703" t="s">
        <v>8188</v>
      </c>
      <c r="C6703" s="1">
        <v>45703</v>
      </c>
    </row>
    <row r="6704" spans="1:3" x14ac:dyDescent="0.25">
      <c r="A6704" t="s">
        <v>7950</v>
      </c>
      <c r="B6704" t="s">
        <v>8188</v>
      </c>
      <c r="C6704" s="1">
        <v>45744</v>
      </c>
    </row>
    <row r="6705" spans="1:3" x14ac:dyDescent="0.25">
      <c r="A6705" t="s">
        <v>7951</v>
      </c>
      <c r="B6705" t="s">
        <v>8188</v>
      </c>
      <c r="C6705" s="1">
        <v>45712</v>
      </c>
    </row>
    <row r="6706" spans="1:3" x14ac:dyDescent="0.25">
      <c r="A6706" t="s">
        <v>7952</v>
      </c>
      <c r="B6706" t="s">
        <v>8188</v>
      </c>
      <c r="C6706" s="1">
        <v>45875</v>
      </c>
    </row>
    <row r="6707" spans="1:3" x14ac:dyDescent="0.25">
      <c r="A6707" t="s">
        <v>7953</v>
      </c>
      <c r="B6707" t="s">
        <v>39</v>
      </c>
      <c r="C6707" s="1">
        <v>45736</v>
      </c>
    </row>
    <row r="6708" spans="1:3" x14ac:dyDescent="0.25">
      <c r="A6708" t="s">
        <v>7954</v>
      </c>
      <c r="B6708" t="s">
        <v>8188</v>
      </c>
      <c r="C6708" s="1">
        <v>45793</v>
      </c>
    </row>
    <row r="6709" spans="1:3" x14ac:dyDescent="0.25">
      <c r="A6709" t="s">
        <v>7954</v>
      </c>
      <c r="B6709" t="s">
        <v>8188</v>
      </c>
      <c r="C6709" s="1">
        <v>45847</v>
      </c>
    </row>
    <row r="6710" spans="1:3" x14ac:dyDescent="0.25">
      <c r="A6710" t="s">
        <v>7955</v>
      </c>
      <c r="B6710" t="s">
        <v>39</v>
      </c>
      <c r="C6710" s="1"/>
    </row>
    <row r="6711" spans="1:3" x14ac:dyDescent="0.25">
      <c r="A6711" t="s">
        <v>7956</v>
      </c>
      <c r="B6711" t="s">
        <v>8188</v>
      </c>
      <c r="C6711" s="1">
        <v>45779</v>
      </c>
    </row>
    <row r="6712" spans="1:3" x14ac:dyDescent="0.25">
      <c r="A6712" t="s">
        <v>7957</v>
      </c>
      <c r="B6712" t="s">
        <v>8188</v>
      </c>
      <c r="C6712" s="1">
        <v>45766</v>
      </c>
    </row>
    <row r="6713" spans="1:3" x14ac:dyDescent="0.25">
      <c r="A6713" t="s">
        <v>7958</v>
      </c>
      <c r="B6713" t="s">
        <v>8188</v>
      </c>
      <c r="C6713" s="1">
        <v>45737</v>
      </c>
    </row>
    <row r="6714" spans="1:3" x14ac:dyDescent="0.25">
      <c r="A6714" t="s">
        <v>7959</v>
      </c>
      <c r="B6714" t="s">
        <v>8188</v>
      </c>
      <c r="C6714" s="1">
        <v>45792</v>
      </c>
    </row>
    <row r="6715" spans="1:3" x14ac:dyDescent="0.25">
      <c r="A6715" t="s">
        <v>7960</v>
      </c>
      <c r="B6715" t="s">
        <v>8188</v>
      </c>
      <c r="C6715" s="1">
        <v>45789</v>
      </c>
    </row>
    <row r="6716" spans="1:3" x14ac:dyDescent="0.25">
      <c r="A6716" t="s">
        <v>7960</v>
      </c>
      <c r="B6716" t="s">
        <v>8188</v>
      </c>
      <c r="C6716" s="1">
        <v>45807</v>
      </c>
    </row>
    <row r="6717" spans="1:3" x14ac:dyDescent="0.25">
      <c r="A6717" t="s">
        <v>7961</v>
      </c>
      <c r="B6717" t="s">
        <v>8188</v>
      </c>
      <c r="C6717" s="1">
        <v>45707</v>
      </c>
    </row>
    <row r="6718" spans="1:3" x14ac:dyDescent="0.25">
      <c r="A6718" t="s">
        <v>7962</v>
      </c>
      <c r="B6718" t="s">
        <v>39</v>
      </c>
      <c r="C6718" s="1"/>
    </row>
    <row r="6719" spans="1:3" x14ac:dyDescent="0.25">
      <c r="A6719" t="s">
        <v>7963</v>
      </c>
      <c r="B6719" t="s">
        <v>8188</v>
      </c>
      <c r="C6719" s="1">
        <v>45737</v>
      </c>
    </row>
    <row r="6720" spans="1:3" x14ac:dyDescent="0.25">
      <c r="A6720" t="s">
        <v>7963</v>
      </c>
      <c r="B6720" t="s">
        <v>8188</v>
      </c>
      <c r="C6720" s="1">
        <v>45753</v>
      </c>
    </row>
    <row r="6721" spans="1:3" x14ac:dyDescent="0.25">
      <c r="A6721" t="s">
        <v>7964</v>
      </c>
      <c r="B6721" t="s">
        <v>8188</v>
      </c>
      <c r="C6721" s="1">
        <v>45765</v>
      </c>
    </row>
    <row r="6722" spans="1:3" x14ac:dyDescent="0.25">
      <c r="A6722" t="s">
        <v>7964</v>
      </c>
      <c r="B6722" t="s">
        <v>8188</v>
      </c>
      <c r="C6722" s="1">
        <v>45797</v>
      </c>
    </row>
    <row r="6723" spans="1:3" x14ac:dyDescent="0.25">
      <c r="A6723" t="s">
        <v>7965</v>
      </c>
      <c r="B6723" t="s">
        <v>39</v>
      </c>
      <c r="C6723" s="1"/>
    </row>
    <row r="6724" spans="1:3" x14ac:dyDescent="0.25">
      <c r="A6724" t="s">
        <v>7966</v>
      </c>
      <c r="B6724" t="s">
        <v>39</v>
      </c>
      <c r="C6724" s="1"/>
    </row>
    <row r="6725" spans="1:3" x14ac:dyDescent="0.25">
      <c r="A6725" t="s">
        <v>7967</v>
      </c>
      <c r="B6725" t="s">
        <v>8188</v>
      </c>
      <c r="C6725" s="1">
        <v>45727</v>
      </c>
    </row>
    <row r="6726" spans="1:3" x14ac:dyDescent="0.25">
      <c r="A6726" t="s">
        <v>7968</v>
      </c>
      <c r="B6726" t="s">
        <v>8188</v>
      </c>
      <c r="C6726" s="1">
        <v>45764</v>
      </c>
    </row>
    <row r="6727" spans="1:3" x14ac:dyDescent="0.25">
      <c r="A6727" t="s">
        <v>7969</v>
      </c>
      <c r="B6727" t="s">
        <v>8188</v>
      </c>
      <c r="C6727" s="1">
        <v>45765</v>
      </c>
    </row>
    <row r="6728" spans="1:3" x14ac:dyDescent="0.25">
      <c r="A6728" t="s">
        <v>7970</v>
      </c>
      <c r="B6728" t="s">
        <v>8188</v>
      </c>
      <c r="C6728" s="1">
        <v>45707</v>
      </c>
    </row>
    <row r="6729" spans="1:3" x14ac:dyDescent="0.25">
      <c r="A6729" t="s">
        <v>7971</v>
      </c>
      <c r="B6729" t="s">
        <v>39</v>
      </c>
      <c r="C6729" s="1"/>
    </row>
    <row r="6730" spans="1:3" x14ac:dyDescent="0.25">
      <c r="A6730" t="s">
        <v>7972</v>
      </c>
      <c r="B6730" t="s">
        <v>8188</v>
      </c>
      <c r="C6730" s="1">
        <v>45756</v>
      </c>
    </row>
    <row r="6731" spans="1:3" x14ac:dyDescent="0.25">
      <c r="A6731" t="s">
        <v>7972</v>
      </c>
      <c r="B6731" t="s">
        <v>8188</v>
      </c>
      <c r="C6731" s="1">
        <v>45756</v>
      </c>
    </row>
    <row r="6732" spans="1:3" x14ac:dyDescent="0.25">
      <c r="A6732" t="s">
        <v>7973</v>
      </c>
      <c r="B6732" t="s">
        <v>8188</v>
      </c>
      <c r="C6732" s="1">
        <v>45789</v>
      </c>
    </row>
    <row r="6733" spans="1:3" x14ac:dyDescent="0.25">
      <c r="A6733" t="s">
        <v>7973</v>
      </c>
      <c r="B6733" t="s">
        <v>8188</v>
      </c>
      <c r="C6733" s="1">
        <v>45797</v>
      </c>
    </row>
    <row r="6734" spans="1:3" x14ac:dyDescent="0.25">
      <c r="A6734" t="s">
        <v>7974</v>
      </c>
      <c r="B6734" t="s">
        <v>39</v>
      </c>
      <c r="C6734" s="1"/>
    </row>
    <row r="6735" spans="1:3" x14ac:dyDescent="0.25">
      <c r="A6735" t="s">
        <v>7974</v>
      </c>
      <c r="B6735" t="s">
        <v>39</v>
      </c>
      <c r="C6735" s="1"/>
    </row>
    <row r="6736" spans="1:3" x14ac:dyDescent="0.25">
      <c r="A6736" t="s">
        <v>7975</v>
      </c>
      <c r="B6736" t="s">
        <v>8188</v>
      </c>
      <c r="C6736" s="1">
        <v>45796</v>
      </c>
    </row>
    <row r="6737" spans="1:3" x14ac:dyDescent="0.25">
      <c r="A6737" t="s">
        <v>7975</v>
      </c>
      <c r="B6737" t="s">
        <v>8188</v>
      </c>
      <c r="C6737" s="1">
        <v>45845</v>
      </c>
    </row>
    <row r="6738" spans="1:3" x14ac:dyDescent="0.25">
      <c r="A6738" t="s">
        <v>7976</v>
      </c>
      <c r="B6738" t="s">
        <v>8188</v>
      </c>
      <c r="C6738" s="1">
        <v>45743</v>
      </c>
    </row>
    <row r="6739" spans="1:3" x14ac:dyDescent="0.25">
      <c r="A6739" t="s">
        <v>7976</v>
      </c>
      <c r="B6739" t="s">
        <v>8188</v>
      </c>
      <c r="C6739" s="1">
        <v>45754</v>
      </c>
    </row>
    <row r="6740" spans="1:3" x14ac:dyDescent="0.25">
      <c r="A6740" t="s">
        <v>7977</v>
      </c>
      <c r="B6740" t="s">
        <v>8188</v>
      </c>
      <c r="C6740" s="1">
        <v>45735</v>
      </c>
    </row>
    <row r="6741" spans="1:3" x14ac:dyDescent="0.25">
      <c r="A6741" t="s">
        <v>7977</v>
      </c>
      <c r="B6741" t="s">
        <v>8188</v>
      </c>
      <c r="C6741" s="1">
        <v>45737</v>
      </c>
    </row>
    <row r="6742" spans="1:3" x14ac:dyDescent="0.25">
      <c r="A6742" t="s">
        <v>7978</v>
      </c>
      <c r="B6742" t="s">
        <v>8188</v>
      </c>
      <c r="C6742" s="1">
        <v>45728</v>
      </c>
    </row>
    <row r="6743" spans="1:3" x14ac:dyDescent="0.25">
      <c r="A6743" t="s">
        <v>7979</v>
      </c>
      <c r="B6743" t="s">
        <v>8188</v>
      </c>
      <c r="C6743" s="1">
        <v>45799</v>
      </c>
    </row>
    <row r="6744" spans="1:3" x14ac:dyDescent="0.25">
      <c r="A6744" t="s">
        <v>7980</v>
      </c>
      <c r="B6744" t="s">
        <v>39</v>
      </c>
      <c r="C6744" s="1"/>
    </row>
    <row r="6745" spans="1:3" x14ac:dyDescent="0.25">
      <c r="A6745" t="s">
        <v>7981</v>
      </c>
      <c r="B6745" t="s">
        <v>8188</v>
      </c>
      <c r="C6745" s="1">
        <v>45756</v>
      </c>
    </row>
    <row r="6746" spans="1:3" x14ac:dyDescent="0.25">
      <c r="A6746" t="s">
        <v>7982</v>
      </c>
      <c r="B6746" t="s">
        <v>8188</v>
      </c>
      <c r="C6746" s="1">
        <v>45721</v>
      </c>
    </row>
    <row r="6747" spans="1:3" x14ac:dyDescent="0.25">
      <c r="A6747" t="s">
        <v>7983</v>
      </c>
      <c r="B6747" t="s">
        <v>8188</v>
      </c>
      <c r="C6747" s="1">
        <v>45724</v>
      </c>
    </row>
    <row r="6748" spans="1:3" x14ac:dyDescent="0.25">
      <c r="A6748" t="s">
        <v>7984</v>
      </c>
      <c r="B6748" t="s">
        <v>8188</v>
      </c>
      <c r="C6748" s="1">
        <v>45745</v>
      </c>
    </row>
    <row r="6749" spans="1:3" x14ac:dyDescent="0.25">
      <c r="A6749" t="s">
        <v>7985</v>
      </c>
      <c r="B6749" t="s">
        <v>8188</v>
      </c>
      <c r="C6749" s="1">
        <v>45712</v>
      </c>
    </row>
    <row r="6750" spans="1:3" x14ac:dyDescent="0.25">
      <c r="A6750" t="s">
        <v>7986</v>
      </c>
      <c r="B6750" t="s">
        <v>39</v>
      </c>
      <c r="C6750" s="1"/>
    </row>
    <row r="6751" spans="1:3" x14ac:dyDescent="0.25">
      <c r="A6751" t="s">
        <v>7987</v>
      </c>
      <c r="B6751" t="s">
        <v>8188</v>
      </c>
      <c r="C6751" s="1">
        <v>45734</v>
      </c>
    </row>
    <row r="6752" spans="1:3" x14ac:dyDescent="0.25">
      <c r="A6752" t="s">
        <v>7987</v>
      </c>
      <c r="B6752" t="s">
        <v>8188</v>
      </c>
      <c r="C6752" s="1">
        <v>45736</v>
      </c>
    </row>
    <row r="6753" spans="1:3" x14ac:dyDescent="0.25">
      <c r="A6753" t="s">
        <v>7988</v>
      </c>
      <c r="B6753" t="s">
        <v>8188</v>
      </c>
      <c r="C6753" s="1">
        <v>45737</v>
      </c>
    </row>
    <row r="6754" spans="1:3" x14ac:dyDescent="0.25">
      <c r="A6754" t="s">
        <v>7989</v>
      </c>
      <c r="B6754" t="s">
        <v>8188</v>
      </c>
      <c r="C6754" s="1">
        <v>45790</v>
      </c>
    </row>
    <row r="6755" spans="1:3" x14ac:dyDescent="0.25">
      <c r="A6755" t="s">
        <v>7990</v>
      </c>
      <c r="B6755" t="s">
        <v>8188</v>
      </c>
      <c r="C6755" s="1">
        <v>45735</v>
      </c>
    </row>
    <row r="6756" spans="1:3" x14ac:dyDescent="0.25">
      <c r="A6756" t="s">
        <v>7991</v>
      </c>
      <c r="B6756" t="s">
        <v>8188</v>
      </c>
      <c r="C6756" s="1">
        <v>45797</v>
      </c>
    </row>
    <row r="6757" spans="1:3" x14ac:dyDescent="0.25">
      <c r="A6757" t="s">
        <v>7992</v>
      </c>
      <c r="B6757" t="s">
        <v>8188</v>
      </c>
      <c r="C6757" s="1">
        <v>45756</v>
      </c>
    </row>
    <row r="6758" spans="1:3" x14ac:dyDescent="0.25">
      <c r="A6758" t="s">
        <v>7993</v>
      </c>
      <c r="B6758" t="s">
        <v>39</v>
      </c>
      <c r="C6758" s="1"/>
    </row>
    <row r="6759" spans="1:3" x14ac:dyDescent="0.25">
      <c r="A6759" t="s">
        <v>7993</v>
      </c>
      <c r="B6759" t="s">
        <v>8188</v>
      </c>
      <c r="C6759" s="1">
        <v>45775</v>
      </c>
    </row>
    <row r="6760" spans="1:3" x14ac:dyDescent="0.25">
      <c r="A6760" t="s">
        <v>7994</v>
      </c>
      <c r="B6760" t="s">
        <v>8188</v>
      </c>
      <c r="C6760" s="1">
        <v>45789</v>
      </c>
    </row>
    <row r="6761" spans="1:3" x14ac:dyDescent="0.25">
      <c r="A6761" t="s">
        <v>7994</v>
      </c>
      <c r="B6761" t="s">
        <v>8188</v>
      </c>
      <c r="C6761" s="1">
        <v>45784</v>
      </c>
    </row>
    <row r="6762" spans="1:3" x14ac:dyDescent="0.25">
      <c r="A6762" t="s">
        <v>7994</v>
      </c>
      <c r="B6762" t="s">
        <v>8188</v>
      </c>
      <c r="C6762" s="1">
        <v>45785</v>
      </c>
    </row>
    <row r="6763" spans="1:3" x14ac:dyDescent="0.25">
      <c r="A6763" t="s">
        <v>7994</v>
      </c>
      <c r="B6763" t="s">
        <v>8188</v>
      </c>
      <c r="C6763" s="1">
        <v>45786</v>
      </c>
    </row>
    <row r="6764" spans="1:3" x14ac:dyDescent="0.25">
      <c r="A6764" t="s">
        <v>7994</v>
      </c>
      <c r="B6764" t="s">
        <v>8188</v>
      </c>
      <c r="C6764" s="1">
        <v>45786</v>
      </c>
    </row>
    <row r="6765" spans="1:3" x14ac:dyDescent="0.25">
      <c r="A6765" t="s">
        <v>7995</v>
      </c>
      <c r="B6765" t="s">
        <v>8188</v>
      </c>
      <c r="C6765" s="1">
        <v>45766</v>
      </c>
    </row>
    <row r="6766" spans="1:3" x14ac:dyDescent="0.25">
      <c r="A6766" t="s">
        <v>7996</v>
      </c>
      <c r="B6766" t="s">
        <v>8188</v>
      </c>
      <c r="C6766" s="1">
        <v>45735</v>
      </c>
    </row>
    <row r="6767" spans="1:3" x14ac:dyDescent="0.25">
      <c r="A6767" t="s">
        <v>7996</v>
      </c>
      <c r="B6767" t="s">
        <v>39</v>
      </c>
      <c r="C6767" s="1"/>
    </row>
    <row r="6768" spans="1:3" x14ac:dyDescent="0.25">
      <c r="A6768" t="s">
        <v>7997</v>
      </c>
      <c r="B6768" t="s">
        <v>39</v>
      </c>
      <c r="C6768" s="1"/>
    </row>
    <row r="6769" spans="1:3" x14ac:dyDescent="0.25">
      <c r="A6769" t="s">
        <v>7998</v>
      </c>
      <c r="B6769" t="s">
        <v>8188</v>
      </c>
      <c r="C6769" s="1">
        <v>45828</v>
      </c>
    </row>
    <row r="6770" spans="1:3" x14ac:dyDescent="0.25">
      <c r="A6770" t="s">
        <v>7999</v>
      </c>
      <c r="B6770" t="s">
        <v>8188</v>
      </c>
      <c r="C6770" s="1">
        <v>45766</v>
      </c>
    </row>
    <row r="6771" spans="1:3" x14ac:dyDescent="0.25">
      <c r="A6771" t="s">
        <v>8000</v>
      </c>
      <c r="B6771" t="s">
        <v>8188</v>
      </c>
      <c r="C6771" s="1">
        <v>45734</v>
      </c>
    </row>
    <row r="6772" spans="1:3" x14ac:dyDescent="0.25">
      <c r="A6772" t="s">
        <v>8001</v>
      </c>
      <c r="B6772" t="s">
        <v>8188</v>
      </c>
      <c r="C6772" s="1">
        <v>45735</v>
      </c>
    </row>
    <row r="6773" spans="1:3" x14ac:dyDescent="0.25">
      <c r="A6773" t="s">
        <v>8001</v>
      </c>
      <c r="B6773" t="s">
        <v>8188</v>
      </c>
      <c r="C6773" s="1">
        <v>45727</v>
      </c>
    </row>
    <row r="6774" spans="1:3" x14ac:dyDescent="0.25">
      <c r="A6774" t="s">
        <v>8002</v>
      </c>
      <c r="B6774" t="s">
        <v>8188</v>
      </c>
      <c r="C6774" s="1">
        <v>45728</v>
      </c>
    </row>
    <row r="6775" spans="1:3" x14ac:dyDescent="0.25">
      <c r="A6775" t="s">
        <v>8003</v>
      </c>
      <c r="B6775" t="s">
        <v>8188</v>
      </c>
      <c r="C6775" s="1">
        <v>45726</v>
      </c>
    </row>
    <row r="6776" spans="1:3" x14ac:dyDescent="0.25">
      <c r="A6776" t="s">
        <v>8004</v>
      </c>
      <c r="B6776" t="s">
        <v>8188</v>
      </c>
      <c r="C6776" s="1">
        <v>45712</v>
      </c>
    </row>
    <row r="6777" spans="1:3" x14ac:dyDescent="0.25">
      <c r="A6777" t="s">
        <v>8005</v>
      </c>
      <c r="B6777" t="s">
        <v>8188</v>
      </c>
      <c r="C6777" s="1">
        <v>45771</v>
      </c>
    </row>
    <row r="6778" spans="1:3" x14ac:dyDescent="0.25">
      <c r="A6778" t="s">
        <v>8006</v>
      </c>
      <c r="B6778" t="s">
        <v>39</v>
      </c>
      <c r="C6778" s="1"/>
    </row>
    <row r="6779" spans="1:3" x14ac:dyDescent="0.25">
      <c r="A6779" t="s">
        <v>8007</v>
      </c>
      <c r="B6779" t="s">
        <v>8188</v>
      </c>
      <c r="C6779" s="1">
        <v>45737</v>
      </c>
    </row>
    <row r="6780" spans="1:3" x14ac:dyDescent="0.25">
      <c r="A6780" t="s">
        <v>8008</v>
      </c>
      <c r="B6780" t="s">
        <v>8188</v>
      </c>
      <c r="C6780" s="1">
        <v>45775</v>
      </c>
    </row>
    <row r="6781" spans="1:3" x14ac:dyDescent="0.25">
      <c r="A6781" t="s">
        <v>8008</v>
      </c>
      <c r="B6781" t="s">
        <v>8188</v>
      </c>
      <c r="C6781" s="1">
        <v>45793</v>
      </c>
    </row>
    <row r="6782" spans="1:3" x14ac:dyDescent="0.25">
      <c r="A6782" t="s">
        <v>8008</v>
      </c>
      <c r="B6782" t="s">
        <v>8188</v>
      </c>
      <c r="C6782" s="1">
        <v>45800</v>
      </c>
    </row>
    <row r="6783" spans="1:3" x14ac:dyDescent="0.25">
      <c r="A6783" t="s">
        <v>8009</v>
      </c>
      <c r="B6783" t="s">
        <v>8188</v>
      </c>
      <c r="C6783" s="1">
        <v>45729</v>
      </c>
    </row>
    <row r="6784" spans="1:3" x14ac:dyDescent="0.25">
      <c r="A6784" t="s">
        <v>8010</v>
      </c>
      <c r="B6784" t="s">
        <v>8188</v>
      </c>
      <c r="C6784" s="1">
        <v>45719</v>
      </c>
    </row>
    <row r="6785" spans="1:3" x14ac:dyDescent="0.25">
      <c r="A6785" t="s">
        <v>8011</v>
      </c>
      <c r="B6785" t="s">
        <v>8188</v>
      </c>
      <c r="C6785" s="1">
        <v>45737</v>
      </c>
    </row>
    <row r="6786" spans="1:3" x14ac:dyDescent="0.25">
      <c r="A6786" t="s">
        <v>8012</v>
      </c>
      <c r="B6786" t="s">
        <v>8188</v>
      </c>
      <c r="C6786" s="1">
        <v>45736</v>
      </c>
    </row>
    <row r="6787" spans="1:3" x14ac:dyDescent="0.25">
      <c r="A6787" t="s">
        <v>8013</v>
      </c>
      <c r="B6787" t="s">
        <v>8188</v>
      </c>
      <c r="C6787" s="1">
        <v>45726</v>
      </c>
    </row>
    <row r="6788" spans="1:3" x14ac:dyDescent="0.25">
      <c r="A6788" t="s">
        <v>8014</v>
      </c>
      <c r="B6788" t="s">
        <v>8188</v>
      </c>
      <c r="C6788" s="1">
        <v>45731</v>
      </c>
    </row>
    <row r="6789" spans="1:3" x14ac:dyDescent="0.25">
      <c r="A6789" t="s">
        <v>8015</v>
      </c>
      <c r="B6789" t="s">
        <v>8188</v>
      </c>
      <c r="C6789" s="1">
        <v>45727</v>
      </c>
    </row>
    <row r="6790" spans="1:3" x14ac:dyDescent="0.25">
      <c r="A6790" t="s">
        <v>8016</v>
      </c>
      <c r="B6790" t="s">
        <v>8188</v>
      </c>
      <c r="C6790" s="1">
        <v>45716</v>
      </c>
    </row>
    <row r="6791" spans="1:3" x14ac:dyDescent="0.25">
      <c r="A6791" t="s">
        <v>8017</v>
      </c>
      <c r="B6791" t="s">
        <v>8188</v>
      </c>
      <c r="C6791" s="1">
        <v>45724</v>
      </c>
    </row>
    <row r="6792" spans="1:3" x14ac:dyDescent="0.25">
      <c r="A6792" t="s">
        <v>8018</v>
      </c>
      <c r="B6792" t="s">
        <v>8188</v>
      </c>
      <c r="C6792" s="1">
        <v>45721</v>
      </c>
    </row>
    <row r="6793" spans="1:3" x14ac:dyDescent="0.25">
      <c r="A6793" t="s">
        <v>8019</v>
      </c>
      <c r="B6793" t="s">
        <v>8188</v>
      </c>
      <c r="C6793" s="1">
        <v>45850</v>
      </c>
    </row>
    <row r="6794" spans="1:3" x14ac:dyDescent="0.25">
      <c r="A6794" t="s">
        <v>8020</v>
      </c>
      <c r="B6794" t="s">
        <v>8188</v>
      </c>
      <c r="C6794" s="1">
        <v>45773</v>
      </c>
    </row>
    <row r="6795" spans="1:3" x14ac:dyDescent="0.25">
      <c r="A6795" t="s">
        <v>8021</v>
      </c>
      <c r="B6795" t="s">
        <v>39</v>
      </c>
      <c r="C6795" s="1"/>
    </row>
    <row r="6796" spans="1:3" x14ac:dyDescent="0.25">
      <c r="A6796" t="s">
        <v>8022</v>
      </c>
      <c r="B6796" t="s">
        <v>8188</v>
      </c>
      <c r="C6796" s="1">
        <v>45723</v>
      </c>
    </row>
    <row r="6797" spans="1:3" x14ac:dyDescent="0.25">
      <c r="A6797" t="s">
        <v>8022</v>
      </c>
      <c r="B6797" t="s">
        <v>39</v>
      </c>
      <c r="C6797" s="1"/>
    </row>
    <row r="6798" spans="1:3" x14ac:dyDescent="0.25">
      <c r="A6798" t="s">
        <v>8023</v>
      </c>
      <c r="B6798" t="s">
        <v>39</v>
      </c>
      <c r="C6798" s="1"/>
    </row>
    <row r="6799" spans="1:3" x14ac:dyDescent="0.25">
      <c r="A6799" t="s">
        <v>8024</v>
      </c>
      <c r="B6799" t="s">
        <v>8188</v>
      </c>
      <c r="C6799" s="1">
        <v>45768</v>
      </c>
    </row>
    <row r="6800" spans="1:3" x14ac:dyDescent="0.25">
      <c r="A6800" t="s">
        <v>8025</v>
      </c>
      <c r="B6800" t="s">
        <v>8188</v>
      </c>
      <c r="C6800" s="1">
        <v>45811</v>
      </c>
    </row>
    <row r="6801" spans="1:3" x14ac:dyDescent="0.25">
      <c r="A6801" t="s">
        <v>8025</v>
      </c>
      <c r="B6801" t="s">
        <v>8188</v>
      </c>
      <c r="C6801" s="1">
        <v>45803</v>
      </c>
    </row>
    <row r="6802" spans="1:3" x14ac:dyDescent="0.25">
      <c r="A6802" t="s">
        <v>8026</v>
      </c>
      <c r="B6802" t="s">
        <v>8188</v>
      </c>
      <c r="C6802" s="1">
        <v>45745</v>
      </c>
    </row>
    <row r="6803" spans="1:3" x14ac:dyDescent="0.25">
      <c r="A6803" t="s">
        <v>8026</v>
      </c>
      <c r="B6803" t="s">
        <v>8188</v>
      </c>
      <c r="C6803" s="1">
        <v>45798</v>
      </c>
    </row>
    <row r="6804" spans="1:3" x14ac:dyDescent="0.25">
      <c r="A6804" t="s">
        <v>8027</v>
      </c>
      <c r="B6804" t="s">
        <v>8188</v>
      </c>
      <c r="C6804" s="1">
        <v>45734</v>
      </c>
    </row>
    <row r="6805" spans="1:3" x14ac:dyDescent="0.25">
      <c r="A6805" t="s">
        <v>6367</v>
      </c>
      <c r="B6805" t="s">
        <v>8188</v>
      </c>
      <c r="C6805" s="1">
        <v>45812</v>
      </c>
    </row>
    <row r="6806" spans="1:3" x14ac:dyDescent="0.25">
      <c r="A6806" t="s">
        <v>8028</v>
      </c>
      <c r="B6806" t="s">
        <v>8188</v>
      </c>
      <c r="C6806" s="1">
        <v>45763</v>
      </c>
    </row>
    <row r="6807" spans="1:3" x14ac:dyDescent="0.25">
      <c r="A6807" t="s">
        <v>8029</v>
      </c>
      <c r="B6807" t="s">
        <v>39</v>
      </c>
      <c r="C6807" s="1"/>
    </row>
    <row r="6808" spans="1:3" x14ac:dyDescent="0.25">
      <c r="A6808" t="s">
        <v>8030</v>
      </c>
      <c r="B6808" t="s">
        <v>8188</v>
      </c>
      <c r="C6808" s="1">
        <v>45750</v>
      </c>
    </row>
    <row r="6809" spans="1:3" x14ac:dyDescent="0.25">
      <c r="A6809" t="s">
        <v>8031</v>
      </c>
      <c r="B6809" t="s">
        <v>8188</v>
      </c>
      <c r="C6809" s="1">
        <v>45723</v>
      </c>
    </row>
    <row r="6810" spans="1:3" x14ac:dyDescent="0.25">
      <c r="A6810" t="s">
        <v>8032</v>
      </c>
      <c r="B6810" t="s">
        <v>39</v>
      </c>
      <c r="C6810" s="1">
        <v>45841</v>
      </c>
    </row>
    <row r="6811" spans="1:3" x14ac:dyDescent="0.25">
      <c r="A6811" t="s">
        <v>8033</v>
      </c>
      <c r="B6811" t="s">
        <v>8188</v>
      </c>
      <c r="C6811" s="1">
        <v>45807</v>
      </c>
    </row>
    <row r="6812" spans="1:3" x14ac:dyDescent="0.25">
      <c r="A6812" t="s">
        <v>8034</v>
      </c>
      <c r="B6812" t="s">
        <v>8188</v>
      </c>
      <c r="C6812" s="1">
        <v>45722</v>
      </c>
    </row>
    <row r="6813" spans="1:3" x14ac:dyDescent="0.25">
      <c r="A6813" t="s">
        <v>8035</v>
      </c>
      <c r="B6813" t="s">
        <v>8188</v>
      </c>
      <c r="C6813" s="1">
        <v>45811</v>
      </c>
    </row>
    <row r="6814" spans="1:3" x14ac:dyDescent="0.25">
      <c r="A6814" t="s">
        <v>8036</v>
      </c>
      <c r="B6814" t="s">
        <v>8188</v>
      </c>
      <c r="C6814" s="1">
        <v>45728</v>
      </c>
    </row>
    <row r="6815" spans="1:3" x14ac:dyDescent="0.25">
      <c r="A6815" t="s">
        <v>8037</v>
      </c>
      <c r="B6815" t="s">
        <v>39</v>
      </c>
      <c r="C6815" s="1"/>
    </row>
    <row r="6816" spans="1:3" x14ac:dyDescent="0.25">
      <c r="A6816" t="s">
        <v>8038</v>
      </c>
      <c r="B6816" t="s">
        <v>8188</v>
      </c>
      <c r="C6816" s="1">
        <v>45731</v>
      </c>
    </row>
    <row r="6817" spans="1:3" x14ac:dyDescent="0.25">
      <c r="A6817" t="s">
        <v>8039</v>
      </c>
      <c r="B6817" t="s">
        <v>8188</v>
      </c>
      <c r="C6817" s="1">
        <v>45794</v>
      </c>
    </row>
    <row r="6818" spans="1:3" x14ac:dyDescent="0.25">
      <c r="A6818" t="s">
        <v>8040</v>
      </c>
      <c r="B6818" t="s">
        <v>39</v>
      </c>
      <c r="C6818" s="1"/>
    </row>
    <row r="6819" spans="1:3" x14ac:dyDescent="0.25">
      <c r="A6819" t="s">
        <v>8041</v>
      </c>
      <c r="B6819" t="s">
        <v>8188</v>
      </c>
      <c r="C6819" s="1">
        <v>45744</v>
      </c>
    </row>
    <row r="6820" spans="1:3" x14ac:dyDescent="0.25">
      <c r="A6820" t="s">
        <v>8042</v>
      </c>
      <c r="B6820" t="s">
        <v>39</v>
      </c>
      <c r="C6820" s="1"/>
    </row>
    <row r="6821" spans="1:3" x14ac:dyDescent="0.25">
      <c r="A6821" t="s">
        <v>8043</v>
      </c>
      <c r="B6821" t="s">
        <v>8188</v>
      </c>
      <c r="C6821" s="1">
        <v>45728</v>
      </c>
    </row>
    <row r="6822" spans="1:3" x14ac:dyDescent="0.25">
      <c r="A6822" t="s">
        <v>8044</v>
      </c>
      <c r="B6822" t="s">
        <v>8188</v>
      </c>
      <c r="C6822" s="1">
        <v>45735</v>
      </c>
    </row>
    <row r="6823" spans="1:3" x14ac:dyDescent="0.25">
      <c r="A6823" t="s">
        <v>8045</v>
      </c>
      <c r="B6823" t="s">
        <v>8188</v>
      </c>
      <c r="C6823" s="1">
        <v>45822</v>
      </c>
    </row>
    <row r="6824" spans="1:3" x14ac:dyDescent="0.25">
      <c r="A6824" t="s">
        <v>8046</v>
      </c>
      <c r="B6824" t="s">
        <v>8188</v>
      </c>
      <c r="C6824" s="1">
        <v>45735</v>
      </c>
    </row>
    <row r="6825" spans="1:3" x14ac:dyDescent="0.25">
      <c r="A6825" t="s">
        <v>8047</v>
      </c>
      <c r="B6825" t="s">
        <v>8188</v>
      </c>
      <c r="C6825" s="1">
        <v>45723</v>
      </c>
    </row>
    <row r="6826" spans="1:3" x14ac:dyDescent="0.25">
      <c r="A6826" t="s">
        <v>8048</v>
      </c>
      <c r="B6826" t="s">
        <v>8188</v>
      </c>
      <c r="C6826" s="1">
        <v>45786</v>
      </c>
    </row>
    <row r="6827" spans="1:3" x14ac:dyDescent="0.25">
      <c r="A6827" t="s">
        <v>8049</v>
      </c>
      <c r="B6827" t="s">
        <v>8188</v>
      </c>
      <c r="C6827" s="1">
        <v>45726</v>
      </c>
    </row>
    <row r="6828" spans="1:3" x14ac:dyDescent="0.25">
      <c r="A6828" t="s">
        <v>8050</v>
      </c>
      <c r="B6828" t="s">
        <v>39</v>
      </c>
      <c r="C6828" s="1"/>
    </row>
    <row r="6829" spans="1:3" x14ac:dyDescent="0.25">
      <c r="A6829" t="s">
        <v>8051</v>
      </c>
      <c r="B6829" t="s">
        <v>8188</v>
      </c>
      <c r="C6829" s="1">
        <v>45797</v>
      </c>
    </row>
    <row r="6830" spans="1:3" x14ac:dyDescent="0.25">
      <c r="A6830" t="s">
        <v>8051</v>
      </c>
      <c r="B6830" t="s">
        <v>39</v>
      </c>
      <c r="C6830" s="1"/>
    </row>
    <row r="6831" spans="1:3" x14ac:dyDescent="0.25">
      <c r="A6831" t="s">
        <v>8052</v>
      </c>
      <c r="B6831" t="s">
        <v>8188</v>
      </c>
      <c r="C6831" s="1">
        <v>45780</v>
      </c>
    </row>
    <row r="6832" spans="1:3" x14ac:dyDescent="0.25">
      <c r="A6832" t="s">
        <v>8053</v>
      </c>
      <c r="B6832" t="s">
        <v>8188</v>
      </c>
      <c r="C6832" s="1">
        <v>45736</v>
      </c>
    </row>
    <row r="6833" spans="1:3" x14ac:dyDescent="0.25">
      <c r="A6833" t="s">
        <v>8054</v>
      </c>
      <c r="B6833" t="s">
        <v>39</v>
      </c>
      <c r="C6833" s="1"/>
    </row>
    <row r="6834" spans="1:3" x14ac:dyDescent="0.25">
      <c r="A6834" t="s">
        <v>8055</v>
      </c>
      <c r="B6834" t="s">
        <v>8188</v>
      </c>
      <c r="C6834" s="1">
        <v>45810</v>
      </c>
    </row>
    <row r="6835" spans="1:3" x14ac:dyDescent="0.25">
      <c r="A6835" t="s">
        <v>8056</v>
      </c>
      <c r="B6835" t="s">
        <v>39</v>
      </c>
      <c r="C6835" s="1"/>
    </row>
    <row r="6836" spans="1:3" x14ac:dyDescent="0.25">
      <c r="A6836" t="s">
        <v>8057</v>
      </c>
      <c r="B6836" t="s">
        <v>8188</v>
      </c>
      <c r="C6836" s="1">
        <v>45735</v>
      </c>
    </row>
    <row r="6837" spans="1:3" x14ac:dyDescent="0.25">
      <c r="A6837" t="s">
        <v>8057</v>
      </c>
      <c r="B6837" t="s">
        <v>39</v>
      </c>
      <c r="C6837" s="1"/>
    </row>
    <row r="6838" spans="1:3" x14ac:dyDescent="0.25">
      <c r="A6838" t="s">
        <v>8058</v>
      </c>
      <c r="B6838" t="s">
        <v>8188</v>
      </c>
      <c r="C6838" s="1">
        <v>45789</v>
      </c>
    </row>
    <row r="6839" spans="1:3" x14ac:dyDescent="0.25">
      <c r="A6839" t="s">
        <v>8059</v>
      </c>
      <c r="B6839" t="s">
        <v>8188</v>
      </c>
      <c r="C6839" s="1">
        <v>45757</v>
      </c>
    </row>
    <row r="6840" spans="1:3" x14ac:dyDescent="0.25">
      <c r="A6840" t="s">
        <v>8059</v>
      </c>
      <c r="B6840" t="s">
        <v>8188</v>
      </c>
      <c r="C6840" s="1">
        <v>45766</v>
      </c>
    </row>
    <row r="6841" spans="1:3" x14ac:dyDescent="0.25">
      <c r="A6841" t="s">
        <v>8060</v>
      </c>
      <c r="B6841" t="s">
        <v>39</v>
      </c>
      <c r="C6841" s="1"/>
    </row>
    <row r="6842" spans="1:3" x14ac:dyDescent="0.25">
      <c r="A6842" t="s">
        <v>5464</v>
      </c>
      <c r="B6842" t="s">
        <v>8188</v>
      </c>
      <c r="C6842" s="1">
        <v>45810</v>
      </c>
    </row>
    <row r="6843" spans="1:3" x14ac:dyDescent="0.25">
      <c r="A6843" t="s">
        <v>8061</v>
      </c>
      <c r="B6843" t="s">
        <v>39</v>
      </c>
      <c r="C6843" s="1"/>
    </row>
    <row r="6844" spans="1:3" x14ac:dyDescent="0.25">
      <c r="A6844" t="s">
        <v>5463</v>
      </c>
      <c r="B6844" t="s">
        <v>8188</v>
      </c>
      <c r="C6844" s="1">
        <v>45811</v>
      </c>
    </row>
    <row r="6845" spans="1:3" x14ac:dyDescent="0.25">
      <c r="A6845" t="s">
        <v>5155</v>
      </c>
      <c r="B6845" t="s">
        <v>8188</v>
      </c>
      <c r="C6845" s="1">
        <v>45849</v>
      </c>
    </row>
    <row r="6846" spans="1:3" x14ac:dyDescent="0.25">
      <c r="A6846" t="s">
        <v>5164</v>
      </c>
      <c r="B6846" t="s">
        <v>8188</v>
      </c>
      <c r="C6846" s="1">
        <v>45832</v>
      </c>
    </row>
    <row r="6847" spans="1:3" x14ac:dyDescent="0.25">
      <c r="A6847" t="s">
        <v>3695</v>
      </c>
      <c r="B6847" t="s">
        <v>8188</v>
      </c>
      <c r="C6847" s="1">
        <v>45825</v>
      </c>
    </row>
    <row r="6848" spans="1:3" x14ac:dyDescent="0.25">
      <c r="A6848" t="s">
        <v>3694</v>
      </c>
      <c r="B6848" t="s">
        <v>8188</v>
      </c>
      <c r="C6848" s="1">
        <v>45822</v>
      </c>
    </row>
    <row r="6849" spans="1:3" x14ac:dyDescent="0.25">
      <c r="A6849" t="s">
        <v>5465</v>
      </c>
      <c r="B6849" t="s">
        <v>8188</v>
      </c>
      <c r="C6849" s="1">
        <v>45817</v>
      </c>
    </row>
    <row r="6850" spans="1:3" x14ac:dyDescent="0.25">
      <c r="A6850" t="s">
        <v>5460</v>
      </c>
      <c r="B6850" t="s">
        <v>8188</v>
      </c>
      <c r="C6850" s="1">
        <v>45825</v>
      </c>
    </row>
    <row r="6851" spans="1:3" x14ac:dyDescent="0.25">
      <c r="A6851" t="s">
        <v>5166</v>
      </c>
      <c r="B6851" t="s">
        <v>8188</v>
      </c>
      <c r="C6851" s="1">
        <v>45804</v>
      </c>
    </row>
    <row r="6852" spans="1:3" x14ac:dyDescent="0.25">
      <c r="A6852" t="s">
        <v>5166</v>
      </c>
      <c r="B6852" t="s">
        <v>8188</v>
      </c>
      <c r="C6852" s="1">
        <v>45810</v>
      </c>
    </row>
    <row r="6853" spans="1:3" x14ac:dyDescent="0.25">
      <c r="A6853" t="s">
        <v>5165</v>
      </c>
      <c r="B6853" t="s">
        <v>8188</v>
      </c>
      <c r="C6853" s="1">
        <v>45804</v>
      </c>
    </row>
    <row r="6854" spans="1:3" x14ac:dyDescent="0.25">
      <c r="A6854" t="s">
        <v>5165</v>
      </c>
      <c r="B6854" t="s">
        <v>8188</v>
      </c>
      <c r="C6854" s="1">
        <v>45804</v>
      </c>
    </row>
    <row r="6855" spans="1:3" x14ac:dyDescent="0.25">
      <c r="A6855" t="s">
        <v>3701</v>
      </c>
      <c r="B6855" t="s">
        <v>8188</v>
      </c>
      <c r="C6855" s="1">
        <v>45845</v>
      </c>
    </row>
    <row r="6856" spans="1:3" x14ac:dyDescent="0.25">
      <c r="A6856" t="s">
        <v>5168</v>
      </c>
      <c r="B6856" t="s">
        <v>8188</v>
      </c>
      <c r="C6856" s="1">
        <v>45810</v>
      </c>
    </row>
    <row r="6857" spans="1:3" x14ac:dyDescent="0.25">
      <c r="A6857" t="s">
        <v>3111</v>
      </c>
      <c r="B6857" t="s">
        <v>8188</v>
      </c>
      <c r="C6857" s="1">
        <v>45861</v>
      </c>
    </row>
    <row r="6858" spans="1:3" x14ac:dyDescent="0.25">
      <c r="A6858" t="s">
        <v>5169</v>
      </c>
      <c r="B6858" t="s">
        <v>8188</v>
      </c>
      <c r="C6858" s="1">
        <v>45818</v>
      </c>
    </row>
    <row r="6859" spans="1:3" x14ac:dyDescent="0.25">
      <c r="A6859" t="s">
        <v>7907</v>
      </c>
      <c r="B6859" t="s">
        <v>8188</v>
      </c>
      <c r="C6859" s="1">
        <v>45817</v>
      </c>
    </row>
    <row r="6860" spans="1:3" x14ac:dyDescent="0.25">
      <c r="A6860" t="s">
        <v>7907</v>
      </c>
      <c r="B6860" t="s">
        <v>8188</v>
      </c>
      <c r="C6860" s="1">
        <v>45817</v>
      </c>
    </row>
    <row r="6861" spans="1:3" x14ac:dyDescent="0.25">
      <c r="A6861" t="s">
        <v>3539</v>
      </c>
      <c r="B6861" t="s">
        <v>39</v>
      </c>
      <c r="C6861" s="1"/>
    </row>
    <row r="6862" spans="1:3" x14ac:dyDescent="0.25">
      <c r="A6862" t="s">
        <v>5468</v>
      </c>
      <c r="B6862" t="s">
        <v>8188</v>
      </c>
      <c r="C6862" s="1">
        <v>45811</v>
      </c>
    </row>
    <row r="6863" spans="1:3" x14ac:dyDescent="0.25">
      <c r="A6863" t="s">
        <v>5170</v>
      </c>
      <c r="B6863" t="s">
        <v>8188</v>
      </c>
      <c r="C6863" s="1">
        <v>45806</v>
      </c>
    </row>
    <row r="6864" spans="1:3" x14ac:dyDescent="0.25">
      <c r="A6864" t="s">
        <v>5423</v>
      </c>
      <c r="B6864" t="s">
        <v>8188</v>
      </c>
      <c r="C6864" s="1">
        <v>45819</v>
      </c>
    </row>
    <row r="6865" spans="1:3" x14ac:dyDescent="0.25">
      <c r="A6865" t="s">
        <v>5459</v>
      </c>
      <c r="B6865" t="s">
        <v>8188</v>
      </c>
      <c r="C6865" s="1">
        <v>45819</v>
      </c>
    </row>
    <row r="6866" spans="1:3" x14ac:dyDescent="0.25">
      <c r="A6866" t="s">
        <v>5469</v>
      </c>
      <c r="B6866" t="s">
        <v>8188</v>
      </c>
      <c r="C6866" s="1">
        <v>45806</v>
      </c>
    </row>
    <row r="6867" spans="1:3" x14ac:dyDescent="0.25">
      <c r="A6867" t="s">
        <v>5454</v>
      </c>
      <c r="B6867" t="s">
        <v>8188</v>
      </c>
      <c r="C6867" s="1">
        <v>45810</v>
      </c>
    </row>
    <row r="6868" spans="1:3" x14ac:dyDescent="0.25">
      <c r="A6868" t="s">
        <v>8062</v>
      </c>
      <c r="B6868" t="s">
        <v>8188</v>
      </c>
      <c r="C6868" s="1">
        <v>45806</v>
      </c>
    </row>
    <row r="6869" spans="1:3" x14ac:dyDescent="0.25">
      <c r="A6869" t="s">
        <v>5461</v>
      </c>
      <c r="B6869" t="s">
        <v>8188</v>
      </c>
      <c r="C6869" s="1">
        <v>45806</v>
      </c>
    </row>
    <row r="6870" spans="1:3" x14ac:dyDescent="0.25">
      <c r="A6870" t="s">
        <v>5461</v>
      </c>
      <c r="B6870" t="s">
        <v>8188</v>
      </c>
      <c r="C6870" s="1">
        <v>45806</v>
      </c>
    </row>
    <row r="6871" spans="1:3" x14ac:dyDescent="0.25">
      <c r="A6871" t="s">
        <v>7994</v>
      </c>
      <c r="B6871" t="s">
        <v>8188</v>
      </c>
      <c r="C6871" s="1">
        <v>45808</v>
      </c>
    </row>
    <row r="6872" spans="1:3" x14ac:dyDescent="0.25">
      <c r="A6872" t="s">
        <v>7015</v>
      </c>
      <c r="B6872" t="s">
        <v>39</v>
      </c>
      <c r="C6872" s="1">
        <v>45859</v>
      </c>
    </row>
    <row r="6873" spans="1:3" x14ac:dyDescent="0.25">
      <c r="A6873" t="s">
        <v>5470</v>
      </c>
      <c r="B6873" t="s">
        <v>8188</v>
      </c>
      <c r="C6873" s="1">
        <v>45814</v>
      </c>
    </row>
    <row r="6874" spans="1:3" x14ac:dyDescent="0.25">
      <c r="A6874" t="s">
        <v>5172</v>
      </c>
      <c r="B6874" t="s">
        <v>8188</v>
      </c>
      <c r="C6874" s="1">
        <v>45806</v>
      </c>
    </row>
    <row r="6875" spans="1:3" x14ac:dyDescent="0.25">
      <c r="A6875" t="s">
        <v>5173</v>
      </c>
      <c r="B6875" t="s">
        <v>8188</v>
      </c>
      <c r="C6875" s="1">
        <v>45811</v>
      </c>
    </row>
    <row r="6876" spans="1:3" x14ac:dyDescent="0.25">
      <c r="A6876" t="s">
        <v>8063</v>
      </c>
      <c r="B6876" t="s">
        <v>8188</v>
      </c>
      <c r="C6876" s="1">
        <v>45808</v>
      </c>
    </row>
    <row r="6877" spans="1:3" x14ac:dyDescent="0.25">
      <c r="A6877" t="s">
        <v>5472</v>
      </c>
      <c r="B6877" t="s">
        <v>8188</v>
      </c>
      <c r="C6877" s="1">
        <v>45811</v>
      </c>
    </row>
    <row r="6878" spans="1:3" x14ac:dyDescent="0.25">
      <c r="A6878" t="s">
        <v>5471</v>
      </c>
      <c r="B6878" t="s">
        <v>8188</v>
      </c>
      <c r="C6878" s="1">
        <v>45811</v>
      </c>
    </row>
    <row r="6879" spans="1:3" x14ac:dyDescent="0.25">
      <c r="A6879" t="s">
        <v>3116</v>
      </c>
      <c r="B6879" t="s">
        <v>8188</v>
      </c>
      <c r="C6879" s="1">
        <v>45815</v>
      </c>
    </row>
    <row r="6880" spans="1:3" x14ac:dyDescent="0.25">
      <c r="A6880" t="s">
        <v>3116</v>
      </c>
      <c r="B6880" t="s">
        <v>8188</v>
      </c>
      <c r="C6880" s="1">
        <v>45815</v>
      </c>
    </row>
    <row r="6881" spans="1:3" x14ac:dyDescent="0.25">
      <c r="A6881" t="s">
        <v>5475</v>
      </c>
      <c r="B6881" t="s">
        <v>8188</v>
      </c>
      <c r="C6881" s="1">
        <v>45817</v>
      </c>
    </row>
    <row r="6882" spans="1:3" x14ac:dyDescent="0.25">
      <c r="A6882" t="s">
        <v>5474</v>
      </c>
      <c r="B6882" t="s">
        <v>8188</v>
      </c>
      <c r="C6882" s="1">
        <v>45815</v>
      </c>
    </row>
    <row r="6883" spans="1:3" x14ac:dyDescent="0.25">
      <c r="A6883" t="s">
        <v>2575</v>
      </c>
      <c r="B6883" t="s">
        <v>8188</v>
      </c>
      <c r="C6883" s="1">
        <v>45819</v>
      </c>
    </row>
    <row r="6884" spans="1:3" x14ac:dyDescent="0.25">
      <c r="A6884" t="s">
        <v>5473</v>
      </c>
      <c r="B6884" t="s">
        <v>8188</v>
      </c>
      <c r="C6884" s="1">
        <v>45819</v>
      </c>
    </row>
    <row r="6885" spans="1:3" x14ac:dyDescent="0.25">
      <c r="A6885" t="s">
        <v>3116</v>
      </c>
      <c r="B6885" t="s">
        <v>8188</v>
      </c>
      <c r="C6885" s="1">
        <v>45818</v>
      </c>
    </row>
    <row r="6886" spans="1:3" x14ac:dyDescent="0.25">
      <c r="A6886" t="s">
        <v>3739</v>
      </c>
      <c r="B6886" t="s">
        <v>8188</v>
      </c>
      <c r="C6886" s="1">
        <v>45842</v>
      </c>
    </row>
    <row r="6887" spans="1:3" x14ac:dyDescent="0.25">
      <c r="A6887" t="s">
        <v>5461</v>
      </c>
      <c r="B6887" t="s">
        <v>8188</v>
      </c>
      <c r="C6887" s="1">
        <v>45824</v>
      </c>
    </row>
    <row r="6888" spans="1:3" x14ac:dyDescent="0.25">
      <c r="A6888" t="s">
        <v>5172</v>
      </c>
      <c r="B6888" t="s">
        <v>8188</v>
      </c>
      <c r="C6888" s="1">
        <v>45808</v>
      </c>
    </row>
    <row r="6889" spans="1:3" x14ac:dyDescent="0.25">
      <c r="A6889" t="s">
        <v>3746</v>
      </c>
      <c r="B6889" t="s">
        <v>8188</v>
      </c>
      <c r="C6889" s="1">
        <v>45833</v>
      </c>
    </row>
    <row r="6890" spans="1:3" x14ac:dyDescent="0.25">
      <c r="A6890" t="s">
        <v>5172</v>
      </c>
      <c r="B6890" t="s">
        <v>8188</v>
      </c>
      <c r="C6890" s="1">
        <v>45808</v>
      </c>
    </row>
    <row r="6891" spans="1:3" x14ac:dyDescent="0.25">
      <c r="A6891" t="s">
        <v>3749</v>
      </c>
      <c r="B6891" t="s">
        <v>8188</v>
      </c>
      <c r="C6891" s="1">
        <v>45833</v>
      </c>
    </row>
    <row r="6892" spans="1:3" x14ac:dyDescent="0.25">
      <c r="A6892" t="s">
        <v>8063</v>
      </c>
      <c r="B6892" t="s">
        <v>8188</v>
      </c>
      <c r="C6892" s="1">
        <v>45841</v>
      </c>
    </row>
    <row r="6893" spans="1:3" x14ac:dyDescent="0.25">
      <c r="A6893" t="s">
        <v>3762</v>
      </c>
      <c r="B6893" t="s">
        <v>8188</v>
      </c>
      <c r="C6893" s="1">
        <v>45825</v>
      </c>
    </row>
    <row r="6894" spans="1:3" x14ac:dyDescent="0.25">
      <c r="A6894" t="s">
        <v>3773</v>
      </c>
      <c r="B6894" t="s">
        <v>8188</v>
      </c>
      <c r="C6894" s="1">
        <v>45846</v>
      </c>
    </row>
    <row r="6895" spans="1:3" x14ac:dyDescent="0.25">
      <c r="A6895" t="s">
        <v>3774</v>
      </c>
      <c r="B6895" t="s">
        <v>8188</v>
      </c>
      <c r="C6895" s="1">
        <v>45839</v>
      </c>
    </row>
    <row r="6896" spans="1:3" x14ac:dyDescent="0.25">
      <c r="A6896" t="s">
        <v>8064</v>
      </c>
      <c r="B6896" t="s">
        <v>8188</v>
      </c>
      <c r="C6896" s="1">
        <v>45814</v>
      </c>
    </row>
    <row r="6897" spans="1:3" x14ac:dyDescent="0.25">
      <c r="A6897" t="s">
        <v>3776</v>
      </c>
      <c r="B6897" t="s">
        <v>8188</v>
      </c>
      <c r="C6897" s="1">
        <v>45842</v>
      </c>
    </row>
    <row r="6898" spans="1:3" x14ac:dyDescent="0.25">
      <c r="A6898" t="s">
        <v>5477</v>
      </c>
      <c r="B6898" t="s">
        <v>8188</v>
      </c>
      <c r="C6898" s="1">
        <v>45815</v>
      </c>
    </row>
    <row r="6899" spans="1:3" x14ac:dyDescent="0.25">
      <c r="A6899" t="s">
        <v>3085</v>
      </c>
      <c r="B6899" t="s">
        <v>8188</v>
      </c>
      <c r="C6899" s="1">
        <v>45878</v>
      </c>
    </row>
    <row r="6900" spans="1:3" x14ac:dyDescent="0.25">
      <c r="A6900" t="s">
        <v>5480</v>
      </c>
      <c r="B6900" t="s">
        <v>8188</v>
      </c>
      <c r="C6900" s="1">
        <v>45815</v>
      </c>
    </row>
    <row r="6901" spans="1:3" x14ac:dyDescent="0.25">
      <c r="A6901" t="s">
        <v>5482</v>
      </c>
      <c r="B6901" t="s">
        <v>8188</v>
      </c>
      <c r="C6901" s="1">
        <v>45819</v>
      </c>
    </row>
    <row r="6902" spans="1:3" x14ac:dyDescent="0.25">
      <c r="A6902" t="s">
        <v>8065</v>
      </c>
      <c r="B6902" t="s">
        <v>39</v>
      </c>
      <c r="C6902" s="1"/>
    </row>
    <row r="6903" spans="1:3" x14ac:dyDescent="0.25">
      <c r="A6903" t="s">
        <v>8065</v>
      </c>
      <c r="B6903" t="s">
        <v>8188</v>
      </c>
      <c r="C6903" s="1">
        <v>45818</v>
      </c>
    </row>
    <row r="6904" spans="1:3" x14ac:dyDescent="0.25">
      <c r="A6904" t="s">
        <v>8065</v>
      </c>
      <c r="B6904" t="s">
        <v>39</v>
      </c>
      <c r="C6904" s="1"/>
    </row>
    <row r="6905" spans="1:3" x14ac:dyDescent="0.25">
      <c r="A6905" t="s">
        <v>5479</v>
      </c>
      <c r="B6905" t="s">
        <v>8188</v>
      </c>
      <c r="C6905" s="1">
        <v>45820</v>
      </c>
    </row>
    <row r="6906" spans="1:3" x14ac:dyDescent="0.25">
      <c r="A6906" t="s">
        <v>5478</v>
      </c>
      <c r="B6906" t="s">
        <v>8188</v>
      </c>
      <c r="C6906" s="1">
        <v>45819</v>
      </c>
    </row>
    <row r="6907" spans="1:3" x14ac:dyDescent="0.25">
      <c r="A6907" t="s">
        <v>5484</v>
      </c>
      <c r="B6907" t="s">
        <v>8188</v>
      </c>
      <c r="C6907" s="1">
        <v>45815</v>
      </c>
    </row>
    <row r="6908" spans="1:3" x14ac:dyDescent="0.25">
      <c r="A6908" t="s">
        <v>5174</v>
      </c>
      <c r="B6908" t="s">
        <v>8188</v>
      </c>
      <c r="C6908" s="1">
        <v>45842</v>
      </c>
    </row>
    <row r="6909" spans="1:3" x14ac:dyDescent="0.25">
      <c r="A6909" t="s">
        <v>3783</v>
      </c>
      <c r="B6909" t="s">
        <v>8188</v>
      </c>
      <c r="C6909" s="1">
        <v>45829</v>
      </c>
    </row>
    <row r="6910" spans="1:3" x14ac:dyDescent="0.25">
      <c r="A6910" t="s">
        <v>3781</v>
      </c>
      <c r="B6910" t="s">
        <v>8188</v>
      </c>
      <c r="C6910" s="1">
        <v>45829</v>
      </c>
    </row>
    <row r="6911" spans="1:3" x14ac:dyDescent="0.25">
      <c r="A6911" t="s">
        <v>5424</v>
      </c>
      <c r="B6911" t="s">
        <v>8188</v>
      </c>
      <c r="C6911" s="1">
        <v>45829</v>
      </c>
    </row>
    <row r="6912" spans="1:3" x14ac:dyDescent="0.25">
      <c r="A6912" t="s">
        <v>5458</v>
      </c>
      <c r="B6912" t="s">
        <v>8188</v>
      </c>
      <c r="C6912" s="1">
        <v>45848</v>
      </c>
    </row>
    <row r="6913" spans="1:3" x14ac:dyDescent="0.25">
      <c r="A6913" t="s">
        <v>8064</v>
      </c>
      <c r="B6913" t="s">
        <v>8188</v>
      </c>
      <c r="C6913" s="1">
        <v>45859</v>
      </c>
    </row>
    <row r="6914" spans="1:3" x14ac:dyDescent="0.25">
      <c r="A6914" t="s">
        <v>5176</v>
      </c>
      <c r="B6914" t="s">
        <v>8188</v>
      </c>
      <c r="C6914" s="1">
        <v>45822</v>
      </c>
    </row>
    <row r="6915" spans="1:3" x14ac:dyDescent="0.25">
      <c r="A6915" t="s">
        <v>5175</v>
      </c>
      <c r="B6915" t="s">
        <v>8188</v>
      </c>
      <c r="C6915" s="1">
        <v>45842</v>
      </c>
    </row>
    <row r="6916" spans="1:3" x14ac:dyDescent="0.25">
      <c r="A6916" t="s">
        <v>5482</v>
      </c>
      <c r="B6916" t="s">
        <v>8188</v>
      </c>
      <c r="C6916" s="1">
        <v>45819</v>
      </c>
    </row>
    <row r="6917" spans="1:3" x14ac:dyDescent="0.25">
      <c r="A6917" t="s">
        <v>8066</v>
      </c>
      <c r="B6917" t="s">
        <v>8188</v>
      </c>
      <c r="C6917" s="1">
        <v>45821</v>
      </c>
    </row>
    <row r="6918" spans="1:3" x14ac:dyDescent="0.25">
      <c r="A6918" t="s">
        <v>5177</v>
      </c>
      <c r="B6918" t="s">
        <v>8188</v>
      </c>
      <c r="C6918" s="1">
        <v>45821</v>
      </c>
    </row>
    <row r="6919" spans="1:3" x14ac:dyDescent="0.25">
      <c r="A6919" t="s">
        <v>5485</v>
      </c>
      <c r="B6919" t="s">
        <v>8188</v>
      </c>
      <c r="C6919" s="1">
        <v>45821</v>
      </c>
    </row>
    <row r="6920" spans="1:3" x14ac:dyDescent="0.25">
      <c r="A6920" t="s">
        <v>5487</v>
      </c>
      <c r="B6920" t="s">
        <v>8188</v>
      </c>
      <c r="C6920" s="1">
        <v>45820</v>
      </c>
    </row>
    <row r="6921" spans="1:3" x14ac:dyDescent="0.25">
      <c r="A6921" t="s">
        <v>7735</v>
      </c>
      <c r="B6921" t="s">
        <v>39</v>
      </c>
      <c r="C6921" s="1"/>
    </row>
    <row r="6922" spans="1:3" x14ac:dyDescent="0.25">
      <c r="A6922" t="s">
        <v>5179</v>
      </c>
      <c r="B6922" t="s">
        <v>8188</v>
      </c>
      <c r="C6922" s="1">
        <v>45877</v>
      </c>
    </row>
    <row r="6923" spans="1:3" x14ac:dyDescent="0.25">
      <c r="A6923" t="s">
        <v>7968</v>
      </c>
      <c r="B6923" t="s">
        <v>8188</v>
      </c>
      <c r="C6923" s="1">
        <v>45824</v>
      </c>
    </row>
    <row r="6924" spans="1:3" x14ac:dyDescent="0.25">
      <c r="A6924" t="s">
        <v>5476</v>
      </c>
      <c r="B6924" t="s">
        <v>8188</v>
      </c>
      <c r="C6924" s="1">
        <v>45819</v>
      </c>
    </row>
    <row r="6925" spans="1:3" x14ac:dyDescent="0.25">
      <c r="A6925" t="s">
        <v>5476</v>
      </c>
      <c r="B6925" t="s">
        <v>8188</v>
      </c>
      <c r="C6925" s="1">
        <v>45836</v>
      </c>
    </row>
    <row r="6926" spans="1:3" x14ac:dyDescent="0.25">
      <c r="A6926" t="s">
        <v>5486</v>
      </c>
      <c r="B6926" t="s">
        <v>8188</v>
      </c>
      <c r="C6926" s="1">
        <v>45828</v>
      </c>
    </row>
    <row r="6927" spans="1:3" x14ac:dyDescent="0.25">
      <c r="A6927" t="s">
        <v>3118</v>
      </c>
      <c r="B6927" t="s">
        <v>8188</v>
      </c>
      <c r="C6927" s="1">
        <v>45859</v>
      </c>
    </row>
    <row r="6928" spans="1:3" x14ac:dyDescent="0.25">
      <c r="A6928" t="s">
        <v>3110</v>
      </c>
      <c r="B6928" t="s">
        <v>8188</v>
      </c>
      <c r="C6928" s="1">
        <v>45869</v>
      </c>
    </row>
    <row r="6929" spans="1:3" x14ac:dyDescent="0.25">
      <c r="A6929" t="s">
        <v>5488</v>
      </c>
      <c r="B6929" t="s">
        <v>8188</v>
      </c>
      <c r="C6929" s="1">
        <v>45818</v>
      </c>
    </row>
    <row r="6930" spans="1:3" x14ac:dyDescent="0.25">
      <c r="A6930" t="s">
        <v>3122</v>
      </c>
      <c r="B6930" t="s">
        <v>8188</v>
      </c>
      <c r="C6930" s="1">
        <v>45821</v>
      </c>
    </row>
    <row r="6931" spans="1:3" x14ac:dyDescent="0.25">
      <c r="A6931" t="s">
        <v>5180</v>
      </c>
      <c r="B6931" t="s">
        <v>8188</v>
      </c>
      <c r="C6931" s="1">
        <v>45824</v>
      </c>
    </row>
    <row r="6932" spans="1:3" x14ac:dyDescent="0.25">
      <c r="A6932" t="s">
        <v>5478</v>
      </c>
      <c r="B6932" t="s">
        <v>8188</v>
      </c>
      <c r="C6932" s="1">
        <v>45822</v>
      </c>
    </row>
    <row r="6933" spans="1:3" x14ac:dyDescent="0.25">
      <c r="A6933" t="s">
        <v>5181</v>
      </c>
      <c r="B6933" t="s">
        <v>8188</v>
      </c>
      <c r="C6933" s="1">
        <v>45848</v>
      </c>
    </row>
    <row r="6934" spans="1:3" x14ac:dyDescent="0.25">
      <c r="A6934" t="s">
        <v>3102</v>
      </c>
      <c r="B6934" t="s">
        <v>8188</v>
      </c>
      <c r="C6934" s="1">
        <v>45891</v>
      </c>
    </row>
    <row r="6935" spans="1:3" x14ac:dyDescent="0.25">
      <c r="A6935" t="s">
        <v>3105</v>
      </c>
      <c r="B6935" t="s">
        <v>8188</v>
      </c>
      <c r="C6935" s="1">
        <v>45821</v>
      </c>
    </row>
    <row r="6936" spans="1:3" x14ac:dyDescent="0.25">
      <c r="A6936" t="s">
        <v>3096</v>
      </c>
      <c r="B6936" t="s">
        <v>8188</v>
      </c>
      <c r="C6936" s="1">
        <v>45828</v>
      </c>
    </row>
    <row r="6937" spans="1:3" x14ac:dyDescent="0.25">
      <c r="A6937" t="s">
        <v>3096</v>
      </c>
      <c r="B6937" t="s">
        <v>8188</v>
      </c>
      <c r="C6937" s="1">
        <v>45828</v>
      </c>
    </row>
    <row r="6938" spans="1:3" x14ac:dyDescent="0.25">
      <c r="A6938" t="s">
        <v>5182</v>
      </c>
      <c r="B6938" t="s">
        <v>8188</v>
      </c>
      <c r="C6938" s="1">
        <v>45833</v>
      </c>
    </row>
    <row r="6939" spans="1:3" x14ac:dyDescent="0.25">
      <c r="A6939" t="s">
        <v>5182</v>
      </c>
      <c r="B6939" t="s">
        <v>8188</v>
      </c>
      <c r="C6939" s="1">
        <v>45833</v>
      </c>
    </row>
    <row r="6940" spans="1:3" x14ac:dyDescent="0.25">
      <c r="A6940" t="s">
        <v>3814</v>
      </c>
      <c r="B6940" t="s">
        <v>8188</v>
      </c>
      <c r="C6940" s="1">
        <v>45827</v>
      </c>
    </row>
    <row r="6941" spans="1:3" x14ac:dyDescent="0.25">
      <c r="A6941" t="s">
        <v>3688</v>
      </c>
      <c r="B6941" t="s">
        <v>8188</v>
      </c>
      <c r="C6941" s="1">
        <v>45828</v>
      </c>
    </row>
    <row r="6942" spans="1:3" x14ac:dyDescent="0.25">
      <c r="A6942" t="s">
        <v>5183</v>
      </c>
      <c r="B6942" t="s">
        <v>8188</v>
      </c>
      <c r="C6942" s="1">
        <v>45824</v>
      </c>
    </row>
    <row r="6943" spans="1:3" x14ac:dyDescent="0.25">
      <c r="A6943" t="s">
        <v>5489</v>
      </c>
      <c r="B6943" t="s">
        <v>8188</v>
      </c>
      <c r="C6943" s="1">
        <v>45833</v>
      </c>
    </row>
    <row r="6944" spans="1:3" x14ac:dyDescent="0.25">
      <c r="A6944" t="s">
        <v>5491</v>
      </c>
      <c r="B6944" t="s">
        <v>8188</v>
      </c>
      <c r="C6944" s="1">
        <v>45824</v>
      </c>
    </row>
    <row r="6945" spans="1:3" x14ac:dyDescent="0.25">
      <c r="A6945" t="s">
        <v>5490</v>
      </c>
      <c r="B6945" t="s">
        <v>8188</v>
      </c>
      <c r="C6945" s="1">
        <v>45824</v>
      </c>
    </row>
    <row r="6946" spans="1:3" x14ac:dyDescent="0.25">
      <c r="A6946" t="s">
        <v>5485</v>
      </c>
      <c r="B6946" t="s">
        <v>39</v>
      </c>
      <c r="C6946" s="1"/>
    </row>
    <row r="6947" spans="1:3" x14ac:dyDescent="0.25">
      <c r="A6947" t="s">
        <v>8066</v>
      </c>
      <c r="B6947" t="s">
        <v>8188</v>
      </c>
      <c r="C6947" s="1">
        <v>45833</v>
      </c>
    </row>
    <row r="6948" spans="1:3" x14ac:dyDescent="0.25">
      <c r="A6948" t="s">
        <v>3818</v>
      </c>
      <c r="B6948" t="s">
        <v>8188</v>
      </c>
      <c r="C6948" s="1">
        <v>45829</v>
      </c>
    </row>
    <row r="6949" spans="1:3" x14ac:dyDescent="0.25">
      <c r="A6949" t="s">
        <v>5492</v>
      </c>
      <c r="B6949" t="s">
        <v>8188</v>
      </c>
      <c r="C6949" s="1">
        <v>45828</v>
      </c>
    </row>
    <row r="6950" spans="1:3" x14ac:dyDescent="0.25">
      <c r="A6950" t="s">
        <v>5481</v>
      </c>
      <c r="B6950" t="s">
        <v>8188</v>
      </c>
      <c r="C6950" s="1">
        <v>45839</v>
      </c>
    </row>
    <row r="6951" spans="1:3" x14ac:dyDescent="0.25">
      <c r="A6951" t="s">
        <v>2560</v>
      </c>
      <c r="B6951" t="s">
        <v>8188</v>
      </c>
      <c r="C6951" s="1">
        <v>45834</v>
      </c>
    </row>
    <row r="6952" spans="1:3" x14ac:dyDescent="0.25">
      <c r="A6952" t="s">
        <v>5184</v>
      </c>
      <c r="B6952" t="s">
        <v>8188</v>
      </c>
      <c r="C6952" s="1">
        <v>45924</v>
      </c>
    </row>
    <row r="6953" spans="1:3" x14ac:dyDescent="0.25">
      <c r="A6953" t="s">
        <v>5185</v>
      </c>
      <c r="B6953" t="s">
        <v>8188</v>
      </c>
      <c r="C6953" s="1">
        <v>45825</v>
      </c>
    </row>
    <row r="6954" spans="1:3" x14ac:dyDescent="0.25">
      <c r="A6954" t="s">
        <v>3836</v>
      </c>
      <c r="B6954" t="s">
        <v>8188</v>
      </c>
      <c r="C6954" s="1">
        <v>45829</v>
      </c>
    </row>
    <row r="6955" spans="1:3" x14ac:dyDescent="0.25">
      <c r="A6955" t="s">
        <v>5186</v>
      </c>
      <c r="B6955" t="s">
        <v>8188</v>
      </c>
      <c r="C6955" s="1">
        <v>45842</v>
      </c>
    </row>
    <row r="6956" spans="1:3" x14ac:dyDescent="0.25">
      <c r="A6956" t="s">
        <v>3096</v>
      </c>
      <c r="B6956" t="s">
        <v>39</v>
      </c>
      <c r="C6956" s="1"/>
    </row>
    <row r="6957" spans="1:3" x14ac:dyDescent="0.25">
      <c r="A6957" t="s">
        <v>3096</v>
      </c>
      <c r="B6957" t="s">
        <v>39</v>
      </c>
      <c r="C6957" s="1"/>
    </row>
    <row r="6958" spans="1:3" x14ac:dyDescent="0.25">
      <c r="A6958" t="s">
        <v>3762</v>
      </c>
      <c r="B6958" t="s">
        <v>8188</v>
      </c>
      <c r="C6958" s="1">
        <v>45835</v>
      </c>
    </row>
    <row r="6959" spans="1:3" x14ac:dyDescent="0.25">
      <c r="A6959" t="s">
        <v>5457</v>
      </c>
      <c r="B6959" t="s">
        <v>8188</v>
      </c>
      <c r="C6959" s="1">
        <v>45828</v>
      </c>
    </row>
    <row r="6960" spans="1:3" x14ac:dyDescent="0.25">
      <c r="A6960" t="s">
        <v>3055</v>
      </c>
      <c r="B6960" t="s">
        <v>8188</v>
      </c>
      <c r="C6960" s="1">
        <v>45846</v>
      </c>
    </row>
    <row r="6961" spans="1:3" x14ac:dyDescent="0.25">
      <c r="A6961" t="s">
        <v>3841</v>
      </c>
      <c r="B6961" t="s">
        <v>8188</v>
      </c>
      <c r="C6961" s="1">
        <v>45841</v>
      </c>
    </row>
    <row r="6962" spans="1:3" x14ac:dyDescent="0.25">
      <c r="A6962" t="s">
        <v>8067</v>
      </c>
      <c r="B6962" t="s">
        <v>39</v>
      </c>
      <c r="C6962" s="1"/>
    </row>
    <row r="6963" spans="1:3" x14ac:dyDescent="0.25">
      <c r="A6963" t="s">
        <v>5187</v>
      </c>
      <c r="B6963" t="s">
        <v>8188</v>
      </c>
      <c r="C6963" s="1">
        <v>45831</v>
      </c>
    </row>
    <row r="6964" spans="1:3" x14ac:dyDescent="0.25">
      <c r="A6964" t="s">
        <v>3846</v>
      </c>
      <c r="B6964" t="s">
        <v>8188</v>
      </c>
      <c r="C6964" s="1">
        <v>45847</v>
      </c>
    </row>
    <row r="6965" spans="1:3" x14ac:dyDescent="0.25">
      <c r="A6965" t="s">
        <v>3845</v>
      </c>
      <c r="B6965" t="s">
        <v>8188</v>
      </c>
      <c r="C6965" s="1">
        <v>45845</v>
      </c>
    </row>
    <row r="6966" spans="1:3" x14ac:dyDescent="0.25">
      <c r="A6966" t="s">
        <v>5493</v>
      </c>
      <c r="B6966" t="s">
        <v>8188</v>
      </c>
      <c r="C6966" s="1">
        <v>45827</v>
      </c>
    </row>
    <row r="6967" spans="1:3" x14ac:dyDescent="0.25">
      <c r="A6967" t="s">
        <v>5494</v>
      </c>
      <c r="B6967" t="s">
        <v>8188</v>
      </c>
      <c r="C6967" s="1">
        <v>45829</v>
      </c>
    </row>
    <row r="6968" spans="1:3" x14ac:dyDescent="0.25">
      <c r="A6968" t="s">
        <v>5495</v>
      </c>
      <c r="B6968" t="s">
        <v>8188</v>
      </c>
      <c r="C6968" s="1">
        <v>45831</v>
      </c>
    </row>
    <row r="6969" spans="1:3" x14ac:dyDescent="0.25">
      <c r="A6969" t="s">
        <v>5497</v>
      </c>
      <c r="B6969" t="s">
        <v>8188</v>
      </c>
      <c r="C6969" s="1">
        <v>45831</v>
      </c>
    </row>
    <row r="6970" spans="1:3" x14ac:dyDescent="0.25">
      <c r="A6970" t="s">
        <v>5467</v>
      </c>
      <c r="B6970" t="s">
        <v>8188</v>
      </c>
      <c r="C6970" s="1">
        <v>45828</v>
      </c>
    </row>
    <row r="6971" spans="1:3" x14ac:dyDescent="0.25">
      <c r="A6971" t="s">
        <v>5498</v>
      </c>
      <c r="B6971" t="s">
        <v>8188</v>
      </c>
      <c r="C6971" s="1">
        <v>45829</v>
      </c>
    </row>
    <row r="6972" spans="1:3" x14ac:dyDescent="0.25">
      <c r="A6972" t="s">
        <v>3836</v>
      </c>
      <c r="B6972" t="s">
        <v>8188</v>
      </c>
      <c r="C6972" s="1">
        <v>45833</v>
      </c>
    </row>
    <row r="6973" spans="1:3" x14ac:dyDescent="0.25">
      <c r="A6973" t="s">
        <v>5486</v>
      </c>
      <c r="B6973" t="s">
        <v>39</v>
      </c>
      <c r="C6973" s="1"/>
    </row>
    <row r="6974" spans="1:3" x14ac:dyDescent="0.25">
      <c r="A6974" t="s">
        <v>5499</v>
      </c>
      <c r="B6974" t="s">
        <v>8188</v>
      </c>
      <c r="C6974" s="1">
        <v>45854</v>
      </c>
    </row>
    <row r="6975" spans="1:3" x14ac:dyDescent="0.25">
      <c r="A6975" t="s">
        <v>2618</v>
      </c>
      <c r="B6975" t="s">
        <v>39</v>
      </c>
      <c r="C6975" s="1"/>
    </row>
    <row r="6976" spans="1:3" x14ac:dyDescent="0.25">
      <c r="A6976" t="s">
        <v>3836</v>
      </c>
      <c r="B6976" t="s">
        <v>8188</v>
      </c>
      <c r="C6976" s="1">
        <v>45833</v>
      </c>
    </row>
    <row r="6977" spans="1:3" x14ac:dyDescent="0.25">
      <c r="A6977" t="s">
        <v>2621</v>
      </c>
      <c r="B6977" t="s">
        <v>8188</v>
      </c>
      <c r="C6977" s="1">
        <v>45840</v>
      </c>
    </row>
    <row r="6978" spans="1:3" x14ac:dyDescent="0.25">
      <c r="A6978" t="s">
        <v>5189</v>
      </c>
      <c r="B6978" t="s">
        <v>8188</v>
      </c>
      <c r="C6978" s="1">
        <v>45833</v>
      </c>
    </row>
    <row r="6979" spans="1:3" x14ac:dyDescent="0.25">
      <c r="A6979" t="s">
        <v>5501</v>
      </c>
      <c r="B6979" t="s">
        <v>8188</v>
      </c>
      <c r="C6979" s="1">
        <v>45867</v>
      </c>
    </row>
    <row r="6980" spans="1:3" x14ac:dyDescent="0.25">
      <c r="A6980" t="s">
        <v>5500</v>
      </c>
      <c r="B6980" t="s">
        <v>8188</v>
      </c>
      <c r="C6980" s="1">
        <v>45840</v>
      </c>
    </row>
    <row r="6981" spans="1:3" x14ac:dyDescent="0.25">
      <c r="A6981" t="s">
        <v>3863</v>
      </c>
      <c r="B6981" t="s">
        <v>8188</v>
      </c>
      <c r="C6981" s="1">
        <v>45834</v>
      </c>
    </row>
    <row r="6982" spans="1:3" x14ac:dyDescent="0.25">
      <c r="A6982" t="s">
        <v>5190</v>
      </c>
      <c r="B6982" t="s">
        <v>8188</v>
      </c>
      <c r="C6982" s="1">
        <v>45857</v>
      </c>
    </row>
    <row r="6983" spans="1:3" x14ac:dyDescent="0.25">
      <c r="A6983" t="s">
        <v>5191</v>
      </c>
      <c r="B6983" t="s">
        <v>8188</v>
      </c>
      <c r="C6983" s="1">
        <v>45874</v>
      </c>
    </row>
    <row r="6984" spans="1:3" x14ac:dyDescent="0.25">
      <c r="A6984" t="s">
        <v>5505</v>
      </c>
      <c r="B6984" t="s">
        <v>8188</v>
      </c>
      <c r="C6984" s="1">
        <v>45840</v>
      </c>
    </row>
    <row r="6985" spans="1:3" x14ac:dyDescent="0.25">
      <c r="A6985" t="s">
        <v>5503</v>
      </c>
      <c r="B6985" t="s">
        <v>8188</v>
      </c>
      <c r="C6985" s="1">
        <v>45840</v>
      </c>
    </row>
    <row r="6986" spans="1:3" x14ac:dyDescent="0.25">
      <c r="A6986" t="s">
        <v>5503</v>
      </c>
      <c r="B6986" t="s">
        <v>8188</v>
      </c>
      <c r="C6986" s="1">
        <v>45840</v>
      </c>
    </row>
    <row r="6987" spans="1:3" x14ac:dyDescent="0.25">
      <c r="A6987" t="s">
        <v>5502</v>
      </c>
      <c r="B6987" t="s">
        <v>8188</v>
      </c>
      <c r="C6987" s="1">
        <v>45840</v>
      </c>
    </row>
    <row r="6988" spans="1:3" x14ac:dyDescent="0.25">
      <c r="A6988" t="s">
        <v>3884</v>
      </c>
      <c r="B6988" t="s">
        <v>8188</v>
      </c>
      <c r="C6988" s="1">
        <v>45850</v>
      </c>
    </row>
    <row r="6989" spans="1:3" x14ac:dyDescent="0.25">
      <c r="A6989" t="s">
        <v>5506</v>
      </c>
      <c r="B6989" t="s">
        <v>8188</v>
      </c>
      <c r="C6989" s="1">
        <v>45842</v>
      </c>
    </row>
    <row r="6990" spans="1:3" x14ac:dyDescent="0.25">
      <c r="A6990" t="s">
        <v>5504</v>
      </c>
      <c r="B6990" t="s">
        <v>8188</v>
      </c>
      <c r="C6990" s="1">
        <v>45835</v>
      </c>
    </row>
    <row r="6991" spans="1:3" x14ac:dyDescent="0.25">
      <c r="A6991" t="s">
        <v>5192</v>
      </c>
      <c r="B6991" t="s">
        <v>8188</v>
      </c>
      <c r="C6991" s="1">
        <v>45835</v>
      </c>
    </row>
    <row r="6992" spans="1:3" x14ac:dyDescent="0.25">
      <c r="A6992" t="s">
        <v>3885</v>
      </c>
      <c r="B6992" t="s">
        <v>8188</v>
      </c>
      <c r="C6992" s="1">
        <v>45855</v>
      </c>
    </row>
    <row r="6993" spans="1:3" x14ac:dyDescent="0.25">
      <c r="A6993" t="s">
        <v>3888</v>
      </c>
      <c r="B6993" t="s">
        <v>8188</v>
      </c>
      <c r="C6993" s="1">
        <v>45838</v>
      </c>
    </row>
    <row r="6994" spans="1:3" x14ac:dyDescent="0.25">
      <c r="A6994" t="s">
        <v>5504</v>
      </c>
      <c r="B6994" t="s">
        <v>8188</v>
      </c>
      <c r="C6994" s="1">
        <v>45835</v>
      </c>
    </row>
    <row r="6995" spans="1:3" x14ac:dyDescent="0.25">
      <c r="A6995" t="s">
        <v>3836</v>
      </c>
      <c r="B6995" t="s">
        <v>39</v>
      </c>
      <c r="C6995" s="1">
        <v>45861</v>
      </c>
    </row>
    <row r="6996" spans="1:3" x14ac:dyDescent="0.25">
      <c r="A6996" t="s">
        <v>7799</v>
      </c>
      <c r="B6996" t="s">
        <v>8188</v>
      </c>
      <c r="C6996" s="1">
        <v>45845</v>
      </c>
    </row>
    <row r="6997" spans="1:3" x14ac:dyDescent="0.25">
      <c r="A6997" t="s">
        <v>5193</v>
      </c>
      <c r="B6997" t="s">
        <v>8188</v>
      </c>
      <c r="C6997" s="1">
        <v>45860</v>
      </c>
    </row>
    <row r="6998" spans="1:3" x14ac:dyDescent="0.25">
      <c r="A6998" t="s">
        <v>7689</v>
      </c>
      <c r="B6998" t="s">
        <v>8188</v>
      </c>
      <c r="C6998" s="1">
        <v>45855</v>
      </c>
    </row>
    <row r="6999" spans="1:3" x14ac:dyDescent="0.25">
      <c r="A6999" t="s">
        <v>7406</v>
      </c>
      <c r="B6999" t="s">
        <v>8188</v>
      </c>
      <c r="C6999" s="1">
        <v>45853</v>
      </c>
    </row>
    <row r="7000" spans="1:3" x14ac:dyDescent="0.25">
      <c r="A7000" t="s">
        <v>7149</v>
      </c>
      <c r="B7000" t="s">
        <v>8188</v>
      </c>
      <c r="C7000" s="1">
        <v>45841</v>
      </c>
    </row>
    <row r="7001" spans="1:3" x14ac:dyDescent="0.25">
      <c r="A7001" t="s">
        <v>3126</v>
      </c>
      <c r="B7001" t="s">
        <v>39</v>
      </c>
      <c r="C7001" s="1"/>
    </row>
    <row r="7002" spans="1:3" x14ac:dyDescent="0.25">
      <c r="A7002" t="s">
        <v>5194</v>
      </c>
      <c r="B7002" t="s">
        <v>8188</v>
      </c>
      <c r="C7002" s="1">
        <v>45838</v>
      </c>
    </row>
    <row r="7003" spans="1:3" x14ac:dyDescent="0.25">
      <c r="A7003" t="s">
        <v>7906</v>
      </c>
      <c r="B7003" t="s">
        <v>8188</v>
      </c>
      <c r="C7003" s="1">
        <v>45887</v>
      </c>
    </row>
    <row r="7004" spans="1:3" x14ac:dyDescent="0.25">
      <c r="A7004" t="s">
        <v>2578</v>
      </c>
      <c r="B7004" t="s">
        <v>8188</v>
      </c>
      <c r="C7004" s="1">
        <v>45836</v>
      </c>
    </row>
    <row r="7005" spans="1:3" x14ac:dyDescent="0.25">
      <c r="A7005" t="s">
        <v>3094</v>
      </c>
      <c r="B7005" t="s">
        <v>39</v>
      </c>
      <c r="C7005" s="1">
        <v>45841</v>
      </c>
    </row>
    <row r="7006" spans="1:3" x14ac:dyDescent="0.25">
      <c r="A7006" t="s">
        <v>3886</v>
      </c>
      <c r="B7006" t="s">
        <v>39</v>
      </c>
      <c r="C7006" s="1">
        <v>45870</v>
      </c>
    </row>
    <row r="7007" spans="1:3" x14ac:dyDescent="0.25">
      <c r="A7007" t="s">
        <v>5195</v>
      </c>
      <c r="B7007" t="s">
        <v>39</v>
      </c>
      <c r="C7007" s="1">
        <v>45843</v>
      </c>
    </row>
    <row r="7008" spans="1:3" x14ac:dyDescent="0.25">
      <c r="A7008" t="s">
        <v>7148</v>
      </c>
      <c r="B7008" t="s">
        <v>8188</v>
      </c>
      <c r="C7008" s="1">
        <v>45838</v>
      </c>
    </row>
    <row r="7009" spans="1:3" x14ac:dyDescent="0.25">
      <c r="A7009" t="s">
        <v>3905</v>
      </c>
      <c r="B7009" t="s">
        <v>8188</v>
      </c>
      <c r="C7009" s="1">
        <v>45899</v>
      </c>
    </row>
    <row r="7010" spans="1:3" x14ac:dyDescent="0.25">
      <c r="A7010" t="s">
        <v>3905</v>
      </c>
      <c r="B7010" t="s">
        <v>8188</v>
      </c>
      <c r="C7010" s="1">
        <v>45899</v>
      </c>
    </row>
    <row r="7011" spans="1:3" x14ac:dyDescent="0.25">
      <c r="A7011" t="s">
        <v>5508</v>
      </c>
      <c r="B7011" t="s">
        <v>8188</v>
      </c>
      <c r="C7011" s="1">
        <v>45845</v>
      </c>
    </row>
    <row r="7012" spans="1:3" x14ac:dyDescent="0.25">
      <c r="A7012" t="s">
        <v>3914</v>
      </c>
      <c r="B7012" t="s">
        <v>8188</v>
      </c>
      <c r="C7012" s="1">
        <v>45866</v>
      </c>
    </row>
    <row r="7013" spans="1:3" x14ac:dyDescent="0.25">
      <c r="A7013" t="s">
        <v>3913</v>
      </c>
      <c r="B7013" t="s">
        <v>8188</v>
      </c>
      <c r="C7013" s="1">
        <v>45841</v>
      </c>
    </row>
    <row r="7014" spans="1:3" x14ac:dyDescent="0.25">
      <c r="A7014" t="s">
        <v>3911</v>
      </c>
      <c r="B7014" t="s">
        <v>8188</v>
      </c>
      <c r="C7014" s="1">
        <v>45850</v>
      </c>
    </row>
    <row r="7015" spans="1:3" x14ac:dyDescent="0.25">
      <c r="A7015" t="s">
        <v>5198</v>
      </c>
      <c r="B7015" t="s">
        <v>8188</v>
      </c>
      <c r="C7015" s="1">
        <v>45912</v>
      </c>
    </row>
    <row r="7016" spans="1:3" x14ac:dyDescent="0.25">
      <c r="A7016" t="s">
        <v>3090</v>
      </c>
      <c r="B7016" t="s">
        <v>8188</v>
      </c>
      <c r="C7016" s="1">
        <v>45882</v>
      </c>
    </row>
    <row r="7017" spans="1:3" x14ac:dyDescent="0.25">
      <c r="A7017" t="s">
        <v>7121</v>
      </c>
      <c r="B7017" t="s">
        <v>8188</v>
      </c>
      <c r="C7017" s="1">
        <v>45853</v>
      </c>
    </row>
    <row r="7018" spans="1:3" x14ac:dyDescent="0.25">
      <c r="A7018" t="s">
        <v>5199</v>
      </c>
      <c r="B7018" t="s">
        <v>8188</v>
      </c>
      <c r="C7018" s="1">
        <v>45888</v>
      </c>
    </row>
    <row r="7019" spans="1:3" x14ac:dyDescent="0.25">
      <c r="A7019" t="s">
        <v>7342</v>
      </c>
      <c r="B7019" t="s">
        <v>8188</v>
      </c>
      <c r="C7019" s="1">
        <v>45840</v>
      </c>
    </row>
    <row r="7020" spans="1:3" x14ac:dyDescent="0.25">
      <c r="A7020" t="s">
        <v>5509</v>
      </c>
      <c r="B7020" t="s">
        <v>8188</v>
      </c>
      <c r="C7020" s="1">
        <v>45843</v>
      </c>
    </row>
    <row r="7021" spans="1:3" x14ac:dyDescent="0.25">
      <c r="A7021" t="s">
        <v>3868</v>
      </c>
      <c r="B7021" t="s">
        <v>8188</v>
      </c>
      <c r="C7021" s="1">
        <v>45852</v>
      </c>
    </row>
    <row r="7022" spans="1:3" x14ac:dyDescent="0.25">
      <c r="A7022" t="s">
        <v>5196</v>
      </c>
      <c r="B7022" t="s">
        <v>8188</v>
      </c>
      <c r="C7022" s="1">
        <v>45873</v>
      </c>
    </row>
    <row r="7023" spans="1:3" x14ac:dyDescent="0.25">
      <c r="A7023" t="s">
        <v>5197</v>
      </c>
      <c r="B7023" t="s">
        <v>8188</v>
      </c>
      <c r="C7023" s="1">
        <v>45899</v>
      </c>
    </row>
    <row r="7024" spans="1:3" x14ac:dyDescent="0.25">
      <c r="A7024" t="s">
        <v>8068</v>
      </c>
      <c r="B7024" t="s">
        <v>8188</v>
      </c>
      <c r="C7024" s="1">
        <v>45875</v>
      </c>
    </row>
    <row r="7025" spans="1:3" x14ac:dyDescent="0.25">
      <c r="A7025" t="s">
        <v>8069</v>
      </c>
      <c r="B7025" t="s">
        <v>8188</v>
      </c>
      <c r="C7025" s="1">
        <v>45868</v>
      </c>
    </row>
    <row r="7026" spans="1:3" x14ac:dyDescent="0.25">
      <c r="A7026" t="s">
        <v>3913</v>
      </c>
      <c r="B7026" t="s">
        <v>8188</v>
      </c>
      <c r="C7026" s="1">
        <v>45841</v>
      </c>
    </row>
    <row r="7027" spans="1:3" x14ac:dyDescent="0.25">
      <c r="A7027" t="s">
        <v>5200</v>
      </c>
      <c r="B7027" t="s">
        <v>39</v>
      </c>
      <c r="C7027" s="1"/>
    </row>
    <row r="7028" spans="1:3" x14ac:dyDescent="0.25">
      <c r="A7028" t="s">
        <v>5511</v>
      </c>
      <c r="B7028" t="s">
        <v>8188</v>
      </c>
      <c r="C7028" s="1">
        <v>45845</v>
      </c>
    </row>
    <row r="7029" spans="1:3" x14ac:dyDescent="0.25">
      <c r="A7029" t="s">
        <v>5512</v>
      </c>
      <c r="B7029" t="s">
        <v>8188</v>
      </c>
      <c r="C7029" s="1">
        <v>45843</v>
      </c>
    </row>
    <row r="7030" spans="1:3" x14ac:dyDescent="0.25">
      <c r="A7030" t="s">
        <v>5426</v>
      </c>
      <c r="B7030" t="s">
        <v>8188</v>
      </c>
      <c r="C7030" s="1">
        <v>45846</v>
      </c>
    </row>
    <row r="7031" spans="1:3" x14ac:dyDescent="0.25">
      <c r="A7031" t="s">
        <v>5513</v>
      </c>
      <c r="B7031" t="s">
        <v>8188</v>
      </c>
      <c r="C7031" s="1">
        <v>45843</v>
      </c>
    </row>
    <row r="7032" spans="1:3" x14ac:dyDescent="0.25">
      <c r="A7032" t="s">
        <v>3913</v>
      </c>
      <c r="B7032" t="s">
        <v>8188</v>
      </c>
      <c r="C7032" s="1">
        <v>45848</v>
      </c>
    </row>
    <row r="7033" spans="1:3" x14ac:dyDescent="0.25">
      <c r="A7033" t="s">
        <v>3946</v>
      </c>
      <c r="B7033" t="s">
        <v>8188</v>
      </c>
      <c r="C7033" s="1">
        <v>45867</v>
      </c>
    </row>
    <row r="7034" spans="1:3" x14ac:dyDescent="0.25">
      <c r="A7034" t="s">
        <v>3948</v>
      </c>
      <c r="B7034" t="s">
        <v>8188</v>
      </c>
      <c r="C7034" s="1">
        <v>45866</v>
      </c>
    </row>
    <row r="7035" spans="1:3" x14ac:dyDescent="0.25">
      <c r="A7035" t="s">
        <v>5514</v>
      </c>
      <c r="B7035" t="s">
        <v>8188</v>
      </c>
      <c r="C7035" s="1">
        <v>45845</v>
      </c>
    </row>
    <row r="7036" spans="1:3" x14ac:dyDescent="0.25">
      <c r="A7036" t="s">
        <v>3951</v>
      </c>
      <c r="B7036" t="s">
        <v>8188</v>
      </c>
      <c r="C7036" s="1">
        <v>45867</v>
      </c>
    </row>
    <row r="7037" spans="1:3" x14ac:dyDescent="0.25">
      <c r="A7037" t="s">
        <v>3133</v>
      </c>
      <c r="B7037" t="s">
        <v>8188</v>
      </c>
      <c r="C7037" s="1">
        <v>45860</v>
      </c>
    </row>
    <row r="7038" spans="1:3" x14ac:dyDescent="0.25">
      <c r="A7038" t="s">
        <v>3133</v>
      </c>
      <c r="B7038" t="s">
        <v>8188</v>
      </c>
      <c r="C7038" s="1">
        <v>45860</v>
      </c>
    </row>
    <row r="7039" spans="1:3" x14ac:dyDescent="0.25">
      <c r="A7039" t="s">
        <v>5513</v>
      </c>
      <c r="B7039" t="s">
        <v>39</v>
      </c>
      <c r="C7039" s="1">
        <v>45845</v>
      </c>
    </row>
    <row r="7040" spans="1:3" x14ac:dyDescent="0.25">
      <c r="A7040" t="s">
        <v>5510</v>
      </c>
      <c r="B7040" t="s">
        <v>8188</v>
      </c>
      <c r="C7040" s="1">
        <v>45852</v>
      </c>
    </row>
    <row r="7041" spans="1:3" x14ac:dyDescent="0.25">
      <c r="A7041" t="s">
        <v>5496</v>
      </c>
      <c r="B7041" t="s">
        <v>8188</v>
      </c>
      <c r="C7041" s="1">
        <v>45848</v>
      </c>
    </row>
    <row r="7042" spans="1:3" x14ac:dyDescent="0.25">
      <c r="A7042" t="s">
        <v>5515</v>
      </c>
      <c r="B7042" t="s">
        <v>8188</v>
      </c>
      <c r="C7042" s="1">
        <v>45849</v>
      </c>
    </row>
    <row r="7043" spans="1:3" x14ac:dyDescent="0.25">
      <c r="A7043" t="s">
        <v>5516</v>
      </c>
      <c r="B7043" t="s">
        <v>8188</v>
      </c>
      <c r="C7043" s="1">
        <v>45849</v>
      </c>
    </row>
    <row r="7044" spans="1:3" x14ac:dyDescent="0.25">
      <c r="A7044" t="s">
        <v>3972</v>
      </c>
      <c r="B7044" t="s">
        <v>8188</v>
      </c>
      <c r="C7044" s="1">
        <v>45860</v>
      </c>
    </row>
    <row r="7045" spans="1:3" x14ac:dyDescent="0.25">
      <c r="A7045" t="s">
        <v>3973</v>
      </c>
      <c r="B7045" t="s">
        <v>8188</v>
      </c>
      <c r="C7045" s="1">
        <v>45860</v>
      </c>
    </row>
    <row r="7046" spans="1:3" x14ac:dyDescent="0.25">
      <c r="A7046" t="s">
        <v>5517</v>
      </c>
      <c r="B7046" t="s">
        <v>8188</v>
      </c>
      <c r="C7046" s="1">
        <v>45855</v>
      </c>
    </row>
    <row r="7047" spans="1:3" x14ac:dyDescent="0.25">
      <c r="A7047" t="s">
        <v>5507</v>
      </c>
      <c r="B7047" t="s">
        <v>8188</v>
      </c>
      <c r="C7047" s="1">
        <v>45853</v>
      </c>
    </row>
    <row r="7048" spans="1:3" x14ac:dyDescent="0.25">
      <c r="A7048" t="s">
        <v>3976</v>
      </c>
      <c r="B7048" t="s">
        <v>8188</v>
      </c>
      <c r="C7048" s="1">
        <v>45863</v>
      </c>
    </row>
    <row r="7049" spans="1:3" x14ac:dyDescent="0.25">
      <c r="A7049" t="s">
        <v>3977</v>
      </c>
      <c r="B7049" t="s">
        <v>8188</v>
      </c>
      <c r="C7049" s="1">
        <v>45866</v>
      </c>
    </row>
    <row r="7050" spans="1:3" x14ac:dyDescent="0.25">
      <c r="A7050" t="s">
        <v>3978</v>
      </c>
      <c r="B7050" t="s">
        <v>8188</v>
      </c>
      <c r="C7050" s="1">
        <v>45869</v>
      </c>
    </row>
    <row r="7051" spans="1:3" x14ac:dyDescent="0.25">
      <c r="A7051" t="s">
        <v>5202</v>
      </c>
      <c r="B7051" t="s">
        <v>8188</v>
      </c>
      <c r="C7051" s="1">
        <v>45854</v>
      </c>
    </row>
    <row r="7052" spans="1:3" x14ac:dyDescent="0.25">
      <c r="A7052" t="s">
        <v>3981</v>
      </c>
      <c r="B7052" t="s">
        <v>8188</v>
      </c>
      <c r="C7052" s="1">
        <v>45864</v>
      </c>
    </row>
    <row r="7053" spans="1:3" x14ac:dyDescent="0.25">
      <c r="A7053" t="s">
        <v>5203</v>
      </c>
      <c r="B7053" t="s">
        <v>8188</v>
      </c>
      <c r="C7053" s="1">
        <v>45862</v>
      </c>
    </row>
    <row r="7054" spans="1:3" x14ac:dyDescent="0.25">
      <c r="A7054" t="s">
        <v>5203</v>
      </c>
      <c r="B7054" t="s">
        <v>39</v>
      </c>
      <c r="C7054" s="1">
        <v>45862</v>
      </c>
    </row>
    <row r="7055" spans="1:3" x14ac:dyDescent="0.25">
      <c r="A7055" t="s">
        <v>2651</v>
      </c>
      <c r="B7055" t="s">
        <v>8188</v>
      </c>
      <c r="C7055" s="1">
        <v>45853</v>
      </c>
    </row>
    <row r="7056" spans="1:3" x14ac:dyDescent="0.25">
      <c r="A7056" t="s">
        <v>3987</v>
      </c>
      <c r="B7056" t="s">
        <v>8188</v>
      </c>
      <c r="C7056" s="1">
        <v>45862</v>
      </c>
    </row>
    <row r="7057" spans="1:3" x14ac:dyDescent="0.25">
      <c r="A7057" t="s">
        <v>5427</v>
      </c>
      <c r="B7057" t="s">
        <v>8188</v>
      </c>
      <c r="C7057" s="1">
        <v>45871</v>
      </c>
    </row>
    <row r="7058" spans="1:3" x14ac:dyDescent="0.25">
      <c r="A7058" t="s">
        <v>3989</v>
      </c>
      <c r="B7058" t="s">
        <v>8188</v>
      </c>
      <c r="C7058" s="1">
        <v>45857</v>
      </c>
    </row>
    <row r="7059" spans="1:3" x14ac:dyDescent="0.25">
      <c r="A7059" t="s">
        <v>5201</v>
      </c>
      <c r="B7059" t="s">
        <v>8188</v>
      </c>
      <c r="C7059" s="1">
        <v>45871</v>
      </c>
    </row>
    <row r="7060" spans="1:3" x14ac:dyDescent="0.25">
      <c r="A7060" t="s">
        <v>3136</v>
      </c>
      <c r="B7060" t="s">
        <v>8188</v>
      </c>
      <c r="C7060" s="1">
        <v>45864</v>
      </c>
    </row>
    <row r="7061" spans="1:3" x14ac:dyDescent="0.25">
      <c r="A7061" t="s">
        <v>3136</v>
      </c>
      <c r="B7061" t="s">
        <v>8188</v>
      </c>
      <c r="C7061" s="1">
        <v>45889</v>
      </c>
    </row>
    <row r="7062" spans="1:3" x14ac:dyDescent="0.25">
      <c r="A7062" t="s">
        <v>5518</v>
      </c>
      <c r="B7062" t="s">
        <v>8188</v>
      </c>
      <c r="C7062" s="1">
        <v>45855</v>
      </c>
    </row>
    <row r="7063" spans="1:3" x14ac:dyDescent="0.25">
      <c r="A7063" t="s">
        <v>3137</v>
      </c>
      <c r="B7063" t="s">
        <v>8188</v>
      </c>
      <c r="C7063" s="1">
        <v>45857</v>
      </c>
    </row>
    <row r="7064" spans="1:3" x14ac:dyDescent="0.25">
      <c r="A7064" t="s">
        <v>3137</v>
      </c>
      <c r="B7064" t="s">
        <v>8188</v>
      </c>
      <c r="C7064" s="1">
        <v>45857</v>
      </c>
    </row>
    <row r="7065" spans="1:3" x14ac:dyDescent="0.25">
      <c r="A7065" t="s">
        <v>4007</v>
      </c>
      <c r="B7065" t="s">
        <v>8188</v>
      </c>
      <c r="C7065" s="1">
        <v>45891</v>
      </c>
    </row>
    <row r="7066" spans="1:3" x14ac:dyDescent="0.25">
      <c r="A7066" t="s">
        <v>3139</v>
      </c>
      <c r="B7066" t="s">
        <v>39</v>
      </c>
      <c r="C7066" s="1">
        <v>45891</v>
      </c>
    </row>
    <row r="7067" spans="1:3" x14ac:dyDescent="0.25">
      <c r="A7067" t="s">
        <v>8070</v>
      </c>
      <c r="B7067" t="s">
        <v>39</v>
      </c>
      <c r="C7067" s="1"/>
    </row>
    <row r="7068" spans="1:3" x14ac:dyDescent="0.25">
      <c r="A7068" t="s">
        <v>5204</v>
      </c>
      <c r="B7068" t="s">
        <v>8188</v>
      </c>
      <c r="C7068" s="1">
        <v>45855</v>
      </c>
    </row>
    <row r="7069" spans="1:3" x14ac:dyDescent="0.25">
      <c r="A7069" t="s">
        <v>5428</v>
      </c>
      <c r="B7069" t="s">
        <v>39</v>
      </c>
      <c r="C7069" s="1"/>
    </row>
    <row r="7070" spans="1:3" x14ac:dyDescent="0.25">
      <c r="A7070" t="s">
        <v>5519</v>
      </c>
      <c r="B7070" t="s">
        <v>8188</v>
      </c>
      <c r="C7070" s="1">
        <v>45856</v>
      </c>
    </row>
    <row r="7071" spans="1:3" x14ac:dyDescent="0.25">
      <c r="A7071" t="s">
        <v>5188</v>
      </c>
      <c r="B7071" t="s">
        <v>8188</v>
      </c>
      <c r="C7071" s="1">
        <v>45882</v>
      </c>
    </row>
    <row r="7072" spans="1:3" x14ac:dyDescent="0.25">
      <c r="A7072" t="s">
        <v>5178</v>
      </c>
      <c r="B7072" t="s">
        <v>8188</v>
      </c>
      <c r="C7072" s="1">
        <v>45871</v>
      </c>
    </row>
    <row r="7073" spans="1:3" x14ac:dyDescent="0.25">
      <c r="A7073" t="s">
        <v>4014</v>
      </c>
      <c r="B7073" t="s">
        <v>8188</v>
      </c>
      <c r="C7073" s="1">
        <v>45853</v>
      </c>
    </row>
    <row r="7074" spans="1:3" x14ac:dyDescent="0.25">
      <c r="A7074" t="s">
        <v>4018</v>
      </c>
      <c r="B7074" t="s">
        <v>8188</v>
      </c>
      <c r="C7074" s="1">
        <v>45862</v>
      </c>
    </row>
    <row r="7075" spans="1:3" x14ac:dyDescent="0.25">
      <c r="A7075" t="s">
        <v>5507</v>
      </c>
      <c r="B7075" t="s">
        <v>8188</v>
      </c>
      <c r="C7075" s="1">
        <v>45901</v>
      </c>
    </row>
    <row r="7076" spans="1:3" x14ac:dyDescent="0.25">
      <c r="A7076" t="s">
        <v>5205</v>
      </c>
      <c r="B7076" t="s">
        <v>39</v>
      </c>
      <c r="C7076" s="1"/>
    </row>
    <row r="7077" spans="1:3" x14ac:dyDescent="0.25">
      <c r="A7077" t="s">
        <v>2664</v>
      </c>
      <c r="B7077" t="s">
        <v>8188</v>
      </c>
      <c r="C7077" s="1">
        <v>45871</v>
      </c>
    </row>
    <row r="7078" spans="1:3" x14ac:dyDescent="0.25">
      <c r="A7078" t="s">
        <v>5499</v>
      </c>
      <c r="B7078" t="s">
        <v>8188</v>
      </c>
      <c r="C7078" s="1">
        <v>45856</v>
      </c>
    </row>
    <row r="7079" spans="1:3" x14ac:dyDescent="0.25">
      <c r="A7079" t="s">
        <v>5410</v>
      </c>
      <c r="B7079" t="s">
        <v>8188</v>
      </c>
      <c r="C7079" s="1">
        <v>45857</v>
      </c>
    </row>
    <row r="7080" spans="1:3" x14ac:dyDescent="0.25">
      <c r="A7080" t="s">
        <v>5206</v>
      </c>
      <c r="B7080" t="s">
        <v>8188</v>
      </c>
      <c r="C7080" s="1">
        <v>45875</v>
      </c>
    </row>
    <row r="7081" spans="1:3" x14ac:dyDescent="0.25">
      <c r="A7081" t="s">
        <v>5207</v>
      </c>
      <c r="B7081" t="s">
        <v>8188</v>
      </c>
      <c r="C7081" s="1">
        <v>45888</v>
      </c>
    </row>
    <row r="7082" spans="1:3" x14ac:dyDescent="0.25">
      <c r="A7082" t="s">
        <v>5208</v>
      </c>
      <c r="B7082" t="s">
        <v>8188</v>
      </c>
      <c r="C7082" s="1">
        <v>45856</v>
      </c>
    </row>
    <row r="7083" spans="1:3" x14ac:dyDescent="0.25">
      <c r="A7083" t="s">
        <v>4042</v>
      </c>
      <c r="B7083" t="s">
        <v>8188</v>
      </c>
      <c r="C7083" s="1">
        <v>45866</v>
      </c>
    </row>
    <row r="7084" spans="1:3" x14ac:dyDescent="0.25">
      <c r="A7084" t="s">
        <v>5210</v>
      </c>
      <c r="B7084" t="s">
        <v>8188</v>
      </c>
      <c r="C7084" s="1">
        <v>45862</v>
      </c>
    </row>
    <row r="7085" spans="1:3" x14ac:dyDescent="0.25">
      <c r="A7085" t="s">
        <v>5209</v>
      </c>
      <c r="B7085" t="s">
        <v>8188</v>
      </c>
      <c r="C7085" s="1">
        <v>45863</v>
      </c>
    </row>
    <row r="7086" spans="1:3" x14ac:dyDescent="0.25">
      <c r="A7086" t="s">
        <v>5522</v>
      </c>
      <c r="B7086" t="s">
        <v>8188</v>
      </c>
      <c r="C7086" s="1">
        <v>45857</v>
      </c>
    </row>
    <row r="7087" spans="1:3" x14ac:dyDescent="0.25">
      <c r="A7087" t="s">
        <v>5521</v>
      </c>
      <c r="B7087" t="s">
        <v>8188</v>
      </c>
      <c r="C7087" s="1">
        <v>45860</v>
      </c>
    </row>
    <row r="7088" spans="1:3" x14ac:dyDescent="0.25">
      <c r="A7088" t="s">
        <v>5519</v>
      </c>
      <c r="B7088" t="s">
        <v>8188</v>
      </c>
      <c r="C7088" s="1">
        <v>45860</v>
      </c>
    </row>
    <row r="7089" spans="1:3" x14ac:dyDescent="0.25">
      <c r="A7089" t="s">
        <v>2668</v>
      </c>
      <c r="B7089" t="s">
        <v>8188</v>
      </c>
      <c r="C7089" s="1">
        <v>45859</v>
      </c>
    </row>
    <row r="7090" spans="1:3" x14ac:dyDescent="0.25">
      <c r="A7090" t="s">
        <v>2672</v>
      </c>
      <c r="B7090" t="s">
        <v>8188</v>
      </c>
      <c r="C7090" s="1">
        <v>45903</v>
      </c>
    </row>
    <row r="7091" spans="1:3" x14ac:dyDescent="0.25">
      <c r="A7091" t="s">
        <v>5208</v>
      </c>
      <c r="B7091" t="s">
        <v>8188</v>
      </c>
      <c r="C7091" s="1">
        <v>45861</v>
      </c>
    </row>
    <row r="7092" spans="1:3" x14ac:dyDescent="0.25">
      <c r="A7092" t="s">
        <v>4056</v>
      </c>
      <c r="B7092" t="s">
        <v>8188</v>
      </c>
      <c r="C7092" s="1">
        <v>45859</v>
      </c>
    </row>
    <row r="7093" spans="1:3" x14ac:dyDescent="0.25">
      <c r="A7093" t="s">
        <v>5212</v>
      </c>
      <c r="B7093" t="s">
        <v>8188</v>
      </c>
      <c r="C7093" s="1">
        <v>45878</v>
      </c>
    </row>
    <row r="7094" spans="1:3" x14ac:dyDescent="0.25">
      <c r="A7094" t="s">
        <v>4055</v>
      </c>
      <c r="B7094" t="s">
        <v>8188</v>
      </c>
      <c r="C7094" s="1">
        <v>45866</v>
      </c>
    </row>
    <row r="7095" spans="1:3" x14ac:dyDescent="0.25">
      <c r="A7095" t="s">
        <v>5211</v>
      </c>
      <c r="B7095" t="s">
        <v>8188</v>
      </c>
      <c r="C7095" s="1">
        <v>45885</v>
      </c>
    </row>
    <row r="7096" spans="1:3" x14ac:dyDescent="0.25">
      <c r="A7096" t="s">
        <v>4058</v>
      </c>
      <c r="B7096" t="s">
        <v>8188</v>
      </c>
      <c r="C7096" s="1">
        <v>45887</v>
      </c>
    </row>
    <row r="7097" spans="1:3" x14ac:dyDescent="0.25">
      <c r="A7097" t="s">
        <v>5213</v>
      </c>
      <c r="B7097" t="s">
        <v>8188</v>
      </c>
      <c r="C7097" s="1">
        <v>45887</v>
      </c>
    </row>
    <row r="7098" spans="1:3" x14ac:dyDescent="0.25">
      <c r="A7098" t="s">
        <v>5214</v>
      </c>
      <c r="B7098" t="s">
        <v>8188</v>
      </c>
      <c r="C7098" s="1">
        <v>45861</v>
      </c>
    </row>
    <row r="7099" spans="1:3" x14ac:dyDescent="0.25">
      <c r="A7099" t="s">
        <v>5214</v>
      </c>
      <c r="B7099" t="s">
        <v>8188</v>
      </c>
      <c r="C7099" s="1">
        <v>45861</v>
      </c>
    </row>
    <row r="7100" spans="1:3" x14ac:dyDescent="0.25">
      <c r="A7100" t="s">
        <v>4062</v>
      </c>
      <c r="B7100" t="s">
        <v>8188</v>
      </c>
      <c r="C7100" s="1">
        <v>45867</v>
      </c>
    </row>
    <row r="7101" spans="1:3" x14ac:dyDescent="0.25">
      <c r="A7101" t="s">
        <v>4061</v>
      </c>
      <c r="B7101" t="s">
        <v>8188</v>
      </c>
      <c r="C7101" s="1">
        <v>45885</v>
      </c>
    </row>
    <row r="7102" spans="1:3" x14ac:dyDescent="0.25">
      <c r="A7102" t="s">
        <v>5411</v>
      </c>
      <c r="B7102" t="s">
        <v>8188</v>
      </c>
      <c r="C7102" s="1">
        <v>45860</v>
      </c>
    </row>
    <row r="7103" spans="1:3" x14ac:dyDescent="0.25">
      <c r="A7103" t="s">
        <v>3111</v>
      </c>
      <c r="B7103" t="s">
        <v>8188</v>
      </c>
      <c r="C7103" s="1">
        <v>45862</v>
      </c>
    </row>
    <row r="7104" spans="1:3" x14ac:dyDescent="0.25">
      <c r="A7104" t="s">
        <v>4067</v>
      </c>
      <c r="B7104" t="s">
        <v>8188</v>
      </c>
      <c r="C7104" s="1">
        <v>45874</v>
      </c>
    </row>
    <row r="7105" spans="1:3" x14ac:dyDescent="0.25">
      <c r="A7105" t="s">
        <v>2680</v>
      </c>
      <c r="B7105" t="s">
        <v>8188</v>
      </c>
      <c r="C7105" s="1">
        <v>45861</v>
      </c>
    </row>
    <row r="7106" spans="1:3" x14ac:dyDescent="0.25">
      <c r="A7106" t="s">
        <v>5525</v>
      </c>
      <c r="B7106" t="s">
        <v>8188</v>
      </c>
      <c r="C7106" s="1">
        <v>45861</v>
      </c>
    </row>
    <row r="7107" spans="1:3" x14ac:dyDescent="0.25">
      <c r="A7107" t="s">
        <v>5215</v>
      </c>
      <c r="B7107" t="s">
        <v>8188</v>
      </c>
      <c r="C7107" s="1">
        <v>45861</v>
      </c>
    </row>
    <row r="7108" spans="1:3" x14ac:dyDescent="0.25">
      <c r="A7108" t="s">
        <v>5524</v>
      </c>
      <c r="B7108" t="s">
        <v>8188</v>
      </c>
      <c r="C7108" s="1">
        <v>45861</v>
      </c>
    </row>
    <row r="7109" spans="1:3" x14ac:dyDescent="0.25">
      <c r="A7109" t="s">
        <v>5523</v>
      </c>
      <c r="B7109" t="s">
        <v>8188</v>
      </c>
      <c r="C7109" s="1">
        <v>45862</v>
      </c>
    </row>
    <row r="7110" spans="1:3" x14ac:dyDescent="0.25">
      <c r="A7110" t="s">
        <v>5520</v>
      </c>
      <c r="B7110" t="s">
        <v>8188</v>
      </c>
      <c r="C7110" s="1">
        <v>45867</v>
      </c>
    </row>
    <row r="7111" spans="1:3" x14ac:dyDescent="0.25">
      <c r="A7111" t="s">
        <v>2682</v>
      </c>
      <c r="B7111" t="s">
        <v>8188</v>
      </c>
      <c r="C7111" s="1">
        <v>45862</v>
      </c>
    </row>
    <row r="7112" spans="1:3" x14ac:dyDescent="0.25">
      <c r="A7112" t="s">
        <v>5526</v>
      </c>
      <c r="B7112" t="s">
        <v>8188</v>
      </c>
      <c r="C7112" s="1">
        <v>45862</v>
      </c>
    </row>
    <row r="7113" spans="1:3" x14ac:dyDescent="0.25">
      <c r="A7113" t="s">
        <v>4082</v>
      </c>
      <c r="B7113" t="s">
        <v>8188</v>
      </c>
      <c r="C7113" s="1">
        <v>45887</v>
      </c>
    </row>
    <row r="7114" spans="1:3" x14ac:dyDescent="0.25">
      <c r="A7114" t="s">
        <v>4086</v>
      </c>
      <c r="B7114" t="s">
        <v>8188</v>
      </c>
      <c r="C7114" s="1">
        <v>45885</v>
      </c>
    </row>
    <row r="7115" spans="1:3" x14ac:dyDescent="0.25">
      <c r="A7115" t="s">
        <v>5519</v>
      </c>
      <c r="B7115" t="s">
        <v>8188</v>
      </c>
      <c r="C7115" s="1">
        <v>45862</v>
      </c>
    </row>
    <row r="7116" spans="1:3" x14ac:dyDescent="0.25">
      <c r="A7116" t="s">
        <v>3111</v>
      </c>
      <c r="B7116" t="s">
        <v>8188</v>
      </c>
      <c r="C7116" s="1">
        <v>45874</v>
      </c>
    </row>
    <row r="7117" spans="1:3" x14ac:dyDescent="0.25">
      <c r="A7117" t="s">
        <v>5412</v>
      </c>
      <c r="B7117" t="s">
        <v>8188</v>
      </c>
      <c r="C7117" s="1">
        <v>45897</v>
      </c>
    </row>
    <row r="7118" spans="1:3" x14ac:dyDescent="0.25">
      <c r="A7118" t="s">
        <v>5216</v>
      </c>
      <c r="B7118" t="s">
        <v>8188</v>
      </c>
      <c r="C7118" s="1">
        <v>45867</v>
      </c>
    </row>
    <row r="7119" spans="1:3" x14ac:dyDescent="0.25">
      <c r="A7119" t="s">
        <v>4090</v>
      </c>
      <c r="B7119" t="s">
        <v>8188</v>
      </c>
      <c r="C7119" s="1">
        <v>45897</v>
      </c>
    </row>
    <row r="7120" spans="1:3" x14ac:dyDescent="0.25">
      <c r="A7120" t="s">
        <v>4094</v>
      </c>
      <c r="B7120" t="s">
        <v>8188</v>
      </c>
      <c r="C7120" s="1">
        <v>45870</v>
      </c>
    </row>
    <row r="7121" spans="1:3" x14ac:dyDescent="0.25">
      <c r="A7121" t="s">
        <v>4095</v>
      </c>
      <c r="B7121" t="s">
        <v>8188</v>
      </c>
      <c r="C7121" s="1">
        <v>45888</v>
      </c>
    </row>
    <row r="7122" spans="1:3" x14ac:dyDescent="0.25">
      <c r="A7122" t="s">
        <v>4096</v>
      </c>
      <c r="B7122" t="s">
        <v>8188</v>
      </c>
      <c r="C7122" s="1">
        <v>45882</v>
      </c>
    </row>
    <row r="7123" spans="1:3" x14ac:dyDescent="0.25">
      <c r="A7123" t="s">
        <v>4097</v>
      </c>
      <c r="B7123" t="s">
        <v>8188</v>
      </c>
      <c r="C7123" s="1">
        <v>45877</v>
      </c>
    </row>
    <row r="7124" spans="1:3" x14ac:dyDescent="0.25">
      <c r="A7124" t="s">
        <v>4098</v>
      </c>
      <c r="B7124" t="s">
        <v>8188</v>
      </c>
      <c r="C7124" s="1">
        <v>45887</v>
      </c>
    </row>
    <row r="7125" spans="1:3" x14ac:dyDescent="0.25">
      <c r="A7125" t="s">
        <v>5527</v>
      </c>
      <c r="B7125" t="s">
        <v>8188</v>
      </c>
      <c r="C7125" s="1">
        <v>45868</v>
      </c>
    </row>
    <row r="7126" spans="1:3" x14ac:dyDescent="0.25">
      <c r="A7126" t="s">
        <v>5217</v>
      </c>
      <c r="B7126" t="s">
        <v>8188</v>
      </c>
      <c r="C7126" s="1">
        <v>45876</v>
      </c>
    </row>
    <row r="7127" spans="1:3" x14ac:dyDescent="0.25">
      <c r="A7127" t="s">
        <v>3144</v>
      </c>
      <c r="B7127" t="s">
        <v>8188</v>
      </c>
      <c r="C7127" s="1">
        <v>45905</v>
      </c>
    </row>
    <row r="7128" spans="1:3" x14ac:dyDescent="0.25">
      <c r="A7128" t="s">
        <v>3144</v>
      </c>
      <c r="B7128" t="s">
        <v>8188</v>
      </c>
      <c r="C7128" s="1">
        <v>45905</v>
      </c>
    </row>
    <row r="7129" spans="1:3" x14ac:dyDescent="0.25">
      <c r="A7129" t="s">
        <v>3145</v>
      </c>
      <c r="B7129" t="s">
        <v>8188</v>
      </c>
      <c r="C7129" s="1">
        <v>45905</v>
      </c>
    </row>
    <row r="7130" spans="1:3" x14ac:dyDescent="0.25">
      <c r="A7130" t="s">
        <v>3145</v>
      </c>
      <c r="B7130" t="s">
        <v>8188</v>
      </c>
      <c r="C7130" s="1">
        <v>45905</v>
      </c>
    </row>
    <row r="7131" spans="1:3" x14ac:dyDescent="0.25">
      <c r="A7131" t="s">
        <v>4100</v>
      </c>
      <c r="B7131" t="s">
        <v>8188</v>
      </c>
      <c r="C7131" s="1">
        <v>45889</v>
      </c>
    </row>
    <row r="7132" spans="1:3" x14ac:dyDescent="0.25">
      <c r="A7132" t="s">
        <v>5218</v>
      </c>
      <c r="B7132" t="s">
        <v>8188</v>
      </c>
      <c r="C7132" s="1">
        <v>45868</v>
      </c>
    </row>
    <row r="7133" spans="1:3" x14ac:dyDescent="0.25">
      <c r="A7133" t="s">
        <v>4110</v>
      </c>
      <c r="B7133" t="s">
        <v>8188</v>
      </c>
      <c r="C7133" s="1">
        <v>45885</v>
      </c>
    </row>
    <row r="7134" spans="1:3" x14ac:dyDescent="0.25">
      <c r="A7134" t="s">
        <v>4112</v>
      </c>
      <c r="B7134" t="s">
        <v>8188</v>
      </c>
      <c r="C7134" s="1">
        <v>45869</v>
      </c>
    </row>
    <row r="7135" spans="1:3" x14ac:dyDescent="0.25">
      <c r="A7135" t="s">
        <v>4113</v>
      </c>
      <c r="B7135" t="s">
        <v>8188</v>
      </c>
      <c r="C7135" s="1">
        <v>45874</v>
      </c>
    </row>
    <row r="7136" spans="1:3" x14ac:dyDescent="0.25">
      <c r="A7136" t="s">
        <v>4117</v>
      </c>
      <c r="B7136" t="s">
        <v>8188</v>
      </c>
      <c r="C7136" s="1">
        <v>45890</v>
      </c>
    </row>
    <row r="7137" spans="1:3" x14ac:dyDescent="0.25">
      <c r="A7137" t="s">
        <v>5219</v>
      </c>
      <c r="B7137" t="s">
        <v>8188</v>
      </c>
      <c r="C7137" s="1">
        <v>45867</v>
      </c>
    </row>
    <row r="7138" spans="1:3" x14ac:dyDescent="0.25">
      <c r="A7138" t="s">
        <v>3147</v>
      </c>
      <c r="B7138" t="s">
        <v>8188</v>
      </c>
      <c r="C7138" s="1">
        <v>45885</v>
      </c>
    </row>
    <row r="7139" spans="1:3" x14ac:dyDescent="0.25">
      <c r="A7139" t="s">
        <v>5220</v>
      </c>
      <c r="B7139" t="s">
        <v>8188</v>
      </c>
      <c r="C7139" s="1">
        <v>45875</v>
      </c>
    </row>
    <row r="7140" spans="1:3" x14ac:dyDescent="0.25">
      <c r="A7140" t="s">
        <v>5221</v>
      </c>
      <c r="B7140" t="s">
        <v>8188</v>
      </c>
      <c r="C7140" s="1">
        <v>45874</v>
      </c>
    </row>
    <row r="7141" spans="1:3" x14ac:dyDescent="0.25">
      <c r="A7141" t="s">
        <v>4133</v>
      </c>
      <c r="B7141" t="s">
        <v>8188</v>
      </c>
      <c r="C7141" s="1">
        <v>45874</v>
      </c>
    </row>
    <row r="7142" spans="1:3" x14ac:dyDescent="0.25">
      <c r="A7142" t="s">
        <v>4133</v>
      </c>
      <c r="B7142" t="s">
        <v>8188</v>
      </c>
      <c r="C7142" s="1">
        <v>45874</v>
      </c>
    </row>
    <row r="7143" spans="1:3" x14ac:dyDescent="0.25">
      <c r="A7143" t="s">
        <v>5222</v>
      </c>
      <c r="B7143" t="s">
        <v>8188</v>
      </c>
      <c r="C7143" s="1">
        <v>45885</v>
      </c>
    </row>
    <row r="7144" spans="1:3" x14ac:dyDescent="0.25">
      <c r="A7144" t="s">
        <v>5528</v>
      </c>
      <c r="B7144" t="s">
        <v>8188</v>
      </c>
      <c r="C7144" s="1">
        <v>45874</v>
      </c>
    </row>
    <row r="7145" spans="1:3" x14ac:dyDescent="0.25">
      <c r="A7145" t="s">
        <v>5528</v>
      </c>
      <c r="B7145" t="s">
        <v>8188</v>
      </c>
      <c r="C7145" s="1">
        <v>45890</v>
      </c>
    </row>
    <row r="7146" spans="1:3" x14ac:dyDescent="0.25">
      <c r="A7146" t="s">
        <v>4145</v>
      </c>
      <c r="B7146" t="s">
        <v>8188</v>
      </c>
      <c r="C7146" s="1">
        <v>45882</v>
      </c>
    </row>
    <row r="7147" spans="1:3" x14ac:dyDescent="0.25">
      <c r="A7147" t="s">
        <v>5223</v>
      </c>
      <c r="B7147" t="s">
        <v>8188</v>
      </c>
      <c r="C7147" s="1">
        <v>45882</v>
      </c>
    </row>
    <row r="7148" spans="1:3" x14ac:dyDescent="0.25">
      <c r="A7148" t="s">
        <v>4146</v>
      </c>
      <c r="B7148" t="s">
        <v>8188</v>
      </c>
      <c r="C7148" s="1">
        <v>45894</v>
      </c>
    </row>
    <row r="7149" spans="1:3" x14ac:dyDescent="0.25">
      <c r="A7149" t="s">
        <v>3063</v>
      </c>
      <c r="B7149" t="s">
        <v>8188</v>
      </c>
      <c r="C7149" s="1">
        <v>45874</v>
      </c>
    </row>
    <row r="7150" spans="1:3" x14ac:dyDescent="0.25">
      <c r="A7150" t="s">
        <v>8071</v>
      </c>
      <c r="B7150" t="s">
        <v>39</v>
      </c>
      <c r="C7150" s="1">
        <v>45869</v>
      </c>
    </row>
    <row r="7151" spans="1:3" x14ac:dyDescent="0.25">
      <c r="A7151" t="s">
        <v>4152</v>
      </c>
      <c r="B7151" t="s">
        <v>39</v>
      </c>
      <c r="C7151" s="1"/>
    </row>
    <row r="7152" spans="1:3" x14ac:dyDescent="0.25">
      <c r="A7152" t="s">
        <v>2705</v>
      </c>
      <c r="B7152" t="s">
        <v>8188</v>
      </c>
      <c r="C7152" s="1">
        <v>45881</v>
      </c>
    </row>
    <row r="7153" spans="1:3" x14ac:dyDescent="0.25">
      <c r="A7153" t="s">
        <v>5224</v>
      </c>
      <c r="B7153" t="s">
        <v>8188</v>
      </c>
      <c r="C7153" s="1">
        <v>45887</v>
      </c>
    </row>
    <row r="7154" spans="1:3" x14ac:dyDescent="0.25">
      <c r="A7154" t="s">
        <v>5529</v>
      </c>
      <c r="B7154" t="s">
        <v>8188</v>
      </c>
      <c r="C7154" s="1">
        <v>45874</v>
      </c>
    </row>
    <row r="7155" spans="1:3" x14ac:dyDescent="0.25">
      <c r="A7155" t="s">
        <v>5530</v>
      </c>
      <c r="B7155" t="s">
        <v>8188</v>
      </c>
      <c r="C7155" s="1">
        <v>45870</v>
      </c>
    </row>
    <row r="7156" spans="1:3" x14ac:dyDescent="0.25">
      <c r="A7156" t="s">
        <v>4158</v>
      </c>
      <c r="B7156" t="s">
        <v>8188</v>
      </c>
      <c r="C7156" s="1">
        <v>45878</v>
      </c>
    </row>
    <row r="7157" spans="1:3" x14ac:dyDescent="0.25">
      <c r="A7157" t="s">
        <v>2707</v>
      </c>
      <c r="B7157" t="s">
        <v>8188</v>
      </c>
      <c r="C7157" s="1">
        <v>45873</v>
      </c>
    </row>
    <row r="7158" spans="1:3" x14ac:dyDescent="0.25">
      <c r="A7158" t="s">
        <v>4160</v>
      </c>
      <c r="B7158" t="s">
        <v>8188</v>
      </c>
      <c r="C7158" s="1">
        <v>45880</v>
      </c>
    </row>
    <row r="7159" spans="1:3" x14ac:dyDescent="0.25">
      <c r="A7159" t="s">
        <v>5531</v>
      </c>
      <c r="B7159" t="s">
        <v>8188</v>
      </c>
      <c r="C7159" s="1">
        <v>45881</v>
      </c>
    </row>
    <row r="7160" spans="1:3" x14ac:dyDescent="0.25">
      <c r="A7160" t="s">
        <v>5532</v>
      </c>
      <c r="B7160" t="s">
        <v>8188</v>
      </c>
      <c r="C7160" s="1">
        <v>45874</v>
      </c>
    </row>
    <row r="7161" spans="1:3" x14ac:dyDescent="0.25">
      <c r="A7161" t="s">
        <v>4161</v>
      </c>
      <c r="B7161" t="s">
        <v>8188</v>
      </c>
      <c r="C7161" s="1">
        <v>45889</v>
      </c>
    </row>
    <row r="7162" spans="1:3" x14ac:dyDescent="0.25">
      <c r="A7162" t="s">
        <v>5533</v>
      </c>
      <c r="B7162" t="s">
        <v>8188</v>
      </c>
      <c r="C7162" s="1">
        <v>45876</v>
      </c>
    </row>
    <row r="7163" spans="1:3" x14ac:dyDescent="0.25">
      <c r="A7163" t="s">
        <v>5535</v>
      </c>
      <c r="B7163" t="s">
        <v>8188</v>
      </c>
      <c r="C7163" s="1">
        <v>45881</v>
      </c>
    </row>
    <row r="7164" spans="1:3" x14ac:dyDescent="0.25">
      <c r="A7164" t="s">
        <v>5534</v>
      </c>
      <c r="B7164" t="s">
        <v>8188</v>
      </c>
      <c r="C7164" s="1">
        <v>45885</v>
      </c>
    </row>
    <row r="7165" spans="1:3" x14ac:dyDescent="0.25">
      <c r="A7165" t="s">
        <v>4164</v>
      </c>
      <c r="B7165" t="s">
        <v>8188</v>
      </c>
      <c r="C7165" s="1">
        <v>45895</v>
      </c>
    </row>
    <row r="7166" spans="1:3" x14ac:dyDescent="0.25">
      <c r="A7166" t="s">
        <v>4167</v>
      </c>
      <c r="B7166" t="s">
        <v>8188</v>
      </c>
      <c r="C7166" s="1">
        <v>45892</v>
      </c>
    </row>
    <row r="7167" spans="1:3" x14ac:dyDescent="0.25">
      <c r="A7167" t="s">
        <v>4171</v>
      </c>
      <c r="B7167" t="s">
        <v>8188</v>
      </c>
      <c r="C7167" s="1">
        <v>45892</v>
      </c>
    </row>
    <row r="7168" spans="1:3" x14ac:dyDescent="0.25">
      <c r="A7168" t="s">
        <v>4112</v>
      </c>
      <c r="B7168" t="s">
        <v>8188</v>
      </c>
      <c r="C7168" s="1">
        <v>45871</v>
      </c>
    </row>
    <row r="7169" spans="1:3" x14ac:dyDescent="0.25">
      <c r="A7169" t="s">
        <v>4186</v>
      </c>
      <c r="B7169" t="s">
        <v>8188</v>
      </c>
      <c r="C7169" s="1">
        <v>45881</v>
      </c>
    </row>
    <row r="7170" spans="1:3" x14ac:dyDescent="0.25">
      <c r="A7170" t="s">
        <v>8072</v>
      </c>
      <c r="B7170" t="s">
        <v>39</v>
      </c>
      <c r="C7170" s="1">
        <v>45877</v>
      </c>
    </row>
    <row r="7171" spans="1:3" x14ac:dyDescent="0.25">
      <c r="A7171" t="s">
        <v>5225</v>
      </c>
      <c r="B7171" t="s">
        <v>39</v>
      </c>
      <c r="C7171" s="1">
        <v>45883</v>
      </c>
    </row>
    <row r="7172" spans="1:3" x14ac:dyDescent="0.25">
      <c r="A7172" t="s">
        <v>5226</v>
      </c>
      <c r="B7172" t="s">
        <v>8188</v>
      </c>
      <c r="C7172" s="1">
        <v>45883</v>
      </c>
    </row>
    <row r="7173" spans="1:3" x14ac:dyDescent="0.25">
      <c r="A7173" t="s">
        <v>5227</v>
      </c>
      <c r="B7173" t="s">
        <v>8188</v>
      </c>
      <c r="C7173" s="1">
        <v>45888</v>
      </c>
    </row>
    <row r="7174" spans="1:3" x14ac:dyDescent="0.25">
      <c r="A7174" t="s">
        <v>5228</v>
      </c>
      <c r="B7174" t="s">
        <v>8188</v>
      </c>
      <c r="C7174" s="1">
        <v>45881</v>
      </c>
    </row>
    <row r="7175" spans="1:3" x14ac:dyDescent="0.25">
      <c r="A7175" t="s">
        <v>3111</v>
      </c>
      <c r="B7175" t="s">
        <v>8188</v>
      </c>
      <c r="C7175" s="1">
        <v>45878</v>
      </c>
    </row>
    <row r="7176" spans="1:3" x14ac:dyDescent="0.25">
      <c r="A7176" t="s">
        <v>5536</v>
      </c>
      <c r="B7176" t="s">
        <v>8188</v>
      </c>
      <c r="C7176" s="1">
        <v>45878</v>
      </c>
    </row>
    <row r="7177" spans="1:3" x14ac:dyDescent="0.25">
      <c r="A7177" t="s">
        <v>4196</v>
      </c>
      <c r="B7177" t="s">
        <v>8188</v>
      </c>
      <c r="C7177" s="1">
        <v>45880</v>
      </c>
    </row>
    <row r="7178" spans="1:3" x14ac:dyDescent="0.25">
      <c r="A7178" t="s">
        <v>5537</v>
      </c>
      <c r="B7178" t="s">
        <v>8188</v>
      </c>
      <c r="C7178" s="1">
        <v>45891</v>
      </c>
    </row>
    <row r="7179" spans="1:3" x14ac:dyDescent="0.25">
      <c r="A7179" t="s">
        <v>5538</v>
      </c>
      <c r="B7179" t="s">
        <v>8188</v>
      </c>
      <c r="C7179" s="1">
        <v>45881</v>
      </c>
    </row>
    <row r="7180" spans="1:3" x14ac:dyDescent="0.25">
      <c r="A7180" t="s">
        <v>2721</v>
      </c>
      <c r="B7180" t="s">
        <v>8188</v>
      </c>
      <c r="C7180" s="1">
        <v>45881</v>
      </c>
    </row>
    <row r="7181" spans="1:3" x14ac:dyDescent="0.25">
      <c r="A7181" t="s">
        <v>2722</v>
      </c>
      <c r="B7181" t="s">
        <v>8188</v>
      </c>
      <c r="C7181" s="1">
        <v>45881</v>
      </c>
    </row>
    <row r="7182" spans="1:3" x14ac:dyDescent="0.25">
      <c r="A7182" t="s">
        <v>2723</v>
      </c>
      <c r="B7182" t="s">
        <v>8188</v>
      </c>
      <c r="C7182" s="1">
        <v>45876</v>
      </c>
    </row>
    <row r="7183" spans="1:3" x14ac:dyDescent="0.25">
      <c r="A7183" t="s">
        <v>5539</v>
      </c>
      <c r="B7183" t="s">
        <v>8188</v>
      </c>
      <c r="C7183" s="1">
        <v>45892</v>
      </c>
    </row>
    <row r="7184" spans="1:3" x14ac:dyDescent="0.25">
      <c r="A7184" t="s">
        <v>5501</v>
      </c>
      <c r="B7184" t="s">
        <v>8188</v>
      </c>
      <c r="C7184" s="1">
        <v>45876</v>
      </c>
    </row>
    <row r="7185" spans="1:3" x14ac:dyDescent="0.25">
      <c r="A7185" t="s">
        <v>4207</v>
      </c>
      <c r="B7185" t="s">
        <v>8188</v>
      </c>
      <c r="C7185" s="1">
        <v>45885</v>
      </c>
    </row>
    <row r="7186" spans="1:3" x14ac:dyDescent="0.25">
      <c r="A7186" t="s">
        <v>4210</v>
      </c>
      <c r="B7186" t="s">
        <v>8188</v>
      </c>
      <c r="C7186" s="1">
        <v>45920</v>
      </c>
    </row>
    <row r="7187" spans="1:3" x14ac:dyDescent="0.25">
      <c r="A7187" t="s">
        <v>5540</v>
      </c>
      <c r="B7187" t="s">
        <v>8188</v>
      </c>
      <c r="C7187" s="1">
        <v>45883</v>
      </c>
    </row>
    <row r="7188" spans="1:3" x14ac:dyDescent="0.25">
      <c r="A7188" t="s">
        <v>5540</v>
      </c>
      <c r="B7188" t="s">
        <v>8188</v>
      </c>
      <c r="C7188" s="1">
        <v>45883</v>
      </c>
    </row>
    <row r="7189" spans="1:3" x14ac:dyDescent="0.25">
      <c r="A7189" t="s">
        <v>3065</v>
      </c>
      <c r="B7189" t="s">
        <v>39</v>
      </c>
      <c r="C7189" s="1">
        <v>45892</v>
      </c>
    </row>
    <row r="7190" spans="1:3" x14ac:dyDescent="0.25">
      <c r="A7190" t="s">
        <v>3065</v>
      </c>
      <c r="B7190" t="s">
        <v>8188</v>
      </c>
      <c r="C7190" s="1">
        <v>45892</v>
      </c>
    </row>
    <row r="7191" spans="1:3" x14ac:dyDescent="0.25">
      <c r="A7191" t="s">
        <v>5541</v>
      </c>
      <c r="B7191" t="s">
        <v>8188</v>
      </c>
      <c r="C7191" s="1">
        <v>45880</v>
      </c>
    </row>
    <row r="7192" spans="1:3" x14ac:dyDescent="0.25">
      <c r="A7192" t="s">
        <v>4222</v>
      </c>
      <c r="B7192" t="s">
        <v>8188</v>
      </c>
      <c r="C7192" s="1">
        <v>45890</v>
      </c>
    </row>
    <row r="7193" spans="1:3" x14ac:dyDescent="0.25">
      <c r="A7193" t="s">
        <v>4224</v>
      </c>
      <c r="B7193" t="s">
        <v>39</v>
      </c>
      <c r="C7193" s="1">
        <v>45882</v>
      </c>
    </row>
    <row r="7194" spans="1:3" x14ac:dyDescent="0.25">
      <c r="A7194" t="s">
        <v>5229</v>
      </c>
      <c r="B7194" t="s">
        <v>8188</v>
      </c>
      <c r="C7194" s="1">
        <v>45880</v>
      </c>
    </row>
    <row r="7195" spans="1:3" x14ac:dyDescent="0.25">
      <c r="A7195" t="s">
        <v>8073</v>
      </c>
      <c r="B7195" t="s">
        <v>8188</v>
      </c>
      <c r="C7195" s="1">
        <v>45925</v>
      </c>
    </row>
    <row r="7196" spans="1:3" x14ac:dyDescent="0.25">
      <c r="A7196" t="s">
        <v>4248</v>
      </c>
      <c r="B7196" t="s">
        <v>8188</v>
      </c>
      <c r="C7196" s="1">
        <v>45909</v>
      </c>
    </row>
    <row r="7197" spans="1:3" x14ac:dyDescent="0.25">
      <c r="A7197" t="s">
        <v>5542</v>
      </c>
      <c r="B7197" t="s">
        <v>8188</v>
      </c>
      <c r="C7197" s="1">
        <v>45881</v>
      </c>
    </row>
    <row r="7198" spans="1:3" x14ac:dyDescent="0.25">
      <c r="A7198" t="s">
        <v>5543</v>
      </c>
      <c r="B7198" t="s">
        <v>8188</v>
      </c>
      <c r="C7198" s="1">
        <v>45890</v>
      </c>
    </row>
    <row r="7199" spans="1:3" x14ac:dyDescent="0.25">
      <c r="A7199" t="s">
        <v>5544</v>
      </c>
      <c r="B7199" t="s">
        <v>8188</v>
      </c>
      <c r="C7199" s="1">
        <v>45883</v>
      </c>
    </row>
    <row r="7200" spans="1:3" x14ac:dyDescent="0.25">
      <c r="A7200" t="s">
        <v>5231</v>
      </c>
      <c r="B7200" t="s">
        <v>8188</v>
      </c>
      <c r="C7200" s="1">
        <v>45906</v>
      </c>
    </row>
    <row r="7201" spans="1:3" x14ac:dyDescent="0.25">
      <c r="A7201" t="s">
        <v>5230</v>
      </c>
      <c r="B7201" t="s">
        <v>8188</v>
      </c>
      <c r="C7201" s="1">
        <v>45908</v>
      </c>
    </row>
    <row r="7202" spans="1:3" x14ac:dyDescent="0.25">
      <c r="A7202" t="s">
        <v>5545</v>
      </c>
      <c r="B7202" t="s">
        <v>8188</v>
      </c>
      <c r="C7202" s="1">
        <v>45883</v>
      </c>
    </row>
    <row r="7203" spans="1:3" x14ac:dyDescent="0.25">
      <c r="A7203" t="s">
        <v>5546</v>
      </c>
      <c r="B7203" t="s">
        <v>8188</v>
      </c>
      <c r="C7203" s="1">
        <v>45889</v>
      </c>
    </row>
    <row r="7204" spans="1:3" x14ac:dyDescent="0.25">
      <c r="A7204" t="s">
        <v>4253</v>
      </c>
      <c r="B7204" t="s">
        <v>39</v>
      </c>
      <c r="C7204" s="1"/>
    </row>
    <row r="7205" spans="1:3" x14ac:dyDescent="0.25">
      <c r="A7205" t="s">
        <v>4255</v>
      </c>
      <c r="B7205" t="s">
        <v>8188</v>
      </c>
      <c r="C7205" s="1">
        <v>45895</v>
      </c>
    </row>
    <row r="7206" spans="1:3" x14ac:dyDescent="0.25">
      <c r="A7206" t="s">
        <v>5547</v>
      </c>
      <c r="B7206" t="s">
        <v>8188</v>
      </c>
      <c r="C7206" s="1">
        <v>45892</v>
      </c>
    </row>
    <row r="7207" spans="1:3" x14ac:dyDescent="0.25">
      <c r="A7207" t="s">
        <v>4261</v>
      </c>
      <c r="B7207" t="s">
        <v>8188</v>
      </c>
      <c r="C7207" s="1">
        <v>45892</v>
      </c>
    </row>
    <row r="7208" spans="1:3" x14ac:dyDescent="0.25">
      <c r="A7208" t="s">
        <v>5232</v>
      </c>
      <c r="B7208" t="s">
        <v>8188</v>
      </c>
      <c r="C7208" s="1">
        <v>45883</v>
      </c>
    </row>
    <row r="7209" spans="1:3" x14ac:dyDescent="0.25">
      <c r="A7209" t="s">
        <v>5233</v>
      </c>
      <c r="B7209" t="s">
        <v>8188</v>
      </c>
      <c r="C7209" s="1">
        <v>45888</v>
      </c>
    </row>
    <row r="7210" spans="1:3" x14ac:dyDescent="0.25">
      <c r="A7210" t="s">
        <v>4240</v>
      </c>
      <c r="B7210" t="s">
        <v>8188</v>
      </c>
      <c r="C7210" s="1">
        <v>45890</v>
      </c>
    </row>
    <row r="7211" spans="1:3" x14ac:dyDescent="0.25">
      <c r="A7211" t="s">
        <v>3156</v>
      </c>
      <c r="B7211" t="s">
        <v>8188</v>
      </c>
      <c r="C7211" s="1">
        <v>45943</v>
      </c>
    </row>
    <row r="7212" spans="1:3" x14ac:dyDescent="0.25">
      <c r="A7212" t="s">
        <v>3156</v>
      </c>
      <c r="B7212" t="s">
        <v>8188</v>
      </c>
      <c r="C7212" s="1">
        <v>45943</v>
      </c>
    </row>
    <row r="7213" spans="1:3" x14ac:dyDescent="0.25">
      <c r="A7213" t="s">
        <v>4263</v>
      </c>
      <c r="B7213" t="s">
        <v>8188</v>
      </c>
      <c r="C7213" s="1">
        <v>45890</v>
      </c>
    </row>
    <row r="7214" spans="1:3" x14ac:dyDescent="0.25">
      <c r="A7214" t="s">
        <v>5429</v>
      </c>
      <c r="B7214" t="s">
        <v>39</v>
      </c>
      <c r="C7214" s="1"/>
    </row>
    <row r="7215" spans="1:3" x14ac:dyDescent="0.25">
      <c r="A7215" t="s">
        <v>4265</v>
      </c>
      <c r="B7215" t="s">
        <v>8188</v>
      </c>
      <c r="C7215" s="1">
        <v>45891</v>
      </c>
    </row>
    <row r="7216" spans="1:3" x14ac:dyDescent="0.25">
      <c r="A7216" t="s">
        <v>4267</v>
      </c>
      <c r="B7216" t="s">
        <v>8188</v>
      </c>
      <c r="C7216" s="1">
        <v>45892</v>
      </c>
    </row>
    <row r="7217" spans="1:3" x14ac:dyDescent="0.25">
      <c r="A7217" t="s">
        <v>5548</v>
      </c>
      <c r="B7217" t="s">
        <v>8188</v>
      </c>
      <c r="C7217" s="1">
        <v>45890</v>
      </c>
    </row>
    <row r="7218" spans="1:3" x14ac:dyDescent="0.25">
      <c r="A7218" t="s">
        <v>4276</v>
      </c>
      <c r="B7218" t="s">
        <v>39</v>
      </c>
      <c r="C7218" s="1">
        <v>45890</v>
      </c>
    </row>
    <row r="7219" spans="1:3" x14ac:dyDescent="0.25">
      <c r="A7219" t="s">
        <v>5430</v>
      </c>
      <c r="B7219" t="s">
        <v>8188</v>
      </c>
      <c r="C7219" s="1">
        <v>45889</v>
      </c>
    </row>
    <row r="7220" spans="1:3" x14ac:dyDescent="0.25">
      <c r="A7220" t="s">
        <v>3158</v>
      </c>
      <c r="B7220" t="s">
        <v>8188</v>
      </c>
      <c r="C7220" s="1">
        <v>45892</v>
      </c>
    </row>
    <row r="7221" spans="1:3" x14ac:dyDescent="0.25">
      <c r="A7221" t="s">
        <v>5549</v>
      </c>
      <c r="B7221" t="s">
        <v>8188</v>
      </c>
      <c r="C7221" s="1">
        <v>45890</v>
      </c>
    </row>
    <row r="7222" spans="1:3" x14ac:dyDescent="0.25">
      <c r="A7222" t="s">
        <v>5550</v>
      </c>
      <c r="B7222" t="s">
        <v>8188</v>
      </c>
      <c r="C7222" s="1">
        <v>45892</v>
      </c>
    </row>
    <row r="7223" spans="1:3" x14ac:dyDescent="0.25">
      <c r="A7223" t="s">
        <v>2746</v>
      </c>
      <c r="B7223" t="s">
        <v>8188</v>
      </c>
      <c r="C7223" s="1">
        <v>45891</v>
      </c>
    </row>
    <row r="7224" spans="1:3" x14ac:dyDescent="0.25">
      <c r="A7224" t="s">
        <v>5553</v>
      </c>
      <c r="B7224" t="s">
        <v>8188</v>
      </c>
      <c r="C7224" s="1">
        <v>45890</v>
      </c>
    </row>
    <row r="7225" spans="1:3" x14ac:dyDescent="0.25">
      <c r="A7225" t="s">
        <v>5552</v>
      </c>
      <c r="B7225" t="s">
        <v>8188</v>
      </c>
      <c r="C7225" s="1">
        <v>45892</v>
      </c>
    </row>
    <row r="7226" spans="1:3" x14ac:dyDescent="0.25">
      <c r="A7226" t="s">
        <v>5551</v>
      </c>
      <c r="B7226" t="s">
        <v>8188</v>
      </c>
      <c r="C7226" s="1">
        <v>45895</v>
      </c>
    </row>
    <row r="7227" spans="1:3" x14ac:dyDescent="0.25">
      <c r="A7227" t="s">
        <v>5234</v>
      </c>
      <c r="B7227" t="s">
        <v>8188</v>
      </c>
      <c r="C7227" s="1">
        <v>45904</v>
      </c>
    </row>
    <row r="7228" spans="1:3" x14ac:dyDescent="0.25">
      <c r="A7228" t="s">
        <v>5235</v>
      </c>
      <c r="B7228" t="s">
        <v>8188</v>
      </c>
      <c r="C7228" s="1">
        <v>45898</v>
      </c>
    </row>
    <row r="7229" spans="1:3" x14ac:dyDescent="0.25">
      <c r="A7229" t="s">
        <v>4283</v>
      </c>
      <c r="B7229" t="s">
        <v>8188</v>
      </c>
      <c r="C7229" s="1">
        <v>45901</v>
      </c>
    </row>
    <row r="7230" spans="1:3" x14ac:dyDescent="0.25">
      <c r="A7230" t="s">
        <v>5554</v>
      </c>
      <c r="B7230" t="s">
        <v>8188</v>
      </c>
      <c r="C7230" s="1">
        <v>45902</v>
      </c>
    </row>
    <row r="7231" spans="1:3" x14ac:dyDescent="0.25">
      <c r="A7231" t="s">
        <v>5236</v>
      </c>
      <c r="B7231" t="s">
        <v>8188</v>
      </c>
      <c r="C7231" s="1">
        <v>45897</v>
      </c>
    </row>
    <row r="7232" spans="1:3" x14ac:dyDescent="0.25">
      <c r="A7232" t="s">
        <v>5237</v>
      </c>
      <c r="B7232" t="s">
        <v>8188</v>
      </c>
      <c r="C7232" s="1">
        <v>45898</v>
      </c>
    </row>
    <row r="7233" spans="1:3" x14ac:dyDescent="0.25">
      <c r="A7233" t="s">
        <v>5238</v>
      </c>
      <c r="B7233" t="s">
        <v>8188</v>
      </c>
      <c r="C7233" s="1">
        <v>45891</v>
      </c>
    </row>
    <row r="7234" spans="1:3" x14ac:dyDescent="0.25">
      <c r="A7234" t="s">
        <v>5557</v>
      </c>
      <c r="B7234" t="s">
        <v>8188</v>
      </c>
      <c r="C7234" s="1">
        <v>45898</v>
      </c>
    </row>
    <row r="7235" spans="1:3" x14ac:dyDescent="0.25">
      <c r="A7235" t="s">
        <v>4294</v>
      </c>
      <c r="B7235" t="s">
        <v>8188</v>
      </c>
      <c r="C7235" s="1">
        <v>45903</v>
      </c>
    </row>
    <row r="7236" spans="1:3" x14ac:dyDescent="0.25">
      <c r="A7236" t="s">
        <v>4286</v>
      </c>
      <c r="B7236" t="s">
        <v>8188</v>
      </c>
      <c r="C7236" s="1">
        <v>45899</v>
      </c>
    </row>
    <row r="7237" spans="1:3" x14ac:dyDescent="0.25">
      <c r="A7237" t="s">
        <v>4297</v>
      </c>
      <c r="B7237" t="s">
        <v>8188</v>
      </c>
      <c r="C7237" s="1">
        <v>45905</v>
      </c>
    </row>
    <row r="7238" spans="1:3" x14ac:dyDescent="0.25">
      <c r="A7238" t="s">
        <v>8074</v>
      </c>
      <c r="B7238" t="s">
        <v>8188</v>
      </c>
      <c r="C7238" s="1">
        <v>45892</v>
      </c>
    </row>
    <row r="7239" spans="1:3" x14ac:dyDescent="0.25">
      <c r="A7239" t="s">
        <v>4298</v>
      </c>
      <c r="B7239" t="s">
        <v>8188</v>
      </c>
      <c r="C7239" s="1">
        <v>45892</v>
      </c>
    </row>
    <row r="7240" spans="1:3" x14ac:dyDescent="0.25">
      <c r="A7240" t="s">
        <v>8075</v>
      </c>
      <c r="B7240" t="s">
        <v>39</v>
      </c>
      <c r="C7240" s="1">
        <v>45891</v>
      </c>
    </row>
    <row r="7241" spans="1:3" x14ac:dyDescent="0.25">
      <c r="A7241" t="s">
        <v>8076</v>
      </c>
      <c r="B7241" t="s">
        <v>8188</v>
      </c>
      <c r="C7241" s="1">
        <v>45899</v>
      </c>
    </row>
    <row r="7242" spans="1:3" x14ac:dyDescent="0.25">
      <c r="A7242" t="s">
        <v>5558</v>
      </c>
      <c r="B7242" t="s">
        <v>8188</v>
      </c>
      <c r="C7242" s="1">
        <v>45902</v>
      </c>
    </row>
    <row r="7243" spans="1:3" x14ac:dyDescent="0.25">
      <c r="A7243" t="s">
        <v>8077</v>
      </c>
      <c r="B7243" t="s">
        <v>8188</v>
      </c>
      <c r="C7243" s="1">
        <v>45897</v>
      </c>
    </row>
    <row r="7244" spans="1:3" x14ac:dyDescent="0.25">
      <c r="A7244" t="s">
        <v>4307</v>
      </c>
      <c r="B7244" t="s">
        <v>8188</v>
      </c>
      <c r="C7244" s="1">
        <v>45904</v>
      </c>
    </row>
    <row r="7245" spans="1:3" x14ac:dyDescent="0.25">
      <c r="A7245" t="s">
        <v>4311</v>
      </c>
      <c r="B7245" t="s">
        <v>8188</v>
      </c>
      <c r="C7245" s="1">
        <v>45903</v>
      </c>
    </row>
    <row r="7246" spans="1:3" x14ac:dyDescent="0.25">
      <c r="A7246" t="s">
        <v>4312</v>
      </c>
      <c r="B7246" t="s">
        <v>8188</v>
      </c>
      <c r="C7246" s="1">
        <v>45898</v>
      </c>
    </row>
    <row r="7247" spans="1:3" x14ac:dyDescent="0.25">
      <c r="A7247" t="s">
        <v>5559</v>
      </c>
      <c r="B7247" t="s">
        <v>8188</v>
      </c>
      <c r="C7247" s="1">
        <v>45897</v>
      </c>
    </row>
    <row r="7248" spans="1:3" x14ac:dyDescent="0.25">
      <c r="A7248" t="s">
        <v>5556</v>
      </c>
      <c r="B7248" t="s">
        <v>8188</v>
      </c>
      <c r="C7248" s="1">
        <v>45892</v>
      </c>
    </row>
    <row r="7249" spans="1:3" x14ac:dyDescent="0.25">
      <c r="A7249" t="s">
        <v>8078</v>
      </c>
      <c r="B7249" t="s">
        <v>8188</v>
      </c>
      <c r="C7249" s="1">
        <v>45905</v>
      </c>
    </row>
    <row r="7250" spans="1:3" x14ac:dyDescent="0.25">
      <c r="A7250" t="s">
        <v>8079</v>
      </c>
      <c r="B7250" t="s">
        <v>39</v>
      </c>
      <c r="C7250" s="1"/>
    </row>
    <row r="7251" spans="1:3" x14ac:dyDescent="0.25">
      <c r="A7251" t="s">
        <v>4324</v>
      </c>
      <c r="B7251" t="s">
        <v>8188</v>
      </c>
      <c r="C7251" s="1">
        <v>45901</v>
      </c>
    </row>
    <row r="7252" spans="1:3" x14ac:dyDescent="0.25">
      <c r="A7252" t="s">
        <v>2766</v>
      </c>
      <c r="B7252" t="s">
        <v>8188</v>
      </c>
      <c r="C7252" s="1">
        <v>45901</v>
      </c>
    </row>
    <row r="7253" spans="1:3" x14ac:dyDescent="0.25">
      <c r="A7253" t="s">
        <v>5560</v>
      </c>
      <c r="B7253" t="s">
        <v>8188</v>
      </c>
      <c r="C7253" s="1">
        <v>45900</v>
      </c>
    </row>
    <row r="7254" spans="1:3" x14ac:dyDescent="0.25">
      <c r="A7254" t="s">
        <v>5239</v>
      </c>
      <c r="B7254" t="s">
        <v>8188</v>
      </c>
      <c r="C7254" s="1">
        <v>45902</v>
      </c>
    </row>
    <row r="7255" spans="1:3" x14ac:dyDescent="0.25">
      <c r="A7255" t="s">
        <v>5561</v>
      </c>
      <c r="B7255" t="s">
        <v>8188</v>
      </c>
      <c r="C7255" s="1">
        <v>45903</v>
      </c>
    </row>
    <row r="7256" spans="1:3" x14ac:dyDescent="0.25">
      <c r="A7256" t="s">
        <v>3662</v>
      </c>
      <c r="B7256" t="s">
        <v>8188</v>
      </c>
      <c r="C7256" s="1">
        <v>45897</v>
      </c>
    </row>
    <row r="7257" spans="1:3" x14ac:dyDescent="0.25">
      <c r="A7257" t="s">
        <v>4346</v>
      </c>
      <c r="B7257" t="s">
        <v>8188</v>
      </c>
      <c r="C7257" s="1">
        <v>45897</v>
      </c>
    </row>
    <row r="7258" spans="1:3" x14ac:dyDescent="0.25">
      <c r="A7258" t="s">
        <v>5240</v>
      </c>
      <c r="B7258" t="s">
        <v>8188</v>
      </c>
      <c r="C7258" s="1">
        <v>45902</v>
      </c>
    </row>
    <row r="7259" spans="1:3" x14ac:dyDescent="0.25">
      <c r="A7259" t="s">
        <v>5241</v>
      </c>
      <c r="B7259" t="s">
        <v>8188</v>
      </c>
      <c r="C7259" s="1">
        <v>45903</v>
      </c>
    </row>
    <row r="7260" spans="1:3" x14ac:dyDescent="0.25">
      <c r="A7260" t="s">
        <v>5562</v>
      </c>
      <c r="B7260" t="s">
        <v>8188</v>
      </c>
      <c r="C7260" s="1">
        <v>45899</v>
      </c>
    </row>
    <row r="7261" spans="1:3" x14ac:dyDescent="0.25">
      <c r="A7261" t="s">
        <v>5413</v>
      </c>
      <c r="B7261" t="s">
        <v>8188</v>
      </c>
      <c r="C7261" s="1">
        <v>45900</v>
      </c>
    </row>
    <row r="7262" spans="1:3" x14ac:dyDescent="0.25">
      <c r="A7262" t="s">
        <v>4347</v>
      </c>
      <c r="B7262" t="s">
        <v>8188</v>
      </c>
      <c r="C7262" s="1">
        <v>45897</v>
      </c>
    </row>
    <row r="7263" spans="1:3" x14ac:dyDescent="0.25">
      <c r="A7263" t="s">
        <v>5242</v>
      </c>
      <c r="B7263" t="s">
        <v>8188</v>
      </c>
      <c r="C7263" s="1">
        <v>45903</v>
      </c>
    </row>
    <row r="7264" spans="1:3" x14ac:dyDescent="0.25">
      <c r="A7264" t="s">
        <v>4348</v>
      </c>
      <c r="B7264" t="s">
        <v>8188</v>
      </c>
      <c r="C7264" s="1">
        <v>45901</v>
      </c>
    </row>
    <row r="7265" spans="1:3" x14ac:dyDescent="0.25">
      <c r="A7265" t="s">
        <v>4351</v>
      </c>
      <c r="B7265" t="s">
        <v>8188</v>
      </c>
      <c r="C7265" s="1">
        <v>45899</v>
      </c>
    </row>
    <row r="7266" spans="1:3" x14ac:dyDescent="0.25">
      <c r="A7266" t="s">
        <v>4354</v>
      </c>
      <c r="B7266" t="s">
        <v>8188</v>
      </c>
      <c r="C7266" s="1">
        <v>45899</v>
      </c>
    </row>
    <row r="7267" spans="1:3" x14ac:dyDescent="0.25">
      <c r="A7267" t="s">
        <v>4356</v>
      </c>
      <c r="B7267" t="s">
        <v>8188</v>
      </c>
      <c r="C7267" s="1">
        <v>45905</v>
      </c>
    </row>
    <row r="7268" spans="1:3" x14ac:dyDescent="0.25">
      <c r="A7268" t="s">
        <v>4359</v>
      </c>
      <c r="B7268" t="s">
        <v>8188</v>
      </c>
      <c r="C7268" s="1">
        <v>45938</v>
      </c>
    </row>
    <row r="7269" spans="1:3" x14ac:dyDescent="0.25">
      <c r="A7269" t="s">
        <v>5243</v>
      </c>
      <c r="B7269" t="s">
        <v>8188</v>
      </c>
      <c r="C7269" s="1">
        <v>45908</v>
      </c>
    </row>
    <row r="7270" spans="1:3" x14ac:dyDescent="0.25">
      <c r="A7270" t="s">
        <v>5563</v>
      </c>
      <c r="B7270" t="s">
        <v>8188</v>
      </c>
      <c r="C7270" s="1">
        <v>45905</v>
      </c>
    </row>
    <row r="7271" spans="1:3" x14ac:dyDescent="0.25">
      <c r="A7271" t="s">
        <v>5236</v>
      </c>
      <c r="B7271" t="s">
        <v>8188</v>
      </c>
      <c r="C7271" s="1">
        <v>45901</v>
      </c>
    </row>
    <row r="7272" spans="1:3" x14ac:dyDescent="0.25">
      <c r="A7272" t="s">
        <v>8080</v>
      </c>
      <c r="B7272" t="s">
        <v>8188</v>
      </c>
      <c r="C7272" s="1">
        <v>45939</v>
      </c>
    </row>
    <row r="7273" spans="1:3" x14ac:dyDescent="0.25">
      <c r="A7273" t="s">
        <v>5244</v>
      </c>
      <c r="B7273" t="s">
        <v>8188</v>
      </c>
      <c r="C7273" s="1">
        <v>45906</v>
      </c>
    </row>
    <row r="7274" spans="1:3" x14ac:dyDescent="0.25">
      <c r="A7274" t="s">
        <v>2780</v>
      </c>
      <c r="B7274" t="s">
        <v>8188</v>
      </c>
      <c r="C7274" s="1">
        <v>45900</v>
      </c>
    </row>
    <row r="7275" spans="1:3" x14ac:dyDescent="0.25">
      <c r="A7275" t="s">
        <v>4378</v>
      </c>
      <c r="B7275" t="s">
        <v>8188</v>
      </c>
      <c r="C7275" s="1">
        <v>45904</v>
      </c>
    </row>
    <row r="7276" spans="1:3" x14ac:dyDescent="0.25">
      <c r="A7276" t="s">
        <v>5414</v>
      </c>
      <c r="B7276" t="s">
        <v>8188</v>
      </c>
      <c r="C7276" s="1">
        <v>45904</v>
      </c>
    </row>
    <row r="7277" spans="1:3" x14ac:dyDescent="0.25">
      <c r="A7277" t="s">
        <v>5245</v>
      </c>
      <c r="B7277" t="s">
        <v>8188</v>
      </c>
      <c r="C7277" s="1">
        <v>45902</v>
      </c>
    </row>
    <row r="7278" spans="1:3" x14ac:dyDescent="0.25">
      <c r="A7278" t="s">
        <v>8081</v>
      </c>
      <c r="B7278" t="s">
        <v>39</v>
      </c>
      <c r="C7278" s="1"/>
    </row>
    <row r="7279" spans="1:3" x14ac:dyDescent="0.25">
      <c r="A7279" t="s">
        <v>8082</v>
      </c>
      <c r="B7279" t="s">
        <v>8188</v>
      </c>
      <c r="C7279" s="1">
        <v>45983</v>
      </c>
    </row>
    <row r="7280" spans="1:3" x14ac:dyDescent="0.25">
      <c r="A7280" t="s">
        <v>4386</v>
      </c>
      <c r="B7280" t="s">
        <v>39</v>
      </c>
      <c r="C7280" s="1"/>
    </row>
    <row r="7281" spans="1:3" x14ac:dyDescent="0.25">
      <c r="A7281" t="s">
        <v>3165</v>
      </c>
      <c r="B7281" t="s">
        <v>8188</v>
      </c>
      <c r="C7281" s="1">
        <v>45903</v>
      </c>
    </row>
    <row r="7282" spans="1:3" x14ac:dyDescent="0.25">
      <c r="A7282" t="s">
        <v>4391</v>
      </c>
      <c r="B7282" t="s">
        <v>8188</v>
      </c>
      <c r="C7282" s="1">
        <v>45905</v>
      </c>
    </row>
    <row r="7283" spans="1:3" x14ac:dyDescent="0.25">
      <c r="A7283" t="s">
        <v>4390</v>
      </c>
      <c r="B7283" t="s">
        <v>8188</v>
      </c>
      <c r="C7283" s="1">
        <v>45912</v>
      </c>
    </row>
    <row r="7284" spans="1:3" x14ac:dyDescent="0.25">
      <c r="A7284" t="s">
        <v>4392</v>
      </c>
      <c r="B7284" t="s">
        <v>8188</v>
      </c>
      <c r="C7284" s="1">
        <v>45910</v>
      </c>
    </row>
    <row r="7285" spans="1:3" x14ac:dyDescent="0.25">
      <c r="A7285" t="s">
        <v>4393</v>
      </c>
      <c r="B7285" t="s">
        <v>8188</v>
      </c>
      <c r="C7285" s="1">
        <v>45901</v>
      </c>
    </row>
    <row r="7286" spans="1:3" x14ac:dyDescent="0.25">
      <c r="A7286" t="s">
        <v>5247</v>
      </c>
      <c r="B7286" t="s">
        <v>8188</v>
      </c>
      <c r="C7286" s="1">
        <v>45903</v>
      </c>
    </row>
    <row r="7287" spans="1:3" x14ac:dyDescent="0.25">
      <c r="A7287" t="s">
        <v>5564</v>
      </c>
      <c r="B7287" t="s">
        <v>8188</v>
      </c>
      <c r="C7287" s="1">
        <v>45915</v>
      </c>
    </row>
    <row r="7288" spans="1:3" x14ac:dyDescent="0.25">
      <c r="A7288" t="s">
        <v>4401</v>
      </c>
      <c r="B7288" t="s">
        <v>8188</v>
      </c>
      <c r="C7288" s="1">
        <v>45906</v>
      </c>
    </row>
    <row r="7289" spans="1:3" x14ac:dyDescent="0.25">
      <c r="A7289" t="s">
        <v>5248</v>
      </c>
      <c r="B7289" t="s">
        <v>8188</v>
      </c>
      <c r="C7289" s="1">
        <v>45902</v>
      </c>
    </row>
    <row r="7290" spans="1:3" x14ac:dyDescent="0.25">
      <c r="A7290" t="s">
        <v>8081</v>
      </c>
      <c r="B7290" t="s">
        <v>39</v>
      </c>
      <c r="C7290" s="1"/>
    </row>
    <row r="7291" spans="1:3" x14ac:dyDescent="0.25">
      <c r="A7291" t="s">
        <v>8083</v>
      </c>
      <c r="B7291" t="s">
        <v>39</v>
      </c>
      <c r="C7291" s="1"/>
    </row>
    <row r="7292" spans="1:3" x14ac:dyDescent="0.25">
      <c r="A7292" t="s">
        <v>8084</v>
      </c>
      <c r="B7292" t="s">
        <v>39</v>
      </c>
      <c r="C7292" s="1"/>
    </row>
    <row r="7293" spans="1:3" x14ac:dyDescent="0.25">
      <c r="A7293" t="s">
        <v>5249</v>
      </c>
      <c r="B7293" t="s">
        <v>8188</v>
      </c>
      <c r="C7293" s="1">
        <v>45937</v>
      </c>
    </row>
    <row r="7294" spans="1:3" x14ac:dyDescent="0.25">
      <c r="A7294" t="s">
        <v>8085</v>
      </c>
      <c r="B7294" t="s">
        <v>8188</v>
      </c>
      <c r="C7294" s="1">
        <v>45910</v>
      </c>
    </row>
    <row r="7295" spans="1:3" x14ac:dyDescent="0.25">
      <c r="A7295" t="s">
        <v>5250</v>
      </c>
      <c r="B7295" t="s">
        <v>8188</v>
      </c>
      <c r="C7295" s="1">
        <v>45904</v>
      </c>
    </row>
    <row r="7296" spans="1:3" x14ac:dyDescent="0.25">
      <c r="A7296" t="s">
        <v>5251</v>
      </c>
      <c r="B7296" t="s">
        <v>8188</v>
      </c>
      <c r="C7296" s="1">
        <v>45903</v>
      </c>
    </row>
    <row r="7297" spans="1:3" x14ac:dyDescent="0.25">
      <c r="A7297" t="s">
        <v>5252</v>
      </c>
      <c r="B7297" t="s">
        <v>8188</v>
      </c>
      <c r="C7297" s="1">
        <v>45917</v>
      </c>
    </row>
    <row r="7298" spans="1:3" x14ac:dyDescent="0.25">
      <c r="A7298" t="s">
        <v>5253</v>
      </c>
      <c r="B7298" t="s">
        <v>8188</v>
      </c>
      <c r="C7298" s="1">
        <v>45904</v>
      </c>
    </row>
    <row r="7299" spans="1:3" x14ac:dyDescent="0.25">
      <c r="A7299" t="s">
        <v>5565</v>
      </c>
      <c r="B7299" t="s">
        <v>8188</v>
      </c>
      <c r="C7299" s="1">
        <v>45904</v>
      </c>
    </row>
    <row r="7300" spans="1:3" x14ac:dyDescent="0.25">
      <c r="A7300" t="s">
        <v>5566</v>
      </c>
      <c r="B7300" t="s">
        <v>8188</v>
      </c>
      <c r="C7300" s="1">
        <v>45903</v>
      </c>
    </row>
    <row r="7301" spans="1:3" x14ac:dyDescent="0.25">
      <c r="A7301" t="s">
        <v>8086</v>
      </c>
      <c r="B7301" t="s">
        <v>39</v>
      </c>
      <c r="C7301" s="1"/>
    </row>
    <row r="7302" spans="1:3" x14ac:dyDescent="0.25">
      <c r="A7302" t="s">
        <v>5254</v>
      </c>
      <c r="B7302" t="s">
        <v>39</v>
      </c>
      <c r="C7302" s="1"/>
    </row>
    <row r="7303" spans="1:3" x14ac:dyDescent="0.25">
      <c r="A7303" t="s">
        <v>3172</v>
      </c>
      <c r="B7303" t="s">
        <v>39</v>
      </c>
      <c r="C7303" s="1"/>
    </row>
    <row r="7304" spans="1:3" x14ac:dyDescent="0.25">
      <c r="A7304" t="s">
        <v>5567</v>
      </c>
      <c r="B7304" t="s">
        <v>8188</v>
      </c>
      <c r="C7304" s="1">
        <v>45906</v>
      </c>
    </row>
    <row r="7305" spans="1:3" x14ac:dyDescent="0.25">
      <c r="A7305" t="s">
        <v>5255</v>
      </c>
      <c r="B7305" t="s">
        <v>8188</v>
      </c>
      <c r="C7305" s="1">
        <v>45912</v>
      </c>
    </row>
    <row r="7306" spans="1:3" x14ac:dyDescent="0.25">
      <c r="A7306" t="s">
        <v>4434</v>
      </c>
      <c r="B7306" t="s">
        <v>8188</v>
      </c>
      <c r="C7306" s="1">
        <v>45918</v>
      </c>
    </row>
    <row r="7307" spans="1:3" x14ac:dyDescent="0.25">
      <c r="A7307" t="s">
        <v>4435</v>
      </c>
      <c r="B7307" t="s">
        <v>8188</v>
      </c>
      <c r="C7307" s="1">
        <v>45908</v>
      </c>
    </row>
    <row r="7308" spans="1:3" x14ac:dyDescent="0.25">
      <c r="A7308" t="s">
        <v>4445</v>
      </c>
      <c r="B7308" t="s">
        <v>8188</v>
      </c>
      <c r="C7308" s="1">
        <v>45933</v>
      </c>
    </row>
    <row r="7309" spans="1:3" x14ac:dyDescent="0.25">
      <c r="A7309" t="s">
        <v>4444</v>
      </c>
      <c r="B7309" t="s">
        <v>8188</v>
      </c>
      <c r="C7309" s="1">
        <v>45913</v>
      </c>
    </row>
    <row r="7310" spans="1:3" x14ac:dyDescent="0.25">
      <c r="A7310" t="s">
        <v>5256</v>
      </c>
      <c r="B7310" t="s">
        <v>39</v>
      </c>
      <c r="C7310" s="1"/>
    </row>
    <row r="7311" spans="1:3" x14ac:dyDescent="0.25">
      <c r="A7311" t="s">
        <v>4456</v>
      </c>
      <c r="B7311" t="s">
        <v>8188</v>
      </c>
      <c r="C7311" s="1">
        <v>45909</v>
      </c>
    </row>
    <row r="7312" spans="1:3" x14ac:dyDescent="0.25">
      <c r="A7312" t="s">
        <v>4459</v>
      </c>
      <c r="B7312" t="s">
        <v>8188</v>
      </c>
      <c r="C7312" s="1">
        <v>45910</v>
      </c>
    </row>
    <row r="7313" spans="1:3" x14ac:dyDescent="0.25">
      <c r="A7313" t="s">
        <v>4462</v>
      </c>
      <c r="B7313" t="s">
        <v>8188</v>
      </c>
      <c r="C7313" s="1">
        <v>45915</v>
      </c>
    </row>
    <row r="7314" spans="1:3" x14ac:dyDescent="0.25">
      <c r="A7314" t="s">
        <v>4464</v>
      </c>
      <c r="B7314" t="s">
        <v>8188</v>
      </c>
      <c r="C7314" s="1">
        <v>45915</v>
      </c>
    </row>
    <row r="7315" spans="1:3" x14ac:dyDescent="0.25">
      <c r="A7315" t="s">
        <v>5257</v>
      </c>
      <c r="B7315" t="s">
        <v>8188</v>
      </c>
      <c r="C7315" s="1">
        <v>45909</v>
      </c>
    </row>
    <row r="7316" spans="1:3" x14ac:dyDescent="0.25">
      <c r="A7316" t="s">
        <v>5258</v>
      </c>
      <c r="B7316" t="s">
        <v>39</v>
      </c>
      <c r="C7316" s="1"/>
    </row>
    <row r="7317" spans="1:3" x14ac:dyDescent="0.25">
      <c r="A7317" t="s">
        <v>5568</v>
      </c>
      <c r="B7317" t="s">
        <v>8188</v>
      </c>
      <c r="C7317" s="1">
        <v>45909</v>
      </c>
    </row>
    <row r="7318" spans="1:3" x14ac:dyDescent="0.25">
      <c r="A7318" t="s">
        <v>5259</v>
      </c>
      <c r="B7318" t="s">
        <v>8188</v>
      </c>
      <c r="C7318" s="1">
        <v>45909</v>
      </c>
    </row>
    <row r="7319" spans="1:3" x14ac:dyDescent="0.25">
      <c r="A7319" t="s">
        <v>4014</v>
      </c>
      <c r="B7319" t="s">
        <v>8188</v>
      </c>
      <c r="C7319" s="1">
        <v>45909</v>
      </c>
    </row>
    <row r="7320" spans="1:3" x14ac:dyDescent="0.25">
      <c r="A7320" t="s">
        <v>5569</v>
      </c>
      <c r="B7320" t="s">
        <v>8188</v>
      </c>
      <c r="C7320" s="1">
        <v>45912</v>
      </c>
    </row>
    <row r="7321" spans="1:3" x14ac:dyDescent="0.25">
      <c r="A7321" t="s">
        <v>5570</v>
      </c>
      <c r="B7321" t="s">
        <v>8188</v>
      </c>
      <c r="C7321" s="1">
        <v>45911</v>
      </c>
    </row>
    <row r="7322" spans="1:3" x14ac:dyDescent="0.25">
      <c r="A7322" t="s">
        <v>5260</v>
      </c>
      <c r="B7322" t="s">
        <v>8188</v>
      </c>
      <c r="C7322" s="1">
        <v>45923</v>
      </c>
    </row>
    <row r="7323" spans="1:3" x14ac:dyDescent="0.25">
      <c r="A7323" t="s">
        <v>5571</v>
      </c>
      <c r="B7323" t="s">
        <v>8188</v>
      </c>
      <c r="C7323" s="1">
        <v>45911</v>
      </c>
    </row>
    <row r="7324" spans="1:3" x14ac:dyDescent="0.25">
      <c r="A7324" t="s">
        <v>4490</v>
      </c>
      <c r="B7324" t="s">
        <v>8188</v>
      </c>
      <c r="C7324" s="1">
        <v>45923</v>
      </c>
    </row>
    <row r="7325" spans="1:3" x14ac:dyDescent="0.25">
      <c r="A7325" t="s">
        <v>4492</v>
      </c>
      <c r="B7325" t="s">
        <v>8188</v>
      </c>
      <c r="C7325" s="1">
        <v>45918</v>
      </c>
    </row>
    <row r="7326" spans="1:3" x14ac:dyDescent="0.25">
      <c r="A7326" t="s">
        <v>4491</v>
      </c>
      <c r="B7326" t="s">
        <v>8188</v>
      </c>
      <c r="C7326" s="1">
        <v>45915</v>
      </c>
    </row>
    <row r="7327" spans="1:3" x14ac:dyDescent="0.25">
      <c r="A7327" t="s">
        <v>8087</v>
      </c>
      <c r="B7327" t="s">
        <v>8188</v>
      </c>
      <c r="C7327" s="1">
        <v>45911</v>
      </c>
    </row>
    <row r="7328" spans="1:3" x14ac:dyDescent="0.25">
      <c r="A7328" t="s">
        <v>4493</v>
      </c>
      <c r="B7328" t="s">
        <v>8188</v>
      </c>
      <c r="C7328" s="1">
        <v>45916</v>
      </c>
    </row>
    <row r="7329" spans="1:3" x14ac:dyDescent="0.25">
      <c r="A7329" t="s">
        <v>4494</v>
      </c>
      <c r="B7329" t="s">
        <v>8188</v>
      </c>
      <c r="C7329" s="1">
        <v>45918</v>
      </c>
    </row>
    <row r="7330" spans="1:3" x14ac:dyDescent="0.25">
      <c r="A7330" t="s">
        <v>3181</v>
      </c>
      <c r="B7330" t="s">
        <v>8188</v>
      </c>
      <c r="C7330" s="1">
        <v>45913</v>
      </c>
    </row>
    <row r="7331" spans="1:3" x14ac:dyDescent="0.25">
      <c r="A7331" t="s">
        <v>4495</v>
      </c>
      <c r="B7331" t="s">
        <v>8188</v>
      </c>
      <c r="C7331" s="1">
        <v>45917</v>
      </c>
    </row>
    <row r="7332" spans="1:3" x14ac:dyDescent="0.25">
      <c r="A7332" t="s">
        <v>5572</v>
      </c>
      <c r="B7332" t="s">
        <v>8188</v>
      </c>
      <c r="C7332" s="1">
        <v>45912</v>
      </c>
    </row>
    <row r="7333" spans="1:3" x14ac:dyDescent="0.25">
      <c r="A7333" t="s">
        <v>8088</v>
      </c>
      <c r="B7333" t="s">
        <v>8188</v>
      </c>
      <c r="C7333" s="1">
        <v>45929</v>
      </c>
    </row>
    <row r="7334" spans="1:3" x14ac:dyDescent="0.25">
      <c r="A7334" t="s">
        <v>3182</v>
      </c>
      <c r="B7334" t="s">
        <v>8188</v>
      </c>
      <c r="C7334" s="1">
        <v>45913</v>
      </c>
    </row>
    <row r="7335" spans="1:3" x14ac:dyDescent="0.25">
      <c r="A7335" t="s">
        <v>3183</v>
      </c>
      <c r="B7335" t="s">
        <v>8188</v>
      </c>
      <c r="C7335" s="1">
        <v>45913</v>
      </c>
    </row>
    <row r="7336" spans="1:3" x14ac:dyDescent="0.25">
      <c r="A7336" t="s">
        <v>3184</v>
      </c>
      <c r="B7336" t="s">
        <v>8188</v>
      </c>
      <c r="C7336" s="1">
        <v>45918</v>
      </c>
    </row>
    <row r="7337" spans="1:3" x14ac:dyDescent="0.25">
      <c r="A7337" t="s">
        <v>5575</v>
      </c>
      <c r="B7337" t="s">
        <v>8188</v>
      </c>
      <c r="C7337" s="1">
        <v>45918</v>
      </c>
    </row>
    <row r="7338" spans="1:3" x14ac:dyDescent="0.25">
      <c r="A7338" t="s">
        <v>5574</v>
      </c>
      <c r="B7338" t="s">
        <v>8188</v>
      </c>
      <c r="C7338" s="1">
        <v>45913</v>
      </c>
    </row>
    <row r="7339" spans="1:3" x14ac:dyDescent="0.25">
      <c r="A7339" t="s">
        <v>4501</v>
      </c>
      <c r="B7339" t="s">
        <v>39</v>
      </c>
      <c r="C7339" s="1"/>
    </row>
    <row r="7340" spans="1:3" x14ac:dyDescent="0.25">
      <c r="A7340" t="s">
        <v>8089</v>
      </c>
      <c r="B7340" t="s">
        <v>8188</v>
      </c>
      <c r="C7340" s="1">
        <v>45933</v>
      </c>
    </row>
    <row r="7341" spans="1:3" x14ac:dyDescent="0.25">
      <c r="A7341" t="s">
        <v>5576</v>
      </c>
      <c r="B7341" t="s">
        <v>8188</v>
      </c>
      <c r="C7341" s="1">
        <v>45917</v>
      </c>
    </row>
    <row r="7342" spans="1:3" x14ac:dyDescent="0.25">
      <c r="A7342" t="s">
        <v>5262</v>
      </c>
      <c r="B7342" t="s">
        <v>8188</v>
      </c>
      <c r="C7342" s="1">
        <v>45915</v>
      </c>
    </row>
    <row r="7343" spans="1:3" x14ac:dyDescent="0.25">
      <c r="A7343" t="s">
        <v>5262</v>
      </c>
      <c r="B7343" t="s">
        <v>8188</v>
      </c>
      <c r="C7343" s="1">
        <v>45915</v>
      </c>
    </row>
    <row r="7344" spans="1:3" x14ac:dyDescent="0.25">
      <c r="A7344" t="s">
        <v>5577</v>
      </c>
      <c r="B7344" t="s">
        <v>8188</v>
      </c>
      <c r="C7344" s="1">
        <v>45913</v>
      </c>
    </row>
    <row r="7345" spans="1:3" x14ac:dyDescent="0.25">
      <c r="A7345" t="s">
        <v>5578</v>
      </c>
      <c r="B7345" t="s">
        <v>8188</v>
      </c>
      <c r="C7345" s="1">
        <v>45915</v>
      </c>
    </row>
    <row r="7346" spans="1:3" x14ac:dyDescent="0.25">
      <c r="A7346" t="s">
        <v>5263</v>
      </c>
      <c r="B7346" t="s">
        <v>8188</v>
      </c>
      <c r="C7346" s="1">
        <v>45915</v>
      </c>
    </row>
    <row r="7347" spans="1:3" x14ac:dyDescent="0.25">
      <c r="A7347" t="s">
        <v>4508</v>
      </c>
      <c r="B7347" t="s">
        <v>8188</v>
      </c>
      <c r="C7347" s="1">
        <v>45922</v>
      </c>
    </row>
    <row r="7348" spans="1:3" x14ac:dyDescent="0.25">
      <c r="A7348" t="s">
        <v>5264</v>
      </c>
      <c r="B7348" t="s">
        <v>8188</v>
      </c>
      <c r="C7348" s="1">
        <v>45923</v>
      </c>
    </row>
    <row r="7349" spans="1:3" x14ac:dyDescent="0.25">
      <c r="A7349" t="s">
        <v>5265</v>
      </c>
      <c r="B7349" t="s">
        <v>8188</v>
      </c>
      <c r="C7349" s="1">
        <v>45915</v>
      </c>
    </row>
    <row r="7350" spans="1:3" x14ac:dyDescent="0.25">
      <c r="A7350" t="s">
        <v>4511</v>
      </c>
      <c r="B7350" t="s">
        <v>8188</v>
      </c>
      <c r="C7350" s="1">
        <v>45940</v>
      </c>
    </row>
    <row r="7351" spans="1:3" x14ac:dyDescent="0.25">
      <c r="A7351" t="s">
        <v>4511</v>
      </c>
      <c r="B7351" t="s">
        <v>8188</v>
      </c>
      <c r="C7351" s="1">
        <v>45952</v>
      </c>
    </row>
    <row r="7352" spans="1:3" x14ac:dyDescent="0.25">
      <c r="A7352" t="s">
        <v>5266</v>
      </c>
      <c r="B7352" t="s">
        <v>8188</v>
      </c>
      <c r="C7352" s="1">
        <v>45917</v>
      </c>
    </row>
    <row r="7353" spans="1:3" x14ac:dyDescent="0.25">
      <c r="A7353" t="s">
        <v>8090</v>
      </c>
      <c r="B7353" t="s">
        <v>8188</v>
      </c>
      <c r="C7353" s="1">
        <v>45916</v>
      </c>
    </row>
    <row r="7354" spans="1:3" x14ac:dyDescent="0.25">
      <c r="A7354" t="s">
        <v>4514</v>
      </c>
      <c r="B7354" t="s">
        <v>8188</v>
      </c>
      <c r="C7354" s="1">
        <v>45918</v>
      </c>
    </row>
    <row r="7355" spans="1:3" x14ac:dyDescent="0.25">
      <c r="A7355" t="s">
        <v>5267</v>
      </c>
      <c r="B7355" t="s">
        <v>8188</v>
      </c>
      <c r="C7355" s="1">
        <v>45916</v>
      </c>
    </row>
    <row r="7356" spans="1:3" x14ac:dyDescent="0.25">
      <c r="A7356" t="s">
        <v>5268</v>
      </c>
      <c r="B7356" t="s">
        <v>8188</v>
      </c>
      <c r="C7356" s="1">
        <v>45922</v>
      </c>
    </row>
    <row r="7357" spans="1:3" x14ac:dyDescent="0.25">
      <c r="A7357" t="s">
        <v>5269</v>
      </c>
      <c r="B7357" t="s">
        <v>8188</v>
      </c>
      <c r="C7357" s="1">
        <v>45920</v>
      </c>
    </row>
    <row r="7358" spans="1:3" x14ac:dyDescent="0.25">
      <c r="A7358" t="s">
        <v>5270</v>
      </c>
      <c r="B7358" t="s">
        <v>8188</v>
      </c>
      <c r="C7358" s="1">
        <v>45917</v>
      </c>
    </row>
    <row r="7359" spans="1:3" x14ac:dyDescent="0.25">
      <c r="A7359" t="s">
        <v>4521</v>
      </c>
      <c r="B7359" t="s">
        <v>8188</v>
      </c>
      <c r="C7359" s="1">
        <v>45923</v>
      </c>
    </row>
    <row r="7360" spans="1:3" x14ac:dyDescent="0.25">
      <c r="A7360" t="s">
        <v>4519</v>
      </c>
      <c r="B7360" t="s">
        <v>8188</v>
      </c>
      <c r="C7360" s="1">
        <v>45924</v>
      </c>
    </row>
    <row r="7361" spans="1:3" x14ac:dyDescent="0.25">
      <c r="A7361" t="s">
        <v>8091</v>
      </c>
      <c r="B7361" t="s">
        <v>8188</v>
      </c>
      <c r="C7361" s="1">
        <v>45917</v>
      </c>
    </row>
    <row r="7362" spans="1:3" x14ac:dyDescent="0.25">
      <c r="A7362" t="s">
        <v>4530</v>
      </c>
      <c r="B7362" t="s">
        <v>39</v>
      </c>
      <c r="C7362" s="1"/>
    </row>
    <row r="7363" spans="1:3" x14ac:dyDescent="0.25">
      <c r="A7363" t="s">
        <v>5272</v>
      </c>
      <c r="B7363" t="s">
        <v>8188</v>
      </c>
      <c r="C7363" s="1">
        <v>45919</v>
      </c>
    </row>
    <row r="7364" spans="1:3" x14ac:dyDescent="0.25">
      <c r="A7364" t="s">
        <v>5271</v>
      </c>
      <c r="B7364" t="s">
        <v>8188</v>
      </c>
      <c r="C7364" s="1">
        <v>45918</v>
      </c>
    </row>
    <row r="7365" spans="1:3" x14ac:dyDescent="0.25">
      <c r="A7365" t="s">
        <v>5579</v>
      </c>
      <c r="B7365" t="s">
        <v>8188</v>
      </c>
      <c r="C7365" s="1">
        <v>45916</v>
      </c>
    </row>
    <row r="7366" spans="1:3" x14ac:dyDescent="0.25">
      <c r="A7366" t="s">
        <v>8092</v>
      </c>
      <c r="B7366" t="s">
        <v>39</v>
      </c>
      <c r="C7366" s="1"/>
    </row>
    <row r="7367" spans="1:3" x14ac:dyDescent="0.25">
      <c r="A7367" t="s">
        <v>8093</v>
      </c>
      <c r="B7367" t="s">
        <v>39</v>
      </c>
      <c r="C7367" s="1"/>
    </row>
    <row r="7368" spans="1:3" x14ac:dyDescent="0.25">
      <c r="A7368" t="s">
        <v>5273</v>
      </c>
      <c r="B7368" t="s">
        <v>8188</v>
      </c>
      <c r="C7368" s="1">
        <v>45917</v>
      </c>
    </row>
    <row r="7369" spans="1:3" x14ac:dyDescent="0.25">
      <c r="A7369" t="s">
        <v>5274</v>
      </c>
      <c r="B7369" t="s">
        <v>8188</v>
      </c>
      <c r="C7369" s="1">
        <v>45919</v>
      </c>
    </row>
    <row r="7370" spans="1:3" x14ac:dyDescent="0.25">
      <c r="A7370" t="s">
        <v>5275</v>
      </c>
      <c r="B7370" t="s">
        <v>8188</v>
      </c>
      <c r="C7370" s="1">
        <v>45920</v>
      </c>
    </row>
    <row r="7371" spans="1:3" x14ac:dyDescent="0.25">
      <c r="A7371" t="s">
        <v>8094</v>
      </c>
      <c r="B7371" t="s">
        <v>39</v>
      </c>
      <c r="C7371" s="1"/>
    </row>
    <row r="7372" spans="1:3" x14ac:dyDescent="0.25">
      <c r="A7372" t="s">
        <v>8095</v>
      </c>
      <c r="B7372" t="s">
        <v>8188</v>
      </c>
      <c r="C7372" s="1">
        <v>45918</v>
      </c>
    </row>
    <row r="7373" spans="1:3" x14ac:dyDescent="0.25">
      <c r="A7373" t="s">
        <v>5276</v>
      </c>
      <c r="B7373" t="s">
        <v>8188</v>
      </c>
      <c r="C7373" s="1">
        <v>45919</v>
      </c>
    </row>
    <row r="7374" spans="1:3" x14ac:dyDescent="0.25">
      <c r="A7374" t="s">
        <v>5277</v>
      </c>
      <c r="B7374" t="s">
        <v>8188</v>
      </c>
      <c r="C7374" s="1">
        <v>45925</v>
      </c>
    </row>
    <row r="7375" spans="1:3" x14ac:dyDescent="0.25">
      <c r="A7375" t="s">
        <v>8096</v>
      </c>
      <c r="B7375" t="s">
        <v>8188</v>
      </c>
      <c r="C7375" s="1">
        <v>45924</v>
      </c>
    </row>
    <row r="7376" spans="1:3" x14ac:dyDescent="0.25">
      <c r="A7376" t="s">
        <v>8097</v>
      </c>
      <c r="B7376" t="s">
        <v>8188</v>
      </c>
      <c r="C7376" s="1">
        <v>45929</v>
      </c>
    </row>
    <row r="7377" spans="1:3" x14ac:dyDescent="0.25">
      <c r="A7377" t="s">
        <v>5580</v>
      </c>
      <c r="B7377" t="s">
        <v>8188</v>
      </c>
      <c r="C7377" s="1">
        <v>45918</v>
      </c>
    </row>
    <row r="7378" spans="1:3" x14ac:dyDescent="0.25">
      <c r="A7378" t="s">
        <v>8098</v>
      </c>
      <c r="B7378" t="s">
        <v>8188</v>
      </c>
      <c r="C7378" s="1">
        <v>45929</v>
      </c>
    </row>
    <row r="7379" spans="1:3" x14ac:dyDescent="0.25">
      <c r="A7379" t="s">
        <v>8099</v>
      </c>
      <c r="B7379" t="s">
        <v>8188</v>
      </c>
      <c r="C7379" s="1">
        <v>45925</v>
      </c>
    </row>
    <row r="7380" spans="1:3" x14ac:dyDescent="0.25">
      <c r="A7380" t="s">
        <v>5278</v>
      </c>
      <c r="B7380" t="s">
        <v>8188</v>
      </c>
      <c r="C7380" s="1">
        <v>45918</v>
      </c>
    </row>
    <row r="7381" spans="1:3" x14ac:dyDescent="0.25">
      <c r="A7381" t="s">
        <v>5581</v>
      </c>
      <c r="B7381" t="s">
        <v>8188</v>
      </c>
      <c r="C7381" s="1">
        <v>45918</v>
      </c>
    </row>
    <row r="7382" spans="1:3" x14ac:dyDescent="0.25">
      <c r="A7382" t="s">
        <v>5279</v>
      </c>
      <c r="B7382" t="s">
        <v>8188</v>
      </c>
      <c r="C7382" s="1">
        <v>45919</v>
      </c>
    </row>
    <row r="7383" spans="1:3" x14ac:dyDescent="0.25">
      <c r="A7383" t="s">
        <v>5582</v>
      </c>
      <c r="B7383" t="s">
        <v>8188</v>
      </c>
      <c r="C7383" s="1">
        <v>45927</v>
      </c>
    </row>
    <row r="7384" spans="1:3" x14ac:dyDescent="0.25">
      <c r="A7384" t="s">
        <v>5415</v>
      </c>
      <c r="B7384" t="s">
        <v>8188</v>
      </c>
      <c r="C7384" s="1">
        <v>45920</v>
      </c>
    </row>
    <row r="7385" spans="1:3" x14ac:dyDescent="0.25">
      <c r="A7385" t="s">
        <v>5583</v>
      </c>
      <c r="B7385" t="s">
        <v>8188</v>
      </c>
      <c r="C7385" s="1">
        <v>45919</v>
      </c>
    </row>
    <row r="7386" spans="1:3" x14ac:dyDescent="0.25">
      <c r="A7386" t="s">
        <v>5280</v>
      </c>
      <c r="B7386" t="s">
        <v>39</v>
      </c>
      <c r="C7386" s="1"/>
    </row>
    <row r="7387" spans="1:3" x14ac:dyDescent="0.25">
      <c r="A7387" t="s">
        <v>8100</v>
      </c>
      <c r="B7387" t="s">
        <v>8188</v>
      </c>
      <c r="C7387" s="1">
        <v>45939</v>
      </c>
    </row>
    <row r="7388" spans="1:3" x14ac:dyDescent="0.25">
      <c r="A7388" t="s">
        <v>5281</v>
      </c>
      <c r="B7388" t="s">
        <v>8188</v>
      </c>
      <c r="C7388" s="1">
        <v>45922</v>
      </c>
    </row>
    <row r="7389" spans="1:3" x14ac:dyDescent="0.25">
      <c r="A7389" t="s">
        <v>8101</v>
      </c>
      <c r="B7389" t="s">
        <v>8188</v>
      </c>
      <c r="C7389" s="1">
        <v>45927</v>
      </c>
    </row>
    <row r="7390" spans="1:3" x14ac:dyDescent="0.25">
      <c r="A7390" t="s">
        <v>5584</v>
      </c>
      <c r="B7390" t="s">
        <v>8188</v>
      </c>
      <c r="C7390" s="1">
        <v>45920</v>
      </c>
    </row>
    <row r="7391" spans="1:3" x14ac:dyDescent="0.25">
      <c r="A7391" t="s">
        <v>5585</v>
      </c>
      <c r="B7391" t="s">
        <v>8188</v>
      </c>
      <c r="C7391" s="1">
        <v>45920</v>
      </c>
    </row>
    <row r="7392" spans="1:3" x14ac:dyDescent="0.25">
      <c r="A7392" t="s">
        <v>5282</v>
      </c>
      <c r="B7392" t="s">
        <v>8188</v>
      </c>
      <c r="C7392" s="1">
        <v>45936</v>
      </c>
    </row>
    <row r="7393" spans="1:3" x14ac:dyDescent="0.25">
      <c r="A7393" t="s">
        <v>5283</v>
      </c>
      <c r="B7393" t="s">
        <v>8188</v>
      </c>
      <c r="C7393" s="1">
        <v>45924</v>
      </c>
    </row>
    <row r="7394" spans="1:3" x14ac:dyDescent="0.25">
      <c r="A7394" t="s">
        <v>4592</v>
      </c>
      <c r="B7394" t="s">
        <v>8188</v>
      </c>
      <c r="C7394" s="1">
        <v>45933</v>
      </c>
    </row>
    <row r="7395" spans="1:3" x14ac:dyDescent="0.25">
      <c r="A7395" t="s">
        <v>5284</v>
      </c>
      <c r="B7395" t="s">
        <v>8188</v>
      </c>
      <c r="C7395" s="1">
        <v>45922</v>
      </c>
    </row>
    <row r="7396" spans="1:3" x14ac:dyDescent="0.25">
      <c r="A7396" t="s">
        <v>5285</v>
      </c>
      <c r="B7396" t="s">
        <v>8188</v>
      </c>
      <c r="C7396" s="1">
        <v>45925</v>
      </c>
    </row>
    <row r="7397" spans="1:3" x14ac:dyDescent="0.25">
      <c r="A7397" t="s">
        <v>5288</v>
      </c>
      <c r="B7397" t="s">
        <v>8188</v>
      </c>
      <c r="C7397" s="1">
        <v>45929</v>
      </c>
    </row>
    <row r="7398" spans="1:3" x14ac:dyDescent="0.25">
      <c r="A7398" t="s">
        <v>5287</v>
      </c>
      <c r="B7398" t="s">
        <v>39</v>
      </c>
      <c r="C7398" s="1"/>
    </row>
    <row r="7399" spans="1:3" x14ac:dyDescent="0.25">
      <c r="A7399" t="s">
        <v>5286</v>
      </c>
      <c r="B7399" t="s">
        <v>8188</v>
      </c>
      <c r="C7399" s="1">
        <v>45923</v>
      </c>
    </row>
    <row r="7400" spans="1:3" x14ac:dyDescent="0.25">
      <c r="A7400" t="s">
        <v>5289</v>
      </c>
      <c r="B7400" t="s">
        <v>8188</v>
      </c>
      <c r="C7400" s="1">
        <v>45933</v>
      </c>
    </row>
    <row r="7401" spans="1:3" x14ac:dyDescent="0.25">
      <c r="A7401" t="s">
        <v>5290</v>
      </c>
      <c r="B7401" t="s">
        <v>8188</v>
      </c>
      <c r="C7401" s="1">
        <v>45926</v>
      </c>
    </row>
    <row r="7402" spans="1:3" x14ac:dyDescent="0.25">
      <c r="A7402" t="s">
        <v>4599</v>
      </c>
      <c r="B7402" t="s">
        <v>8188</v>
      </c>
      <c r="C7402" s="1">
        <v>45925</v>
      </c>
    </row>
    <row r="7403" spans="1:3" x14ac:dyDescent="0.25">
      <c r="A7403" t="s">
        <v>4600</v>
      </c>
      <c r="B7403" t="s">
        <v>8188</v>
      </c>
      <c r="C7403" s="1">
        <v>45926</v>
      </c>
    </row>
    <row r="7404" spans="1:3" x14ac:dyDescent="0.25">
      <c r="A7404" t="s">
        <v>5293</v>
      </c>
      <c r="B7404" t="s">
        <v>8188</v>
      </c>
      <c r="C7404" s="1">
        <v>45927</v>
      </c>
    </row>
    <row r="7405" spans="1:3" x14ac:dyDescent="0.25">
      <c r="A7405" t="s">
        <v>5292</v>
      </c>
      <c r="B7405" t="s">
        <v>8188</v>
      </c>
      <c r="C7405" s="1">
        <v>45925</v>
      </c>
    </row>
    <row r="7406" spans="1:3" x14ac:dyDescent="0.25">
      <c r="A7406" t="s">
        <v>5291</v>
      </c>
      <c r="B7406" t="s">
        <v>8188</v>
      </c>
      <c r="C7406" s="1">
        <v>45931</v>
      </c>
    </row>
    <row r="7407" spans="1:3" x14ac:dyDescent="0.25">
      <c r="A7407" t="s">
        <v>5586</v>
      </c>
      <c r="B7407" t="s">
        <v>8188</v>
      </c>
      <c r="C7407" s="1">
        <v>45923</v>
      </c>
    </row>
    <row r="7408" spans="1:3" x14ac:dyDescent="0.25">
      <c r="A7408" t="s">
        <v>5290</v>
      </c>
      <c r="B7408" t="s">
        <v>8188</v>
      </c>
      <c r="C7408" s="1">
        <v>45926</v>
      </c>
    </row>
    <row r="7409" spans="1:3" x14ac:dyDescent="0.25">
      <c r="A7409" t="s">
        <v>5294</v>
      </c>
      <c r="B7409" t="s">
        <v>8188</v>
      </c>
      <c r="C7409" s="1">
        <v>45927</v>
      </c>
    </row>
    <row r="7410" spans="1:3" x14ac:dyDescent="0.25">
      <c r="A7410" t="s">
        <v>5587</v>
      </c>
      <c r="B7410" t="s">
        <v>8188</v>
      </c>
      <c r="C7410" s="1">
        <v>45924</v>
      </c>
    </row>
    <row r="7411" spans="1:3" x14ac:dyDescent="0.25">
      <c r="A7411" t="s">
        <v>8102</v>
      </c>
      <c r="B7411" t="s">
        <v>8188</v>
      </c>
      <c r="C7411" s="1">
        <v>45929</v>
      </c>
    </row>
    <row r="7412" spans="1:3" x14ac:dyDescent="0.25">
      <c r="A7412" t="s">
        <v>8103</v>
      </c>
      <c r="B7412" t="s">
        <v>8188</v>
      </c>
      <c r="C7412" s="1">
        <v>45927</v>
      </c>
    </row>
    <row r="7413" spans="1:3" x14ac:dyDescent="0.25">
      <c r="A7413" t="s">
        <v>8104</v>
      </c>
      <c r="B7413" t="s">
        <v>8188</v>
      </c>
      <c r="C7413" s="1">
        <v>45927</v>
      </c>
    </row>
    <row r="7414" spans="1:3" x14ac:dyDescent="0.25">
      <c r="A7414" t="s">
        <v>4606</v>
      </c>
      <c r="B7414" t="s">
        <v>8188</v>
      </c>
      <c r="C7414" s="1">
        <v>45927</v>
      </c>
    </row>
    <row r="7415" spans="1:3" x14ac:dyDescent="0.25">
      <c r="A7415" t="s">
        <v>5431</v>
      </c>
      <c r="B7415" t="s">
        <v>8188</v>
      </c>
      <c r="C7415" s="1">
        <v>45927</v>
      </c>
    </row>
    <row r="7416" spans="1:3" x14ac:dyDescent="0.25">
      <c r="A7416" t="s">
        <v>8105</v>
      </c>
      <c r="B7416" t="s">
        <v>8188</v>
      </c>
      <c r="C7416" s="1">
        <v>45933</v>
      </c>
    </row>
    <row r="7417" spans="1:3" x14ac:dyDescent="0.25">
      <c r="A7417" t="s">
        <v>8106</v>
      </c>
      <c r="B7417" t="s">
        <v>8188</v>
      </c>
      <c r="C7417" s="1">
        <v>45929</v>
      </c>
    </row>
    <row r="7418" spans="1:3" x14ac:dyDescent="0.25">
      <c r="A7418" t="s">
        <v>5295</v>
      </c>
      <c r="B7418" t="s">
        <v>8188</v>
      </c>
      <c r="C7418" s="1">
        <v>45929</v>
      </c>
    </row>
    <row r="7419" spans="1:3" x14ac:dyDescent="0.25">
      <c r="A7419" t="s">
        <v>8107</v>
      </c>
      <c r="B7419" t="s">
        <v>8188</v>
      </c>
      <c r="C7419" s="1">
        <v>45930</v>
      </c>
    </row>
    <row r="7420" spans="1:3" x14ac:dyDescent="0.25">
      <c r="A7420" t="s">
        <v>5296</v>
      </c>
      <c r="B7420" t="s">
        <v>8188</v>
      </c>
      <c r="C7420" s="1">
        <v>45964</v>
      </c>
    </row>
    <row r="7421" spans="1:3" x14ac:dyDescent="0.25">
      <c r="A7421" t="s">
        <v>5297</v>
      </c>
      <c r="B7421" t="s">
        <v>8188</v>
      </c>
      <c r="C7421" s="1">
        <v>45943</v>
      </c>
    </row>
    <row r="7422" spans="1:3" x14ac:dyDescent="0.25">
      <c r="A7422" t="s">
        <v>8108</v>
      </c>
      <c r="B7422" t="s">
        <v>8188</v>
      </c>
      <c r="C7422" s="1">
        <v>45929</v>
      </c>
    </row>
    <row r="7423" spans="1:3" x14ac:dyDescent="0.25">
      <c r="A7423" t="s">
        <v>8109</v>
      </c>
      <c r="B7423" t="s">
        <v>8188</v>
      </c>
      <c r="C7423" s="1">
        <v>45934</v>
      </c>
    </row>
    <row r="7424" spans="1:3" x14ac:dyDescent="0.25">
      <c r="A7424" t="s">
        <v>8110</v>
      </c>
      <c r="B7424" t="s">
        <v>8188</v>
      </c>
      <c r="C7424" s="1">
        <v>45934</v>
      </c>
    </row>
    <row r="7425" spans="1:3" x14ac:dyDescent="0.25">
      <c r="A7425" t="s">
        <v>3192</v>
      </c>
      <c r="B7425" t="s">
        <v>8188</v>
      </c>
      <c r="C7425" s="1">
        <v>45929</v>
      </c>
    </row>
    <row r="7426" spans="1:3" x14ac:dyDescent="0.25">
      <c r="A7426" t="s">
        <v>5298</v>
      </c>
      <c r="B7426" t="s">
        <v>8188</v>
      </c>
      <c r="C7426" s="1">
        <v>45933</v>
      </c>
    </row>
    <row r="7427" spans="1:3" x14ac:dyDescent="0.25">
      <c r="A7427" t="s">
        <v>5588</v>
      </c>
      <c r="B7427" t="s">
        <v>8188</v>
      </c>
      <c r="C7427" s="1">
        <v>45926</v>
      </c>
    </row>
    <row r="7428" spans="1:3" x14ac:dyDescent="0.25">
      <c r="A7428" t="s">
        <v>4623</v>
      </c>
      <c r="B7428" t="s">
        <v>8188</v>
      </c>
      <c r="C7428" s="1">
        <v>45933</v>
      </c>
    </row>
    <row r="7429" spans="1:3" x14ac:dyDescent="0.25">
      <c r="A7429" t="s">
        <v>5589</v>
      </c>
      <c r="B7429" t="s">
        <v>8188</v>
      </c>
      <c r="C7429" s="1">
        <v>45930</v>
      </c>
    </row>
    <row r="7430" spans="1:3" x14ac:dyDescent="0.25">
      <c r="A7430" t="s">
        <v>8111</v>
      </c>
      <c r="B7430" t="s">
        <v>8188</v>
      </c>
      <c r="C7430" s="1">
        <v>45929</v>
      </c>
    </row>
    <row r="7431" spans="1:3" x14ac:dyDescent="0.25">
      <c r="A7431" t="s">
        <v>5299</v>
      </c>
      <c r="B7431" t="s">
        <v>8188</v>
      </c>
      <c r="C7431" s="1">
        <v>45944</v>
      </c>
    </row>
    <row r="7432" spans="1:3" x14ac:dyDescent="0.25">
      <c r="A7432" t="s">
        <v>5299</v>
      </c>
      <c r="B7432" t="s">
        <v>8188</v>
      </c>
      <c r="C7432" s="1">
        <v>45944</v>
      </c>
    </row>
    <row r="7433" spans="1:3" x14ac:dyDescent="0.25">
      <c r="A7433" t="s">
        <v>8112</v>
      </c>
      <c r="B7433" t="s">
        <v>8188</v>
      </c>
      <c r="C7433" s="1">
        <v>45936</v>
      </c>
    </row>
    <row r="7434" spans="1:3" x14ac:dyDescent="0.25">
      <c r="A7434" t="s">
        <v>4342</v>
      </c>
      <c r="B7434" t="s">
        <v>8188</v>
      </c>
      <c r="C7434" s="1">
        <v>45929</v>
      </c>
    </row>
    <row r="7435" spans="1:3" x14ac:dyDescent="0.25">
      <c r="A7435" t="s">
        <v>8113</v>
      </c>
      <c r="B7435" t="s">
        <v>8188</v>
      </c>
      <c r="C7435" s="1">
        <v>45936</v>
      </c>
    </row>
    <row r="7436" spans="1:3" x14ac:dyDescent="0.25">
      <c r="A7436" t="s">
        <v>3127</v>
      </c>
      <c r="B7436" t="s">
        <v>8188</v>
      </c>
      <c r="C7436" s="1">
        <v>45934</v>
      </c>
    </row>
    <row r="7437" spans="1:3" x14ac:dyDescent="0.25">
      <c r="A7437" t="s">
        <v>5261</v>
      </c>
      <c r="B7437" t="s">
        <v>8188</v>
      </c>
      <c r="C7437" s="1">
        <v>45933</v>
      </c>
    </row>
    <row r="7438" spans="1:3" x14ac:dyDescent="0.25">
      <c r="A7438" t="s">
        <v>5300</v>
      </c>
      <c r="B7438" t="s">
        <v>8188</v>
      </c>
      <c r="C7438" s="1">
        <v>45940</v>
      </c>
    </row>
    <row r="7439" spans="1:3" x14ac:dyDescent="0.25">
      <c r="A7439" t="s">
        <v>4640</v>
      </c>
      <c r="B7439" t="s">
        <v>8188</v>
      </c>
      <c r="C7439" s="1">
        <v>45947</v>
      </c>
    </row>
    <row r="7440" spans="1:3" x14ac:dyDescent="0.25">
      <c r="A7440" t="s">
        <v>8114</v>
      </c>
      <c r="B7440" t="s">
        <v>8188</v>
      </c>
      <c r="C7440" s="1">
        <v>45947</v>
      </c>
    </row>
    <row r="7441" spans="1:3" x14ac:dyDescent="0.25">
      <c r="A7441" t="s">
        <v>5590</v>
      </c>
      <c r="B7441" t="s">
        <v>8188</v>
      </c>
      <c r="C7441" s="1">
        <v>45930</v>
      </c>
    </row>
    <row r="7442" spans="1:3" x14ac:dyDescent="0.25">
      <c r="A7442" t="s">
        <v>8115</v>
      </c>
      <c r="B7442" t="s">
        <v>8188</v>
      </c>
      <c r="C7442" s="1">
        <v>45946</v>
      </c>
    </row>
    <row r="7443" spans="1:3" x14ac:dyDescent="0.25">
      <c r="A7443" t="s">
        <v>5301</v>
      </c>
      <c r="B7443" t="s">
        <v>8188</v>
      </c>
      <c r="C7443" s="1">
        <v>45943</v>
      </c>
    </row>
    <row r="7444" spans="1:3" x14ac:dyDescent="0.25">
      <c r="A7444" t="s">
        <v>5302</v>
      </c>
      <c r="B7444" t="s">
        <v>8188</v>
      </c>
      <c r="C7444" s="1">
        <v>45941</v>
      </c>
    </row>
    <row r="7445" spans="1:3" x14ac:dyDescent="0.25">
      <c r="A7445" t="s">
        <v>8116</v>
      </c>
      <c r="B7445" t="s">
        <v>8188</v>
      </c>
      <c r="C7445" s="1">
        <v>45948</v>
      </c>
    </row>
    <row r="7446" spans="1:3" x14ac:dyDescent="0.25">
      <c r="A7446" t="s">
        <v>8117</v>
      </c>
      <c r="B7446" t="s">
        <v>8188</v>
      </c>
      <c r="C7446" s="1">
        <v>45945</v>
      </c>
    </row>
    <row r="7447" spans="1:3" x14ac:dyDescent="0.25">
      <c r="A7447" t="s">
        <v>8118</v>
      </c>
      <c r="B7447" t="s">
        <v>8188</v>
      </c>
      <c r="C7447" s="1">
        <v>45935</v>
      </c>
    </row>
    <row r="7448" spans="1:3" x14ac:dyDescent="0.25">
      <c r="A7448" t="s">
        <v>5591</v>
      </c>
      <c r="B7448" t="s">
        <v>8188</v>
      </c>
      <c r="C7448" s="1">
        <v>45931</v>
      </c>
    </row>
    <row r="7449" spans="1:3" x14ac:dyDescent="0.25">
      <c r="A7449" t="s">
        <v>5303</v>
      </c>
      <c r="B7449" t="s">
        <v>8188</v>
      </c>
      <c r="C7449" s="1">
        <v>45933</v>
      </c>
    </row>
    <row r="7450" spans="1:3" x14ac:dyDescent="0.25">
      <c r="A7450" t="s">
        <v>4637</v>
      </c>
      <c r="B7450" t="s">
        <v>8188</v>
      </c>
      <c r="C7450" s="1">
        <v>45934</v>
      </c>
    </row>
    <row r="7451" spans="1:3" x14ac:dyDescent="0.25">
      <c r="A7451" t="s">
        <v>4677</v>
      </c>
      <c r="B7451" t="s">
        <v>8188</v>
      </c>
      <c r="C7451" s="1">
        <v>45936</v>
      </c>
    </row>
    <row r="7452" spans="1:3" x14ac:dyDescent="0.25">
      <c r="A7452" t="s">
        <v>5304</v>
      </c>
      <c r="B7452" t="s">
        <v>8188</v>
      </c>
      <c r="C7452" s="1">
        <v>45936</v>
      </c>
    </row>
    <row r="7453" spans="1:3" x14ac:dyDescent="0.25">
      <c r="A7453" t="s">
        <v>5592</v>
      </c>
      <c r="B7453" t="s">
        <v>8188</v>
      </c>
      <c r="C7453" s="1">
        <v>45933</v>
      </c>
    </row>
    <row r="7454" spans="1:3" x14ac:dyDescent="0.25">
      <c r="A7454" t="s">
        <v>8119</v>
      </c>
      <c r="B7454" t="s">
        <v>8188</v>
      </c>
      <c r="C7454" s="1">
        <v>45939</v>
      </c>
    </row>
    <row r="7455" spans="1:3" x14ac:dyDescent="0.25">
      <c r="A7455" t="s">
        <v>4694</v>
      </c>
      <c r="B7455" t="s">
        <v>8188</v>
      </c>
      <c r="C7455" s="1">
        <v>45941</v>
      </c>
    </row>
    <row r="7456" spans="1:3" x14ac:dyDescent="0.25">
      <c r="A7456" t="s">
        <v>8120</v>
      </c>
      <c r="B7456" t="s">
        <v>39</v>
      </c>
      <c r="C7456" s="1"/>
    </row>
    <row r="7457" spans="1:3" x14ac:dyDescent="0.25">
      <c r="A7457" t="s">
        <v>5305</v>
      </c>
      <c r="B7457" t="s">
        <v>8188</v>
      </c>
      <c r="C7457" s="1">
        <v>45938</v>
      </c>
    </row>
    <row r="7458" spans="1:3" x14ac:dyDescent="0.25">
      <c r="A7458" t="s">
        <v>4708</v>
      </c>
      <c r="B7458" t="s">
        <v>8188</v>
      </c>
      <c r="C7458" s="1">
        <v>45938</v>
      </c>
    </row>
    <row r="7459" spans="1:3" x14ac:dyDescent="0.25">
      <c r="A7459" t="s">
        <v>5306</v>
      </c>
      <c r="B7459" t="s">
        <v>8188</v>
      </c>
      <c r="C7459" s="1">
        <v>45936</v>
      </c>
    </row>
    <row r="7460" spans="1:3" x14ac:dyDescent="0.25">
      <c r="A7460" t="s">
        <v>5307</v>
      </c>
      <c r="B7460" t="s">
        <v>8188</v>
      </c>
      <c r="C7460" s="1">
        <v>45937</v>
      </c>
    </row>
    <row r="7461" spans="1:3" x14ac:dyDescent="0.25">
      <c r="A7461" t="s">
        <v>8121</v>
      </c>
      <c r="B7461" t="s">
        <v>8188</v>
      </c>
      <c r="C7461" s="1">
        <v>45944</v>
      </c>
    </row>
    <row r="7462" spans="1:3" x14ac:dyDescent="0.25">
      <c r="A7462" t="s">
        <v>5593</v>
      </c>
      <c r="B7462" t="s">
        <v>8188</v>
      </c>
      <c r="C7462" s="1">
        <v>45936</v>
      </c>
    </row>
    <row r="7463" spans="1:3" x14ac:dyDescent="0.25">
      <c r="A7463" t="s">
        <v>5416</v>
      </c>
      <c r="B7463" t="s">
        <v>8188</v>
      </c>
      <c r="C7463" s="1">
        <v>45934</v>
      </c>
    </row>
    <row r="7464" spans="1:3" x14ac:dyDescent="0.25">
      <c r="A7464" t="s">
        <v>5308</v>
      </c>
      <c r="B7464" t="s">
        <v>8188</v>
      </c>
      <c r="C7464" s="1">
        <v>45939</v>
      </c>
    </row>
    <row r="7465" spans="1:3" x14ac:dyDescent="0.25">
      <c r="A7465" t="s">
        <v>5309</v>
      </c>
      <c r="B7465" t="s">
        <v>8188</v>
      </c>
      <c r="C7465" s="1">
        <v>45944</v>
      </c>
    </row>
    <row r="7466" spans="1:3" x14ac:dyDescent="0.25">
      <c r="A7466" t="s">
        <v>5594</v>
      </c>
      <c r="B7466" t="s">
        <v>8188</v>
      </c>
      <c r="C7466" s="1">
        <v>45937</v>
      </c>
    </row>
    <row r="7467" spans="1:3" x14ac:dyDescent="0.25">
      <c r="A7467" t="s">
        <v>8122</v>
      </c>
      <c r="B7467" t="s">
        <v>8188</v>
      </c>
      <c r="C7467" s="1">
        <v>45945</v>
      </c>
    </row>
    <row r="7468" spans="1:3" x14ac:dyDescent="0.25">
      <c r="A7468" t="s">
        <v>5417</v>
      </c>
      <c r="B7468" t="s">
        <v>8188</v>
      </c>
      <c r="C7468" s="1">
        <v>45938</v>
      </c>
    </row>
    <row r="7469" spans="1:3" x14ac:dyDescent="0.25">
      <c r="A7469" t="s">
        <v>5310</v>
      </c>
      <c r="B7469" t="s">
        <v>8188</v>
      </c>
      <c r="C7469" s="1">
        <v>45941</v>
      </c>
    </row>
    <row r="7470" spans="1:3" x14ac:dyDescent="0.25">
      <c r="A7470" t="s">
        <v>4730</v>
      </c>
      <c r="B7470" t="s">
        <v>8188</v>
      </c>
      <c r="C7470" s="1">
        <v>45939</v>
      </c>
    </row>
    <row r="7471" spans="1:3" x14ac:dyDescent="0.25">
      <c r="A7471" t="s">
        <v>4732</v>
      </c>
      <c r="B7471" t="s">
        <v>8188</v>
      </c>
      <c r="C7471" s="1">
        <v>45938</v>
      </c>
    </row>
    <row r="7472" spans="1:3" x14ac:dyDescent="0.25">
      <c r="A7472" t="s">
        <v>4737</v>
      </c>
      <c r="B7472" t="s">
        <v>8188</v>
      </c>
      <c r="C7472" s="1">
        <v>45944</v>
      </c>
    </row>
    <row r="7473" spans="1:3" x14ac:dyDescent="0.25">
      <c r="A7473" t="s">
        <v>5311</v>
      </c>
      <c r="B7473" t="s">
        <v>8188</v>
      </c>
      <c r="C7473" s="1">
        <v>45941</v>
      </c>
    </row>
    <row r="7474" spans="1:3" x14ac:dyDescent="0.25">
      <c r="A7474" t="s">
        <v>5312</v>
      </c>
      <c r="B7474" t="s">
        <v>8188</v>
      </c>
      <c r="C7474" s="1">
        <v>45943</v>
      </c>
    </row>
    <row r="7475" spans="1:3" x14ac:dyDescent="0.25">
      <c r="A7475" t="s">
        <v>5313</v>
      </c>
      <c r="B7475" t="s">
        <v>8188</v>
      </c>
      <c r="C7475" s="1">
        <v>45941</v>
      </c>
    </row>
    <row r="7476" spans="1:3" x14ac:dyDescent="0.25">
      <c r="A7476" t="s">
        <v>8123</v>
      </c>
      <c r="B7476" t="s">
        <v>39</v>
      </c>
      <c r="C7476" s="1"/>
    </row>
    <row r="7477" spans="1:3" x14ac:dyDescent="0.25">
      <c r="A7477" t="s">
        <v>5595</v>
      </c>
      <c r="B7477" t="s">
        <v>8188</v>
      </c>
      <c r="C7477" s="1">
        <v>45939</v>
      </c>
    </row>
    <row r="7478" spans="1:3" x14ac:dyDescent="0.25">
      <c r="A7478" t="s">
        <v>4749</v>
      </c>
      <c r="B7478" t="s">
        <v>8188</v>
      </c>
      <c r="C7478" s="1">
        <v>45986</v>
      </c>
    </row>
    <row r="7479" spans="1:3" x14ac:dyDescent="0.25">
      <c r="A7479" t="s">
        <v>4758</v>
      </c>
      <c r="B7479" t="s">
        <v>8188</v>
      </c>
      <c r="C7479" s="1">
        <v>45959</v>
      </c>
    </row>
    <row r="7480" spans="1:3" x14ac:dyDescent="0.25">
      <c r="A7480" t="s">
        <v>8124</v>
      </c>
      <c r="B7480" t="s">
        <v>8188</v>
      </c>
      <c r="C7480" s="1">
        <v>45940</v>
      </c>
    </row>
    <row r="7481" spans="1:3" x14ac:dyDescent="0.25">
      <c r="A7481" t="s">
        <v>3076</v>
      </c>
      <c r="B7481" t="s">
        <v>8188</v>
      </c>
      <c r="C7481" s="1">
        <v>45954</v>
      </c>
    </row>
    <row r="7482" spans="1:3" x14ac:dyDescent="0.25">
      <c r="A7482" t="s">
        <v>5314</v>
      </c>
      <c r="B7482" t="s">
        <v>8188</v>
      </c>
      <c r="C7482" s="1">
        <v>45941</v>
      </c>
    </row>
    <row r="7483" spans="1:3" x14ac:dyDescent="0.25">
      <c r="A7483" t="s">
        <v>3197</v>
      </c>
      <c r="B7483" t="s">
        <v>8188</v>
      </c>
      <c r="C7483" s="1">
        <v>45945</v>
      </c>
    </row>
    <row r="7484" spans="1:3" x14ac:dyDescent="0.25">
      <c r="A7484" t="s">
        <v>4351</v>
      </c>
      <c r="B7484" t="s">
        <v>8188</v>
      </c>
      <c r="C7484" s="1">
        <v>45939</v>
      </c>
    </row>
    <row r="7485" spans="1:3" x14ac:dyDescent="0.25">
      <c r="A7485" t="s">
        <v>5315</v>
      </c>
      <c r="B7485" t="s">
        <v>8188</v>
      </c>
      <c r="C7485" s="1">
        <v>45941</v>
      </c>
    </row>
    <row r="7486" spans="1:3" x14ac:dyDescent="0.25">
      <c r="A7486" t="s">
        <v>5316</v>
      </c>
      <c r="B7486" t="s">
        <v>8188</v>
      </c>
      <c r="C7486" s="1">
        <v>45944</v>
      </c>
    </row>
    <row r="7487" spans="1:3" x14ac:dyDescent="0.25">
      <c r="A7487" t="s">
        <v>4775</v>
      </c>
      <c r="B7487" t="s">
        <v>8188</v>
      </c>
      <c r="C7487" s="1">
        <v>45952</v>
      </c>
    </row>
    <row r="7488" spans="1:3" x14ac:dyDescent="0.25">
      <c r="A7488" t="s">
        <v>5317</v>
      </c>
      <c r="B7488" t="s">
        <v>39</v>
      </c>
      <c r="C7488" s="1"/>
    </row>
    <row r="7489" spans="1:3" x14ac:dyDescent="0.25">
      <c r="A7489" t="s">
        <v>3200</v>
      </c>
      <c r="B7489" t="s">
        <v>8188</v>
      </c>
      <c r="C7489" s="1">
        <v>45946</v>
      </c>
    </row>
    <row r="7490" spans="1:3" x14ac:dyDescent="0.25">
      <c r="A7490" t="s">
        <v>5318</v>
      </c>
      <c r="B7490" t="s">
        <v>8188</v>
      </c>
      <c r="C7490" s="1">
        <v>45944</v>
      </c>
    </row>
    <row r="7491" spans="1:3" x14ac:dyDescent="0.25">
      <c r="A7491" t="s">
        <v>5318</v>
      </c>
      <c r="B7491" t="s">
        <v>8188</v>
      </c>
      <c r="C7491" s="1">
        <v>45947</v>
      </c>
    </row>
    <row r="7492" spans="1:3" x14ac:dyDescent="0.25">
      <c r="A7492" t="s">
        <v>5319</v>
      </c>
      <c r="B7492" t="s">
        <v>8188</v>
      </c>
      <c r="C7492" s="1">
        <v>45952</v>
      </c>
    </row>
    <row r="7493" spans="1:3" x14ac:dyDescent="0.25">
      <c r="A7493" t="s">
        <v>5597</v>
      </c>
      <c r="B7493" t="s">
        <v>8188</v>
      </c>
      <c r="C7493" s="1">
        <v>45943</v>
      </c>
    </row>
    <row r="7494" spans="1:3" x14ac:dyDescent="0.25">
      <c r="A7494" t="s">
        <v>5596</v>
      </c>
      <c r="B7494" t="s">
        <v>8188</v>
      </c>
      <c r="C7494" s="1">
        <v>45943</v>
      </c>
    </row>
    <row r="7495" spans="1:3" x14ac:dyDescent="0.25">
      <c r="A7495" t="s">
        <v>4794</v>
      </c>
      <c r="B7495" t="s">
        <v>8188</v>
      </c>
      <c r="C7495" s="1">
        <v>45954</v>
      </c>
    </row>
    <row r="7496" spans="1:3" x14ac:dyDescent="0.25">
      <c r="A7496" t="s">
        <v>8125</v>
      </c>
      <c r="B7496" t="s">
        <v>8188</v>
      </c>
      <c r="C7496" s="1">
        <v>45952</v>
      </c>
    </row>
    <row r="7497" spans="1:3" x14ac:dyDescent="0.25">
      <c r="A7497" t="s">
        <v>8126</v>
      </c>
      <c r="B7497" t="s">
        <v>8188</v>
      </c>
      <c r="C7497" s="1">
        <v>45988</v>
      </c>
    </row>
    <row r="7498" spans="1:3" x14ac:dyDescent="0.25">
      <c r="A7498" t="s">
        <v>5320</v>
      </c>
      <c r="B7498" t="s">
        <v>39</v>
      </c>
      <c r="C7498" s="1"/>
    </row>
    <row r="7499" spans="1:3" x14ac:dyDescent="0.25">
      <c r="A7499" t="s">
        <v>5324</v>
      </c>
      <c r="B7499" t="s">
        <v>8188</v>
      </c>
      <c r="C7499" s="1">
        <v>45946</v>
      </c>
    </row>
    <row r="7500" spans="1:3" x14ac:dyDescent="0.25">
      <c r="A7500" t="s">
        <v>5323</v>
      </c>
      <c r="B7500" t="s">
        <v>8188</v>
      </c>
      <c r="C7500" s="1">
        <v>45946</v>
      </c>
    </row>
    <row r="7501" spans="1:3" x14ac:dyDescent="0.25">
      <c r="A7501" t="s">
        <v>5322</v>
      </c>
      <c r="B7501" t="s">
        <v>8188</v>
      </c>
      <c r="C7501" s="1">
        <v>45947</v>
      </c>
    </row>
    <row r="7502" spans="1:3" x14ac:dyDescent="0.25">
      <c r="A7502" t="s">
        <v>5321</v>
      </c>
      <c r="B7502" t="s">
        <v>8188</v>
      </c>
      <c r="C7502" s="1">
        <v>45950</v>
      </c>
    </row>
    <row r="7503" spans="1:3" x14ac:dyDescent="0.25">
      <c r="A7503" t="s">
        <v>5326</v>
      </c>
      <c r="B7503" t="s">
        <v>39</v>
      </c>
      <c r="C7503" s="1"/>
    </row>
    <row r="7504" spans="1:3" x14ac:dyDescent="0.25">
      <c r="A7504" t="s">
        <v>5325</v>
      </c>
      <c r="B7504" t="s">
        <v>8188</v>
      </c>
      <c r="C7504" s="1">
        <v>45946</v>
      </c>
    </row>
    <row r="7505" spans="1:3" x14ac:dyDescent="0.25">
      <c r="A7505" t="s">
        <v>4808</v>
      </c>
      <c r="B7505" t="s">
        <v>8188</v>
      </c>
      <c r="C7505" s="1">
        <v>45964</v>
      </c>
    </row>
    <row r="7506" spans="1:3" x14ac:dyDescent="0.25">
      <c r="A7506" t="s">
        <v>5327</v>
      </c>
      <c r="B7506" t="s">
        <v>8188</v>
      </c>
      <c r="C7506" s="1">
        <v>45968</v>
      </c>
    </row>
    <row r="7507" spans="1:3" x14ac:dyDescent="0.25">
      <c r="A7507" t="s">
        <v>5598</v>
      </c>
      <c r="B7507" t="s">
        <v>8188</v>
      </c>
      <c r="C7507" s="1">
        <v>45946</v>
      </c>
    </row>
    <row r="7508" spans="1:3" x14ac:dyDescent="0.25">
      <c r="A7508" t="s">
        <v>5329</v>
      </c>
      <c r="B7508" t="s">
        <v>8188</v>
      </c>
      <c r="C7508" s="1">
        <v>45947</v>
      </c>
    </row>
    <row r="7509" spans="1:3" x14ac:dyDescent="0.25">
      <c r="A7509" t="s">
        <v>5328</v>
      </c>
      <c r="B7509" t="s">
        <v>8188</v>
      </c>
      <c r="C7509" s="1">
        <v>45954</v>
      </c>
    </row>
    <row r="7510" spans="1:3" x14ac:dyDescent="0.25">
      <c r="A7510" t="s">
        <v>5330</v>
      </c>
      <c r="B7510" t="s">
        <v>8188</v>
      </c>
      <c r="C7510" s="1">
        <v>45946</v>
      </c>
    </row>
    <row r="7511" spans="1:3" x14ac:dyDescent="0.25">
      <c r="A7511" t="s">
        <v>3206</v>
      </c>
      <c r="B7511" t="s">
        <v>8188</v>
      </c>
      <c r="C7511" s="1">
        <v>45948</v>
      </c>
    </row>
    <row r="7512" spans="1:3" x14ac:dyDescent="0.25">
      <c r="A7512" t="s">
        <v>5331</v>
      </c>
      <c r="B7512" t="s">
        <v>8188</v>
      </c>
      <c r="C7512" s="1">
        <v>45950</v>
      </c>
    </row>
    <row r="7513" spans="1:3" x14ac:dyDescent="0.25">
      <c r="A7513" t="s">
        <v>5331</v>
      </c>
      <c r="B7513" t="s">
        <v>8188</v>
      </c>
      <c r="C7513" s="1">
        <v>45948</v>
      </c>
    </row>
    <row r="7514" spans="1:3" x14ac:dyDescent="0.25">
      <c r="A7514" t="s">
        <v>5330</v>
      </c>
      <c r="B7514" t="s">
        <v>8188</v>
      </c>
      <c r="C7514" s="1">
        <v>45946</v>
      </c>
    </row>
    <row r="7515" spans="1:3" x14ac:dyDescent="0.25">
      <c r="A7515" t="s">
        <v>4832</v>
      </c>
      <c r="B7515" t="s">
        <v>8188</v>
      </c>
      <c r="C7515" s="1">
        <v>45980</v>
      </c>
    </row>
    <row r="7516" spans="1:3" x14ac:dyDescent="0.25">
      <c r="A7516" t="s">
        <v>8122</v>
      </c>
      <c r="B7516" t="s">
        <v>39</v>
      </c>
      <c r="C7516" s="1"/>
    </row>
    <row r="7517" spans="1:3" x14ac:dyDescent="0.25">
      <c r="A7517" t="s">
        <v>5332</v>
      </c>
      <c r="B7517" t="s">
        <v>8188</v>
      </c>
      <c r="C7517" s="1">
        <v>45957</v>
      </c>
    </row>
    <row r="7518" spans="1:3" x14ac:dyDescent="0.25">
      <c r="A7518" t="s">
        <v>8127</v>
      </c>
      <c r="B7518" t="s">
        <v>39</v>
      </c>
      <c r="C7518" s="1"/>
    </row>
    <row r="7519" spans="1:3" x14ac:dyDescent="0.25">
      <c r="A7519" t="s">
        <v>3208</v>
      </c>
      <c r="B7519" t="s">
        <v>8188</v>
      </c>
      <c r="C7519" s="1">
        <v>45947</v>
      </c>
    </row>
    <row r="7520" spans="1:3" x14ac:dyDescent="0.25">
      <c r="A7520" t="s">
        <v>5599</v>
      </c>
      <c r="B7520" t="s">
        <v>8188</v>
      </c>
      <c r="C7520" s="1">
        <v>45947</v>
      </c>
    </row>
    <row r="7521" spans="1:3" x14ac:dyDescent="0.25">
      <c r="A7521" t="s">
        <v>4854</v>
      </c>
      <c r="B7521" t="s">
        <v>39</v>
      </c>
      <c r="C7521" s="1"/>
    </row>
    <row r="7522" spans="1:3" x14ac:dyDescent="0.25">
      <c r="A7522" t="s">
        <v>5600</v>
      </c>
      <c r="B7522" t="s">
        <v>8188</v>
      </c>
      <c r="C7522" s="1">
        <v>45950</v>
      </c>
    </row>
    <row r="7523" spans="1:3" x14ac:dyDescent="0.25">
      <c r="A7523" t="s">
        <v>5333</v>
      </c>
      <c r="B7523" t="s">
        <v>8188</v>
      </c>
      <c r="C7523" s="1">
        <v>45959</v>
      </c>
    </row>
    <row r="7524" spans="1:3" x14ac:dyDescent="0.25">
      <c r="A7524" t="s">
        <v>8128</v>
      </c>
      <c r="B7524" t="s">
        <v>8188</v>
      </c>
      <c r="C7524" s="1">
        <v>45976</v>
      </c>
    </row>
    <row r="7525" spans="1:3" x14ac:dyDescent="0.25">
      <c r="A7525" t="s">
        <v>5334</v>
      </c>
      <c r="B7525" t="s">
        <v>8188</v>
      </c>
      <c r="C7525" s="1">
        <v>45961</v>
      </c>
    </row>
    <row r="7526" spans="1:3" x14ac:dyDescent="0.25">
      <c r="A7526" t="s">
        <v>4867</v>
      </c>
      <c r="B7526" t="s">
        <v>8188</v>
      </c>
      <c r="C7526" s="1">
        <v>45959</v>
      </c>
    </row>
    <row r="7527" spans="1:3" x14ac:dyDescent="0.25">
      <c r="A7527" t="s">
        <v>5335</v>
      </c>
      <c r="B7527" t="s">
        <v>8188</v>
      </c>
      <c r="C7527" s="1">
        <v>45960</v>
      </c>
    </row>
    <row r="7528" spans="1:3" x14ac:dyDescent="0.25">
      <c r="A7528" t="s">
        <v>2892</v>
      </c>
      <c r="B7528" t="s">
        <v>8188</v>
      </c>
      <c r="C7528" s="1">
        <v>45953</v>
      </c>
    </row>
    <row r="7529" spans="1:3" x14ac:dyDescent="0.25">
      <c r="A7529" t="s">
        <v>4892</v>
      </c>
      <c r="B7529" t="s">
        <v>8188</v>
      </c>
      <c r="C7529" s="1">
        <v>45961</v>
      </c>
    </row>
    <row r="7530" spans="1:3" x14ac:dyDescent="0.25">
      <c r="A7530" t="s">
        <v>5336</v>
      </c>
      <c r="B7530" t="s">
        <v>8188</v>
      </c>
      <c r="C7530" s="1">
        <v>45954</v>
      </c>
    </row>
    <row r="7531" spans="1:3" x14ac:dyDescent="0.25">
      <c r="A7531" t="s">
        <v>8129</v>
      </c>
      <c r="B7531" t="s">
        <v>39</v>
      </c>
      <c r="C7531" s="1"/>
    </row>
    <row r="7532" spans="1:3" x14ac:dyDescent="0.25">
      <c r="A7532" t="s">
        <v>8130</v>
      </c>
      <c r="B7532" t="s">
        <v>8188</v>
      </c>
      <c r="C7532" s="1">
        <v>45954</v>
      </c>
    </row>
    <row r="7533" spans="1:3" x14ac:dyDescent="0.25">
      <c r="A7533" t="s">
        <v>8131</v>
      </c>
      <c r="B7533" t="s">
        <v>8188</v>
      </c>
      <c r="C7533" s="1">
        <v>45954</v>
      </c>
    </row>
    <row r="7534" spans="1:3" x14ac:dyDescent="0.25">
      <c r="A7534" t="s">
        <v>8132</v>
      </c>
      <c r="B7534" t="s">
        <v>8188</v>
      </c>
      <c r="C7534" s="1">
        <v>45954</v>
      </c>
    </row>
    <row r="7535" spans="1:3" x14ac:dyDescent="0.25">
      <c r="A7535" t="s">
        <v>8133</v>
      </c>
      <c r="B7535" t="s">
        <v>8188</v>
      </c>
      <c r="C7535" s="1">
        <v>45954</v>
      </c>
    </row>
    <row r="7536" spans="1:3" x14ac:dyDescent="0.25">
      <c r="A7536" t="s">
        <v>8134</v>
      </c>
      <c r="B7536" t="s">
        <v>8188</v>
      </c>
      <c r="C7536" s="1">
        <v>45957</v>
      </c>
    </row>
    <row r="7537" spans="1:3" x14ac:dyDescent="0.25">
      <c r="A7537" t="s">
        <v>5337</v>
      </c>
      <c r="B7537" t="s">
        <v>8188</v>
      </c>
      <c r="C7537" s="1">
        <v>45961</v>
      </c>
    </row>
    <row r="7538" spans="1:3" x14ac:dyDescent="0.25">
      <c r="A7538" t="s">
        <v>5338</v>
      </c>
      <c r="B7538" t="s">
        <v>39</v>
      </c>
      <c r="C7538" s="1"/>
    </row>
    <row r="7539" spans="1:3" x14ac:dyDescent="0.25">
      <c r="A7539" t="s">
        <v>5339</v>
      </c>
      <c r="B7539" t="s">
        <v>8188</v>
      </c>
      <c r="C7539" s="1">
        <v>45955</v>
      </c>
    </row>
    <row r="7540" spans="1:3" x14ac:dyDescent="0.25">
      <c r="A7540" t="s">
        <v>8135</v>
      </c>
      <c r="B7540" t="s">
        <v>8188</v>
      </c>
      <c r="C7540" s="1">
        <v>45959</v>
      </c>
    </row>
    <row r="7541" spans="1:3" x14ac:dyDescent="0.25">
      <c r="A7541" t="s">
        <v>5601</v>
      </c>
      <c r="B7541" t="s">
        <v>8188</v>
      </c>
      <c r="C7541" s="1">
        <v>45957</v>
      </c>
    </row>
    <row r="7542" spans="1:3" x14ac:dyDescent="0.25">
      <c r="A7542" t="s">
        <v>5340</v>
      </c>
      <c r="B7542" t="s">
        <v>8188</v>
      </c>
      <c r="C7542" s="1">
        <v>45962</v>
      </c>
    </row>
    <row r="7543" spans="1:3" x14ac:dyDescent="0.25">
      <c r="A7543" t="s">
        <v>8136</v>
      </c>
      <c r="B7543" t="s">
        <v>8188</v>
      </c>
      <c r="C7543" s="1">
        <v>45961</v>
      </c>
    </row>
    <row r="7544" spans="1:3" x14ac:dyDescent="0.25">
      <c r="A7544" t="s">
        <v>4921</v>
      </c>
      <c r="B7544" t="s">
        <v>8188</v>
      </c>
      <c r="C7544" s="1">
        <v>45975</v>
      </c>
    </row>
    <row r="7545" spans="1:3" x14ac:dyDescent="0.25">
      <c r="A7545" t="s">
        <v>5341</v>
      </c>
      <c r="B7545" t="s">
        <v>8188</v>
      </c>
      <c r="C7545" s="1">
        <v>45967</v>
      </c>
    </row>
    <row r="7546" spans="1:3" x14ac:dyDescent="0.25">
      <c r="A7546" t="s">
        <v>3214</v>
      </c>
      <c r="B7546" t="s">
        <v>8188</v>
      </c>
      <c r="C7546" s="1">
        <v>45961</v>
      </c>
    </row>
    <row r="7547" spans="1:3" x14ac:dyDescent="0.25">
      <c r="A7547" t="s">
        <v>3215</v>
      </c>
      <c r="B7547" t="s">
        <v>8188</v>
      </c>
      <c r="C7547" s="1">
        <v>45961</v>
      </c>
    </row>
    <row r="7548" spans="1:3" x14ac:dyDescent="0.25">
      <c r="A7548" t="s">
        <v>8137</v>
      </c>
      <c r="B7548" t="s">
        <v>39</v>
      </c>
      <c r="C7548" s="1"/>
    </row>
    <row r="7549" spans="1:3" x14ac:dyDescent="0.25">
      <c r="A7549" t="s">
        <v>8138</v>
      </c>
      <c r="B7549" t="s">
        <v>8188</v>
      </c>
      <c r="C7549" s="1">
        <v>45966</v>
      </c>
    </row>
    <row r="7550" spans="1:3" x14ac:dyDescent="0.25">
      <c r="A7550" t="s">
        <v>5342</v>
      </c>
      <c r="B7550" t="s">
        <v>39</v>
      </c>
      <c r="C7550" s="1"/>
    </row>
    <row r="7551" spans="1:3" x14ac:dyDescent="0.25">
      <c r="A7551" t="s">
        <v>5344</v>
      </c>
      <c r="B7551" t="s">
        <v>8188</v>
      </c>
      <c r="C7551" s="1">
        <v>45964</v>
      </c>
    </row>
    <row r="7552" spans="1:3" x14ac:dyDescent="0.25">
      <c r="A7552" t="s">
        <v>4930</v>
      </c>
      <c r="B7552" t="s">
        <v>8188</v>
      </c>
      <c r="C7552" s="1">
        <v>45959</v>
      </c>
    </row>
    <row r="7553" spans="1:3" x14ac:dyDescent="0.25">
      <c r="A7553" t="s">
        <v>5602</v>
      </c>
      <c r="B7553" t="s">
        <v>8188</v>
      </c>
      <c r="C7553" s="1">
        <v>45959</v>
      </c>
    </row>
    <row r="7554" spans="1:3" x14ac:dyDescent="0.25">
      <c r="A7554" t="s">
        <v>8139</v>
      </c>
      <c r="B7554" t="s">
        <v>8188</v>
      </c>
      <c r="C7554" s="1">
        <v>45966</v>
      </c>
    </row>
    <row r="7555" spans="1:3" x14ac:dyDescent="0.25">
      <c r="A7555" t="s">
        <v>5345</v>
      </c>
      <c r="B7555" t="s">
        <v>8188</v>
      </c>
      <c r="C7555" s="1">
        <v>45972</v>
      </c>
    </row>
    <row r="7556" spans="1:3" x14ac:dyDescent="0.25">
      <c r="A7556" t="s">
        <v>8140</v>
      </c>
      <c r="B7556" t="s">
        <v>8188</v>
      </c>
      <c r="C7556" s="1">
        <v>45960</v>
      </c>
    </row>
    <row r="7557" spans="1:3" x14ac:dyDescent="0.25">
      <c r="A7557" t="s">
        <v>5346</v>
      </c>
      <c r="B7557" t="s">
        <v>8188</v>
      </c>
      <c r="C7557" s="1">
        <v>45961</v>
      </c>
    </row>
    <row r="7558" spans="1:3" x14ac:dyDescent="0.25">
      <c r="A7558" t="s">
        <v>5348</v>
      </c>
      <c r="B7558" t="s">
        <v>8188</v>
      </c>
      <c r="C7558" s="1">
        <v>45961</v>
      </c>
    </row>
    <row r="7559" spans="1:3" x14ac:dyDescent="0.25">
      <c r="A7559" t="s">
        <v>5347</v>
      </c>
      <c r="B7559" t="s">
        <v>8188</v>
      </c>
      <c r="C7559" s="1">
        <v>45962</v>
      </c>
    </row>
    <row r="7560" spans="1:3" x14ac:dyDescent="0.25">
      <c r="A7560" t="s">
        <v>8141</v>
      </c>
      <c r="B7560" t="s">
        <v>8188</v>
      </c>
      <c r="C7560" s="1">
        <v>45967</v>
      </c>
    </row>
    <row r="7561" spans="1:3" x14ac:dyDescent="0.25">
      <c r="A7561" t="s">
        <v>5603</v>
      </c>
      <c r="B7561" t="s">
        <v>8188</v>
      </c>
      <c r="C7561" s="1">
        <v>45962</v>
      </c>
    </row>
    <row r="7562" spans="1:3" x14ac:dyDescent="0.25">
      <c r="A7562" t="s">
        <v>5349</v>
      </c>
      <c r="B7562" t="s">
        <v>8188</v>
      </c>
      <c r="C7562" s="1">
        <v>45961</v>
      </c>
    </row>
    <row r="7563" spans="1:3" x14ac:dyDescent="0.25">
      <c r="A7563" t="s">
        <v>3218</v>
      </c>
      <c r="B7563" t="s">
        <v>8188</v>
      </c>
      <c r="C7563" s="1">
        <v>45973</v>
      </c>
    </row>
    <row r="7564" spans="1:3" x14ac:dyDescent="0.25">
      <c r="A7564" t="s">
        <v>5350</v>
      </c>
      <c r="B7564" t="s">
        <v>8188</v>
      </c>
      <c r="C7564" s="1">
        <v>45961</v>
      </c>
    </row>
    <row r="7565" spans="1:3" x14ac:dyDescent="0.25">
      <c r="A7565" t="s">
        <v>5350</v>
      </c>
      <c r="B7565" t="s">
        <v>8188</v>
      </c>
      <c r="C7565" s="1">
        <v>45961</v>
      </c>
    </row>
    <row r="7566" spans="1:3" x14ac:dyDescent="0.25">
      <c r="A7566" t="s">
        <v>4794</v>
      </c>
      <c r="B7566" t="s">
        <v>8188</v>
      </c>
      <c r="C7566" s="1">
        <v>45969</v>
      </c>
    </row>
    <row r="7567" spans="1:3" x14ac:dyDescent="0.25">
      <c r="A7567" t="s">
        <v>3219</v>
      </c>
      <c r="B7567" t="s">
        <v>39</v>
      </c>
      <c r="C7567" s="1"/>
    </row>
    <row r="7568" spans="1:3" x14ac:dyDescent="0.25">
      <c r="A7568" t="s">
        <v>3220</v>
      </c>
      <c r="B7568" t="s">
        <v>8188</v>
      </c>
      <c r="C7568" s="1">
        <v>45966</v>
      </c>
    </row>
    <row r="7569" spans="1:3" x14ac:dyDescent="0.25">
      <c r="A7569" t="s">
        <v>5351</v>
      </c>
      <c r="B7569" t="s">
        <v>8188</v>
      </c>
      <c r="C7569" s="1">
        <v>45962</v>
      </c>
    </row>
    <row r="7570" spans="1:3" x14ac:dyDescent="0.25">
      <c r="A7570" t="s">
        <v>5353</v>
      </c>
      <c r="B7570" t="s">
        <v>8188</v>
      </c>
      <c r="C7570" s="1">
        <v>45962</v>
      </c>
    </row>
    <row r="7571" spans="1:3" x14ac:dyDescent="0.25">
      <c r="A7571" t="s">
        <v>5352</v>
      </c>
      <c r="B7571" t="s">
        <v>8188</v>
      </c>
      <c r="C7571" s="1">
        <v>45962</v>
      </c>
    </row>
    <row r="7572" spans="1:3" x14ac:dyDescent="0.25">
      <c r="A7572" t="s">
        <v>4961</v>
      </c>
      <c r="B7572" t="s">
        <v>8188</v>
      </c>
      <c r="C7572" s="1">
        <v>45964</v>
      </c>
    </row>
    <row r="7573" spans="1:3" x14ac:dyDescent="0.25">
      <c r="A7573" t="s">
        <v>5354</v>
      </c>
      <c r="B7573" t="s">
        <v>8188</v>
      </c>
      <c r="C7573" s="1">
        <v>45965</v>
      </c>
    </row>
    <row r="7574" spans="1:3" x14ac:dyDescent="0.25">
      <c r="A7574" t="s">
        <v>5355</v>
      </c>
      <c r="B7574" t="s">
        <v>8188</v>
      </c>
      <c r="C7574" s="1">
        <v>45965</v>
      </c>
    </row>
    <row r="7575" spans="1:3" x14ac:dyDescent="0.25">
      <c r="A7575" t="s">
        <v>5355</v>
      </c>
      <c r="B7575" t="s">
        <v>8188</v>
      </c>
      <c r="C7575" s="1">
        <v>45968</v>
      </c>
    </row>
    <row r="7576" spans="1:3" x14ac:dyDescent="0.25">
      <c r="A7576" t="s">
        <v>5356</v>
      </c>
      <c r="B7576" t="s">
        <v>39</v>
      </c>
      <c r="C7576" s="1"/>
    </row>
    <row r="7577" spans="1:3" x14ac:dyDescent="0.25">
      <c r="A7577" t="s">
        <v>5356</v>
      </c>
      <c r="B7577" t="s">
        <v>39</v>
      </c>
      <c r="C7577" s="1"/>
    </row>
    <row r="7578" spans="1:3" x14ac:dyDescent="0.25">
      <c r="A7578" t="s">
        <v>5432</v>
      </c>
      <c r="B7578" t="s">
        <v>8188</v>
      </c>
      <c r="C7578" s="1">
        <v>45964</v>
      </c>
    </row>
    <row r="7579" spans="1:3" x14ac:dyDescent="0.25">
      <c r="A7579" t="s">
        <v>5357</v>
      </c>
      <c r="B7579" t="s">
        <v>8188</v>
      </c>
      <c r="C7579" s="1">
        <v>45969</v>
      </c>
    </row>
    <row r="7580" spans="1:3" x14ac:dyDescent="0.25">
      <c r="A7580" t="s">
        <v>5358</v>
      </c>
      <c r="B7580" t="s">
        <v>8188</v>
      </c>
      <c r="C7580" s="1">
        <v>45966</v>
      </c>
    </row>
    <row r="7581" spans="1:3" x14ac:dyDescent="0.25">
      <c r="A7581" t="s">
        <v>232</v>
      </c>
      <c r="B7581" t="s">
        <v>8188</v>
      </c>
      <c r="C7581" s="1">
        <v>45978</v>
      </c>
    </row>
    <row r="7582" spans="1:3" x14ac:dyDescent="0.25">
      <c r="A7582" t="s">
        <v>5361</v>
      </c>
      <c r="B7582" t="s">
        <v>8188</v>
      </c>
      <c r="C7582" s="1">
        <v>45967</v>
      </c>
    </row>
    <row r="7583" spans="1:3" x14ac:dyDescent="0.25">
      <c r="A7583" t="s">
        <v>5359</v>
      </c>
      <c r="B7583" t="s">
        <v>8188</v>
      </c>
      <c r="C7583" s="1">
        <v>45968</v>
      </c>
    </row>
    <row r="7584" spans="1:3" x14ac:dyDescent="0.25">
      <c r="A7584" t="s">
        <v>5362</v>
      </c>
      <c r="B7584" t="s">
        <v>8188</v>
      </c>
      <c r="C7584" s="1">
        <v>45968</v>
      </c>
    </row>
    <row r="7585" spans="1:3" x14ac:dyDescent="0.25">
      <c r="A7585" t="s">
        <v>4979</v>
      </c>
      <c r="B7585" t="s">
        <v>8188</v>
      </c>
      <c r="C7585" s="1">
        <v>45968</v>
      </c>
    </row>
    <row r="7586" spans="1:3" x14ac:dyDescent="0.25">
      <c r="A7586" t="s">
        <v>8142</v>
      </c>
      <c r="B7586" t="s">
        <v>8188</v>
      </c>
      <c r="C7586" s="1">
        <v>45973</v>
      </c>
    </row>
    <row r="7587" spans="1:3" x14ac:dyDescent="0.25">
      <c r="A7587" t="s">
        <v>4986</v>
      </c>
      <c r="B7587" t="s">
        <v>8188</v>
      </c>
      <c r="C7587" s="1">
        <v>45968</v>
      </c>
    </row>
    <row r="7588" spans="1:3" x14ac:dyDescent="0.25">
      <c r="A7588" t="s">
        <v>2938</v>
      </c>
      <c r="B7588" t="s">
        <v>8188</v>
      </c>
      <c r="C7588" s="1">
        <v>45968</v>
      </c>
    </row>
    <row r="7589" spans="1:3" x14ac:dyDescent="0.25">
      <c r="A7589" t="s">
        <v>5363</v>
      </c>
      <c r="B7589" t="s">
        <v>8188</v>
      </c>
      <c r="C7589" s="1">
        <v>45967</v>
      </c>
    </row>
    <row r="7590" spans="1:3" x14ac:dyDescent="0.25">
      <c r="A7590" t="s">
        <v>8143</v>
      </c>
      <c r="B7590" t="s">
        <v>8188</v>
      </c>
      <c r="C7590" s="1">
        <v>45968</v>
      </c>
    </row>
    <row r="7591" spans="1:3" x14ac:dyDescent="0.25">
      <c r="A7591" t="s">
        <v>5606</v>
      </c>
      <c r="B7591" t="s">
        <v>8188</v>
      </c>
      <c r="C7591" s="1">
        <v>45966</v>
      </c>
    </row>
    <row r="7592" spans="1:3" x14ac:dyDescent="0.25">
      <c r="A7592" t="s">
        <v>5605</v>
      </c>
      <c r="B7592" t="s">
        <v>8188</v>
      </c>
      <c r="C7592" s="1">
        <v>45975</v>
      </c>
    </row>
    <row r="7593" spans="1:3" x14ac:dyDescent="0.25">
      <c r="A7593" t="s">
        <v>8144</v>
      </c>
      <c r="B7593" t="s">
        <v>8188</v>
      </c>
      <c r="C7593" s="1">
        <v>45967</v>
      </c>
    </row>
    <row r="7594" spans="1:3" x14ac:dyDescent="0.25">
      <c r="A7594" t="s">
        <v>5364</v>
      </c>
      <c r="B7594" t="s">
        <v>8188</v>
      </c>
      <c r="C7594" s="1">
        <v>45978</v>
      </c>
    </row>
    <row r="7595" spans="1:3" x14ac:dyDescent="0.25">
      <c r="A7595" t="s">
        <v>8145</v>
      </c>
      <c r="B7595" t="s">
        <v>8188</v>
      </c>
      <c r="C7595" s="1">
        <v>45969</v>
      </c>
    </row>
    <row r="7596" spans="1:3" x14ac:dyDescent="0.25">
      <c r="A7596" t="s">
        <v>5366</v>
      </c>
      <c r="B7596" t="s">
        <v>8188</v>
      </c>
      <c r="C7596" s="1">
        <v>45968</v>
      </c>
    </row>
    <row r="7597" spans="1:3" x14ac:dyDescent="0.25">
      <c r="A7597" t="s">
        <v>5365</v>
      </c>
      <c r="B7597" t="s">
        <v>39</v>
      </c>
      <c r="C7597" s="1"/>
    </row>
    <row r="7598" spans="1:3" x14ac:dyDescent="0.25">
      <c r="A7598" t="s">
        <v>4999</v>
      </c>
      <c r="B7598" t="s">
        <v>8188</v>
      </c>
      <c r="C7598" s="1">
        <v>45982</v>
      </c>
    </row>
    <row r="7599" spans="1:3" x14ac:dyDescent="0.25">
      <c r="A7599" t="s">
        <v>4998</v>
      </c>
      <c r="B7599" t="s">
        <v>8188</v>
      </c>
      <c r="C7599" s="1">
        <v>45978</v>
      </c>
    </row>
    <row r="7600" spans="1:3" x14ac:dyDescent="0.25">
      <c r="A7600" t="s">
        <v>5604</v>
      </c>
      <c r="B7600" t="s">
        <v>8188</v>
      </c>
      <c r="C7600" s="1">
        <v>45967</v>
      </c>
    </row>
    <row r="7601" spans="1:3" x14ac:dyDescent="0.25">
      <c r="A7601" t="s">
        <v>2926</v>
      </c>
      <c r="B7601" t="s">
        <v>8188</v>
      </c>
      <c r="C7601" s="1">
        <v>45968</v>
      </c>
    </row>
    <row r="7602" spans="1:3" x14ac:dyDescent="0.25">
      <c r="A7602" t="s">
        <v>3223</v>
      </c>
      <c r="B7602" t="s">
        <v>8188</v>
      </c>
      <c r="C7602" s="1">
        <v>45966</v>
      </c>
    </row>
    <row r="7603" spans="1:3" x14ac:dyDescent="0.25">
      <c r="A7603" t="s">
        <v>5606</v>
      </c>
      <c r="B7603" t="s">
        <v>8188</v>
      </c>
      <c r="C7603" s="1">
        <v>45968</v>
      </c>
    </row>
    <row r="7604" spans="1:3" x14ac:dyDescent="0.25">
      <c r="A7604" t="s">
        <v>8146</v>
      </c>
      <c r="B7604" t="s">
        <v>8188</v>
      </c>
      <c r="C7604" s="1">
        <v>45973</v>
      </c>
    </row>
    <row r="7605" spans="1:3" x14ac:dyDescent="0.25">
      <c r="A7605" t="s">
        <v>8147</v>
      </c>
      <c r="B7605" t="s">
        <v>8188</v>
      </c>
      <c r="C7605" s="1">
        <v>45973</v>
      </c>
    </row>
    <row r="7606" spans="1:3" x14ac:dyDescent="0.25">
      <c r="A7606" t="s">
        <v>8148</v>
      </c>
      <c r="B7606" t="s">
        <v>8188</v>
      </c>
      <c r="C7606" s="1">
        <v>45973</v>
      </c>
    </row>
    <row r="7607" spans="1:3" x14ac:dyDescent="0.25">
      <c r="A7607" t="s">
        <v>5367</v>
      </c>
      <c r="B7607" t="s">
        <v>8188</v>
      </c>
      <c r="C7607" s="1">
        <v>45972</v>
      </c>
    </row>
    <row r="7608" spans="1:3" x14ac:dyDescent="0.25">
      <c r="A7608" t="s">
        <v>5012</v>
      </c>
      <c r="B7608" t="s">
        <v>8188</v>
      </c>
      <c r="C7608" s="1">
        <v>45973</v>
      </c>
    </row>
    <row r="7609" spans="1:3" x14ac:dyDescent="0.25">
      <c r="A7609" t="s">
        <v>8149</v>
      </c>
      <c r="B7609" t="s">
        <v>8188</v>
      </c>
      <c r="C7609" s="1">
        <v>45972</v>
      </c>
    </row>
    <row r="7610" spans="1:3" x14ac:dyDescent="0.25">
      <c r="A7610" t="s">
        <v>5368</v>
      </c>
      <c r="B7610" t="s">
        <v>8188</v>
      </c>
      <c r="C7610" s="1">
        <v>45987</v>
      </c>
    </row>
    <row r="7611" spans="1:3" x14ac:dyDescent="0.25">
      <c r="A7611" t="s">
        <v>8150</v>
      </c>
      <c r="B7611" t="s">
        <v>8188</v>
      </c>
      <c r="C7611" s="1">
        <v>45975</v>
      </c>
    </row>
    <row r="7612" spans="1:3" x14ac:dyDescent="0.25">
      <c r="A7612" t="s">
        <v>5607</v>
      </c>
      <c r="B7612" t="s">
        <v>8188</v>
      </c>
      <c r="C7612" s="1">
        <v>45967</v>
      </c>
    </row>
    <row r="7613" spans="1:3" x14ac:dyDescent="0.25">
      <c r="A7613" t="s">
        <v>5369</v>
      </c>
      <c r="B7613" t="s">
        <v>8188</v>
      </c>
      <c r="C7613" s="1">
        <v>45969</v>
      </c>
    </row>
    <row r="7614" spans="1:3" x14ac:dyDescent="0.25">
      <c r="A7614" t="s">
        <v>8151</v>
      </c>
      <c r="B7614" t="s">
        <v>8188</v>
      </c>
      <c r="C7614" s="1">
        <v>45976</v>
      </c>
    </row>
    <row r="7615" spans="1:3" x14ac:dyDescent="0.25">
      <c r="A7615" t="s">
        <v>5030</v>
      </c>
      <c r="B7615" t="s">
        <v>8188</v>
      </c>
      <c r="C7615" s="1">
        <v>45969</v>
      </c>
    </row>
    <row r="7616" spans="1:3" x14ac:dyDescent="0.25">
      <c r="A7616" t="s">
        <v>5370</v>
      </c>
      <c r="B7616" t="s">
        <v>8188</v>
      </c>
      <c r="C7616" s="1">
        <v>45971</v>
      </c>
    </row>
    <row r="7617" spans="1:3" x14ac:dyDescent="0.25">
      <c r="A7617" t="s">
        <v>5327</v>
      </c>
      <c r="B7617" t="s">
        <v>8188</v>
      </c>
      <c r="C7617" s="1">
        <v>45973</v>
      </c>
    </row>
    <row r="7618" spans="1:3" x14ac:dyDescent="0.25">
      <c r="A7618" t="s">
        <v>5034</v>
      </c>
      <c r="B7618" t="s">
        <v>8188</v>
      </c>
      <c r="C7618" s="1">
        <v>45971</v>
      </c>
    </row>
    <row r="7619" spans="1:3" x14ac:dyDescent="0.25">
      <c r="A7619" t="s">
        <v>2953</v>
      </c>
      <c r="B7619" t="s">
        <v>8188</v>
      </c>
      <c r="C7619" s="1">
        <v>45972</v>
      </c>
    </row>
    <row r="7620" spans="1:3" x14ac:dyDescent="0.25">
      <c r="A7620" t="s">
        <v>5038</v>
      </c>
      <c r="B7620" t="s">
        <v>8188</v>
      </c>
      <c r="C7620" s="1">
        <v>45978</v>
      </c>
    </row>
    <row r="7621" spans="1:3" x14ac:dyDescent="0.25">
      <c r="A7621" t="s">
        <v>5371</v>
      </c>
      <c r="B7621" t="s">
        <v>8188</v>
      </c>
      <c r="C7621" s="1">
        <v>45974</v>
      </c>
    </row>
    <row r="7622" spans="1:3" x14ac:dyDescent="0.25">
      <c r="A7622" t="s">
        <v>8152</v>
      </c>
      <c r="B7622" t="s">
        <v>8188</v>
      </c>
      <c r="C7622" s="1">
        <v>45975</v>
      </c>
    </row>
    <row r="7623" spans="1:3" x14ac:dyDescent="0.25">
      <c r="A7623" t="s">
        <v>5433</v>
      </c>
      <c r="B7623" t="s">
        <v>8188</v>
      </c>
      <c r="C7623" s="1">
        <v>45972</v>
      </c>
    </row>
    <row r="7624" spans="1:3" x14ac:dyDescent="0.25">
      <c r="A7624" t="s">
        <v>5372</v>
      </c>
      <c r="B7624" t="s">
        <v>8188</v>
      </c>
      <c r="C7624" s="1">
        <v>45974</v>
      </c>
    </row>
    <row r="7625" spans="1:3" x14ac:dyDescent="0.25">
      <c r="A7625" t="s">
        <v>8153</v>
      </c>
      <c r="B7625" t="s">
        <v>8188</v>
      </c>
      <c r="C7625" s="1">
        <v>45973</v>
      </c>
    </row>
    <row r="7626" spans="1:3" x14ac:dyDescent="0.25">
      <c r="A7626" t="s">
        <v>5373</v>
      </c>
      <c r="B7626" t="s">
        <v>8188</v>
      </c>
      <c r="C7626" s="1">
        <v>45983</v>
      </c>
    </row>
    <row r="7627" spans="1:3" x14ac:dyDescent="0.25">
      <c r="A7627" t="s">
        <v>5608</v>
      </c>
      <c r="B7627" t="s">
        <v>8188</v>
      </c>
      <c r="C7627" s="1">
        <v>45973</v>
      </c>
    </row>
    <row r="7628" spans="1:3" x14ac:dyDescent="0.25">
      <c r="A7628" t="s">
        <v>5605</v>
      </c>
      <c r="B7628" t="s">
        <v>8188</v>
      </c>
      <c r="C7628" s="1">
        <v>45975</v>
      </c>
    </row>
    <row r="7629" spans="1:3" x14ac:dyDescent="0.25">
      <c r="A7629" t="s">
        <v>8153</v>
      </c>
      <c r="B7629" t="s">
        <v>8188</v>
      </c>
      <c r="C7629" s="1">
        <v>45974</v>
      </c>
    </row>
    <row r="7630" spans="1:3" x14ac:dyDescent="0.25">
      <c r="A7630" t="s">
        <v>8154</v>
      </c>
      <c r="B7630" t="s">
        <v>8188</v>
      </c>
      <c r="C7630" s="1">
        <v>45976</v>
      </c>
    </row>
    <row r="7631" spans="1:3" x14ac:dyDescent="0.25">
      <c r="A7631" t="s">
        <v>5374</v>
      </c>
      <c r="B7631" t="s">
        <v>8188</v>
      </c>
      <c r="C7631" s="1">
        <v>45974</v>
      </c>
    </row>
    <row r="7632" spans="1:3" x14ac:dyDescent="0.25">
      <c r="A7632" t="s">
        <v>5059</v>
      </c>
      <c r="B7632" t="s">
        <v>8188</v>
      </c>
      <c r="C7632" s="1">
        <v>45976</v>
      </c>
    </row>
    <row r="7633" spans="1:3" x14ac:dyDescent="0.25">
      <c r="A7633" t="s">
        <v>5375</v>
      </c>
      <c r="B7633" t="s">
        <v>8188</v>
      </c>
      <c r="C7633" s="1">
        <v>45974</v>
      </c>
    </row>
    <row r="7634" spans="1:3" x14ac:dyDescent="0.25">
      <c r="A7634" t="s">
        <v>5062</v>
      </c>
      <c r="B7634" t="s">
        <v>8188</v>
      </c>
      <c r="C7634" s="1">
        <v>45995</v>
      </c>
    </row>
    <row r="7635" spans="1:3" x14ac:dyDescent="0.25">
      <c r="A7635" t="s">
        <v>5376</v>
      </c>
      <c r="B7635" t="s">
        <v>8188</v>
      </c>
      <c r="C7635" s="1">
        <v>45983</v>
      </c>
    </row>
    <row r="7636" spans="1:3" x14ac:dyDescent="0.25">
      <c r="A7636" t="s">
        <v>5376</v>
      </c>
      <c r="B7636" t="s">
        <v>8188</v>
      </c>
      <c r="C7636" s="1">
        <v>45987</v>
      </c>
    </row>
    <row r="7637" spans="1:3" x14ac:dyDescent="0.25">
      <c r="A7637" t="s">
        <v>5377</v>
      </c>
      <c r="B7637" t="s">
        <v>39</v>
      </c>
      <c r="C7637" s="1"/>
    </row>
    <row r="7638" spans="1:3" x14ac:dyDescent="0.25">
      <c r="A7638" t="s">
        <v>5377</v>
      </c>
      <c r="B7638" t="s">
        <v>39</v>
      </c>
      <c r="C7638" s="1"/>
    </row>
    <row r="7639" spans="1:3" x14ac:dyDescent="0.25">
      <c r="A7639" t="s">
        <v>5378</v>
      </c>
      <c r="B7639" t="s">
        <v>8188</v>
      </c>
      <c r="C7639" s="1">
        <v>45982</v>
      </c>
    </row>
    <row r="7640" spans="1:3" x14ac:dyDescent="0.25">
      <c r="A7640" t="s">
        <v>5073</v>
      </c>
      <c r="B7640" t="s">
        <v>39</v>
      </c>
      <c r="C7640" s="1"/>
    </row>
    <row r="7641" spans="1:3" x14ac:dyDescent="0.25">
      <c r="A7641" t="s">
        <v>5379</v>
      </c>
      <c r="B7641" t="s">
        <v>8188</v>
      </c>
      <c r="C7641" s="1">
        <v>45982</v>
      </c>
    </row>
    <row r="7642" spans="1:3" x14ac:dyDescent="0.25">
      <c r="A7642" t="s">
        <v>5379</v>
      </c>
      <c r="B7642" t="s">
        <v>8188</v>
      </c>
      <c r="C7642" s="1">
        <v>45995</v>
      </c>
    </row>
    <row r="7643" spans="1:3" x14ac:dyDescent="0.25">
      <c r="A7643" t="s">
        <v>5380</v>
      </c>
      <c r="B7643" t="s">
        <v>8188</v>
      </c>
      <c r="C7643" s="1">
        <v>45979</v>
      </c>
    </row>
    <row r="7644" spans="1:3" x14ac:dyDescent="0.25">
      <c r="A7644" t="s">
        <v>5381</v>
      </c>
      <c r="B7644" t="s">
        <v>8188</v>
      </c>
      <c r="C7644" s="1">
        <v>45992</v>
      </c>
    </row>
    <row r="7645" spans="1:3" x14ac:dyDescent="0.25">
      <c r="A7645" t="s">
        <v>2976</v>
      </c>
      <c r="B7645" t="s">
        <v>8188</v>
      </c>
      <c r="C7645" s="1">
        <v>45976</v>
      </c>
    </row>
    <row r="7646" spans="1:3" x14ac:dyDescent="0.25">
      <c r="A7646" t="s">
        <v>3127</v>
      </c>
      <c r="B7646" t="s">
        <v>8188</v>
      </c>
      <c r="C7646" s="1">
        <v>45930</v>
      </c>
    </row>
    <row r="7647" spans="1:3" x14ac:dyDescent="0.25">
      <c r="A7647" t="s">
        <v>3162</v>
      </c>
      <c r="B7647" t="s">
        <v>8188</v>
      </c>
      <c r="C7647" s="1">
        <v>45930</v>
      </c>
    </row>
    <row r="7648" spans="1:3" x14ac:dyDescent="0.25">
      <c r="A7648" t="s">
        <v>3163</v>
      </c>
      <c r="B7648" t="s">
        <v>8188</v>
      </c>
      <c r="C7648" s="1">
        <v>45930</v>
      </c>
    </row>
    <row r="7649" spans="1:3" x14ac:dyDescent="0.25">
      <c r="A7649" t="s">
        <v>3164</v>
      </c>
      <c r="B7649" t="s">
        <v>8188</v>
      </c>
      <c r="C7649" s="1">
        <v>45930</v>
      </c>
    </row>
    <row r="7650" spans="1:3" x14ac:dyDescent="0.25">
      <c r="A7650" t="s">
        <v>3166</v>
      </c>
      <c r="B7650" t="s">
        <v>8188</v>
      </c>
      <c r="C7650" s="1">
        <v>45930</v>
      </c>
    </row>
    <row r="7651" spans="1:3" x14ac:dyDescent="0.25">
      <c r="A7651" t="s">
        <v>3168</v>
      </c>
      <c r="B7651" t="s">
        <v>8188</v>
      </c>
      <c r="C7651" s="1">
        <v>45930</v>
      </c>
    </row>
    <row r="7652" spans="1:3" x14ac:dyDescent="0.25">
      <c r="A7652" t="s">
        <v>3169</v>
      </c>
      <c r="B7652" t="s">
        <v>8188</v>
      </c>
      <c r="C7652" s="1">
        <v>45930</v>
      </c>
    </row>
    <row r="7653" spans="1:3" x14ac:dyDescent="0.25">
      <c r="A7653" t="s">
        <v>3173</v>
      </c>
      <c r="B7653" t="s">
        <v>8188</v>
      </c>
      <c r="C7653" s="1">
        <v>45930</v>
      </c>
    </row>
    <row r="7654" spans="1:3" x14ac:dyDescent="0.25">
      <c r="A7654" t="s">
        <v>3174</v>
      </c>
      <c r="B7654" t="s">
        <v>8188</v>
      </c>
      <c r="C7654" s="1">
        <v>45930</v>
      </c>
    </row>
    <row r="7655" spans="1:3" x14ac:dyDescent="0.25">
      <c r="A7655" t="s">
        <v>3175</v>
      </c>
      <c r="B7655" t="s">
        <v>8188</v>
      </c>
      <c r="C7655" s="1">
        <v>45930</v>
      </c>
    </row>
    <row r="7656" spans="1:3" x14ac:dyDescent="0.25">
      <c r="A7656" t="s">
        <v>3177</v>
      </c>
      <c r="B7656" t="s">
        <v>8188</v>
      </c>
      <c r="C7656" s="1">
        <v>45930</v>
      </c>
    </row>
    <row r="7657" spans="1:3" x14ac:dyDescent="0.25">
      <c r="A7657" t="s">
        <v>3179</v>
      </c>
      <c r="B7657" t="s">
        <v>8188</v>
      </c>
      <c r="C7657" s="1">
        <v>45930</v>
      </c>
    </row>
    <row r="7658" spans="1:3" x14ac:dyDescent="0.25">
      <c r="A7658" t="s">
        <v>3180</v>
      </c>
      <c r="B7658" t="s">
        <v>8188</v>
      </c>
      <c r="C7658" s="1">
        <v>45930</v>
      </c>
    </row>
    <row r="7659" spans="1:3" x14ac:dyDescent="0.25">
      <c r="A7659" t="s">
        <v>3186</v>
      </c>
      <c r="B7659" t="s">
        <v>8188</v>
      </c>
      <c r="C7659" s="1">
        <v>45930</v>
      </c>
    </row>
    <row r="7660" spans="1:3" x14ac:dyDescent="0.25">
      <c r="A7660" t="s">
        <v>5610</v>
      </c>
      <c r="B7660" t="s">
        <v>8188</v>
      </c>
      <c r="C7660" s="1">
        <v>45976</v>
      </c>
    </row>
    <row r="7661" spans="1:3" x14ac:dyDescent="0.25">
      <c r="A7661" t="s">
        <v>5081</v>
      </c>
      <c r="B7661" t="s">
        <v>8188</v>
      </c>
      <c r="C7661" s="1">
        <v>45978</v>
      </c>
    </row>
    <row r="7662" spans="1:3" x14ac:dyDescent="0.25">
      <c r="A7662" t="s">
        <v>5382</v>
      </c>
      <c r="B7662" t="s">
        <v>8188</v>
      </c>
      <c r="C7662" s="1">
        <v>45981</v>
      </c>
    </row>
    <row r="7663" spans="1:3" x14ac:dyDescent="0.25">
      <c r="A7663" t="s">
        <v>8155</v>
      </c>
      <c r="B7663" t="s">
        <v>8188</v>
      </c>
      <c r="C7663" s="1">
        <v>45978</v>
      </c>
    </row>
    <row r="7664" spans="1:3" x14ac:dyDescent="0.25">
      <c r="A7664" t="s">
        <v>8155</v>
      </c>
      <c r="B7664" t="s">
        <v>8188</v>
      </c>
      <c r="C7664" s="1">
        <v>45978</v>
      </c>
    </row>
    <row r="7665" spans="1:3" x14ac:dyDescent="0.25">
      <c r="A7665" t="s">
        <v>5434</v>
      </c>
      <c r="B7665" t="s">
        <v>8188</v>
      </c>
      <c r="C7665" s="1">
        <v>45981</v>
      </c>
    </row>
    <row r="7666" spans="1:3" x14ac:dyDescent="0.25">
      <c r="A7666" t="s">
        <v>2985</v>
      </c>
      <c r="B7666" t="s">
        <v>8188</v>
      </c>
      <c r="C7666" s="1">
        <v>45976</v>
      </c>
    </row>
    <row r="7667" spans="1:3" x14ac:dyDescent="0.25">
      <c r="A7667" t="s">
        <v>8156</v>
      </c>
      <c r="B7667" t="s">
        <v>8188</v>
      </c>
      <c r="C7667" s="1">
        <v>45980</v>
      </c>
    </row>
    <row r="7668" spans="1:3" x14ac:dyDescent="0.25">
      <c r="A7668" t="s">
        <v>5106</v>
      </c>
      <c r="B7668" t="s">
        <v>8188</v>
      </c>
      <c r="C7668" s="1">
        <v>45982</v>
      </c>
    </row>
    <row r="7669" spans="1:3" x14ac:dyDescent="0.25">
      <c r="A7669" t="s">
        <v>5383</v>
      </c>
      <c r="B7669" t="s">
        <v>8188</v>
      </c>
      <c r="C7669" s="1">
        <v>45988</v>
      </c>
    </row>
    <row r="7670" spans="1:3" x14ac:dyDescent="0.25">
      <c r="A7670" t="s">
        <v>5611</v>
      </c>
      <c r="B7670" t="s">
        <v>8188</v>
      </c>
      <c r="C7670" s="1">
        <v>45979</v>
      </c>
    </row>
    <row r="7671" spans="1:3" x14ac:dyDescent="0.25">
      <c r="A7671" t="s">
        <v>5612</v>
      </c>
      <c r="B7671" t="s">
        <v>8188</v>
      </c>
      <c r="C7671" s="1">
        <v>45981</v>
      </c>
    </row>
    <row r="7672" spans="1:3" x14ac:dyDescent="0.25">
      <c r="A7672" t="s">
        <v>8157</v>
      </c>
      <c r="B7672" t="s">
        <v>8188</v>
      </c>
      <c r="C7672" s="1">
        <v>45980</v>
      </c>
    </row>
    <row r="7673" spans="1:3" x14ac:dyDescent="0.25">
      <c r="A7673" t="s">
        <v>5613</v>
      </c>
      <c r="B7673" t="s">
        <v>8188</v>
      </c>
      <c r="C7673" s="1">
        <v>45980</v>
      </c>
    </row>
    <row r="7674" spans="1:3" x14ac:dyDescent="0.25">
      <c r="A7674" t="s">
        <v>5614</v>
      </c>
      <c r="B7674" t="s">
        <v>8188</v>
      </c>
      <c r="C7674" s="1">
        <v>45982</v>
      </c>
    </row>
    <row r="7675" spans="1:3" x14ac:dyDescent="0.25">
      <c r="A7675" t="s">
        <v>5384</v>
      </c>
      <c r="B7675" t="s">
        <v>8188</v>
      </c>
      <c r="C7675" s="1">
        <v>45985</v>
      </c>
    </row>
    <row r="7676" spans="1:3" x14ac:dyDescent="0.25">
      <c r="A7676" t="s">
        <v>5615</v>
      </c>
      <c r="B7676" t="s">
        <v>8188</v>
      </c>
      <c r="C7676" s="1">
        <v>45981</v>
      </c>
    </row>
    <row r="7677" spans="1:3" x14ac:dyDescent="0.25">
      <c r="A7677" t="s">
        <v>5616</v>
      </c>
      <c r="B7677" t="s">
        <v>8188</v>
      </c>
      <c r="C7677" s="1">
        <v>45981</v>
      </c>
    </row>
    <row r="7678" spans="1:3" x14ac:dyDescent="0.25">
      <c r="A7678" t="s">
        <v>5434</v>
      </c>
      <c r="B7678" t="s">
        <v>8188</v>
      </c>
      <c r="C7678" s="1">
        <v>45990</v>
      </c>
    </row>
    <row r="7679" spans="1:3" x14ac:dyDescent="0.25">
      <c r="A7679" t="s">
        <v>5385</v>
      </c>
      <c r="B7679" t="s">
        <v>8188</v>
      </c>
      <c r="C7679" s="1">
        <v>45981</v>
      </c>
    </row>
    <row r="7680" spans="1:3" x14ac:dyDescent="0.25">
      <c r="A7680" t="s">
        <v>5617</v>
      </c>
      <c r="B7680" t="s">
        <v>8188</v>
      </c>
      <c r="C7680" s="1">
        <v>45981</v>
      </c>
    </row>
    <row r="7681" spans="1:3" x14ac:dyDescent="0.25">
      <c r="A7681" t="s">
        <v>8158</v>
      </c>
      <c r="B7681" t="s">
        <v>8188</v>
      </c>
      <c r="C7681" s="1">
        <v>45983</v>
      </c>
    </row>
    <row r="7682" spans="1:3" x14ac:dyDescent="0.25">
      <c r="A7682" t="s">
        <v>5618</v>
      </c>
      <c r="B7682" t="s">
        <v>8188</v>
      </c>
      <c r="C7682" s="1">
        <v>45982</v>
      </c>
    </row>
    <row r="7683" spans="1:3" x14ac:dyDescent="0.25">
      <c r="A7683" t="s">
        <v>5619</v>
      </c>
      <c r="B7683" t="s">
        <v>8188</v>
      </c>
      <c r="C7683" s="1">
        <v>45982</v>
      </c>
    </row>
    <row r="7684" spans="1:3" x14ac:dyDescent="0.25">
      <c r="A7684" t="s">
        <v>5617</v>
      </c>
      <c r="B7684" t="s">
        <v>8188</v>
      </c>
      <c r="C7684" s="1">
        <v>45982</v>
      </c>
    </row>
    <row r="7685" spans="1:3" x14ac:dyDescent="0.25">
      <c r="A7685" t="s">
        <v>8159</v>
      </c>
      <c r="B7685" t="s">
        <v>8188</v>
      </c>
      <c r="C7685" s="1">
        <v>45995</v>
      </c>
    </row>
    <row r="7686" spans="1:3" x14ac:dyDescent="0.25">
      <c r="A7686" t="s">
        <v>5620</v>
      </c>
      <c r="B7686" t="s">
        <v>8188</v>
      </c>
      <c r="C7686" s="1">
        <v>45983</v>
      </c>
    </row>
    <row r="7687" spans="1:3" x14ac:dyDescent="0.25">
      <c r="A7687" t="s">
        <v>5621</v>
      </c>
      <c r="B7687" t="s">
        <v>8188</v>
      </c>
      <c r="C7687" s="1">
        <v>45982</v>
      </c>
    </row>
    <row r="7688" spans="1:3" x14ac:dyDescent="0.25">
      <c r="A7688" t="s">
        <v>5386</v>
      </c>
      <c r="B7688" t="s">
        <v>8188</v>
      </c>
      <c r="C7688" s="1">
        <v>45985</v>
      </c>
    </row>
    <row r="7689" spans="1:3" x14ac:dyDescent="0.25">
      <c r="A7689" t="s">
        <v>5622</v>
      </c>
      <c r="B7689" t="s">
        <v>8188</v>
      </c>
      <c r="C7689" s="1">
        <v>45982</v>
      </c>
    </row>
    <row r="7690" spans="1:3" x14ac:dyDescent="0.25">
      <c r="A7690" t="s">
        <v>5387</v>
      </c>
      <c r="B7690" t="s">
        <v>8188</v>
      </c>
      <c r="C7690" s="1">
        <v>45986</v>
      </c>
    </row>
    <row r="7691" spans="1:3" x14ac:dyDescent="0.25">
      <c r="A7691" t="s">
        <v>5388</v>
      </c>
      <c r="B7691" t="s">
        <v>8188</v>
      </c>
      <c r="C7691" s="1">
        <v>45986</v>
      </c>
    </row>
    <row r="7692" spans="1:3" x14ac:dyDescent="0.25">
      <c r="A7692" t="s">
        <v>5623</v>
      </c>
      <c r="B7692" t="s">
        <v>8188</v>
      </c>
      <c r="C7692" s="1">
        <v>45983</v>
      </c>
    </row>
    <row r="7693" spans="1:3" x14ac:dyDescent="0.25">
      <c r="A7693" t="s">
        <v>3012</v>
      </c>
      <c r="B7693" t="s">
        <v>8188</v>
      </c>
      <c r="C7693" s="1">
        <v>45985</v>
      </c>
    </row>
    <row r="7694" spans="1:3" x14ac:dyDescent="0.25">
      <c r="A7694" t="s">
        <v>8160</v>
      </c>
      <c r="B7694" t="s">
        <v>8188</v>
      </c>
      <c r="C7694" s="1">
        <v>45983</v>
      </c>
    </row>
    <row r="7695" spans="1:3" x14ac:dyDescent="0.25">
      <c r="A7695" t="s">
        <v>8161</v>
      </c>
      <c r="B7695" t="s">
        <v>8188</v>
      </c>
      <c r="C7695" s="1">
        <v>45985</v>
      </c>
    </row>
    <row r="7696" spans="1:3" x14ac:dyDescent="0.25">
      <c r="A7696" t="s">
        <v>5389</v>
      </c>
      <c r="B7696" t="s">
        <v>8188</v>
      </c>
      <c r="C7696" s="1">
        <v>45986</v>
      </c>
    </row>
    <row r="7697" spans="1:3" x14ac:dyDescent="0.25">
      <c r="A7697" t="s">
        <v>3015</v>
      </c>
      <c r="B7697" t="s">
        <v>8188</v>
      </c>
      <c r="C7697" s="1">
        <v>45985</v>
      </c>
    </row>
    <row r="7698" spans="1:3" x14ac:dyDescent="0.25">
      <c r="A7698" t="s">
        <v>5138</v>
      </c>
      <c r="B7698" t="s">
        <v>8188</v>
      </c>
      <c r="C7698" s="1">
        <v>45985</v>
      </c>
    </row>
    <row r="7699" spans="1:3" x14ac:dyDescent="0.25">
      <c r="A7699" t="s">
        <v>5625</v>
      </c>
      <c r="B7699" t="s">
        <v>8188</v>
      </c>
      <c r="C7699" s="1">
        <v>45986</v>
      </c>
    </row>
    <row r="7700" spans="1:3" x14ac:dyDescent="0.25">
      <c r="A7700" t="s">
        <v>5625</v>
      </c>
      <c r="B7700" t="s">
        <v>8188</v>
      </c>
      <c r="C7700" s="1">
        <v>45986</v>
      </c>
    </row>
    <row r="7701" spans="1:3" x14ac:dyDescent="0.25">
      <c r="A7701" t="s">
        <v>5623</v>
      </c>
      <c r="B7701" t="s">
        <v>8188</v>
      </c>
      <c r="C7701" s="1">
        <v>45983</v>
      </c>
    </row>
    <row r="7702" spans="1:3" x14ac:dyDescent="0.25">
      <c r="A7702" t="s">
        <v>5390</v>
      </c>
      <c r="B7702" t="s">
        <v>8188</v>
      </c>
      <c r="C7702" s="1">
        <v>45985</v>
      </c>
    </row>
    <row r="7703" spans="1:3" x14ac:dyDescent="0.25">
      <c r="A7703" t="s">
        <v>5139</v>
      </c>
      <c r="B7703" t="s">
        <v>8188</v>
      </c>
      <c r="C7703" s="1">
        <v>45986</v>
      </c>
    </row>
    <row r="7704" spans="1:3" x14ac:dyDescent="0.25">
      <c r="A7704" t="s">
        <v>5624</v>
      </c>
      <c r="B7704" t="s">
        <v>8188</v>
      </c>
      <c r="C7704" s="1">
        <v>45985</v>
      </c>
    </row>
    <row r="7705" spans="1:3" x14ac:dyDescent="0.25">
      <c r="A7705" t="s">
        <v>8162</v>
      </c>
      <c r="B7705" t="s">
        <v>8188</v>
      </c>
      <c r="C7705" s="1">
        <v>45992</v>
      </c>
    </row>
    <row r="7706" spans="1:3" x14ac:dyDescent="0.25">
      <c r="A7706" t="s">
        <v>8163</v>
      </c>
      <c r="B7706" t="s">
        <v>39</v>
      </c>
      <c r="C7706" s="1"/>
    </row>
    <row r="7707" spans="1:3" x14ac:dyDescent="0.25">
      <c r="A7707" t="s">
        <v>8163</v>
      </c>
      <c r="B7707" t="s">
        <v>39</v>
      </c>
      <c r="C7707" s="1"/>
    </row>
    <row r="7708" spans="1:3" x14ac:dyDescent="0.25">
      <c r="A7708" t="s">
        <v>5391</v>
      </c>
      <c r="B7708" t="s">
        <v>8188</v>
      </c>
      <c r="C7708" s="1">
        <v>45993</v>
      </c>
    </row>
    <row r="7709" spans="1:3" x14ac:dyDescent="0.25">
      <c r="A7709" t="s">
        <v>5392</v>
      </c>
      <c r="B7709" t="s">
        <v>8188</v>
      </c>
      <c r="C7709" s="1">
        <v>45987</v>
      </c>
    </row>
    <row r="7710" spans="1:3" x14ac:dyDescent="0.25">
      <c r="A7710" t="s">
        <v>5393</v>
      </c>
      <c r="B7710" t="s">
        <v>8188</v>
      </c>
      <c r="C7710" s="1">
        <v>45999</v>
      </c>
    </row>
    <row r="7711" spans="1:3" x14ac:dyDescent="0.25">
      <c r="A7711" t="s">
        <v>5393</v>
      </c>
      <c r="B7711" t="s">
        <v>8188</v>
      </c>
      <c r="C7711" s="1">
        <v>45999</v>
      </c>
    </row>
    <row r="7712" spans="1:3" x14ac:dyDescent="0.25">
      <c r="A7712" t="s">
        <v>5394</v>
      </c>
      <c r="B7712" t="s">
        <v>8188</v>
      </c>
      <c r="C7712" s="1">
        <v>45988</v>
      </c>
    </row>
    <row r="7713" spans="1:3" x14ac:dyDescent="0.25">
      <c r="A7713" t="s">
        <v>5395</v>
      </c>
      <c r="B7713" t="s">
        <v>8188</v>
      </c>
      <c r="C7713" s="1">
        <v>45986</v>
      </c>
    </row>
    <row r="7714" spans="1:3" x14ac:dyDescent="0.25">
      <c r="A7714" t="s">
        <v>5396</v>
      </c>
      <c r="B7714" t="s">
        <v>8188</v>
      </c>
      <c r="C7714" s="1">
        <v>45988</v>
      </c>
    </row>
    <row r="7715" spans="1:3" x14ac:dyDescent="0.25">
      <c r="A7715" t="s">
        <v>5397</v>
      </c>
      <c r="B7715" t="s">
        <v>39</v>
      </c>
      <c r="C7715" s="1"/>
    </row>
    <row r="7716" spans="1:3" x14ac:dyDescent="0.25">
      <c r="A7716" t="s">
        <v>5398</v>
      </c>
      <c r="B7716" t="s">
        <v>8188</v>
      </c>
      <c r="C7716" s="1">
        <v>45992</v>
      </c>
    </row>
    <row r="7717" spans="1:3" x14ac:dyDescent="0.25">
      <c r="A7717" t="s">
        <v>5117</v>
      </c>
      <c r="B7717" t="s">
        <v>39</v>
      </c>
      <c r="C7717" s="1"/>
    </row>
    <row r="7718" spans="1:3" x14ac:dyDescent="0.25">
      <c r="A7718" t="s">
        <v>8164</v>
      </c>
      <c r="B7718" t="s">
        <v>8188</v>
      </c>
      <c r="C7718" s="1">
        <v>45988</v>
      </c>
    </row>
    <row r="7719" spans="1:3" x14ac:dyDescent="0.25">
      <c r="A7719" t="s">
        <v>5399</v>
      </c>
      <c r="B7719" t="s">
        <v>8188</v>
      </c>
      <c r="C7719" s="1">
        <v>45987</v>
      </c>
    </row>
    <row r="7720" spans="1:3" x14ac:dyDescent="0.25">
      <c r="A7720" t="s">
        <v>8165</v>
      </c>
      <c r="B7720" t="s">
        <v>8188</v>
      </c>
      <c r="C7720" s="1">
        <v>45986</v>
      </c>
    </row>
    <row r="7721" spans="1:3" x14ac:dyDescent="0.25">
      <c r="A7721" t="s">
        <v>5435</v>
      </c>
      <c r="B7721" t="s">
        <v>8188</v>
      </c>
      <c r="C7721" s="1">
        <v>45988</v>
      </c>
    </row>
    <row r="7722" spans="1:3" x14ac:dyDescent="0.25">
      <c r="A7722" t="s">
        <v>5626</v>
      </c>
      <c r="B7722" t="s">
        <v>8188</v>
      </c>
      <c r="C7722" s="1">
        <v>45986</v>
      </c>
    </row>
    <row r="7723" spans="1:3" x14ac:dyDescent="0.25">
      <c r="A7723" t="s">
        <v>8166</v>
      </c>
      <c r="B7723" t="s">
        <v>8188</v>
      </c>
      <c r="C7723" s="1">
        <v>45988</v>
      </c>
    </row>
    <row r="7724" spans="1:3" x14ac:dyDescent="0.25">
      <c r="A7724" t="s">
        <v>8167</v>
      </c>
      <c r="B7724" t="s">
        <v>8188</v>
      </c>
      <c r="C7724" s="1">
        <v>45986</v>
      </c>
    </row>
    <row r="7725" spans="1:3" x14ac:dyDescent="0.25">
      <c r="A7725" t="s">
        <v>2977</v>
      </c>
      <c r="B7725" t="s">
        <v>39</v>
      </c>
      <c r="C7725" s="1"/>
    </row>
    <row r="7726" spans="1:3" x14ac:dyDescent="0.25">
      <c r="A7726" t="s">
        <v>5627</v>
      </c>
      <c r="B7726" t="s">
        <v>8188</v>
      </c>
      <c r="C7726" s="1">
        <v>45986</v>
      </c>
    </row>
    <row r="7727" spans="1:3" x14ac:dyDescent="0.25">
      <c r="A7727" t="s">
        <v>5628</v>
      </c>
      <c r="B7727" t="s">
        <v>8188</v>
      </c>
      <c r="C7727" s="1">
        <v>45988</v>
      </c>
    </row>
    <row r="7728" spans="1:3" x14ac:dyDescent="0.25">
      <c r="A7728" t="s">
        <v>5629</v>
      </c>
      <c r="B7728" t="s">
        <v>8188</v>
      </c>
      <c r="C7728" s="1">
        <v>45988</v>
      </c>
    </row>
    <row r="7729" spans="1:3" x14ac:dyDescent="0.25">
      <c r="A7729" t="s">
        <v>5630</v>
      </c>
      <c r="B7729" t="s">
        <v>8188</v>
      </c>
      <c r="C7729" s="1">
        <v>45988</v>
      </c>
    </row>
    <row r="7730" spans="1:3" x14ac:dyDescent="0.25">
      <c r="A7730" t="s">
        <v>5631</v>
      </c>
      <c r="B7730" t="s">
        <v>8188</v>
      </c>
      <c r="C7730" s="1">
        <v>45988</v>
      </c>
    </row>
    <row r="7731" spans="1:3" x14ac:dyDescent="0.25">
      <c r="A7731" t="s">
        <v>5400</v>
      </c>
      <c r="B7731" t="s">
        <v>8188</v>
      </c>
      <c r="C7731" s="1">
        <v>45988</v>
      </c>
    </row>
    <row r="7732" spans="1:3" x14ac:dyDescent="0.25">
      <c r="A7732" t="s">
        <v>5632</v>
      </c>
      <c r="B7732" t="s">
        <v>8188</v>
      </c>
      <c r="C7732" s="1">
        <v>45993</v>
      </c>
    </row>
    <row r="7733" spans="1:3" x14ac:dyDescent="0.25">
      <c r="A7733" t="s">
        <v>5401</v>
      </c>
      <c r="B7733" t="s">
        <v>8188</v>
      </c>
      <c r="C7733" s="1">
        <v>45990</v>
      </c>
    </row>
    <row r="7734" spans="1:3" x14ac:dyDescent="0.25">
      <c r="A7734" t="s">
        <v>5633</v>
      </c>
      <c r="B7734" t="s">
        <v>8188</v>
      </c>
      <c r="C7734" s="1">
        <v>45988</v>
      </c>
    </row>
    <row r="7735" spans="1:3" x14ac:dyDescent="0.25">
      <c r="A7735" t="s">
        <v>8168</v>
      </c>
      <c r="B7735" t="s">
        <v>8188</v>
      </c>
      <c r="C7735" s="1">
        <v>45994</v>
      </c>
    </row>
    <row r="7736" spans="1:3" x14ac:dyDescent="0.25">
      <c r="A7736" t="s">
        <v>8169</v>
      </c>
      <c r="B7736" t="s">
        <v>39</v>
      </c>
      <c r="C7736" s="1">
        <v>45988</v>
      </c>
    </row>
    <row r="7737" spans="1:3" x14ac:dyDescent="0.25">
      <c r="A7737" t="s">
        <v>8170</v>
      </c>
      <c r="B7737" t="s">
        <v>8188</v>
      </c>
      <c r="C7737" s="1">
        <v>45990</v>
      </c>
    </row>
    <row r="7738" spans="1:3" x14ac:dyDescent="0.25">
      <c r="A7738" t="s">
        <v>8170</v>
      </c>
      <c r="B7738" t="s">
        <v>8188</v>
      </c>
      <c r="C7738" s="1">
        <v>45989</v>
      </c>
    </row>
    <row r="7739" spans="1:3" x14ac:dyDescent="0.25">
      <c r="A7739" t="s">
        <v>8171</v>
      </c>
      <c r="B7739" t="s">
        <v>8188</v>
      </c>
      <c r="C7739" s="1">
        <v>45993</v>
      </c>
    </row>
    <row r="7740" spans="1:3" x14ac:dyDescent="0.25">
      <c r="A7740" t="s">
        <v>8172</v>
      </c>
      <c r="B7740" t="s">
        <v>8188</v>
      </c>
      <c r="C7740" s="1">
        <v>45990</v>
      </c>
    </row>
    <row r="7741" spans="1:3" x14ac:dyDescent="0.25">
      <c r="A7741" t="s">
        <v>5635</v>
      </c>
      <c r="B7741" t="s">
        <v>8188</v>
      </c>
      <c r="C7741" s="1">
        <v>45992</v>
      </c>
    </row>
    <row r="7742" spans="1:3" x14ac:dyDescent="0.25">
      <c r="A7742" t="s">
        <v>5634</v>
      </c>
      <c r="B7742" t="s">
        <v>8188</v>
      </c>
      <c r="C7742" s="1">
        <v>45992</v>
      </c>
    </row>
    <row r="7743" spans="1:3" x14ac:dyDescent="0.25">
      <c r="A7743" t="s">
        <v>8173</v>
      </c>
      <c r="B7743" t="s">
        <v>8188</v>
      </c>
      <c r="C7743" s="1">
        <v>45993</v>
      </c>
    </row>
    <row r="7744" spans="1:3" x14ac:dyDescent="0.25">
      <c r="A7744" t="s">
        <v>5636</v>
      </c>
      <c r="B7744" t="s">
        <v>8188</v>
      </c>
      <c r="C7744" s="1">
        <v>45993</v>
      </c>
    </row>
    <row r="7745" spans="1:3" x14ac:dyDescent="0.25">
      <c r="A7745" t="s">
        <v>5403</v>
      </c>
      <c r="B7745" t="s">
        <v>8188</v>
      </c>
      <c r="C7745" s="1">
        <v>45993</v>
      </c>
    </row>
    <row r="7746" spans="1:3" x14ac:dyDescent="0.25">
      <c r="A7746" t="s">
        <v>3221</v>
      </c>
      <c r="B7746" t="s">
        <v>8188</v>
      </c>
      <c r="C7746" s="1">
        <v>45990</v>
      </c>
    </row>
    <row r="7747" spans="1:3" x14ac:dyDescent="0.25">
      <c r="A7747" t="s">
        <v>5406</v>
      </c>
      <c r="B7747" t="s">
        <v>8188</v>
      </c>
      <c r="C7747" s="1">
        <v>45994</v>
      </c>
    </row>
    <row r="7748" spans="1:3" x14ac:dyDescent="0.25">
      <c r="A7748" t="s">
        <v>5405</v>
      </c>
      <c r="B7748" t="s">
        <v>8188</v>
      </c>
      <c r="C7748" s="1">
        <v>45992</v>
      </c>
    </row>
    <row r="7749" spans="1:3" x14ac:dyDescent="0.25">
      <c r="A7749" t="s">
        <v>5404</v>
      </c>
      <c r="B7749" t="s">
        <v>8188</v>
      </c>
      <c r="C7749" s="1">
        <v>45992</v>
      </c>
    </row>
    <row r="7750" spans="1:3" x14ac:dyDescent="0.25">
      <c r="A7750" t="s">
        <v>5407</v>
      </c>
      <c r="B7750" t="s">
        <v>8188</v>
      </c>
      <c r="C7750" s="1">
        <v>45994</v>
      </c>
    </row>
    <row r="7751" spans="1:3" x14ac:dyDescent="0.25">
      <c r="A7751" t="s">
        <v>5637</v>
      </c>
      <c r="B7751" t="s">
        <v>8188</v>
      </c>
      <c r="C7751" s="1">
        <v>45993</v>
      </c>
    </row>
    <row r="7752" spans="1:3" x14ac:dyDescent="0.25">
      <c r="A7752" t="s">
        <v>8174</v>
      </c>
      <c r="B7752" t="s">
        <v>8188</v>
      </c>
      <c r="C7752" s="1">
        <v>45993</v>
      </c>
    </row>
    <row r="7753" spans="1:3" x14ac:dyDescent="0.25">
      <c r="A7753" t="s">
        <v>5408</v>
      </c>
      <c r="B7753" t="s">
        <v>8188</v>
      </c>
      <c r="C7753" s="1">
        <v>45993</v>
      </c>
    </row>
    <row r="7754" spans="1:3" x14ac:dyDescent="0.25">
      <c r="A7754" t="s">
        <v>58</v>
      </c>
      <c r="B7754" t="s">
        <v>39</v>
      </c>
      <c r="C7754" s="1"/>
    </row>
    <row r="7755" spans="1:3" x14ac:dyDescent="0.25">
      <c r="A7755" t="s">
        <v>56</v>
      </c>
      <c r="B7755" t="s">
        <v>8188</v>
      </c>
      <c r="C7755" s="1">
        <v>45993</v>
      </c>
    </row>
    <row r="7756" spans="1:3" x14ac:dyDescent="0.25">
      <c r="A7756" t="s">
        <v>51</v>
      </c>
      <c r="B7756" t="s">
        <v>8188</v>
      </c>
      <c r="C7756" s="1">
        <v>45994</v>
      </c>
    </row>
    <row r="7757" spans="1:3" x14ac:dyDescent="0.25">
      <c r="A7757" t="s">
        <v>50</v>
      </c>
      <c r="B7757" t="s">
        <v>8188</v>
      </c>
      <c r="C7757" s="1">
        <v>45995</v>
      </c>
    </row>
    <row r="7758" spans="1:3" x14ac:dyDescent="0.25">
      <c r="A7758" t="s">
        <v>48</v>
      </c>
      <c r="B7758" t="s">
        <v>39</v>
      </c>
      <c r="C7758" s="1"/>
    </row>
    <row r="7759" spans="1:3" x14ac:dyDescent="0.25">
      <c r="A7759" t="s">
        <v>47</v>
      </c>
      <c r="B7759" t="s">
        <v>8188</v>
      </c>
      <c r="C7759" s="1">
        <v>45995</v>
      </c>
    </row>
    <row r="7760" spans="1:3" x14ac:dyDescent="0.25">
      <c r="A7760" t="s">
        <v>45</v>
      </c>
      <c r="B7760" t="s">
        <v>8188</v>
      </c>
      <c r="C7760" s="1">
        <v>45994</v>
      </c>
    </row>
    <row r="7761" spans="1:3" x14ac:dyDescent="0.25">
      <c r="A7761" t="s">
        <v>68</v>
      </c>
      <c r="B7761" t="s">
        <v>8188</v>
      </c>
      <c r="C7761" s="1">
        <v>45997</v>
      </c>
    </row>
    <row r="7762" spans="1:3" x14ac:dyDescent="0.25">
      <c r="A7762" t="s">
        <v>69</v>
      </c>
      <c r="B7762" t="s">
        <v>8188</v>
      </c>
      <c r="C7762" s="1">
        <v>45994</v>
      </c>
    </row>
    <row r="7763" spans="1:3" x14ac:dyDescent="0.25">
      <c r="A7763" t="s">
        <v>70</v>
      </c>
      <c r="B7763" t="s">
        <v>8188</v>
      </c>
      <c r="C7763" s="1">
        <v>45996</v>
      </c>
    </row>
    <row r="7764" spans="1:3" x14ac:dyDescent="0.25">
      <c r="A7764" t="s">
        <v>64</v>
      </c>
      <c r="B7764" t="s">
        <v>8188</v>
      </c>
      <c r="C7764" s="1">
        <v>45996</v>
      </c>
    </row>
    <row r="7765" spans="1:3" x14ac:dyDescent="0.25">
      <c r="A7765" t="s">
        <v>63</v>
      </c>
      <c r="B7765" t="s">
        <v>8188</v>
      </c>
      <c r="C7765" s="1">
        <v>45995</v>
      </c>
    </row>
    <row r="7766" spans="1:3" x14ac:dyDescent="0.25">
      <c r="A7766" t="s">
        <v>63</v>
      </c>
      <c r="B7766" t="s">
        <v>8188</v>
      </c>
      <c r="C7766" s="1">
        <v>45996</v>
      </c>
    </row>
    <row r="7767" spans="1:3" x14ac:dyDescent="0.25">
      <c r="A7767" t="s">
        <v>62</v>
      </c>
      <c r="B7767" t="s">
        <v>8188</v>
      </c>
      <c r="C7767" s="1">
        <v>45995</v>
      </c>
    </row>
    <row r="7768" spans="1:3" x14ac:dyDescent="0.25">
      <c r="A7768" t="s">
        <v>74</v>
      </c>
      <c r="B7768" t="s">
        <v>8188</v>
      </c>
      <c r="C7768" s="1">
        <v>45996</v>
      </c>
    </row>
    <row r="7769" spans="1:3" x14ac:dyDescent="0.25">
      <c r="A7769" t="s">
        <v>62</v>
      </c>
      <c r="B7769" t="s">
        <v>8188</v>
      </c>
      <c r="C7769" s="1">
        <v>45995</v>
      </c>
    </row>
    <row r="7770" spans="1:3" x14ac:dyDescent="0.25">
      <c r="A7770" t="s">
        <v>78</v>
      </c>
      <c r="B7770" t="s">
        <v>8188</v>
      </c>
      <c r="C7770" s="1">
        <v>45996</v>
      </c>
    </row>
    <row r="7771" spans="1:3" x14ac:dyDescent="0.25">
      <c r="A7771" t="s">
        <v>8175</v>
      </c>
      <c r="B7771" t="s">
        <v>39</v>
      </c>
      <c r="C7771" s="1"/>
    </row>
    <row r="7772" spans="1:3" x14ac:dyDescent="0.25">
      <c r="A7772" t="s">
        <v>85</v>
      </c>
      <c r="B7772" t="s">
        <v>8188</v>
      </c>
      <c r="C7772" s="1">
        <v>45996</v>
      </c>
    </row>
    <row r="7773" spans="1:3" x14ac:dyDescent="0.25">
      <c r="A7773" t="s">
        <v>85</v>
      </c>
      <c r="B7773" t="s">
        <v>8188</v>
      </c>
      <c r="C7773" s="1">
        <v>45996</v>
      </c>
    </row>
    <row r="7774" spans="1:3" x14ac:dyDescent="0.25">
      <c r="A7774" t="s">
        <v>82</v>
      </c>
      <c r="B7774" t="s">
        <v>8188</v>
      </c>
      <c r="C7774" s="1">
        <v>45997</v>
      </c>
    </row>
    <row r="7775" spans="1:3" x14ac:dyDescent="0.25">
      <c r="A7775" t="s">
        <v>81</v>
      </c>
      <c r="B7775" t="s">
        <v>8188</v>
      </c>
      <c r="C7775" s="1">
        <v>45997</v>
      </c>
    </row>
    <row r="7776" spans="1:3" x14ac:dyDescent="0.25">
      <c r="A7776" t="s">
        <v>80</v>
      </c>
      <c r="B7776" t="s">
        <v>8188</v>
      </c>
      <c r="C7776" s="1">
        <v>45995</v>
      </c>
    </row>
    <row r="7777" spans="1:3" x14ac:dyDescent="0.25">
      <c r="A7777" t="s">
        <v>91</v>
      </c>
      <c r="B7777" t="s">
        <v>8188</v>
      </c>
      <c r="C7777" s="1">
        <v>45996</v>
      </c>
    </row>
    <row r="7778" spans="1:3" x14ac:dyDescent="0.25">
      <c r="A7778" t="s">
        <v>92</v>
      </c>
      <c r="B7778" t="s">
        <v>8188</v>
      </c>
      <c r="C7778" s="1">
        <v>46003</v>
      </c>
    </row>
    <row r="7779" spans="1:3" x14ac:dyDescent="0.25">
      <c r="A7779" t="s">
        <v>107</v>
      </c>
      <c r="B7779" t="s">
        <v>8188</v>
      </c>
      <c r="C7779" s="1">
        <v>46000</v>
      </c>
    </row>
    <row r="7780" spans="1:3" x14ac:dyDescent="0.25">
      <c r="A7780" t="s">
        <v>106</v>
      </c>
      <c r="B7780" t="s">
        <v>8188</v>
      </c>
      <c r="C7780" s="1">
        <v>45997</v>
      </c>
    </row>
    <row r="7781" spans="1:3" x14ac:dyDescent="0.25">
      <c r="A7781" t="s">
        <v>105</v>
      </c>
      <c r="B7781" t="s">
        <v>8188</v>
      </c>
      <c r="C7781" s="1">
        <v>45997</v>
      </c>
    </row>
    <row r="7782" spans="1:3" x14ac:dyDescent="0.25">
      <c r="A7782" t="s">
        <v>103</v>
      </c>
      <c r="B7782" t="s">
        <v>8188</v>
      </c>
      <c r="C7782" s="1">
        <v>46003</v>
      </c>
    </row>
    <row r="7783" spans="1:3" x14ac:dyDescent="0.25">
      <c r="A7783" t="s">
        <v>102</v>
      </c>
      <c r="B7783" t="s">
        <v>8188</v>
      </c>
      <c r="C7783" s="1">
        <v>46000</v>
      </c>
    </row>
    <row r="7784" spans="1:3" x14ac:dyDescent="0.25">
      <c r="A7784" t="s">
        <v>102</v>
      </c>
      <c r="B7784" t="s">
        <v>8188</v>
      </c>
      <c r="C7784" s="1">
        <v>46000</v>
      </c>
    </row>
    <row r="7785" spans="1:3" x14ac:dyDescent="0.25">
      <c r="A7785" t="s">
        <v>101</v>
      </c>
      <c r="B7785" t="s">
        <v>8188</v>
      </c>
      <c r="C7785" s="1">
        <v>46000</v>
      </c>
    </row>
    <row r="7786" spans="1:3" x14ac:dyDescent="0.25">
      <c r="A7786" t="s">
        <v>94</v>
      </c>
      <c r="B7786" t="s">
        <v>8188</v>
      </c>
      <c r="C7786" s="1">
        <v>46001</v>
      </c>
    </row>
    <row r="7787" spans="1:3" x14ac:dyDescent="0.25">
      <c r="A7787" t="s">
        <v>95</v>
      </c>
      <c r="B7787" t="s">
        <v>8188</v>
      </c>
      <c r="C7787" s="1">
        <v>45997</v>
      </c>
    </row>
    <row r="7788" spans="1:3" x14ac:dyDescent="0.25">
      <c r="A7788" t="s">
        <v>96</v>
      </c>
      <c r="B7788" t="s">
        <v>8188</v>
      </c>
      <c r="C7788" s="1">
        <v>45997</v>
      </c>
    </row>
    <row r="7789" spans="1:3" x14ac:dyDescent="0.25">
      <c r="A7789" t="s">
        <v>121</v>
      </c>
      <c r="B7789" t="s">
        <v>8188</v>
      </c>
      <c r="C7789" s="1">
        <v>46000</v>
      </c>
    </row>
    <row r="7790" spans="1:3" x14ac:dyDescent="0.25">
      <c r="A7790" t="s">
        <v>100</v>
      </c>
      <c r="B7790" t="s">
        <v>8188</v>
      </c>
      <c r="C7790" s="1">
        <v>45997</v>
      </c>
    </row>
    <row r="7791" spans="1:3" x14ac:dyDescent="0.25">
      <c r="A7791" t="s">
        <v>99</v>
      </c>
      <c r="B7791" t="s">
        <v>8188</v>
      </c>
      <c r="C7791" s="1">
        <v>46003</v>
      </c>
    </row>
    <row r="7792" spans="1:3" x14ac:dyDescent="0.25">
      <c r="A7792" t="s">
        <v>111</v>
      </c>
      <c r="B7792" t="s">
        <v>8188</v>
      </c>
      <c r="C7792" s="1">
        <v>45997</v>
      </c>
    </row>
    <row r="7793" spans="1:3" x14ac:dyDescent="0.25">
      <c r="A7793" t="s">
        <v>109</v>
      </c>
      <c r="B7793" t="s">
        <v>8188</v>
      </c>
      <c r="C7793" s="1">
        <v>46000</v>
      </c>
    </row>
    <row r="7794" spans="1:3" x14ac:dyDescent="0.25">
      <c r="A7794" t="s">
        <v>118</v>
      </c>
      <c r="B7794" t="s">
        <v>8188</v>
      </c>
      <c r="C7794" s="1">
        <v>45999</v>
      </c>
    </row>
    <row r="7795" spans="1:3" x14ac:dyDescent="0.25">
      <c r="A7795" t="s">
        <v>96</v>
      </c>
      <c r="B7795" t="s">
        <v>8188</v>
      </c>
      <c r="C7795" s="1">
        <v>45997</v>
      </c>
    </row>
    <row r="7796" spans="1:3" x14ac:dyDescent="0.25">
      <c r="A7796" t="s">
        <v>137</v>
      </c>
      <c r="B7796" t="s">
        <v>8188</v>
      </c>
      <c r="C7796" s="1">
        <v>46003</v>
      </c>
    </row>
    <row r="7797" spans="1:3" x14ac:dyDescent="0.25">
      <c r="A7797" t="s">
        <v>138</v>
      </c>
      <c r="B7797" t="s">
        <v>8188</v>
      </c>
      <c r="C7797" s="1">
        <v>46002</v>
      </c>
    </row>
    <row r="7798" spans="1:3" x14ac:dyDescent="0.25">
      <c r="A7798" t="s">
        <v>136</v>
      </c>
      <c r="B7798" t="s">
        <v>8188</v>
      </c>
      <c r="C7798" s="1">
        <v>46000</v>
      </c>
    </row>
    <row r="7799" spans="1:3" x14ac:dyDescent="0.25">
      <c r="A7799" t="s">
        <v>132</v>
      </c>
      <c r="B7799" t="s">
        <v>8188</v>
      </c>
      <c r="C7799" s="1">
        <v>46001</v>
      </c>
    </row>
    <row r="7800" spans="1:3" x14ac:dyDescent="0.25">
      <c r="A7800" t="s">
        <v>128</v>
      </c>
      <c r="B7800" t="s">
        <v>8188</v>
      </c>
      <c r="C7800" s="1">
        <v>46001</v>
      </c>
    </row>
    <row r="7801" spans="1:3" x14ac:dyDescent="0.25">
      <c r="A7801" t="s">
        <v>126</v>
      </c>
      <c r="B7801" t="s">
        <v>39</v>
      </c>
      <c r="C7801" s="1"/>
    </row>
    <row r="7802" spans="1:3" x14ac:dyDescent="0.25">
      <c r="A7802" t="s">
        <v>123</v>
      </c>
      <c r="B7802" t="s">
        <v>8188</v>
      </c>
      <c r="C7802" s="1">
        <v>46002</v>
      </c>
    </row>
    <row r="7803" spans="1:3" x14ac:dyDescent="0.25">
      <c r="A7803" t="s">
        <v>151</v>
      </c>
      <c r="B7803" t="s">
        <v>8188</v>
      </c>
      <c r="C7803" s="1">
        <v>46002</v>
      </c>
    </row>
    <row r="7804" spans="1:3" x14ac:dyDescent="0.25">
      <c r="A7804" t="s">
        <v>150</v>
      </c>
      <c r="B7804" t="s">
        <v>8188</v>
      </c>
      <c r="C7804" s="1">
        <v>46003</v>
      </c>
    </row>
    <row r="7805" spans="1:3" x14ac:dyDescent="0.25">
      <c r="A7805" t="s">
        <v>147</v>
      </c>
      <c r="B7805" t="s">
        <v>8188</v>
      </c>
      <c r="C7805" s="1">
        <v>46002</v>
      </c>
    </row>
    <row r="7806" spans="1:3" x14ac:dyDescent="0.25">
      <c r="A7806" t="s">
        <v>148</v>
      </c>
      <c r="B7806" t="s">
        <v>8188</v>
      </c>
      <c r="C7806" s="1">
        <v>46002</v>
      </c>
    </row>
    <row r="7807" spans="1:3" x14ac:dyDescent="0.25">
      <c r="A7807" t="s">
        <v>146</v>
      </c>
      <c r="B7807" t="s">
        <v>8188</v>
      </c>
      <c r="C7807" s="1">
        <v>46003</v>
      </c>
    </row>
    <row r="7808" spans="1:3" x14ac:dyDescent="0.25">
      <c r="A7808" t="s">
        <v>144</v>
      </c>
      <c r="B7808" t="s">
        <v>8188</v>
      </c>
      <c r="C7808" s="1">
        <v>46002</v>
      </c>
    </row>
    <row r="7809" spans="1:3" x14ac:dyDescent="0.25">
      <c r="A7809" t="s">
        <v>143</v>
      </c>
      <c r="B7809" t="s">
        <v>8188</v>
      </c>
      <c r="C7809" s="1">
        <v>46002</v>
      </c>
    </row>
    <row r="7810" spans="1:3" x14ac:dyDescent="0.25">
      <c r="A7810" t="s">
        <v>157</v>
      </c>
      <c r="B7810" t="s">
        <v>8188</v>
      </c>
      <c r="C7810" s="1">
        <v>46002</v>
      </c>
    </row>
    <row r="7811" spans="1:3" x14ac:dyDescent="0.25">
      <c r="A7811" t="s">
        <v>154</v>
      </c>
      <c r="B7811" t="s">
        <v>8188</v>
      </c>
      <c r="C7811" s="1">
        <v>46009</v>
      </c>
    </row>
    <row r="7812" spans="1:3" x14ac:dyDescent="0.25">
      <c r="A7812" t="s">
        <v>160</v>
      </c>
      <c r="B7812" t="s">
        <v>8188</v>
      </c>
      <c r="C7812" s="1">
        <v>46002</v>
      </c>
    </row>
    <row r="7813" spans="1:3" x14ac:dyDescent="0.25">
      <c r="A7813" t="s">
        <v>173</v>
      </c>
      <c r="B7813" t="s">
        <v>8188</v>
      </c>
      <c r="C7813" s="1">
        <v>46002</v>
      </c>
    </row>
    <row r="7814" spans="1:3" x14ac:dyDescent="0.25">
      <c r="A7814" t="s">
        <v>172</v>
      </c>
      <c r="B7814" t="s">
        <v>8188</v>
      </c>
      <c r="C7814" s="1">
        <v>46003</v>
      </c>
    </row>
    <row r="7815" spans="1:3" x14ac:dyDescent="0.25">
      <c r="A7815" t="s">
        <v>164</v>
      </c>
      <c r="B7815" t="s">
        <v>8188</v>
      </c>
      <c r="C7815" s="1">
        <v>46003</v>
      </c>
    </row>
    <row r="7816" spans="1:3" x14ac:dyDescent="0.25">
      <c r="A7816" t="s">
        <v>175</v>
      </c>
      <c r="B7816" t="s">
        <v>8188</v>
      </c>
      <c r="C7816" s="1">
        <v>46010</v>
      </c>
    </row>
    <row r="7817" spans="1:3" x14ac:dyDescent="0.25">
      <c r="A7817" t="s">
        <v>142</v>
      </c>
      <c r="B7817" t="s">
        <v>8188</v>
      </c>
      <c r="C7817" s="1">
        <v>46004</v>
      </c>
    </row>
    <row r="7818" spans="1:3" x14ac:dyDescent="0.25">
      <c r="A7818" t="s">
        <v>188</v>
      </c>
      <c r="B7818" t="s">
        <v>8188</v>
      </c>
      <c r="C7818" s="1">
        <v>46007</v>
      </c>
    </row>
    <row r="7819" spans="1:3" x14ac:dyDescent="0.25">
      <c r="A7819" t="s">
        <v>185</v>
      </c>
      <c r="B7819" t="s">
        <v>8188</v>
      </c>
      <c r="C7819" s="1">
        <v>46007</v>
      </c>
    </row>
    <row r="7820" spans="1:3" x14ac:dyDescent="0.25">
      <c r="A7820" t="s">
        <v>183</v>
      </c>
      <c r="B7820" t="s">
        <v>8188</v>
      </c>
      <c r="C7820" s="1">
        <v>46011</v>
      </c>
    </row>
    <row r="7821" spans="1:3" x14ac:dyDescent="0.25">
      <c r="A7821" t="s">
        <v>194</v>
      </c>
      <c r="B7821" t="s">
        <v>8188</v>
      </c>
      <c r="C7821" s="1">
        <v>46004</v>
      </c>
    </row>
    <row r="7822" spans="1:3" x14ac:dyDescent="0.25">
      <c r="A7822" t="s">
        <v>193</v>
      </c>
      <c r="B7822" t="s">
        <v>8188</v>
      </c>
      <c r="C7822" s="1">
        <v>46004</v>
      </c>
    </row>
    <row r="7823" spans="1:3" x14ac:dyDescent="0.25">
      <c r="A7823" t="s">
        <v>191</v>
      </c>
      <c r="B7823" t="s">
        <v>8188</v>
      </c>
      <c r="C7823" s="1">
        <v>46009</v>
      </c>
    </row>
    <row r="7824" spans="1:3" x14ac:dyDescent="0.25">
      <c r="A7824" t="s">
        <v>190</v>
      </c>
      <c r="B7824" t="s">
        <v>39</v>
      </c>
      <c r="C7824" s="1"/>
    </row>
    <row r="7825" spans="1:3" x14ac:dyDescent="0.25">
      <c r="A7825" t="s">
        <v>185</v>
      </c>
      <c r="B7825" t="s">
        <v>8188</v>
      </c>
      <c r="C7825" s="1">
        <v>46009</v>
      </c>
    </row>
    <row r="7826" spans="1:3" x14ac:dyDescent="0.25">
      <c r="A7826" t="s">
        <v>199</v>
      </c>
      <c r="B7826" t="s">
        <v>8188</v>
      </c>
      <c r="C7826" s="1">
        <v>46010</v>
      </c>
    </row>
    <row r="7827" spans="1:3" x14ac:dyDescent="0.25">
      <c r="A7827" t="s">
        <v>198</v>
      </c>
      <c r="B7827" t="s">
        <v>8188</v>
      </c>
      <c r="C7827" s="1">
        <v>46008</v>
      </c>
    </row>
    <row r="7828" spans="1:3" x14ac:dyDescent="0.25">
      <c r="A7828" t="s">
        <v>197</v>
      </c>
      <c r="B7828" t="s">
        <v>8188</v>
      </c>
      <c r="C7828" s="1">
        <v>46007</v>
      </c>
    </row>
    <row r="7829" spans="1:3" x14ac:dyDescent="0.25">
      <c r="A7829" t="s">
        <v>207</v>
      </c>
      <c r="B7829" t="s">
        <v>8188</v>
      </c>
      <c r="C7829" s="1">
        <v>46011</v>
      </c>
    </row>
    <row r="7830" spans="1:3" x14ac:dyDescent="0.25">
      <c r="A7830" t="s">
        <v>212</v>
      </c>
      <c r="B7830" t="s">
        <v>8188</v>
      </c>
      <c r="C7830" s="1">
        <v>46013</v>
      </c>
    </row>
    <row r="7831" spans="1:3" x14ac:dyDescent="0.25">
      <c r="A7831" t="s">
        <v>211</v>
      </c>
      <c r="B7831" t="s">
        <v>8188</v>
      </c>
      <c r="C7831" s="1">
        <v>46013</v>
      </c>
    </row>
    <row r="7832" spans="1:3" x14ac:dyDescent="0.25">
      <c r="A7832" t="s">
        <v>210</v>
      </c>
      <c r="B7832" t="s">
        <v>8188</v>
      </c>
      <c r="C7832" s="1">
        <v>46011</v>
      </c>
    </row>
    <row r="7833" spans="1:3" x14ac:dyDescent="0.25">
      <c r="A7833" t="s">
        <v>209</v>
      </c>
      <c r="B7833" t="s">
        <v>8188</v>
      </c>
      <c r="C7833" s="1">
        <v>46013</v>
      </c>
    </row>
    <row r="7834" spans="1:3" x14ac:dyDescent="0.25">
      <c r="A7834" t="s">
        <v>217</v>
      </c>
      <c r="B7834" t="s">
        <v>8188</v>
      </c>
      <c r="C7834" s="1">
        <v>46010</v>
      </c>
    </row>
    <row r="7835" spans="1:3" x14ac:dyDescent="0.25">
      <c r="A7835" t="s">
        <v>216</v>
      </c>
      <c r="B7835" t="s">
        <v>8188</v>
      </c>
      <c r="C7835" s="1">
        <v>46011</v>
      </c>
    </row>
    <row r="7836" spans="1:3" x14ac:dyDescent="0.25">
      <c r="A7836" t="s">
        <v>215</v>
      </c>
      <c r="B7836" t="s">
        <v>39</v>
      </c>
      <c r="C7836" s="1"/>
    </row>
    <row r="7837" spans="1:3" x14ac:dyDescent="0.25">
      <c r="A7837" t="s">
        <v>214</v>
      </c>
      <c r="B7837" t="s">
        <v>8188</v>
      </c>
      <c r="C7837" s="1">
        <v>46007</v>
      </c>
    </row>
    <row r="7838" spans="1:3" x14ac:dyDescent="0.25">
      <c r="A7838" t="s">
        <v>213</v>
      </c>
      <c r="B7838" t="s">
        <v>8188</v>
      </c>
      <c r="C7838" s="1">
        <v>46013</v>
      </c>
    </row>
    <row r="7839" spans="1:3" x14ac:dyDescent="0.25">
      <c r="A7839" t="s">
        <v>219</v>
      </c>
      <c r="B7839" t="s">
        <v>8188</v>
      </c>
      <c r="C7839" s="1">
        <v>46008</v>
      </c>
    </row>
    <row r="7840" spans="1:3" x14ac:dyDescent="0.25">
      <c r="A7840" t="s">
        <v>219</v>
      </c>
      <c r="B7840" t="s">
        <v>8188</v>
      </c>
      <c r="C7840" s="1">
        <v>46008</v>
      </c>
    </row>
    <row r="7841" spans="1:3" x14ac:dyDescent="0.25">
      <c r="A7841" t="s">
        <v>222</v>
      </c>
      <c r="B7841" t="s">
        <v>8188</v>
      </c>
      <c r="C7841" s="1">
        <v>46009</v>
      </c>
    </row>
    <row r="7842" spans="1:3" x14ac:dyDescent="0.25">
      <c r="A7842" t="s">
        <v>220</v>
      </c>
      <c r="B7842" t="s">
        <v>8188</v>
      </c>
      <c r="C7842" s="1">
        <v>46008</v>
      </c>
    </row>
    <row r="7843" spans="1:3" x14ac:dyDescent="0.25">
      <c r="A7843" t="s">
        <v>224</v>
      </c>
      <c r="B7843" t="s">
        <v>8188</v>
      </c>
      <c r="C7843" s="1">
        <v>46009</v>
      </c>
    </row>
    <row r="7844" spans="1:3" x14ac:dyDescent="0.25">
      <c r="A7844" t="s">
        <v>237</v>
      </c>
      <c r="B7844" t="s">
        <v>8188</v>
      </c>
      <c r="C7844" s="1">
        <v>46009</v>
      </c>
    </row>
    <row r="7845" spans="1:3" x14ac:dyDescent="0.25">
      <c r="A7845" t="s">
        <v>236</v>
      </c>
      <c r="B7845" t="s">
        <v>8188</v>
      </c>
      <c r="C7845" s="1">
        <v>46009</v>
      </c>
    </row>
    <row r="7846" spans="1:3" x14ac:dyDescent="0.25">
      <c r="A7846" t="s">
        <v>221</v>
      </c>
      <c r="B7846" t="s">
        <v>8188</v>
      </c>
      <c r="C7846" s="1">
        <v>46010</v>
      </c>
    </row>
    <row r="7847" spans="1:3" x14ac:dyDescent="0.25">
      <c r="A7847" t="s">
        <v>234</v>
      </c>
      <c r="B7847" t="s">
        <v>8188</v>
      </c>
      <c r="C7847" s="1">
        <v>46009</v>
      </c>
    </row>
    <row r="7848" spans="1:3" x14ac:dyDescent="0.25">
      <c r="A7848" t="s">
        <v>235</v>
      </c>
      <c r="B7848" t="s">
        <v>8188</v>
      </c>
      <c r="C7848" s="1">
        <v>46010</v>
      </c>
    </row>
    <row r="7849" spans="1:3" x14ac:dyDescent="0.25">
      <c r="A7849" t="s">
        <v>233</v>
      </c>
      <c r="B7849" t="s">
        <v>8188</v>
      </c>
      <c r="C7849" s="1">
        <v>46013</v>
      </c>
    </row>
    <row r="7850" spans="1:3" x14ac:dyDescent="0.25">
      <c r="A7850" t="s">
        <v>230</v>
      </c>
      <c r="B7850" t="s">
        <v>8188</v>
      </c>
      <c r="C7850" s="1">
        <v>46010</v>
      </c>
    </row>
    <row r="7851" spans="1:3" x14ac:dyDescent="0.25">
      <c r="A7851" t="s">
        <v>229</v>
      </c>
      <c r="B7851" t="s">
        <v>8188</v>
      </c>
      <c r="C7851" s="1">
        <v>46010</v>
      </c>
    </row>
    <row r="7852" spans="1:3" x14ac:dyDescent="0.25">
      <c r="A7852" t="s">
        <v>239</v>
      </c>
      <c r="B7852" t="s">
        <v>8188</v>
      </c>
      <c r="C7852" s="1">
        <v>46010</v>
      </c>
    </row>
    <row r="7853" spans="1:3" x14ac:dyDescent="0.25">
      <c r="A7853" t="s">
        <v>243</v>
      </c>
      <c r="B7853" t="s">
        <v>8188</v>
      </c>
      <c r="C7853" s="1">
        <v>46013</v>
      </c>
    </row>
    <row r="7854" spans="1:3" x14ac:dyDescent="0.25">
      <c r="A7854" t="s">
        <v>249</v>
      </c>
      <c r="B7854" t="s">
        <v>8188</v>
      </c>
      <c r="C7854" s="1">
        <v>46011</v>
      </c>
    </row>
    <row r="7855" spans="1:3" x14ac:dyDescent="0.25">
      <c r="A7855" t="s">
        <v>248</v>
      </c>
      <c r="B7855" t="s">
        <v>8188</v>
      </c>
      <c r="C7855" s="1">
        <v>46011</v>
      </c>
    </row>
    <row r="7856" spans="1:3" x14ac:dyDescent="0.25">
      <c r="A7856" t="s">
        <v>245</v>
      </c>
      <c r="B7856" t="s">
        <v>8188</v>
      </c>
      <c r="C7856" s="1">
        <v>46011</v>
      </c>
    </row>
    <row r="7857" spans="1:3" x14ac:dyDescent="0.25">
      <c r="A7857" t="s">
        <v>256</v>
      </c>
      <c r="B7857" t="s">
        <v>8188</v>
      </c>
      <c r="C7857" s="1">
        <v>46018</v>
      </c>
    </row>
    <row r="7858" spans="1:3" x14ac:dyDescent="0.25">
      <c r="A7858" t="s">
        <v>253</v>
      </c>
      <c r="B7858" t="s">
        <v>8188</v>
      </c>
      <c r="C7858" s="1">
        <v>46013</v>
      </c>
    </row>
    <row r="7859" spans="1:3" x14ac:dyDescent="0.25">
      <c r="A7859" t="s">
        <v>254</v>
      </c>
      <c r="B7859" t="s">
        <v>8188</v>
      </c>
      <c r="C7859" s="1">
        <v>46011</v>
      </c>
    </row>
    <row r="7860" spans="1:3" x14ac:dyDescent="0.25">
      <c r="A7860" t="s">
        <v>252</v>
      </c>
      <c r="B7860" t="s">
        <v>8188</v>
      </c>
      <c r="C7860" s="1">
        <v>46013</v>
      </c>
    </row>
    <row r="7861" spans="1:3" x14ac:dyDescent="0.25">
      <c r="A7861" t="s">
        <v>250</v>
      </c>
      <c r="B7861" t="s">
        <v>8188</v>
      </c>
      <c r="C7861" s="1">
        <v>46027</v>
      </c>
    </row>
    <row r="7862" spans="1:3" x14ac:dyDescent="0.25">
      <c r="A7862" t="s">
        <v>265</v>
      </c>
      <c r="B7862" t="s">
        <v>8188</v>
      </c>
      <c r="C7862" s="1">
        <v>46017</v>
      </c>
    </row>
    <row r="7863" spans="1:3" x14ac:dyDescent="0.25">
      <c r="A7863" t="s">
        <v>264</v>
      </c>
      <c r="B7863" t="s">
        <v>8188</v>
      </c>
      <c r="C7863" s="1">
        <v>46011</v>
      </c>
    </row>
    <row r="7864" spans="1:3" x14ac:dyDescent="0.25">
      <c r="A7864" t="s">
        <v>8176</v>
      </c>
      <c r="B7864" t="s">
        <v>39</v>
      </c>
      <c r="C7864" s="1"/>
    </row>
    <row r="7865" spans="1:3" x14ac:dyDescent="0.25">
      <c r="A7865" t="s">
        <v>259</v>
      </c>
      <c r="B7865" t="s">
        <v>8188</v>
      </c>
      <c r="C7865" s="1">
        <v>46015</v>
      </c>
    </row>
    <row r="7866" spans="1:3" x14ac:dyDescent="0.25">
      <c r="A7866" t="s">
        <v>257</v>
      </c>
      <c r="B7866" t="s">
        <v>8188</v>
      </c>
      <c r="C7866" s="1">
        <v>46028</v>
      </c>
    </row>
    <row r="7867" spans="1:3" x14ac:dyDescent="0.25">
      <c r="A7867" t="s">
        <v>276</v>
      </c>
      <c r="B7867" t="s">
        <v>8188</v>
      </c>
      <c r="C7867" s="1">
        <v>46014</v>
      </c>
    </row>
    <row r="7868" spans="1:3" x14ac:dyDescent="0.25">
      <c r="A7868" t="s">
        <v>274</v>
      </c>
      <c r="B7868" t="s">
        <v>8188</v>
      </c>
      <c r="C7868" s="1">
        <v>46014</v>
      </c>
    </row>
    <row r="7869" spans="1:3" x14ac:dyDescent="0.25">
      <c r="A7869" t="s">
        <v>275</v>
      </c>
      <c r="B7869" t="s">
        <v>8188</v>
      </c>
      <c r="C7869" s="1">
        <v>46014</v>
      </c>
    </row>
    <row r="7870" spans="1:3" x14ac:dyDescent="0.25">
      <c r="A7870" t="s">
        <v>273</v>
      </c>
      <c r="B7870" t="s">
        <v>8188</v>
      </c>
      <c r="C7870" s="1">
        <v>46018</v>
      </c>
    </row>
    <row r="7871" spans="1:3" x14ac:dyDescent="0.25">
      <c r="A7871" t="s">
        <v>279</v>
      </c>
      <c r="B7871" t="s">
        <v>8188</v>
      </c>
      <c r="C7871" s="1">
        <v>46014</v>
      </c>
    </row>
    <row r="7872" spans="1:3" x14ac:dyDescent="0.25">
      <c r="A7872" t="s">
        <v>278</v>
      </c>
      <c r="B7872" t="s">
        <v>8188</v>
      </c>
      <c r="C7872" s="1">
        <v>46020</v>
      </c>
    </row>
    <row r="7873" spans="1:3" x14ac:dyDescent="0.25">
      <c r="A7873" t="s">
        <v>284</v>
      </c>
      <c r="B7873" t="s">
        <v>8188</v>
      </c>
      <c r="C7873" s="1">
        <v>46021</v>
      </c>
    </row>
    <row r="7874" spans="1:3" x14ac:dyDescent="0.25">
      <c r="A7874" t="s">
        <v>283</v>
      </c>
      <c r="B7874" t="s">
        <v>8188</v>
      </c>
      <c r="C7874" s="1">
        <v>46015</v>
      </c>
    </row>
    <row r="7875" spans="1:3" x14ac:dyDescent="0.25">
      <c r="A7875" t="s">
        <v>282</v>
      </c>
      <c r="B7875" t="s">
        <v>8188</v>
      </c>
      <c r="C7875" s="1">
        <v>46028</v>
      </c>
    </row>
    <row r="7876" spans="1:3" x14ac:dyDescent="0.25">
      <c r="A7876" t="s">
        <v>286</v>
      </c>
      <c r="B7876" t="s">
        <v>39</v>
      </c>
      <c r="C7876" s="1"/>
    </row>
    <row r="7877" spans="1:3" x14ac:dyDescent="0.25">
      <c r="A7877" t="s">
        <v>287</v>
      </c>
      <c r="B7877" t="s">
        <v>8188</v>
      </c>
      <c r="C7877" s="1">
        <v>46014</v>
      </c>
    </row>
    <row r="7878" spans="1:3" x14ac:dyDescent="0.25">
      <c r="A7878" t="s">
        <v>294</v>
      </c>
      <c r="B7878" t="s">
        <v>8188</v>
      </c>
      <c r="C7878" s="1">
        <v>46021</v>
      </c>
    </row>
    <row r="7879" spans="1:3" x14ac:dyDescent="0.25">
      <c r="A7879" t="s">
        <v>292</v>
      </c>
      <c r="B7879" t="s">
        <v>8188</v>
      </c>
      <c r="C7879" s="1">
        <v>46020</v>
      </c>
    </row>
    <row r="7880" spans="1:3" x14ac:dyDescent="0.25">
      <c r="A7880" t="s">
        <v>291</v>
      </c>
      <c r="B7880" t="s">
        <v>8188</v>
      </c>
      <c r="C7880" s="1">
        <v>46018</v>
      </c>
    </row>
    <row r="7881" spans="1:3" x14ac:dyDescent="0.25">
      <c r="A7881" t="s">
        <v>289</v>
      </c>
      <c r="B7881" t="s">
        <v>39</v>
      </c>
      <c r="C7881" s="1"/>
    </row>
    <row r="7882" spans="1:3" x14ac:dyDescent="0.25">
      <c r="A7882" t="s">
        <v>296</v>
      </c>
      <c r="B7882" t="s">
        <v>8188</v>
      </c>
      <c r="C7882" s="1">
        <v>46017</v>
      </c>
    </row>
    <row r="7883" spans="1:3" x14ac:dyDescent="0.25">
      <c r="A7883" t="s">
        <v>311</v>
      </c>
      <c r="B7883" t="s">
        <v>8188</v>
      </c>
      <c r="C7883" s="1">
        <v>46020</v>
      </c>
    </row>
    <row r="7884" spans="1:3" x14ac:dyDescent="0.25">
      <c r="A7884" t="s">
        <v>277</v>
      </c>
      <c r="B7884" t="s">
        <v>8188</v>
      </c>
      <c r="C7884" s="1">
        <v>46020</v>
      </c>
    </row>
    <row r="7885" spans="1:3" x14ac:dyDescent="0.25">
      <c r="A7885" t="s">
        <v>310</v>
      </c>
      <c r="B7885" t="s">
        <v>8188</v>
      </c>
      <c r="C7885" s="1">
        <v>46021</v>
      </c>
    </row>
    <row r="7886" spans="1:3" x14ac:dyDescent="0.25">
      <c r="A7886" t="s">
        <v>309</v>
      </c>
      <c r="B7886" t="s">
        <v>8188</v>
      </c>
      <c r="C7886" s="1">
        <v>46021</v>
      </c>
    </row>
    <row r="7887" spans="1:3" x14ac:dyDescent="0.25">
      <c r="A7887" t="s">
        <v>308</v>
      </c>
      <c r="B7887" t="s">
        <v>8188</v>
      </c>
      <c r="C7887" s="1">
        <v>46034</v>
      </c>
    </row>
    <row r="7888" spans="1:3" x14ac:dyDescent="0.25">
      <c r="A7888" t="s">
        <v>305</v>
      </c>
      <c r="B7888" t="s">
        <v>39</v>
      </c>
      <c r="C7888" s="1"/>
    </row>
    <row r="7889" spans="1:3" x14ac:dyDescent="0.25">
      <c r="A7889" t="s">
        <v>278</v>
      </c>
      <c r="B7889" t="s">
        <v>8188</v>
      </c>
      <c r="C7889" s="1">
        <v>46022</v>
      </c>
    </row>
    <row r="7890" spans="1:3" x14ac:dyDescent="0.25">
      <c r="A7890" t="s">
        <v>302</v>
      </c>
      <c r="B7890" t="s">
        <v>8188</v>
      </c>
      <c r="C7890" s="1">
        <v>46020</v>
      </c>
    </row>
    <row r="7891" spans="1:3" x14ac:dyDescent="0.25">
      <c r="A7891" t="s">
        <v>318</v>
      </c>
      <c r="B7891" t="s">
        <v>8188</v>
      </c>
      <c r="C7891" s="1">
        <v>46021</v>
      </c>
    </row>
    <row r="7892" spans="1:3" x14ac:dyDescent="0.25">
      <c r="A7892" t="s">
        <v>314</v>
      </c>
      <c r="B7892" t="s">
        <v>8188</v>
      </c>
      <c r="C7892" s="1">
        <v>46021</v>
      </c>
    </row>
    <row r="7893" spans="1:3" x14ac:dyDescent="0.25">
      <c r="A7893" t="s">
        <v>312</v>
      </c>
      <c r="B7893" t="s">
        <v>8188</v>
      </c>
      <c r="C7893" s="1">
        <v>46024</v>
      </c>
    </row>
    <row r="7894" spans="1:3" x14ac:dyDescent="0.25">
      <c r="A7894" t="s">
        <v>324</v>
      </c>
      <c r="B7894" t="s">
        <v>8188</v>
      </c>
      <c r="C7894" s="1">
        <v>46022</v>
      </c>
    </row>
    <row r="7895" spans="1:3" x14ac:dyDescent="0.25">
      <c r="A7895" t="s">
        <v>322</v>
      </c>
      <c r="B7895" t="s">
        <v>8188</v>
      </c>
      <c r="C7895" s="1">
        <v>46025</v>
      </c>
    </row>
    <row r="7896" spans="1:3" x14ac:dyDescent="0.25">
      <c r="A7896" t="s">
        <v>320</v>
      </c>
      <c r="B7896" t="s">
        <v>8188</v>
      </c>
      <c r="C7896" s="1">
        <v>46025</v>
      </c>
    </row>
    <row r="7897" spans="1:3" x14ac:dyDescent="0.25">
      <c r="A7897" t="s">
        <v>321</v>
      </c>
      <c r="B7897" t="s">
        <v>8188</v>
      </c>
      <c r="C7897" s="1">
        <v>46027</v>
      </c>
    </row>
    <row r="7898" spans="1:3" x14ac:dyDescent="0.25">
      <c r="A7898" t="s">
        <v>325</v>
      </c>
      <c r="B7898" t="s">
        <v>8188</v>
      </c>
      <c r="C7898" s="1">
        <v>46022</v>
      </c>
    </row>
    <row r="7899" spans="1:3" x14ac:dyDescent="0.25">
      <c r="A7899" t="s">
        <v>333</v>
      </c>
      <c r="B7899" t="s">
        <v>8188</v>
      </c>
      <c r="C7899" s="1">
        <v>46038</v>
      </c>
    </row>
    <row r="7900" spans="1:3" x14ac:dyDescent="0.25">
      <c r="A7900" t="s">
        <v>332</v>
      </c>
      <c r="B7900" t="s">
        <v>8188</v>
      </c>
      <c r="C7900" s="1">
        <v>46028</v>
      </c>
    </row>
    <row r="7901" spans="1:3" x14ac:dyDescent="0.25">
      <c r="A7901" t="s">
        <v>336</v>
      </c>
      <c r="B7901" t="s">
        <v>8188</v>
      </c>
      <c r="C7901" s="1">
        <v>46021</v>
      </c>
    </row>
    <row r="7902" spans="1:3" x14ac:dyDescent="0.25">
      <c r="A7902" t="s">
        <v>331</v>
      </c>
      <c r="B7902" t="s">
        <v>8188</v>
      </c>
      <c r="C7902" s="1">
        <v>46024</v>
      </c>
    </row>
    <row r="7903" spans="1:3" x14ac:dyDescent="0.25">
      <c r="A7903" t="s">
        <v>330</v>
      </c>
      <c r="B7903" t="s">
        <v>8188</v>
      </c>
      <c r="C7903" s="1">
        <v>46024</v>
      </c>
    </row>
    <row r="7904" spans="1:3" x14ac:dyDescent="0.25">
      <c r="A7904" t="s">
        <v>329</v>
      </c>
      <c r="B7904" t="s">
        <v>8188</v>
      </c>
      <c r="C7904" s="1">
        <v>46024</v>
      </c>
    </row>
    <row r="7905" spans="1:3" x14ac:dyDescent="0.25">
      <c r="A7905" t="s">
        <v>337</v>
      </c>
      <c r="B7905" t="s">
        <v>8188</v>
      </c>
      <c r="C7905" s="1">
        <v>46025</v>
      </c>
    </row>
    <row r="7906" spans="1:3" x14ac:dyDescent="0.25">
      <c r="A7906" t="s">
        <v>339</v>
      </c>
      <c r="B7906" t="s">
        <v>8188</v>
      </c>
      <c r="C7906" s="1">
        <v>46029</v>
      </c>
    </row>
    <row r="7907" spans="1:3" x14ac:dyDescent="0.25">
      <c r="A7907" t="s">
        <v>340</v>
      </c>
      <c r="B7907" t="s">
        <v>8188</v>
      </c>
      <c r="C7907" s="1">
        <v>46034</v>
      </c>
    </row>
    <row r="7908" spans="1:3" x14ac:dyDescent="0.25">
      <c r="A7908" t="s">
        <v>350</v>
      </c>
      <c r="B7908" t="s">
        <v>8188</v>
      </c>
      <c r="C7908" s="1">
        <v>46027</v>
      </c>
    </row>
    <row r="7909" spans="1:3" x14ac:dyDescent="0.25">
      <c r="A7909" t="s">
        <v>348</v>
      </c>
      <c r="B7909" t="s">
        <v>8188</v>
      </c>
      <c r="C7909" s="1">
        <v>46030</v>
      </c>
    </row>
    <row r="7910" spans="1:3" x14ac:dyDescent="0.25">
      <c r="A7910" t="s">
        <v>347</v>
      </c>
      <c r="B7910" t="s">
        <v>8188</v>
      </c>
      <c r="C7910" s="1">
        <v>46027</v>
      </c>
    </row>
    <row r="7911" spans="1:3" x14ac:dyDescent="0.25">
      <c r="A7911" t="s">
        <v>346</v>
      </c>
      <c r="B7911" t="s">
        <v>8188</v>
      </c>
      <c r="C7911" s="1">
        <v>46027</v>
      </c>
    </row>
    <row r="7912" spans="1:3" x14ac:dyDescent="0.25">
      <c r="A7912" t="s">
        <v>365</v>
      </c>
      <c r="B7912" t="s">
        <v>8188</v>
      </c>
      <c r="C7912" s="1">
        <v>46029</v>
      </c>
    </row>
    <row r="7913" spans="1:3" x14ac:dyDescent="0.25">
      <c r="A7913" t="s">
        <v>355</v>
      </c>
      <c r="B7913" t="s">
        <v>8188</v>
      </c>
      <c r="C7913" s="1">
        <v>46034</v>
      </c>
    </row>
    <row r="7914" spans="1:3" x14ac:dyDescent="0.25">
      <c r="A7914" t="s">
        <v>354</v>
      </c>
      <c r="B7914" t="s">
        <v>8188</v>
      </c>
      <c r="C7914" s="1">
        <v>46030</v>
      </c>
    </row>
    <row r="7915" spans="1:3" x14ac:dyDescent="0.25">
      <c r="A7915" t="s">
        <v>370</v>
      </c>
      <c r="B7915" t="s">
        <v>8188</v>
      </c>
      <c r="C7915" s="1">
        <v>46028</v>
      </c>
    </row>
    <row r="7916" spans="1:3" x14ac:dyDescent="0.25">
      <c r="A7916" t="s">
        <v>369</v>
      </c>
      <c r="B7916" t="s">
        <v>39</v>
      </c>
      <c r="C7916" s="1"/>
    </row>
    <row r="7917" spans="1:3" x14ac:dyDescent="0.25">
      <c r="A7917" t="s">
        <v>373</v>
      </c>
      <c r="B7917" t="s">
        <v>8188</v>
      </c>
      <c r="C7917" s="1">
        <v>46030</v>
      </c>
    </row>
    <row r="7918" spans="1:3" x14ac:dyDescent="0.25">
      <c r="A7918" t="s">
        <v>366</v>
      </c>
      <c r="B7918" t="s">
        <v>39</v>
      </c>
      <c r="C7918" s="1"/>
    </row>
    <row r="7919" spans="1:3" x14ac:dyDescent="0.25">
      <c r="A7919" t="s">
        <v>389</v>
      </c>
      <c r="B7919" t="s">
        <v>39</v>
      </c>
      <c r="C7919" s="1"/>
    </row>
    <row r="7920" spans="1:3" x14ac:dyDescent="0.25">
      <c r="A7920" t="s">
        <v>382</v>
      </c>
      <c r="B7920" t="s">
        <v>39</v>
      </c>
      <c r="C7920" s="1"/>
    </row>
    <row r="7921" spans="1:3" x14ac:dyDescent="0.25">
      <c r="A7921" t="s">
        <v>380</v>
      </c>
      <c r="B7921" t="s">
        <v>8188</v>
      </c>
      <c r="C7921" s="1">
        <v>46029</v>
      </c>
    </row>
    <row r="7922" spans="1:3" x14ac:dyDescent="0.25">
      <c r="A7922" t="s">
        <v>379</v>
      </c>
      <c r="B7922" t="s">
        <v>39</v>
      </c>
      <c r="C7922" s="1"/>
    </row>
    <row r="7923" spans="1:3" x14ac:dyDescent="0.25">
      <c r="A7923" t="s">
        <v>391</v>
      </c>
      <c r="B7923" t="s">
        <v>8188</v>
      </c>
      <c r="C7923" s="1">
        <v>46032</v>
      </c>
    </row>
    <row r="7924" spans="1:3" x14ac:dyDescent="0.25">
      <c r="A7924" t="s">
        <v>392</v>
      </c>
      <c r="B7924" t="s">
        <v>8188</v>
      </c>
      <c r="C7924" s="1">
        <v>46029</v>
      </c>
    </row>
    <row r="7925" spans="1:3" x14ac:dyDescent="0.25">
      <c r="A7925" t="s">
        <v>394</v>
      </c>
      <c r="B7925" t="s">
        <v>8188</v>
      </c>
      <c r="C7925" s="1">
        <v>46031</v>
      </c>
    </row>
    <row r="7926" spans="1:3" x14ac:dyDescent="0.25">
      <c r="A7926" t="s">
        <v>394</v>
      </c>
      <c r="B7926" t="s">
        <v>8188</v>
      </c>
      <c r="C7926" s="1">
        <v>46032</v>
      </c>
    </row>
    <row r="7927" spans="1:3" x14ac:dyDescent="0.25">
      <c r="A7927" t="s">
        <v>393</v>
      </c>
      <c r="B7927" t="s">
        <v>8188</v>
      </c>
      <c r="C7927" s="1">
        <v>46031</v>
      </c>
    </row>
    <row r="7928" spans="1:3" x14ac:dyDescent="0.25">
      <c r="A7928" t="s">
        <v>410</v>
      </c>
      <c r="B7928" t="s">
        <v>8188</v>
      </c>
      <c r="C7928" s="1">
        <v>46038</v>
      </c>
    </row>
    <row r="7929" spans="1:3" x14ac:dyDescent="0.25">
      <c r="A7929" t="s">
        <v>409</v>
      </c>
      <c r="B7929" t="s">
        <v>8188</v>
      </c>
      <c r="C7929" s="1">
        <v>46041</v>
      </c>
    </row>
    <row r="7930" spans="1:3" x14ac:dyDescent="0.25">
      <c r="A7930" t="s">
        <v>405</v>
      </c>
      <c r="B7930" t="s">
        <v>8188</v>
      </c>
      <c r="C7930" s="1">
        <v>46031</v>
      </c>
    </row>
    <row r="7931" spans="1:3" x14ac:dyDescent="0.25">
      <c r="A7931" t="s">
        <v>404</v>
      </c>
      <c r="B7931" t="s">
        <v>8188</v>
      </c>
      <c r="C7931" s="1">
        <v>46036</v>
      </c>
    </row>
    <row r="7932" spans="1:3" x14ac:dyDescent="0.25">
      <c r="A7932" t="s">
        <v>404</v>
      </c>
      <c r="B7932" t="s">
        <v>8188</v>
      </c>
      <c r="C7932" s="1">
        <v>46036</v>
      </c>
    </row>
    <row r="7933" spans="1:3" x14ac:dyDescent="0.25">
      <c r="A7933" t="s">
        <v>402</v>
      </c>
      <c r="B7933" t="s">
        <v>8188</v>
      </c>
      <c r="C7933" s="1">
        <v>46059</v>
      </c>
    </row>
    <row r="7934" spans="1:3" x14ac:dyDescent="0.25">
      <c r="A7934" t="s">
        <v>397</v>
      </c>
      <c r="B7934" t="s">
        <v>8188</v>
      </c>
      <c r="C7934" s="1">
        <v>46035</v>
      </c>
    </row>
    <row r="7935" spans="1:3" x14ac:dyDescent="0.25">
      <c r="A7935" t="s">
        <v>396</v>
      </c>
      <c r="B7935" t="s">
        <v>8188</v>
      </c>
      <c r="C7935" s="1">
        <v>46031</v>
      </c>
    </row>
    <row r="7936" spans="1:3" x14ac:dyDescent="0.25">
      <c r="A7936" t="s">
        <v>422</v>
      </c>
      <c r="B7936" t="s">
        <v>8188</v>
      </c>
      <c r="C7936" s="1">
        <v>46032</v>
      </c>
    </row>
    <row r="7937" spans="1:3" x14ac:dyDescent="0.25">
      <c r="A7937" t="s">
        <v>418</v>
      </c>
      <c r="B7937" t="s">
        <v>8188</v>
      </c>
      <c r="C7937" s="1">
        <v>46038</v>
      </c>
    </row>
    <row r="7938" spans="1:3" x14ac:dyDescent="0.25">
      <c r="A7938" t="s">
        <v>415</v>
      </c>
      <c r="B7938" t="s">
        <v>8188</v>
      </c>
      <c r="C7938" s="1">
        <v>46032</v>
      </c>
    </row>
    <row r="7939" spans="1:3" x14ac:dyDescent="0.25">
      <c r="A7939" t="s">
        <v>423</v>
      </c>
      <c r="B7939" t="s">
        <v>8188</v>
      </c>
      <c r="C7939" s="1">
        <v>45665</v>
      </c>
    </row>
    <row r="7940" spans="1:3" x14ac:dyDescent="0.25">
      <c r="A7940" t="s">
        <v>421</v>
      </c>
      <c r="B7940" t="s">
        <v>8188</v>
      </c>
      <c r="C7940" s="1">
        <v>45665</v>
      </c>
    </row>
    <row r="7941" spans="1:3" x14ac:dyDescent="0.25">
      <c r="A7941" t="s">
        <v>429</v>
      </c>
      <c r="B7941" t="s">
        <v>8188</v>
      </c>
      <c r="C7941" s="1">
        <v>46035</v>
      </c>
    </row>
    <row r="7942" spans="1:3" x14ac:dyDescent="0.25">
      <c r="A7942" t="s">
        <v>428</v>
      </c>
      <c r="B7942" t="s">
        <v>8188</v>
      </c>
      <c r="C7942" s="1">
        <v>46035</v>
      </c>
    </row>
    <row r="7943" spans="1:3" x14ac:dyDescent="0.25">
      <c r="A7943" t="s">
        <v>427</v>
      </c>
      <c r="B7943" t="s">
        <v>8188</v>
      </c>
      <c r="C7943" s="1">
        <v>46046</v>
      </c>
    </row>
    <row r="7944" spans="1:3" x14ac:dyDescent="0.25">
      <c r="A7944" t="s">
        <v>434</v>
      </c>
      <c r="B7944" t="s">
        <v>8188</v>
      </c>
      <c r="C7944" s="1">
        <v>46032</v>
      </c>
    </row>
    <row r="7945" spans="1:3" x14ac:dyDescent="0.25">
      <c r="A7945" t="s">
        <v>432</v>
      </c>
      <c r="B7945" t="s">
        <v>8188</v>
      </c>
      <c r="C7945" s="1">
        <v>46034</v>
      </c>
    </row>
    <row r="7946" spans="1:3" x14ac:dyDescent="0.25">
      <c r="A7946" t="s">
        <v>431</v>
      </c>
      <c r="B7946" t="s">
        <v>8188</v>
      </c>
      <c r="C7946" s="1">
        <v>46036</v>
      </c>
    </row>
    <row r="7947" spans="1:3" x14ac:dyDescent="0.25">
      <c r="A7947" t="s">
        <v>450</v>
      </c>
      <c r="B7947" t="s">
        <v>8188</v>
      </c>
      <c r="C7947" s="1">
        <v>46035</v>
      </c>
    </row>
    <row r="7948" spans="1:3" x14ac:dyDescent="0.25">
      <c r="A7948" t="s">
        <v>446</v>
      </c>
      <c r="B7948" t="s">
        <v>8188</v>
      </c>
      <c r="C7948" s="1">
        <v>46049</v>
      </c>
    </row>
    <row r="7949" spans="1:3" x14ac:dyDescent="0.25">
      <c r="A7949" t="s">
        <v>443</v>
      </c>
      <c r="B7949" t="s">
        <v>39</v>
      </c>
      <c r="C7949" s="1"/>
    </row>
    <row r="7950" spans="1:3" x14ac:dyDescent="0.25">
      <c r="A7950" t="s">
        <v>442</v>
      </c>
      <c r="B7950" t="s">
        <v>39</v>
      </c>
      <c r="C7950" s="1"/>
    </row>
    <row r="7951" spans="1:3" x14ac:dyDescent="0.25">
      <c r="A7951" t="s">
        <v>441</v>
      </c>
      <c r="B7951" t="s">
        <v>8188</v>
      </c>
      <c r="C7951" s="1">
        <v>46035</v>
      </c>
    </row>
    <row r="7952" spans="1:3" x14ac:dyDescent="0.25">
      <c r="A7952" t="s">
        <v>440</v>
      </c>
      <c r="B7952" t="s">
        <v>8188</v>
      </c>
      <c r="C7952" s="1">
        <v>46035</v>
      </c>
    </row>
    <row r="7953" spans="1:3" x14ac:dyDescent="0.25">
      <c r="A7953" t="s">
        <v>438</v>
      </c>
      <c r="B7953" t="s">
        <v>8188</v>
      </c>
      <c r="C7953" s="1">
        <v>46036</v>
      </c>
    </row>
    <row r="7954" spans="1:3" x14ac:dyDescent="0.25">
      <c r="A7954" t="s">
        <v>452</v>
      </c>
      <c r="B7954" t="s">
        <v>8188</v>
      </c>
      <c r="C7954" s="1">
        <v>46042</v>
      </c>
    </row>
    <row r="7955" spans="1:3" x14ac:dyDescent="0.25">
      <c r="A7955" t="s">
        <v>454</v>
      </c>
      <c r="B7955" t="s">
        <v>8188</v>
      </c>
      <c r="C7955" s="1">
        <v>46037</v>
      </c>
    </row>
    <row r="7956" spans="1:3" x14ac:dyDescent="0.25">
      <c r="A7956" t="s">
        <v>453</v>
      </c>
      <c r="B7956" t="s">
        <v>8188</v>
      </c>
      <c r="C7956" s="1">
        <v>46039</v>
      </c>
    </row>
    <row r="7957" spans="1:3" x14ac:dyDescent="0.25">
      <c r="A7957" t="s">
        <v>455</v>
      </c>
      <c r="B7957" t="s">
        <v>8188</v>
      </c>
      <c r="C7957" s="1">
        <v>46041</v>
      </c>
    </row>
    <row r="7958" spans="1:3" x14ac:dyDescent="0.25">
      <c r="A7958" t="s">
        <v>464</v>
      </c>
      <c r="B7958" t="s">
        <v>8188</v>
      </c>
      <c r="C7958" s="1">
        <v>46044</v>
      </c>
    </row>
    <row r="7959" spans="1:3" x14ac:dyDescent="0.25">
      <c r="A7959" t="s">
        <v>462</v>
      </c>
      <c r="B7959" t="s">
        <v>8188</v>
      </c>
      <c r="C7959" s="1">
        <v>46038</v>
      </c>
    </row>
    <row r="7960" spans="1:3" x14ac:dyDescent="0.25">
      <c r="A7960" t="s">
        <v>459</v>
      </c>
      <c r="B7960" t="s">
        <v>8188</v>
      </c>
      <c r="C7960" s="1">
        <v>46039</v>
      </c>
    </row>
    <row r="7961" spans="1:3" x14ac:dyDescent="0.25">
      <c r="A7961" t="s">
        <v>467</v>
      </c>
      <c r="B7961" t="s">
        <v>8188</v>
      </c>
      <c r="C7961" s="1">
        <v>46041</v>
      </c>
    </row>
    <row r="7962" spans="1:3" x14ac:dyDescent="0.25">
      <c r="A7962" t="s">
        <v>465</v>
      </c>
      <c r="B7962" t="s">
        <v>39</v>
      </c>
      <c r="C7962" s="1"/>
    </row>
    <row r="7963" spans="1:3" x14ac:dyDescent="0.25">
      <c r="A7963" t="s">
        <v>482</v>
      </c>
      <c r="B7963" t="s">
        <v>8188</v>
      </c>
      <c r="C7963" s="1">
        <v>46039</v>
      </c>
    </row>
    <row r="7964" spans="1:3" x14ac:dyDescent="0.25">
      <c r="A7964" t="s">
        <v>481</v>
      </c>
      <c r="B7964" t="s">
        <v>8188</v>
      </c>
      <c r="C7964" s="1">
        <v>46042</v>
      </c>
    </row>
    <row r="7965" spans="1:3" x14ac:dyDescent="0.25">
      <c r="A7965" t="s">
        <v>481</v>
      </c>
      <c r="B7965" t="s">
        <v>39</v>
      </c>
      <c r="C7965" s="1"/>
    </row>
    <row r="7966" spans="1:3" x14ac:dyDescent="0.25">
      <c r="A7966" t="s">
        <v>479</v>
      </c>
      <c r="B7966" t="s">
        <v>8188</v>
      </c>
      <c r="C7966" s="1">
        <v>46039</v>
      </c>
    </row>
    <row r="7967" spans="1:3" x14ac:dyDescent="0.25">
      <c r="A7967" t="s">
        <v>475</v>
      </c>
      <c r="B7967" t="s">
        <v>8188</v>
      </c>
      <c r="C7967" s="1">
        <v>46039</v>
      </c>
    </row>
    <row r="7968" spans="1:3" x14ac:dyDescent="0.25">
      <c r="A7968" t="s">
        <v>484</v>
      </c>
      <c r="B7968" t="s">
        <v>8188</v>
      </c>
      <c r="C7968" s="1">
        <v>46046</v>
      </c>
    </row>
    <row r="7969" spans="1:3" x14ac:dyDescent="0.25">
      <c r="A7969" t="s">
        <v>473</v>
      </c>
      <c r="B7969" t="s">
        <v>8188</v>
      </c>
      <c r="C7969" s="1">
        <v>46041</v>
      </c>
    </row>
    <row r="7970" spans="1:3" x14ac:dyDescent="0.25">
      <c r="A7970" t="s">
        <v>510</v>
      </c>
      <c r="B7970" t="s">
        <v>8188</v>
      </c>
      <c r="C7970" s="1">
        <v>46041</v>
      </c>
    </row>
    <row r="7971" spans="1:3" x14ac:dyDescent="0.25">
      <c r="A7971" t="s">
        <v>509</v>
      </c>
      <c r="B7971" t="s">
        <v>8188</v>
      </c>
      <c r="C7971" s="1">
        <v>46042</v>
      </c>
    </row>
    <row r="7972" spans="1:3" x14ac:dyDescent="0.25">
      <c r="A7972" t="s">
        <v>508</v>
      </c>
      <c r="B7972" t="s">
        <v>8188</v>
      </c>
      <c r="C7972" s="1">
        <v>46042</v>
      </c>
    </row>
    <row r="7973" spans="1:3" x14ac:dyDescent="0.25">
      <c r="A7973" t="s">
        <v>506</v>
      </c>
      <c r="B7973" t="s">
        <v>39</v>
      </c>
      <c r="C7973" s="1"/>
    </row>
    <row r="7974" spans="1:3" x14ac:dyDescent="0.25">
      <c r="A7974" t="s">
        <v>491</v>
      </c>
      <c r="B7974" t="s">
        <v>8188</v>
      </c>
      <c r="C7974" s="1">
        <v>46043</v>
      </c>
    </row>
    <row r="7975" spans="1:3" x14ac:dyDescent="0.25">
      <c r="A7975" t="s">
        <v>489</v>
      </c>
      <c r="B7975" t="s">
        <v>8188</v>
      </c>
      <c r="C7975" s="1">
        <v>46042</v>
      </c>
    </row>
    <row r="7976" spans="1:3" x14ac:dyDescent="0.25">
      <c r="A7976" t="s">
        <v>513</v>
      </c>
      <c r="B7976" t="s">
        <v>8188</v>
      </c>
      <c r="C7976" s="1">
        <v>46042</v>
      </c>
    </row>
    <row r="7977" spans="1:3" x14ac:dyDescent="0.25">
      <c r="A7977" t="s">
        <v>521</v>
      </c>
      <c r="B7977" t="s">
        <v>8188</v>
      </c>
      <c r="C7977" s="1">
        <v>46042</v>
      </c>
    </row>
    <row r="7978" spans="1:3" x14ac:dyDescent="0.25">
      <c r="A7978" t="s">
        <v>517</v>
      </c>
      <c r="B7978" t="s">
        <v>8188</v>
      </c>
      <c r="C7978" s="1">
        <v>46044</v>
      </c>
    </row>
    <row r="7979" spans="1:3" x14ac:dyDescent="0.25">
      <c r="A7979" t="s">
        <v>524</v>
      </c>
      <c r="B7979" t="s">
        <v>8188</v>
      </c>
      <c r="C7979" s="1">
        <v>46044</v>
      </c>
    </row>
    <row r="7980" spans="1:3" x14ac:dyDescent="0.25">
      <c r="A7980" t="s">
        <v>525</v>
      </c>
      <c r="B7980" t="s">
        <v>8188</v>
      </c>
      <c r="C7980" s="1">
        <v>46043</v>
      </c>
    </row>
    <row r="7981" spans="1:3" x14ac:dyDescent="0.25">
      <c r="A7981" t="s">
        <v>529</v>
      </c>
      <c r="B7981" t="s">
        <v>8188</v>
      </c>
      <c r="C7981" s="1">
        <v>46044</v>
      </c>
    </row>
    <row r="7982" spans="1:3" x14ac:dyDescent="0.25">
      <c r="A7982" t="s">
        <v>528</v>
      </c>
      <c r="B7982" t="s">
        <v>8188</v>
      </c>
      <c r="C7982" s="1">
        <v>46043</v>
      </c>
    </row>
    <row r="7983" spans="1:3" x14ac:dyDescent="0.25">
      <c r="A7983" t="s">
        <v>531</v>
      </c>
      <c r="B7983" t="s">
        <v>8188</v>
      </c>
      <c r="C7983" s="1">
        <v>46055</v>
      </c>
    </row>
    <row r="7984" spans="1:3" x14ac:dyDescent="0.25">
      <c r="A7984" t="s">
        <v>527</v>
      </c>
      <c r="B7984" t="s">
        <v>8188</v>
      </c>
      <c r="C7984" s="1">
        <v>46043</v>
      </c>
    </row>
    <row r="7985" spans="1:3" x14ac:dyDescent="0.25">
      <c r="A7985" t="s">
        <v>537</v>
      </c>
      <c r="B7985" t="s">
        <v>8188</v>
      </c>
      <c r="C7985" s="1">
        <v>46046</v>
      </c>
    </row>
    <row r="7986" spans="1:3" x14ac:dyDescent="0.25">
      <c r="A7986" t="s">
        <v>540</v>
      </c>
      <c r="B7986" t="s">
        <v>8188</v>
      </c>
      <c r="C7986" s="1">
        <v>46044</v>
      </c>
    </row>
    <row r="7987" spans="1:3" x14ac:dyDescent="0.25">
      <c r="A7987" t="s">
        <v>539</v>
      </c>
      <c r="B7987" t="s">
        <v>8188</v>
      </c>
      <c r="C7987" s="1">
        <v>46043</v>
      </c>
    </row>
    <row r="7988" spans="1:3" x14ac:dyDescent="0.25">
      <c r="A7988" t="s">
        <v>536</v>
      </c>
      <c r="B7988" t="s">
        <v>39</v>
      </c>
      <c r="C7988" s="1"/>
    </row>
    <row r="7989" spans="1:3" x14ac:dyDescent="0.25">
      <c r="A7989" t="s">
        <v>550</v>
      </c>
      <c r="B7989" t="s">
        <v>8188</v>
      </c>
      <c r="C7989" s="1">
        <v>46046</v>
      </c>
    </row>
    <row r="7990" spans="1:3" x14ac:dyDescent="0.25">
      <c r="A7990" t="s">
        <v>548</v>
      </c>
      <c r="B7990" t="s">
        <v>8188</v>
      </c>
      <c r="C7990" s="1">
        <v>46044</v>
      </c>
    </row>
    <row r="7991" spans="1:3" x14ac:dyDescent="0.25">
      <c r="A7991" t="s">
        <v>545</v>
      </c>
      <c r="B7991" t="s">
        <v>8188</v>
      </c>
      <c r="C7991" s="1">
        <v>46046</v>
      </c>
    </row>
    <row r="7992" spans="1:3" x14ac:dyDescent="0.25">
      <c r="A7992" t="s">
        <v>544</v>
      </c>
      <c r="B7992" t="s">
        <v>8188</v>
      </c>
      <c r="C7992" s="1">
        <v>46046</v>
      </c>
    </row>
    <row r="7993" spans="1:3" x14ac:dyDescent="0.25">
      <c r="A7993" t="s">
        <v>551</v>
      </c>
      <c r="B7993" t="s">
        <v>8188</v>
      </c>
      <c r="C7993" s="1">
        <v>46046</v>
      </c>
    </row>
    <row r="7994" spans="1:3" x14ac:dyDescent="0.25">
      <c r="A7994" t="s">
        <v>591</v>
      </c>
      <c r="B7994" t="s">
        <v>8188</v>
      </c>
      <c r="C7994" s="1">
        <v>46046</v>
      </c>
    </row>
    <row r="7995" spans="1:3" x14ac:dyDescent="0.25">
      <c r="A7995" t="s">
        <v>590</v>
      </c>
      <c r="B7995" t="s">
        <v>8188</v>
      </c>
      <c r="C7995" s="1">
        <v>46049</v>
      </c>
    </row>
    <row r="7996" spans="1:3" x14ac:dyDescent="0.25">
      <c r="A7996" t="s">
        <v>588</v>
      </c>
      <c r="B7996" t="s">
        <v>8188</v>
      </c>
      <c r="C7996" s="1">
        <v>46055</v>
      </c>
    </row>
    <row r="7997" spans="1:3" x14ac:dyDescent="0.25">
      <c r="A7997" t="s">
        <v>586</v>
      </c>
      <c r="B7997" t="s">
        <v>8188</v>
      </c>
      <c r="C7997" s="1">
        <v>46049</v>
      </c>
    </row>
    <row r="7998" spans="1:3" x14ac:dyDescent="0.25">
      <c r="A7998" t="s">
        <v>584</v>
      </c>
      <c r="B7998" t="s">
        <v>8188</v>
      </c>
      <c r="C7998" s="1">
        <v>46049</v>
      </c>
    </row>
    <row r="7999" spans="1:3" x14ac:dyDescent="0.25">
      <c r="A7999" t="s">
        <v>581</v>
      </c>
      <c r="B7999" t="s">
        <v>8188</v>
      </c>
      <c r="C7999" s="1">
        <v>46060</v>
      </c>
    </row>
    <row r="8000" spans="1:3" x14ac:dyDescent="0.25">
      <c r="A8000" t="s">
        <v>578</v>
      </c>
      <c r="B8000" t="s">
        <v>8188</v>
      </c>
      <c r="C8000" s="1">
        <v>46053</v>
      </c>
    </row>
    <row r="8001" spans="1:3" x14ac:dyDescent="0.25">
      <c r="A8001" t="s">
        <v>577</v>
      </c>
      <c r="B8001" t="s">
        <v>8188</v>
      </c>
      <c r="C8001" s="1">
        <v>46049</v>
      </c>
    </row>
    <row r="8002" spans="1:3" x14ac:dyDescent="0.25">
      <c r="A8002" t="s">
        <v>581</v>
      </c>
      <c r="B8002" t="s">
        <v>8188</v>
      </c>
      <c r="C8002" s="1">
        <v>46067</v>
      </c>
    </row>
    <row r="8003" spans="1:3" x14ac:dyDescent="0.25">
      <c r="A8003" t="s">
        <v>570</v>
      </c>
      <c r="B8003" t="s">
        <v>8188</v>
      </c>
      <c r="C8003" s="1">
        <v>46051</v>
      </c>
    </row>
    <row r="8004" spans="1:3" x14ac:dyDescent="0.25">
      <c r="A8004" t="s">
        <v>568</v>
      </c>
      <c r="B8004" t="s">
        <v>8188</v>
      </c>
      <c r="C8004" s="1">
        <v>46051</v>
      </c>
    </row>
    <row r="8005" spans="1:3" x14ac:dyDescent="0.25">
      <c r="A8005" t="s">
        <v>567</v>
      </c>
      <c r="B8005" t="s">
        <v>8188</v>
      </c>
      <c r="C8005" s="1">
        <v>46050</v>
      </c>
    </row>
    <row r="8006" spans="1:3" x14ac:dyDescent="0.25">
      <c r="A8006" t="s">
        <v>565</v>
      </c>
      <c r="B8006" t="s">
        <v>39</v>
      </c>
      <c r="C8006" s="1"/>
    </row>
    <row r="8007" spans="1:3" x14ac:dyDescent="0.25">
      <c r="A8007" t="s">
        <v>562</v>
      </c>
      <c r="B8007" t="s">
        <v>8188</v>
      </c>
      <c r="C8007" s="1">
        <v>46058</v>
      </c>
    </row>
    <row r="8008" spans="1:3" x14ac:dyDescent="0.25">
      <c r="A8008" t="s">
        <v>560</v>
      </c>
      <c r="B8008" t="s">
        <v>8188</v>
      </c>
      <c r="C8008" s="1">
        <v>46052</v>
      </c>
    </row>
    <row r="8009" spans="1:3" x14ac:dyDescent="0.25">
      <c r="A8009" t="s">
        <v>559</v>
      </c>
      <c r="B8009" t="s">
        <v>8188</v>
      </c>
      <c r="C8009" s="1">
        <v>46050</v>
      </c>
    </row>
    <row r="8010" spans="1:3" x14ac:dyDescent="0.25">
      <c r="A8010" t="s">
        <v>595</v>
      </c>
      <c r="B8010" t="s">
        <v>8188</v>
      </c>
      <c r="C8010" s="1">
        <v>46065</v>
      </c>
    </row>
    <row r="8011" spans="1:3" x14ac:dyDescent="0.25">
      <c r="A8011" t="s">
        <v>615</v>
      </c>
      <c r="B8011" t="s">
        <v>8188</v>
      </c>
      <c r="C8011" s="1">
        <v>46051</v>
      </c>
    </row>
    <row r="8012" spans="1:3" x14ac:dyDescent="0.25">
      <c r="A8012" t="s">
        <v>614</v>
      </c>
      <c r="B8012" t="s">
        <v>8188</v>
      </c>
      <c r="C8012" s="1">
        <v>46051</v>
      </c>
    </row>
    <row r="8013" spans="1:3" x14ac:dyDescent="0.25">
      <c r="A8013" t="s">
        <v>605</v>
      </c>
      <c r="B8013" t="s">
        <v>8188</v>
      </c>
      <c r="C8013" s="1">
        <v>46050</v>
      </c>
    </row>
    <row r="8014" spans="1:3" x14ac:dyDescent="0.25">
      <c r="A8014" t="s">
        <v>604</v>
      </c>
      <c r="B8014" t="s">
        <v>8188</v>
      </c>
      <c r="C8014" s="1">
        <v>46052</v>
      </c>
    </row>
    <row r="8015" spans="1:3" x14ac:dyDescent="0.25">
      <c r="A8015" t="s">
        <v>5483</v>
      </c>
      <c r="B8015" t="s">
        <v>39</v>
      </c>
      <c r="C8015" s="1"/>
    </row>
    <row r="8016" spans="1:3" x14ac:dyDescent="0.25">
      <c r="A8016" t="s">
        <v>600</v>
      </c>
      <c r="B8016" t="s">
        <v>8188</v>
      </c>
      <c r="C8016" s="1">
        <v>46052</v>
      </c>
    </row>
    <row r="8017" spans="1:3" x14ac:dyDescent="0.25">
      <c r="A8017" t="s">
        <v>599</v>
      </c>
      <c r="B8017" t="s">
        <v>8188</v>
      </c>
      <c r="C8017" s="1">
        <v>46052</v>
      </c>
    </row>
    <row r="8018" spans="1:3" x14ac:dyDescent="0.25">
      <c r="A8018" t="s">
        <v>598</v>
      </c>
      <c r="B8018" t="s">
        <v>8188</v>
      </c>
      <c r="C8018" s="1">
        <v>46063</v>
      </c>
    </row>
    <row r="8019" spans="1:3" x14ac:dyDescent="0.25">
      <c r="A8019" t="s">
        <v>617</v>
      </c>
      <c r="B8019" t="s">
        <v>8188</v>
      </c>
      <c r="C8019" s="1">
        <v>46053</v>
      </c>
    </row>
    <row r="8020" spans="1:3" x14ac:dyDescent="0.25">
      <c r="A8020" t="s">
        <v>622</v>
      </c>
      <c r="B8020" t="s">
        <v>8188</v>
      </c>
      <c r="C8020" s="1">
        <v>46052</v>
      </c>
    </row>
    <row r="8021" spans="1:3" x14ac:dyDescent="0.25">
      <c r="A8021" t="s">
        <v>635</v>
      </c>
      <c r="B8021" t="s">
        <v>8188</v>
      </c>
      <c r="C8021" s="1">
        <v>46053</v>
      </c>
    </row>
    <row r="8022" spans="1:3" x14ac:dyDescent="0.25">
      <c r="A8022" t="s">
        <v>628</v>
      </c>
      <c r="B8022" t="s">
        <v>8188</v>
      </c>
      <c r="C8022" s="1">
        <v>46055</v>
      </c>
    </row>
    <row r="8023" spans="1:3" x14ac:dyDescent="0.25">
      <c r="A8023" t="s">
        <v>625</v>
      </c>
      <c r="B8023" t="s">
        <v>8188</v>
      </c>
      <c r="C8023" s="1">
        <v>46053</v>
      </c>
    </row>
    <row r="8024" spans="1:3" x14ac:dyDescent="0.25">
      <c r="A8024" t="s">
        <v>623</v>
      </c>
      <c r="B8024" t="s">
        <v>8188</v>
      </c>
      <c r="C8024" s="1">
        <v>46053</v>
      </c>
    </row>
    <row r="8025" spans="1:3" x14ac:dyDescent="0.25">
      <c r="A8025" t="s">
        <v>661</v>
      </c>
      <c r="B8025" t="s">
        <v>8188</v>
      </c>
      <c r="C8025" s="1">
        <v>46053</v>
      </c>
    </row>
    <row r="8026" spans="1:3" x14ac:dyDescent="0.25">
      <c r="A8026" t="s">
        <v>660</v>
      </c>
      <c r="B8026" t="s">
        <v>8188</v>
      </c>
      <c r="C8026" s="1">
        <v>46053</v>
      </c>
    </row>
    <row r="8027" spans="1:3" x14ac:dyDescent="0.25">
      <c r="A8027" t="s">
        <v>659</v>
      </c>
      <c r="B8027" t="s">
        <v>8188</v>
      </c>
      <c r="C8027" s="1">
        <v>46053</v>
      </c>
    </row>
    <row r="8028" spans="1:3" x14ac:dyDescent="0.25">
      <c r="A8028" t="s">
        <v>657</v>
      </c>
      <c r="B8028" t="s">
        <v>8188</v>
      </c>
      <c r="C8028" s="1">
        <v>46053</v>
      </c>
    </row>
    <row r="8029" spans="1:3" x14ac:dyDescent="0.25">
      <c r="A8029" t="s">
        <v>656</v>
      </c>
      <c r="B8029" t="s">
        <v>39</v>
      </c>
      <c r="C8029" s="1"/>
    </row>
    <row r="8030" spans="1:3" x14ac:dyDescent="0.25">
      <c r="A8030" t="s">
        <v>654</v>
      </c>
      <c r="B8030" t="s">
        <v>8188</v>
      </c>
      <c r="C8030" s="1">
        <v>46067</v>
      </c>
    </row>
    <row r="8031" spans="1:3" x14ac:dyDescent="0.25">
      <c r="A8031" t="s">
        <v>648</v>
      </c>
      <c r="B8031" t="s">
        <v>8188</v>
      </c>
      <c r="C8031" s="1">
        <v>46053</v>
      </c>
    </row>
    <row r="8032" spans="1:3" x14ac:dyDescent="0.25">
      <c r="A8032" t="s">
        <v>643</v>
      </c>
      <c r="B8032" t="s">
        <v>8188</v>
      </c>
      <c r="C8032" s="1">
        <v>46057</v>
      </c>
    </row>
    <row r="8033" spans="1:3" x14ac:dyDescent="0.25">
      <c r="A8033" t="s">
        <v>641</v>
      </c>
      <c r="B8033" t="s">
        <v>8188</v>
      </c>
      <c r="C8033" s="1">
        <v>46063</v>
      </c>
    </row>
    <row r="8034" spans="1:3" x14ac:dyDescent="0.25">
      <c r="A8034" t="s">
        <v>682</v>
      </c>
      <c r="B8034" t="s">
        <v>8188</v>
      </c>
      <c r="C8034" s="1">
        <v>46057</v>
      </c>
    </row>
    <row r="8035" spans="1:3" x14ac:dyDescent="0.25">
      <c r="A8035" t="s">
        <v>683</v>
      </c>
      <c r="B8035" t="s">
        <v>8188</v>
      </c>
      <c r="C8035" s="1">
        <v>46058</v>
      </c>
    </row>
    <row r="8036" spans="1:3" x14ac:dyDescent="0.25">
      <c r="A8036" t="s">
        <v>681</v>
      </c>
      <c r="B8036" t="s">
        <v>8188</v>
      </c>
      <c r="C8036" s="1">
        <v>46058</v>
      </c>
    </row>
    <row r="8037" spans="1:3" x14ac:dyDescent="0.25">
      <c r="A8037" t="s">
        <v>676</v>
      </c>
      <c r="B8037" t="s">
        <v>8188</v>
      </c>
      <c r="C8037" s="1">
        <v>46064</v>
      </c>
    </row>
    <row r="8038" spans="1:3" x14ac:dyDescent="0.25">
      <c r="A8038" t="s">
        <v>672</v>
      </c>
      <c r="B8038" t="s">
        <v>8188</v>
      </c>
      <c r="C8038" s="1">
        <v>46057</v>
      </c>
    </row>
    <row r="8039" spans="1:3" x14ac:dyDescent="0.25">
      <c r="A8039" t="s">
        <v>671</v>
      </c>
      <c r="B8039" t="s">
        <v>39</v>
      </c>
      <c r="C8039" s="1"/>
    </row>
    <row r="8040" spans="1:3" x14ac:dyDescent="0.25">
      <c r="A8040" t="s">
        <v>670</v>
      </c>
      <c r="B8040" t="s">
        <v>8188</v>
      </c>
      <c r="C8040" s="1">
        <v>46060</v>
      </c>
    </row>
    <row r="8041" spans="1:3" x14ac:dyDescent="0.25">
      <c r="A8041" t="s">
        <v>669</v>
      </c>
      <c r="B8041" t="s">
        <v>8188</v>
      </c>
      <c r="C8041" s="1">
        <v>46059</v>
      </c>
    </row>
    <row r="8042" spans="1:3" x14ac:dyDescent="0.25">
      <c r="A8042" t="s">
        <v>668</v>
      </c>
      <c r="B8042" t="s">
        <v>8188</v>
      </c>
      <c r="C8042" s="1">
        <v>46057</v>
      </c>
    </row>
    <row r="8043" spans="1:3" x14ac:dyDescent="0.25">
      <c r="A8043" t="s">
        <v>666</v>
      </c>
      <c r="B8043" t="s">
        <v>8188</v>
      </c>
      <c r="C8043" s="1">
        <v>46057</v>
      </c>
    </row>
    <row r="8044" spans="1:3" x14ac:dyDescent="0.25">
      <c r="A8044" t="s">
        <v>686</v>
      </c>
      <c r="B8044" t="s">
        <v>8188</v>
      </c>
      <c r="C8044" s="1">
        <v>46057</v>
      </c>
    </row>
    <row r="8045" spans="1:3" x14ac:dyDescent="0.25">
      <c r="A8045" t="s">
        <v>696</v>
      </c>
      <c r="B8045" t="s">
        <v>8188</v>
      </c>
      <c r="C8045" s="1">
        <v>46058</v>
      </c>
    </row>
    <row r="8046" spans="1:3" x14ac:dyDescent="0.25">
      <c r="A8046" t="s">
        <v>689</v>
      </c>
      <c r="B8046" t="s">
        <v>39</v>
      </c>
      <c r="C8046" s="1"/>
    </row>
    <row r="8047" spans="1:3" x14ac:dyDescent="0.25">
      <c r="A8047" t="s">
        <v>685</v>
      </c>
      <c r="B8047" t="s">
        <v>8188</v>
      </c>
      <c r="C8047" s="1">
        <v>46074</v>
      </c>
    </row>
    <row r="8048" spans="1:3" x14ac:dyDescent="0.25">
      <c r="A8048" t="s">
        <v>687</v>
      </c>
      <c r="B8048" t="s">
        <v>8188</v>
      </c>
      <c r="C8048" s="1">
        <v>46060</v>
      </c>
    </row>
    <row r="8049" spans="1:3" x14ac:dyDescent="0.25">
      <c r="A8049" t="s">
        <v>724</v>
      </c>
      <c r="B8049" t="s">
        <v>8188</v>
      </c>
      <c r="C8049" s="1">
        <v>46059</v>
      </c>
    </row>
    <row r="8050" spans="1:3" x14ac:dyDescent="0.25">
      <c r="A8050" t="s">
        <v>723</v>
      </c>
      <c r="B8050" t="s">
        <v>8188</v>
      </c>
      <c r="C8050" s="1">
        <v>46060</v>
      </c>
    </row>
    <row r="8051" spans="1:3" x14ac:dyDescent="0.25">
      <c r="A8051" t="s">
        <v>713</v>
      </c>
      <c r="B8051" t="s">
        <v>8188</v>
      </c>
      <c r="C8051" s="1">
        <v>46060</v>
      </c>
    </row>
    <row r="8052" spans="1:3" x14ac:dyDescent="0.25">
      <c r="A8052" t="s">
        <v>718</v>
      </c>
      <c r="B8052" t="s">
        <v>8188</v>
      </c>
      <c r="C8052" s="1">
        <v>46069</v>
      </c>
    </row>
    <row r="8053" spans="1:3" x14ac:dyDescent="0.25">
      <c r="A8053" t="s">
        <v>711</v>
      </c>
      <c r="B8053" t="s">
        <v>8188</v>
      </c>
      <c r="C8053" s="1">
        <v>46059</v>
      </c>
    </row>
    <row r="8054" spans="1:3" x14ac:dyDescent="0.25">
      <c r="A8054" t="s">
        <v>725</v>
      </c>
      <c r="B8054" t="s">
        <v>8188</v>
      </c>
      <c r="C8054" s="1">
        <v>46064</v>
      </c>
    </row>
    <row r="8055" spans="1:3" x14ac:dyDescent="0.25">
      <c r="A8055" t="s">
        <v>733</v>
      </c>
      <c r="B8055" t="s">
        <v>8188</v>
      </c>
      <c r="C8055" s="1">
        <v>46058</v>
      </c>
    </row>
    <row r="8056" spans="1:3" x14ac:dyDescent="0.25">
      <c r="A8056" t="s">
        <v>733</v>
      </c>
      <c r="B8056" t="s">
        <v>8188</v>
      </c>
      <c r="C8056" s="1">
        <v>46058</v>
      </c>
    </row>
    <row r="8057" spans="1:3" x14ac:dyDescent="0.25">
      <c r="A8057" t="s">
        <v>737</v>
      </c>
      <c r="B8057" t="s">
        <v>39</v>
      </c>
      <c r="C8057" s="1"/>
    </row>
    <row r="8058" spans="1:3" x14ac:dyDescent="0.25">
      <c r="A8058" t="s">
        <v>736</v>
      </c>
      <c r="B8058" t="s">
        <v>8188</v>
      </c>
      <c r="C8058" s="1">
        <v>46071</v>
      </c>
    </row>
    <row r="8059" spans="1:3" x14ac:dyDescent="0.25">
      <c r="A8059" t="s">
        <v>735</v>
      </c>
      <c r="B8059" t="s">
        <v>8188</v>
      </c>
      <c r="C8059" s="1">
        <v>46060</v>
      </c>
    </row>
    <row r="8060" spans="1:3" x14ac:dyDescent="0.25">
      <c r="A8060" t="s">
        <v>562</v>
      </c>
      <c r="B8060" t="s">
        <v>8188</v>
      </c>
      <c r="C8060" s="1">
        <v>46078</v>
      </c>
    </row>
    <row r="8061" spans="1:3" x14ac:dyDescent="0.25">
      <c r="A8061" t="s">
        <v>730</v>
      </c>
      <c r="B8061" t="s">
        <v>8188</v>
      </c>
      <c r="C8061" s="1">
        <v>46060</v>
      </c>
    </row>
    <row r="8062" spans="1:3" x14ac:dyDescent="0.25">
      <c r="A8062" t="s">
        <v>726</v>
      </c>
      <c r="B8062" t="s">
        <v>8188</v>
      </c>
      <c r="C8062" s="1">
        <v>46060</v>
      </c>
    </row>
    <row r="8063" spans="1:3" x14ac:dyDescent="0.25">
      <c r="A8063" t="s">
        <v>740</v>
      </c>
      <c r="B8063" t="s">
        <v>8188</v>
      </c>
      <c r="C8063" s="1">
        <v>46062</v>
      </c>
    </row>
    <row r="8064" spans="1:3" x14ac:dyDescent="0.25">
      <c r="A8064" t="s">
        <v>750</v>
      </c>
      <c r="B8064" t="s">
        <v>8188</v>
      </c>
      <c r="C8064" s="1">
        <v>46060</v>
      </c>
    </row>
    <row r="8065" spans="1:3" x14ac:dyDescent="0.25">
      <c r="A8065" t="s">
        <v>749</v>
      </c>
      <c r="B8065" t="s">
        <v>8188</v>
      </c>
      <c r="C8065" s="1">
        <v>46067</v>
      </c>
    </row>
    <row r="8066" spans="1:3" x14ac:dyDescent="0.25">
      <c r="A8066" t="s">
        <v>8177</v>
      </c>
      <c r="B8066" t="s">
        <v>39</v>
      </c>
      <c r="C8066" s="1"/>
    </row>
    <row r="8067" spans="1:3" x14ac:dyDescent="0.25">
      <c r="A8067" t="s">
        <v>755</v>
      </c>
      <c r="B8067" t="s">
        <v>8188</v>
      </c>
      <c r="C8067" s="1">
        <v>46066</v>
      </c>
    </row>
    <row r="8068" spans="1:3" x14ac:dyDescent="0.25">
      <c r="A8068" t="s">
        <v>754</v>
      </c>
      <c r="B8068" t="s">
        <v>39</v>
      </c>
      <c r="C8068" s="1"/>
    </row>
    <row r="8069" spans="1:3" x14ac:dyDescent="0.25">
      <c r="A8069" t="s">
        <v>752</v>
      </c>
      <c r="B8069" t="s">
        <v>8188</v>
      </c>
      <c r="C8069" s="1">
        <v>46062</v>
      </c>
    </row>
    <row r="8070" spans="1:3" x14ac:dyDescent="0.25">
      <c r="A8070" t="s">
        <v>761</v>
      </c>
      <c r="B8070" t="s">
        <v>8188</v>
      </c>
      <c r="C8070" s="1">
        <v>46063</v>
      </c>
    </row>
    <row r="8071" spans="1:3" x14ac:dyDescent="0.25">
      <c r="A8071" t="s">
        <v>763</v>
      </c>
      <c r="B8071" t="s">
        <v>8188</v>
      </c>
      <c r="C8071" s="1">
        <v>46072</v>
      </c>
    </row>
    <row r="8072" spans="1:3" x14ac:dyDescent="0.25">
      <c r="A8072" t="s">
        <v>765</v>
      </c>
      <c r="B8072" t="s">
        <v>8188</v>
      </c>
      <c r="C8072" s="1">
        <v>46063</v>
      </c>
    </row>
    <row r="8073" spans="1:3" x14ac:dyDescent="0.25">
      <c r="A8073" t="s">
        <v>775</v>
      </c>
      <c r="B8073" t="s">
        <v>8188</v>
      </c>
      <c r="C8073" s="1">
        <v>46064</v>
      </c>
    </row>
    <row r="8074" spans="1:3" x14ac:dyDescent="0.25">
      <c r="A8074" t="s">
        <v>772</v>
      </c>
      <c r="B8074" t="s">
        <v>8188</v>
      </c>
      <c r="C8074" s="1">
        <v>46065</v>
      </c>
    </row>
    <row r="8075" spans="1:3" x14ac:dyDescent="0.25">
      <c r="A8075" t="s">
        <v>779</v>
      </c>
      <c r="B8075" t="s">
        <v>8188</v>
      </c>
      <c r="C8075" s="1">
        <v>46065</v>
      </c>
    </row>
    <row r="8076" spans="1:3" x14ac:dyDescent="0.25">
      <c r="A8076" t="s">
        <v>826</v>
      </c>
      <c r="B8076" t="s">
        <v>8188</v>
      </c>
      <c r="C8076" s="1">
        <v>46064</v>
      </c>
    </row>
    <row r="8077" spans="1:3" x14ac:dyDescent="0.25">
      <c r="A8077" t="s">
        <v>823</v>
      </c>
      <c r="B8077" t="s">
        <v>8188</v>
      </c>
      <c r="C8077" s="1">
        <v>46065</v>
      </c>
    </row>
    <row r="8078" spans="1:3" x14ac:dyDescent="0.25">
      <c r="A8078" t="s">
        <v>815</v>
      </c>
      <c r="B8078" t="s">
        <v>8188</v>
      </c>
      <c r="C8078" s="1">
        <v>46077</v>
      </c>
    </row>
    <row r="8079" spans="1:3" x14ac:dyDescent="0.25">
      <c r="A8079" t="s">
        <v>814</v>
      </c>
      <c r="B8079" t="s">
        <v>8188</v>
      </c>
      <c r="C8079" s="1">
        <v>46065</v>
      </c>
    </row>
    <row r="8080" spans="1:3" x14ac:dyDescent="0.25">
      <c r="A8080" t="s">
        <v>812</v>
      </c>
      <c r="B8080" t="s">
        <v>8188</v>
      </c>
      <c r="C8080" s="1">
        <v>46074</v>
      </c>
    </row>
    <row r="8081" spans="1:3" x14ac:dyDescent="0.25">
      <c r="A8081" t="s">
        <v>810</v>
      </c>
      <c r="B8081" t="s">
        <v>8188</v>
      </c>
      <c r="C8081" s="1">
        <v>46086</v>
      </c>
    </row>
    <row r="8082" spans="1:3" x14ac:dyDescent="0.25">
      <c r="A8082" t="s">
        <v>808</v>
      </c>
      <c r="B8082" t="s">
        <v>8188</v>
      </c>
      <c r="C8082" s="1">
        <v>46064</v>
      </c>
    </row>
    <row r="8083" spans="1:3" x14ac:dyDescent="0.25">
      <c r="A8083" t="s">
        <v>804</v>
      </c>
      <c r="B8083" t="s">
        <v>8188</v>
      </c>
      <c r="C8083" s="1">
        <v>46066</v>
      </c>
    </row>
    <row r="8084" spans="1:3" x14ac:dyDescent="0.25">
      <c r="A8084" t="s">
        <v>798</v>
      </c>
      <c r="B8084" t="s">
        <v>8188</v>
      </c>
      <c r="C8084" s="1">
        <v>46067</v>
      </c>
    </row>
    <row r="8085" spans="1:3" x14ac:dyDescent="0.25">
      <c r="A8085" t="s">
        <v>8178</v>
      </c>
      <c r="B8085" t="s">
        <v>39</v>
      </c>
      <c r="C8085" s="1"/>
    </row>
    <row r="8086" spans="1:3" x14ac:dyDescent="0.25">
      <c r="A8086" t="s">
        <v>795</v>
      </c>
      <c r="B8086" t="s">
        <v>8188</v>
      </c>
      <c r="C8086" s="1">
        <v>46070</v>
      </c>
    </row>
    <row r="8087" spans="1:3" x14ac:dyDescent="0.25">
      <c r="A8087" t="s">
        <v>809</v>
      </c>
      <c r="B8087" t="s">
        <v>8188</v>
      </c>
      <c r="C8087" s="1">
        <v>46080</v>
      </c>
    </row>
    <row r="8088" spans="1:3" x14ac:dyDescent="0.25">
      <c r="A8088" t="s">
        <v>794</v>
      </c>
      <c r="B8088" t="s">
        <v>8188</v>
      </c>
      <c r="C8088" s="1">
        <v>46073</v>
      </c>
    </row>
    <row r="8089" spans="1:3" x14ac:dyDescent="0.25">
      <c r="A8089" t="s">
        <v>793</v>
      </c>
      <c r="B8089" t="s">
        <v>8188</v>
      </c>
      <c r="C8089" s="1">
        <v>46067</v>
      </c>
    </row>
    <row r="8090" spans="1:3" x14ac:dyDescent="0.25">
      <c r="A8090" t="s">
        <v>790</v>
      </c>
      <c r="B8090" t="s">
        <v>8188</v>
      </c>
      <c r="C8090" s="1">
        <v>46069</v>
      </c>
    </row>
    <row r="8091" spans="1:3" x14ac:dyDescent="0.25">
      <c r="A8091" t="s">
        <v>784</v>
      </c>
      <c r="B8091" t="s">
        <v>8188</v>
      </c>
      <c r="C8091" s="1">
        <v>46073</v>
      </c>
    </row>
    <row r="8092" spans="1:3" x14ac:dyDescent="0.25">
      <c r="A8092" t="s">
        <v>781</v>
      </c>
      <c r="B8092" t="s">
        <v>8188</v>
      </c>
      <c r="C8092" s="1">
        <v>46070</v>
      </c>
    </row>
    <row r="8093" spans="1:3" x14ac:dyDescent="0.25">
      <c r="A8093" t="s">
        <v>846</v>
      </c>
      <c r="B8093" t="s">
        <v>8188</v>
      </c>
      <c r="C8093" s="1">
        <v>46074</v>
      </c>
    </row>
    <row r="8094" spans="1:3" x14ac:dyDescent="0.25">
      <c r="A8094" t="s">
        <v>844</v>
      </c>
      <c r="B8094" t="s">
        <v>8188</v>
      </c>
      <c r="C8094" s="1">
        <v>46070</v>
      </c>
    </row>
    <row r="8095" spans="1:3" x14ac:dyDescent="0.25">
      <c r="A8095" t="s">
        <v>843</v>
      </c>
      <c r="B8095" t="s">
        <v>8188</v>
      </c>
      <c r="C8095" s="1">
        <v>46076</v>
      </c>
    </row>
    <row r="8096" spans="1:3" x14ac:dyDescent="0.25">
      <c r="A8096" t="s">
        <v>841</v>
      </c>
      <c r="B8096" t="s">
        <v>8188</v>
      </c>
      <c r="C8096" s="1">
        <v>46071</v>
      </c>
    </row>
    <row r="8097" spans="1:3" x14ac:dyDescent="0.25">
      <c r="A8097" t="s">
        <v>840</v>
      </c>
      <c r="B8097" t="s">
        <v>8188</v>
      </c>
      <c r="C8097" s="1">
        <v>46077</v>
      </c>
    </row>
    <row r="8098" spans="1:3" x14ac:dyDescent="0.25">
      <c r="A8098" t="s">
        <v>839</v>
      </c>
      <c r="B8098" t="s">
        <v>8188</v>
      </c>
      <c r="C8098" s="1">
        <v>46077</v>
      </c>
    </row>
    <row r="8099" spans="1:3" x14ac:dyDescent="0.25">
      <c r="A8099" t="s">
        <v>835</v>
      </c>
      <c r="B8099" t="s">
        <v>8188</v>
      </c>
      <c r="C8099" s="1">
        <v>46070</v>
      </c>
    </row>
    <row r="8100" spans="1:3" x14ac:dyDescent="0.25">
      <c r="A8100" t="s">
        <v>829</v>
      </c>
      <c r="B8100" t="s">
        <v>8188</v>
      </c>
      <c r="C8100" s="1">
        <v>46071</v>
      </c>
    </row>
    <row r="8101" spans="1:3" x14ac:dyDescent="0.25">
      <c r="A8101" t="s">
        <v>828</v>
      </c>
      <c r="B8101" t="s">
        <v>8188</v>
      </c>
      <c r="C8101" s="1">
        <v>46072</v>
      </c>
    </row>
    <row r="8102" spans="1:3" x14ac:dyDescent="0.25">
      <c r="A8102" t="s">
        <v>868</v>
      </c>
      <c r="B8102" t="s">
        <v>8188</v>
      </c>
      <c r="C8102" s="1">
        <v>46072</v>
      </c>
    </row>
    <row r="8103" spans="1:3" x14ac:dyDescent="0.25">
      <c r="A8103" t="s">
        <v>865</v>
      </c>
      <c r="B8103" t="s">
        <v>39</v>
      </c>
      <c r="C8103" s="1"/>
    </row>
    <row r="8104" spans="1:3" x14ac:dyDescent="0.25">
      <c r="A8104" t="s">
        <v>862</v>
      </c>
      <c r="B8104" t="s">
        <v>8188</v>
      </c>
      <c r="C8104" s="1">
        <v>46073</v>
      </c>
    </row>
    <row r="8105" spans="1:3" x14ac:dyDescent="0.25">
      <c r="A8105" t="s">
        <v>853</v>
      </c>
      <c r="B8105" t="s">
        <v>8188</v>
      </c>
      <c r="C8105" s="1">
        <v>46073</v>
      </c>
    </row>
    <row r="8106" spans="1:3" x14ac:dyDescent="0.25">
      <c r="A8106" t="s">
        <v>851</v>
      </c>
      <c r="B8106" t="s">
        <v>39</v>
      </c>
      <c r="C8106" s="1"/>
    </row>
    <row r="8107" spans="1:3" x14ac:dyDescent="0.25">
      <c r="A8107" t="s">
        <v>850</v>
      </c>
      <c r="B8107" t="s">
        <v>8188</v>
      </c>
      <c r="C8107" s="1">
        <v>46090</v>
      </c>
    </row>
    <row r="8108" spans="1:3" x14ac:dyDescent="0.25">
      <c r="A8108" t="s">
        <v>878</v>
      </c>
      <c r="B8108" t="s">
        <v>8188</v>
      </c>
      <c r="C8108" s="1">
        <v>46073</v>
      </c>
    </row>
    <row r="8109" spans="1:3" x14ac:dyDescent="0.25">
      <c r="A8109" t="s">
        <v>876</v>
      </c>
      <c r="B8109" t="s">
        <v>8188</v>
      </c>
      <c r="C8109" s="1">
        <v>46078</v>
      </c>
    </row>
    <row r="8110" spans="1:3" x14ac:dyDescent="0.25">
      <c r="A8110" t="s">
        <v>890</v>
      </c>
      <c r="B8110" t="s">
        <v>39</v>
      </c>
      <c r="C8110" s="1"/>
    </row>
    <row r="8111" spans="1:3" x14ac:dyDescent="0.25">
      <c r="A8111" t="s">
        <v>754</v>
      </c>
      <c r="B8111" t="s">
        <v>39</v>
      </c>
      <c r="C8111" s="1"/>
    </row>
    <row r="8112" spans="1:3" x14ac:dyDescent="0.25">
      <c r="A8112" t="s">
        <v>906</v>
      </c>
      <c r="B8112" t="s">
        <v>8188</v>
      </c>
      <c r="C8112" s="1">
        <v>46076</v>
      </c>
    </row>
    <row r="8113" spans="1:3" x14ac:dyDescent="0.25">
      <c r="A8113" t="s">
        <v>905</v>
      </c>
      <c r="B8113" t="s">
        <v>39</v>
      </c>
      <c r="C8113" s="1"/>
    </row>
    <row r="8114" spans="1:3" x14ac:dyDescent="0.25">
      <c r="A8114" t="s">
        <v>902</v>
      </c>
      <c r="B8114" t="s">
        <v>8188</v>
      </c>
      <c r="C8114" s="1">
        <v>46076</v>
      </c>
    </row>
    <row r="8115" spans="1:3" x14ac:dyDescent="0.25">
      <c r="A8115" t="s">
        <v>900</v>
      </c>
      <c r="B8115" t="s">
        <v>8188</v>
      </c>
      <c r="C8115" s="1">
        <v>46086</v>
      </c>
    </row>
    <row r="8116" spans="1:3" x14ac:dyDescent="0.25">
      <c r="A8116" t="s">
        <v>899</v>
      </c>
      <c r="B8116" t="s">
        <v>8188</v>
      </c>
      <c r="C8116" s="1">
        <v>46077</v>
      </c>
    </row>
    <row r="8117" spans="1:3" x14ac:dyDescent="0.25">
      <c r="A8117" t="s">
        <v>897</v>
      </c>
      <c r="B8117" t="s">
        <v>8188</v>
      </c>
      <c r="C8117" s="1">
        <v>46086</v>
      </c>
    </row>
    <row r="8118" spans="1:3" x14ac:dyDescent="0.25">
      <c r="A8118" t="s">
        <v>894</v>
      </c>
      <c r="B8118" t="s">
        <v>39</v>
      </c>
      <c r="C8118" s="1"/>
    </row>
    <row r="8119" spans="1:3" x14ac:dyDescent="0.25">
      <c r="A8119" t="s">
        <v>924</v>
      </c>
      <c r="B8119" t="s">
        <v>8188</v>
      </c>
      <c r="C8119" s="1">
        <v>46077</v>
      </c>
    </row>
    <row r="8120" spans="1:3" x14ac:dyDescent="0.25">
      <c r="A8120" t="s">
        <v>922</v>
      </c>
      <c r="B8120" t="s">
        <v>8188</v>
      </c>
      <c r="C8120" s="1">
        <v>46078</v>
      </c>
    </row>
    <row r="8121" spans="1:3" x14ac:dyDescent="0.25">
      <c r="A8121" t="s">
        <v>919</v>
      </c>
      <c r="B8121" t="s">
        <v>8188</v>
      </c>
      <c r="C8121" s="1">
        <v>46079</v>
      </c>
    </row>
    <row r="8122" spans="1:3" x14ac:dyDescent="0.25">
      <c r="A8122" t="s">
        <v>914</v>
      </c>
      <c r="B8122" t="s">
        <v>8188</v>
      </c>
      <c r="C8122" s="1">
        <v>45713</v>
      </c>
    </row>
    <row r="8123" spans="1:3" x14ac:dyDescent="0.25">
      <c r="A8123" t="s">
        <v>932</v>
      </c>
      <c r="B8123" t="s">
        <v>8188</v>
      </c>
      <c r="C8123" s="1">
        <v>46077</v>
      </c>
    </row>
    <row r="8124" spans="1:3" x14ac:dyDescent="0.25">
      <c r="A8124" t="s">
        <v>931</v>
      </c>
      <c r="B8124" t="s">
        <v>8188</v>
      </c>
      <c r="C8124" s="1">
        <v>46083</v>
      </c>
    </row>
    <row r="8125" spans="1:3" x14ac:dyDescent="0.25">
      <c r="A8125" t="s">
        <v>934</v>
      </c>
      <c r="B8125" t="s">
        <v>8188</v>
      </c>
      <c r="C8125" s="1">
        <v>46080</v>
      </c>
    </row>
    <row r="8126" spans="1:3" x14ac:dyDescent="0.25">
      <c r="A8126" t="s">
        <v>937</v>
      </c>
      <c r="B8126" t="s">
        <v>8188</v>
      </c>
      <c r="C8126" s="1">
        <v>46078</v>
      </c>
    </row>
    <row r="8127" spans="1:3" x14ac:dyDescent="0.25">
      <c r="A8127" t="s">
        <v>942</v>
      </c>
      <c r="B8127" t="s">
        <v>8188</v>
      </c>
      <c r="C8127" s="1">
        <v>46080</v>
      </c>
    </row>
    <row r="8128" spans="1:3" x14ac:dyDescent="0.25">
      <c r="A8128" t="s">
        <v>941</v>
      </c>
      <c r="B8128" t="s">
        <v>8188</v>
      </c>
      <c r="C8128" s="1">
        <v>46078</v>
      </c>
    </row>
    <row r="8129" spans="1:3" x14ac:dyDescent="0.25">
      <c r="A8129" t="s">
        <v>940</v>
      </c>
      <c r="B8129" t="s">
        <v>8188</v>
      </c>
      <c r="C8129" s="1">
        <v>46080</v>
      </c>
    </row>
    <row r="8130" spans="1:3" x14ac:dyDescent="0.25">
      <c r="A8130" t="s">
        <v>991</v>
      </c>
      <c r="B8130" t="s">
        <v>8188</v>
      </c>
      <c r="C8130" s="1">
        <v>46079</v>
      </c>
    </row>
    <row r="8131" spans="1:3" x14ac:dyDescent="0.25">
      <c r="A8131" t="s">
        <v>987</v>
      </c>
      <c r="B8131" t="s">
        <v>8188</v>
      </c>
      <c r="C8131" s="1">
        <v>46079</v>
      </c>
    </row>
    <row r="8132" spans="1:3" x14ac:dyDescent="0.25">
      <c r="A8132" t="s">
        <v>986</v>
      </c>
      <c r="B8132" t="s">
        <v>8188</v>
      </c>
      <c r="C8132" s="1">
        <v>46080</v>
      </c>
    </row>
    <row r="8133" spans="1:3" x14ac:dyDescent="0.25">
      <c r="A8133" t="s">
        <v>985</v>
      </c>
      <c r="B8133" t="s">
        <v>8188</v>
      </c>
      <c r="C8133" s="1">
        <v>46080</v>
      </c>
    </row>
    <row r="8134" spans="1:3" x14ac:dyDescent="0.25">
      <c r="A8134" t="s">
        <v>8179</v>
      </c>
      <c r="B8134" t="s">
        <v>39</v>
      </c>
      <c r="C8134" s="1"/>
    </row>
    <row r="8135" spans="1:3" x14ac:dyDescent="0.25">
      <c r="A8135" t="s">
        <v>983</v>
      </c>
      <c r="B8135" t="s">
        <v>8188</v>
      </c>
      <c r="C8135" s="1">
        <v>46079</v>
      </c>
    </row>
    <row r="8136" spans="1:3" x14ac:dyDescent="0.25">
      <c r="A8136" t="s">
        <v>982</v>
      </c>
      <c r="B8136" t="s">
        <v>8188</v>
      </c>
      <c r="C8136" s="1">
        <v>46080</v>
      </c>
    </row>
    <row r="8137" spans="1:3" x14ac:dyDescent="0.25">
      <c r="A8137" t="s">
        <v>978</v>
      </c>
      <c r="B8137" t="s">
        <v>8188</v>
      </c>
      <c r="C8137" s="1">
        <v>46084</v>
      </c>
    </row>
    <row r="8138" spans="1:3" x14ac:dyDescent="0.25">
      <c r="A8138" t="s">
        <v>974</v>
      </c>
      <c r="B8138" t="s">
        <v>8188</v>
      </c>
      <c r="C8138" s="1">
        <v>46087</v>
      </c>
    </row>
    <row r="8139" spans="1:3" x14ac:dyDescent="0.25">
      <c r="A8139" t="s">
        <v>981</v>
      </c>
      <c r="B8139" t="s">
        <v>8188</v>
      </c>
      <c r="C8139" s="1">
        <v>46080</v>
      </c>
    </row>
    <row r="8140" spans="1:3" x14ac:dyDescent="0.25">
      <c r="A8140" t="s">
        <v>973</v>
      </c>
      <c r="B8140" t="s">
        <v>8188</v>
      </c>
      <c r="C8140" s="1">
        <v>46084</v>
      </c>
    </row>
    <row r="8141" spans="1:3" x14ac:dyDescent="0.25">
      <c r="A8141" t="s">
        <v>972</v>
      </c>
      <c r="B8141" t="s">
        <v>8188</v>
      </c>
      <c r="C8141" s="1">
        <v>46083</v>
      </c>
    </row>
    <row r="8142" spans="1:3" x14ac:dyDescent="0.25">
      <c r="A8142" t="s">
        <v>968</v>
      </c>
      <c r="B8142" t="s">
        <v>8188</v>
      </c>
      <c r="C8142" s="1">
        <v>46085</v>
      </c>
    </row>
    <row r="8143" spans="1:3" x14ac:dyDescent="0.25">
      <c r="A8143" t="s">
        <v>967</v>
      </c>
      <c r="B8143" t="s">
        <v>8188</v>
      </c>
      <c r="C8143" s="1">
        <v>46085</v>
      </c>
    </row>
    <row r="8144" spans="1:3" x14ac:dyDescent="0.25">
      <c r="A8144" t="s">
        <v>967</v>
      </c>
      <c r="B8144" t="s">
        <v>8188</v>
      </c>
      <c r="C8144" s="1">
        <v>46085</v>
      </c>
    </row>
    <row r="8145" spans="1:3" x14ac:dyDescent="0.25">
      <c r="A8145" t="s">
        <v>966</v>
      </c>
      <c r="B8145" t="s">
        <v>8188</v>
      </c>
      <c r="C8145" s="1">
        <v>46085</v>
      </c>
    </row>
    <row r="8146" spans="1:3" x14ac:dyDescent="0.25">
      <c r="A8146" t="s">
        <v>964</v>
      </c>
      <c r="B8146" t="s">
        <v>8188</v>
      </c>
      <c r="C8146" s="1">
        <v>46085</v>
      </c>
    </row>
    <row r="8147" spans="1:3" x14ac:dyDescent="0.25">
      <c r="A8147" t="s">
        <v>933</v>
      </c>
      <c r="B8147" t="s">
        <v>8188</v>
      </c>
      <c r="C8147" s="1">
        <v>46083</v>
      </c>
    </row>
    <row r="8148" spans="1:3" x14ac:dyDescent="0.25">
      <c r="A8148" t="s">
        <v>954</v>
      </c>
      <c r="B8148" t="s">
        <v>8188</v>
      </c>
      <c r="C8148" s="1">
        <v>46083</v>
      </c>
    </row>
    <row r="8149" spans="1:3" x14ac:dyDescent="0.25">
      <c r="A8149" t="s">
        <v>953</v>
      </c>
      <c r="B8149" t="s">
        <v>8188</v>
      </c>
      <c r="C8149" s="1">
        <v>46083</v>
      </c>
    </row>
    <row r="8150" spans="1:3" x14ac:dyDescent="0.25">
      <c r="A8150" t="s">
        <v>948</v>
      </c>
      <c r="B8150" t="s">
        <v>8188</v>
      </c>
      <c r="C8150" s="1">
        <v>46087</v>
      </c>
    </row>
    <row r="8151" spans="1:3" x14ac:dyDescent="0.25">
      <c r="A8151" t="s">
        <v>944</v>
      </c>
      <c r="B8151" t="s">
        <v>8188</v>
      </c>
      <c r="C8151" s="1">
        <v>46093</v>
      </c>
    </row>
    <row r="8152" spans="1:3" x14ac:dyDescent="0.25">
      <c r="A8152" t="s">
        <v>943</v>
      </c>
      <c r="B8152" t="s">
        <v>8188</v>
      </c>
      <c r="C8152" s="1">
        <v>46094</v>
      </c>
    </row>
    <row r="8153" spans="1:3" x14ac:dyDescent="0.25">
      <c r="A8153" t="s">
        <v>1013</v>
      </c>
      <c r="B8153" t="s">
        <v>8188</v>
      </c>
      <c r="C8153" s="1">
        <v>46089</v>
      </c>
    </row>
    <row r="8154" spans="1:3" x14ac:dyDescent="0.25">
      <c r="A8154" t="s">
        <v>997</v>
      </c>
      <c r="B8154" t="s">
        <v>8188</v>
      </c>
      <c r="C8154" s="1">
        <v>46089</v>
      </c>
    </row>
    <row r="8155" spans="1:3" x14ac:dyDescent="0.25">
      <c r="A8155" t="s">
        <v>1009</v>
      </c>
      <c r="B8155" t="s">
        <v>8188</v>
      </c>
      <c r="C8155" s="1">
        <v>46090</v>
      </c>
    </row>
    <row r="8156" spans="1:3" x14ac:dyDescent="0.25">
      <c r="A8156" t="s">
        <v>1005</v>
      </c>
      <c r="B8156" t="s">
        <v>39</v>
      </c>
      <c r="C8156" s="1"/>
    </row>
    <row r="8157" spans="1:3" x14ac:dyDescent="0.25">
      <c r="A8157" t="s">
        <v>1015</v>
      </c>
      <c r="B8157" t="s">
        <v>8188</v>
      </c>
      <c r="C8157" s="1">
        <v>46088</v>
      </c>
    </row>
    <row r="8158" spans="1:3" x14ac:dyDescent="0.25">
      <c r="A8158" t="s">
        <v>1028</v>
      </c>
      <c r="B8158" t="s">
        <v>8188</v>
      </c>
      <c r="C8158" s="1">
        <v>46088</v>
      </c>
    </row>
    <row r="8159" spans="1:3" x14ac:dyDescent="0.25">
      <c r="A8159" t="s">
        <v>1043</v>
      </c>
      <c r="B8159" t="s">
        <v>8188</v>
      </c>
      <c r="C8159" s="1">
        <v>46092</v>
      </c>
    </row>
    <row r="8160" spans="1:3" x14ac:dyDescent="0.25">
      <c r="A8160" t="s">
        <v>1043</v>
      </c>
      <c r="B8160" t="s">
        <v>8188</v>
      </c>
      <c r="C8160" s="1">
        <v>46092</v>
      </c>
    </row>
    <row r="8161" spans="1:3" x14ac:dyDescent="0.25">
      <c r="A8161" t="s">
        <v>1029</v>
      </c>
      <c r="B8161" t="s">
        <v>8188</v>
      </c>
      <c r="C8161" s="1">
        <v>46111</v>
      </c>
    </row>
    <row r="8162" spans="1:3" x14ac:dyDescent="0.25">
      <c r="A8162" t="s">
        <v>1025</v>
      </c>
      <c r="B8162" t="s">
        <v>8188</v>
      </c>
      <c r="C8162" s="1">
        <v>46091</v>
      </c>
    </row>
    <row r="8163" spans="1:3" x14ac:dyDescent="0.25">
      <c r="A8163" t="s">
        <v>1024</v>
      </c>
      <c r="B8163" t="s">
        <v>8188</v>
      </c>
      <c r="C8163" s="1">
        <v>46091</v>
      </c>
    </row>
    <row r="8164" spans="1:3" x14ac:dyDescent="0.25">
      <c r="A8164" t="s">
        <v>1049</v>
      </c>
      <c r="B8164" t="s">
        <v>8188</v>
      </c>
      <c r="C8164" s="1">
        <v>46092</v>
      </c>
    </row>
    <row r="8165" spans="1:3" x14ac:dyDescent="0.25">
      <c r="A8165" t="s">
        <v>1047</v>
      </c>
      <c r="B8165" t="s">
        <v>8188</v>
      </c>
      <c r="C8165" s="1">
        <v>46091</v>
      </c>
    </row>
    <row r="8166" spans="1:3" x14ac:dyDescent="0.25">
      <c r="A8166" t="s">
        <v>1045</v>
      </c>
      <c r="B8166" t="s">
        <v>8188</v>
      </c>
      <c r="C8166" s="1">
        <v>46092</v>
      </c>
    </row>
    <row r="8167" spans="1:3" x14ac:dyDescent="0.25">
      <c r="A8167" t="s">
        <v>1042</v>
      </c>
      <c r="B8167" t="s">
        <v>8188</v>
      </c>
      <c r="C8167" s="1">
        <v>46088</v>
      </c>
    </row>
    <row r="8168" spans="1:3" x14ac:dyDescent="0.25">
      <c r="A8168" t="s">
        <v>1040</v>
      </c>
      <c r="B8168" t="s">
        <v>39</v>
      </c>
      <c r="C8168" s="1"/>
    </row>
    <row r="8169" spans="1:3" x14ac:dyDescent="0.25">
      <c r="A8169" t="s">
        <v>1039</v>
      </c>
      <c r="B8169" t="s">
        <v>8188</v>
      </c>
      <c r="C8169" s="1">
        <v>46091</v>
      </c>
    </row>
    <row r="8170" spans="1:3" x14ac:dyDescent="0.25">
      <c r="A8170" t="s">
        <v>1038</v>
      </c>
      <c r="B8170" t="s">
        <v>8188</v>
      </c>
      <c r="C8170" s="1">
        <v>46090</v>
      </c>
    </row>
    <row r="8171" spans="1:3" x14ac:dyDescent="0.25">
      <c r="A8171" t="s">
        <v>1037</v>
      </c>
      <c r="B8171" t="s">
        <v>8188</v>
      </c>
      <c r="C8171" s="1">
        <v>46091</v>
      </c>
    </row>
    <row r="8172" spans="1:3" x14ac:dyDescent="0.25">
      <c r="A8172" t="s">
        <v>1034</v>
      </c>
      <c r="B8172" t="s">
        <v>8188</v>
      </c>
      <c r="C8172" s="1">
        <v>46090</v>
      </c>
    </row>
    <row r="8173" spans="1:3" x14ac:dyDescent="0.25">
      <c r="A8173" t="s">
        <v>1033</v>
      </c>
      <c r="B8173" t="s">
        <v>8188</v>
      </c>
      <c r="C8173" s="1">
        <v>46090</v>
      </c>
    </row>
    <row r="8174" spans="1:3" x14ac:dyDescent="0.25">
      <c r="A8174" t="s">
        <v>1052</v>
      </c>
      <c r="B8174" t="s">
        <v>8188</v>
      </c>
      <c r="C8174" s="1">
        <v>46091</v>
      </c>
    </row>
    <row r="8175" spans="1:3" x14ac:dyDescent="0.25">
      <c r="A8175" t="s">
        <v>1051</v>
      </c>
      <c r="B8175" t="s">
        <v>8188</v>
      </c>
      <c r="C8175" s="1">
        <v>46092</v>
      </c>
    </row>
    <row r="8176" spans="1:3" x14ac:dyDescent="0.25">
      <c r="A8176" t="s">
        <v>1054</v>
      </c>
      <c r="B8176" t="s">
        <v>8188</v>
      </c>
      <c r="C8176" s="1">
        <v>46090</v>
      </c>
    </row>
    <row r="8177" spans="1:3" x14ac:dyDescent="0.25">
      <c r="A8177" t="s">
        <v>1059</v>
      </c>
      <c r="B8177" t="s">
        <v>8188</v>
      </c>
      <c r="C8177" s="1">
        <v>46092</v>
      </c>
    </row>
    <row r="8178" spans="1:3" x14ac:dyDescent="0.25">
      <c r="A8178" t="s">
        <v>1058</v>
      </c>
      <c r="B8178" t="s">
        <v>8188</v>
      </c>
      <c r="C8178" s="1">
        <v>46095</v>
      </c>
    </row>
    <row r="8179" spans="1:3" x14ac:dyDescent="0.25">
      <c r="A8179" t="s">
        <v>1065</v>
      </c>
      <c r="B8179" t="s">
        <v>8188</v>
      </c>
      <c r="C8179" s="1">
        <v>46092</v>
      </c>
    </row>
    <row r="8180" spans="1:3" x14ac:dyDescent="0.25">
      <c r="A8180" t="s">
        <v>1083</v>
      </c>
      <c r="B8180" t="s">
        <v>8188</v>
      </c>
      <c r="C8180" s="1">
        <v>46093</v>
      </c>
    </row>
    <row r="8181" spans="1:3" x14ac:dyDescent="0.25">
      <c r="A8181" t="s">
        <v>1082</v>
      </c>
      <c r="B8181" t="s">
        <v>8188</v>
      </c>
      <c r="C8181" s="1">
        <v>46093</v>
      </c>
    </row>
    <row r="8182" spans="1:3" x14ac:dyDescent="0.25">
      <c r="A8182" t="s">
        <v>1078</v>
      </c>
      <c r="B8182" t="s">
        <v>8188</v>
      </c>
      <c r="C8182" s="1">
        <v>46095</v>
      </c>
    </row>
    <row r="8183" spans="1:3" x14ac:dyDescent="0.25">
      <c r="A8183" t="s">
        <v>1091</v>
      </c>
      <c r="B8183" t="s">
        <v>8188</v>
      </c>
      <c r="C8183" s="1">
        <v>46092</v>
      </c>
    </row>
    <row r="8184" spans="1:3" x14ac:dyDescent="0.25">
      <c r="A8184" t="s">
        <v>1099</v>
      </c>
      <c r="B8184" t="s">
        <v>8188</v>
      </c>
      <c r="C8184" s="1">
        <v>46105</v>
      </c>
    </row>
    <row r="8185" spans="1:3" x14ac:dyDescent="0.25">
      <c r="A8185" t="s">
        <v>1128</v>
      </c>
      <c r="B8185" t="s">
        <v>8188</v>
      </c>
      <c r="C8185" s="1">
        <v>46101</v>
      </c>
    </row>
    <row r="8186" spans="1:3" x14ac:dyDescent="0.25">
      <c r="A8186" t="s">
        <v>1093</v>
      </c>
      <c r="B8186" t="s">
        <v>39</v>
      </c>
      <c r="C8186" s="1"/>
    </row>
    <row r="8187" spans="1:3" x14ac:dyDescent="0.25">
      <c r="A8187" t="s">
        <v>1125</v>
      </c>
      <c r="B8187" t="s">
        <v>8188</v>
      </c>
      <c r="C8187" s="1">
        <v>46101</v>
      </c>
    </row>
    <row r="8188" spans="1:3" x14ac:dyDescent="0.25">
      <c r="A8188" t="s">
        <v>1123</v>
      </c>
      <c r="B8188" t="s">
        <v>8188</v>
      </c>
      <c r="C8188" s="1">
        <v>46097</v>
      </c>
    </row>
    <row r="8189" spans="1:3" x14ac:dyDescent="0.25">
      <c r="A8189" t="s">
        <v>1118</v>
      </c>
      <c r="B8189" t="s">
        <v>8188</v>
      </c>
      <c r="C8189" s="1">
        <v>46101</v>
      </c>
    </row>
    <row r="8190" spans="1:3" x14ac:dyDescent="0.25">
      <c r="A8190" t="s">
        <v>1117</v>
      </c>
      <c r="B8190" t="s">
        <v>8188</v>
      </c>
      <c r="C8190" s="1">
        <v>46101</v>
      </c>
    </row>
    <row r="8191" spans="1:3" x14ac:dyDescent="0.25">
      <c r="A8191" t="s">
        <v>1114</v>
      </c>
      <c r="B8191" t="s">
        <v>8188</v>
      </c>
      <c r="C8191" s="1">
        <v>46105</v>
      </c>
    </row>
    <row r="8192" spans="1:3" x14ac:dyDescent="0.25">
      <c r="A8192" t="s">
        <v>1110</v>
      </c>
      <c r="B8192" t="s">
        <v>8188</v>
      </c>
      <c r="C8192" s="1">
        <v>46095</v>
      </c>
    </row>
    <row r="8193" spans="1:3" x14ac:dyDescent="0.25">
      <c r="A8193" t="s">
        <v>1103</v>
      </c>
      <c r="B8193" t="s">
        <v>8188</v>
      </c>
      <c r="C8193" s="1">
        <v>46095</v>
      </c>
    </row>
    <row r="8194" spans="1:3" x14ac:dyDescent="0.25">
      <c r="A8194" t="s">
        <v>1140</v>
      </c>
      <c r="B8194" t="s">
        <v>8188</v>
      </c>
      <c r="C8194" s="1">
        <v>46099</v>
      </c>
    </row>
    <row r="8195" spans="1:3" x14ac:dyDescent="0.25">
      <c r="A8195" t="s">
        <v>1137</v>
      </c>
      <c r="B8195" t="s">
        <v>8188</v>
      </c>
      <c r="C8195" s="1">
        <v>46099</v>
      </c>
    </row>
    <row r="8196" spans="1:3" x14ac:dyDescent="0.25">
      <c r="A8196" t="s">
        <v>1101</v>
      </c>
      <c r="B8196" t="s">
        <v>8188</v>
      </c>
      <c r="C8196" s="1">
        <v>46093</v>
      </c>
    </row>
    <row r="8197" spans="1:3" x14ac:dyDescent="0.25">
      <c r="A8197" t="s">
        <v>1130</v>
      </c>
      <c r="B8197" t="s">
        <v>8188</v>
      </c>
      <c r="C8197" s="1">
        <v>46098</v>
      </c>
    </row>
    <row r="8198" spans="1:3" x14ac:dyDescent="0.25">
      <c r="A8198" t="s">
        <v>1141</v>
      </c>
      <c r="B8198" t="s">
        <v>8188</v>
      </c>
      <c r="C8198" s="1">
        <v>46097</v>
      </c>
    </row>
    <row r="8199" spans="1:3" x14ac:dyDescent="0.25">
      <c r="A8199" t="s">
        <v>1144</v>
      </c>
      <c r="B8199" t="s">
        <v>8188</v>
      </c>
      <c r="C8199" s="1">
        <v>46100</v>
      </c>
    </row>
    <row r="8200" spans="1:3" x14ac:dyDescent="0.25">
      <c r="A8200" t="s">
        <v>1143</v>
      </c>
      <c r="B8200" t="s">
        <v>8188</v>
      </c>
      <c r="C8200" s="1">
        <v>46101</v>
      </c>
    </row>
    <row r="8201" spans="1:3" x14ac:dyDescent="0.25">
      <c r="A8201" t="s">
        <v>1163</v>
      </c>
      <c r="B8201" t="s">
        <v>8188</v>
      </c>
      <c r="C8201" s="1">
        <v>46145</v>
      </c>
    </row>
    <row r="8202" spans="1:3" x14ac:dyDescent="0.25">
      <c r="A8202" t="s">
        <v>1162</v>
      </c>
      <c r="B8202" t="s">
        <v>8188</v>
      </c>
      <c r="C8202" s="1">
        <v>46150</v>
      </c>
    </row>
    <row r="8203" spans="1:3" x14ac:dyDescent="0.25">
      <c r="A8203" t="s">
        <v>1171</v>
      </c>
      <c r="B8203" t="s">
        <v>8188</v>
      </c>
      <c r="C8203" s="1">
        <v>46101</v>
      </c>
    </row>
    <row r="8204" spans="1:3" x14ac:dyDescent="0.25">
      <c r="A8204" t="s">
        <v>1173</v>
      </c>
      <c r="B8204" t="s">
        <v>39</v>
      </c>
      <c r="C8204" s="1"/>
    </row>
    <row r="8205" spans="1:3" x14ac:dyDescent="0.25">
      <c r="A8205" t="s">
        <v>1178</v>
      </c>
      <c r="B8205" t="s">
        <v>8188</v>
      </c>
      <c r="C8205" s="1">
        <v>46100</v>
      </c>
    </row>
    <row r="8206" spans="1:3" x14ac:dyDescent="0.25">
      <c r="A8206" t="s">
        <v>1177</v>
      </c>
      <c r="B8206" t="s">
        <v>8188</v>
      </c>
      <c r="C8206" s="1">
        <v>46101</v>
      </c>
    </row>
    <row r="8207" spans="1:3" x14ac:dyDescent="0.25">
      <c r="A8207" t="s">
        <v>1175</v>
      </c>
      <c r="B8207" t="s">
        <v>8188</v>
      </c>
      <c r="C8207" s="1">
        <v>46107</v>
      </c>
    </row>
    <row r="8208" spans="1:3" x14ac:dyDescent="0.25">
      <c r="A8208" t="s">
        <v>1185</v>
      </c>
      <c r="B8208" t="s">
        <v>8188</v>
      </c>
      <c r="C8208" s="1">
        <v>46105</v>
      </c>
    </row>
    <row r="8209" spans="1:3" x14ac:dyDescent="0.25">
      <c r="A8209" t="s">
        <v>1184</v>
      </c>
      <c r="B8209" t="s">
        <v>8188</v>
      </c>
      <c r="C8209" s="1">
        <v>46102</v>
      </c>
    </row>
    <row r="8210" spans="1:3" x14ac:dyDescent="0.25">
      <c r="A8210" t="s">
        <v>1182</v>
      </c>
      <c r="B8210" t="s">
        <v>8188</v>
      </c>
      <c r="C8210" s="1">
        <v>46104</v>
      </c>
    </row>
    <row r="8211" spans="1:3" x14ac:dyDescent="0.25">
      <c r="A8211" t="s">
        <v>1181</v>
      </c>
      <c r="B8211" t="s">
        <v>39</v>
      </c>
      <c r="C8211" s="1"/>
    </row>
    <row r="8212" spans="1:3" x14ac:dyDescent="0.25">
      <c r="A8212" t="s">
        <v>1196</v>
      </c>
      <c r="B8212" t="s">
        <v>8188</v>
      </c>
      <c r="C8212" s="1">
        <v>46105</v>
      </c>
    </row>
    <row r="8213" spans="1:3" x14ac:dyDescent="0.25">
      <c r="A8213" t="s">
        <v>1193</v>
      </c>
      <c r="B8213" t="s">
        <v>8188</v>
      </c>
      <c r="C8213" s="1">
        <v>46104</v>
      </c>
    </row>
    <row r="8214" spans="1:3" x14ac:dyDescent="0.25">
      <c r="A8214" t="s">
        <v>1188</v>
      </c>
      <c r="B8214" t="s">
        <v>8188</v>
      </c>
      <c r="C8214" s="1">
        <v>46106</v>
      </c>
    </row>
    <row r="8215" spans="1:3" x14ac:dyDescent="0.25">
      <c r="A8215" t="s">
        <v>1187</v>
      </c>
      <c r="B8215" t="s">
        <v>8188</v>
      </c>
      <c r="C8215" s="1">
        <v>46104</v>
      </c>
    </row>
    <row r="8216" spans="1:3" x14ac:dyDescent="0.25">
      <c r="A8216" t="s">
        <v>1207</v>
      </c>
      <c r="B8216" t="s">
        <v>8188</v>
      </c>
      <c r="C8216" s="1">
        <v>46105</v>
      </c>
    </row>
    <row r="8217" spans="1:3" x14ac:dyDescent="0.25">
      <c r="A8217" t="s">
        <v>1206</v>
      </c>
      <c r="B8217" t="s">
        <v>8188</v>
      </c>
      <c r="C8217" s="1">
        <v>46106</v>
      </c>
    </row>
    <row r="8218" spans="1:3" x14ac:dyDescent="0.25">
      <c r="A8218" t="s">
        <v>1205</v>
      </c>
      <c r="B8218" t="s">
        <v>8188</v>
      </c>
      <c r="C8218" s="1">
        <v>46104</v>
      </c>
    </row>
    <row r="8219" spans="1:3" x14ac:dyDescent="0.25">
      <c r="A8219" t="s">
        <v>1199</v>
      </c>
      <c r="B8219" t="s">
        <v>8188</v>
      </c>
      <c r="C8219" s="1">
        <v>46112</v>
      </c>
    </row>
    <row r="8220" spans="1:3" x14ac:dyDescent="0.25">
      <c r="A8220" t="s">
        <v>1198</v>
      </c>
      <c r="B8220" t="s">
        <v>8188</v>
      </c>
      <c r="C8220" s="1">
        <v>46106</v>
      </c>
    </row>
    <row r="8221" spans="1:3" x14ac:dyDescent="0.25">
      <c r="A8221" t="s">
        <v>1208</v>
      </c>
      <c r="B8221" t="s">
        <v>8188</v>
      </c>
      <c r="C8221" s="1">
        <v>46112</v>
      </c>
    </row>
    <row r="8222" spans="1:3" x14ac:dyDescent="0.25">
      <c r="A8222" t="s">
        <v>1221</v>
      </c>
      <c r="B8222" t="s">
        <v>8188</v>
      </c>
      <c r="C8222" s="1">
        <v>46107</v>
      </c>
    </row>
    <row r="8223" spans="1:3" x14ac:dyDescent="0.25">
      <c r="A8223" t="s">
        <v>1216</v>
      </c>
      <c r="B8223" t="s">
        <v>8188</v>
      </c>
      <c r="C8223" s="1">
        <v>46108</v>
      </c>
    </row>
    <row r="8224" spans="1:3" x14ac:dyDescent="0.25">
      <c r="A8224" t="s">
        <v>1211</v>
      </c>
      <c r="B8224" t="s">
        <v>8188</v>
      </c>
      <c r="C8224" s="1">
        <v>46109</v>
      </c>
    </row>
    <row r="8225" spans="1:3" x14ac:dyDescent="0.25">
      <c r="A8225" t="s">
        <v>1210</v>
      </c>
      <c r="B8225" t="s">
        <v>8188</v>
      </c>
      <c r="C8225" s="1">
        <v>46107</v>
      </c>
    </row>
    <row r="8226" spans="1:3" x14ac:dyDescent="0.25">
      <c r="A8226" t="s">
        <v>1226</v>
      </c>
      <c r="B8226" t="s">
        <v>8188</v>
      </c>
      <c r="C8226" s="1">
        <v>46108</v>
      </c>
    </row>
    <row r="8227" spans="1:3" x14ac:dyDescent="0.25">
      <c r="A8227" t="s">
        <v>1231</v>
      </c>
      <c r="B8227" t="s">
        <v>39</v>
      </c>
      <c r="C8227" s="1"/>
    </row>
    <row r="8228" spans="1:3" x14ac:dyDescent="0.25">
      <c r="A8228" t="s">
        <v>1230</v>
      </c>
      <c r="B8228" t="s">
        <v>8188</v>
      </c>
      <c r="C8228" s="1">
        <v>46112</v>
      </c>
    </row>
    <row r="8229" spans="1:3" x14ac:dyDescent="0.25">
      <c r="A8229" t="s">
        <v>1229</v>
      </c>
      <c r="B8229" t="s">
        <v>8188</v>
      </c>
      <c r="C8229" s="1">
        <v>46112</v>
      </c>
    </row>
    <row r="8230" spans="1:3" x14ac:dyDescent="0.25">
      <c r="A8230" t="s">
        <v>1240</v>
      </c>
      <c r="B8230" t="s">
        <v>8188</v>
      </c>
      <c r="C8230" s="1">
        <v>46112</v>
      </c>
    </row>
    <row r="8231" spans="1:3" x14ac:dyDescent="0.25">
      <c r="A8231" t="s">
        <v>1251</v>
      </c>
      <c r="B8231" t="s">
        <v>8188</v>
      </c>
      <c r="C8231" s="1">
        <v>46151</v>
      </c>
    </row>
    <row r="8232" spans="1:3" x14ac:dyDescent="0.25">
      <c r="A8232" t="s">
        <v>1251</v>
      </c>
      <c r="B8232" t="s">
        <v>8188</v>
      </c>
      <c r="C8232" s="1">
        <v>46122</v>
      </c>
    </row>
    <row r="8233" spans="1:3" x14ac:dyDescent="0.25">
      <c r="A8233" t="s">
        <v>1251</v>
      </c>
      <c r="B8233" t="s">
        <v>39</v>
      </c>
      <c r="C8233" s="1"/>
    </row>
    <row r="8234" spans="1:3" x14ac:dyDescent="0.25">
      <c r="A8234" t="s">
        <v>1250</v>
      </c>
      <c r="B8234" t="s">
        <v>8188</v>
      </c>
      <c r="C8234" s="1">
        <v>46109</v>
      </c>
    </row>
    <row r="8235" spans="1:3" x14ac:dyDescent="0.25">
      <c r="A8235" t="s">
        <v>1253</v>
      </c>
      <c r="B8235" t="s">
        <v>8188</v>
      </c>
      <c r="C8235" s="1">
        <v>46113</v>
      </c>
    </row>
    <row r="8236" spans="1:3" x14ac:dyDescent="0.25">
      <c r="A8236" t="s">
        <v>1252</v>
      </c>
      <c r="B8236" t="s">
        <v>8188</v>
      </c>
      <c r="C8236" s="1">
        <v>46111</v>
      </c>
    </row>
    <row r="8237" spans="1:3" x14ac:dyDescent="0.25">
      <c r="A8237" t="s">
        <v>1246</v>
      </c>
      <c r="B8237" t="s">
        <v>8188</v>
      </c>
      <c r="C8237" s="1">
        <v>46116</v>
      </c>
    </row>
    <row r="8238" spans="1:3" x14ac:dyDescent="0.25">
      <c r="A8238" t="s">
        <v>1245</v>
      </c>
      <c r="B8238" t="s">
        <v>8188</v>
      </c>
      <c r="C8238" s="1">
        <v>46113</v>
      </c>
    </row>
    <row r="8239" spans="1:3" x14ac:dyDescent="0.25">
      <c r="A8239" t="s">
        <v>1244</v>
      </c>
      <c r="B8239" t="s">
        <v>39</v>
      </c>
      <c r="C8239" s="1"/>
    </row>
    <row r="8240" spans="1:3" x14ac:dyDescent="0.25">
      <c r="A8240" t="s">
        <v>1259</v>
      </c>
      <c r="B8240" t="s">
        <v>8188</v>
      </c>
      <c r="C8240" s="1">
        <v>46122</v>
      </c>
    </row>
    <row r="8241" spans="1:3" x14ac:dyDescent="0.25">
      <c r="A8241" t="s">
        <v>1257</v>
      </c>
      <c r="B8241" t="s">
        <v>8188</v>
      </c>
      <c r="C8241" s="1">
        <v>46149</v>
      </c>
    </row>
    <row r="8242" spans="1:3" x14ac:dyDescent="0.25">
      <c r="A8242" t="s">
        <v>1280</v>
      </c>
      <c r="B8242" t="s">
        <v>8188</v>
      </c>
      <c r="C8242" s="1">
        <v>46148</v>
      </c>
    </row>
    <row r="8243" spans="1:3" x14ac:dyDescent="0.25">
      <c r="A8243" t="s">
        <v>1278</v>
      </c>
      <c r="B8243" t="s">
        <v>8188</v>
      </c>
      <c r="C8243" s="1">
        <v>46114</v>
      </c>
    </row>
    <row r="8244" spans="1:3" x14ac:dyDescent="0.25">
      <c r="A8244" t="s">
        <v>1271</v>
      </c>
      <c r="B8244" t="s">
        <v>8188</v>
      </c>
      <c r="C8244" s="1">
        <v>46113</v>
      </c>
    </row>
    <row r="8245" spans="1:3" x14ac:dyDescent="0.25">
      <c r="A8245" t="s">
        <v>1268</v>
      </c>
      <c r="B8245" t="s">
        <v>8188</v>
      </c>
      <c r="C8245" s="1">
        <v>46125</v>
      </c>
    </row>
    <row r="8246" spans="1:3" x14ac:dyDescent="0.25">
      <c r="A8246" t="s">
        <v>1265</v>
      </c>
      <c r="B8246" t="s">
        <v>8188</v>
      </c>
      <c r="C8246" s="1">
        <v>46113</v>
      </c>
    </row>
    <row r="8247" spans="1:3" x14ac:dyDescent="0.25">
      <c r="A8247" t="s">
        <v>1261</v>
      </c>
      <c r="B8247" t="s">
        <v>8188</v>
      </c>
      <c r="C8247" s="1">
        <v>46116</v>
      </c>
    </row>
    <row r="8248" spans="1:3" x14ac:dyDescent="0.25">
      <c r="A8248" t="s">
        <v>1403</v>
      </c>
      <c r="B8248" t="s">
        <v>8188</v>
      </c>
      <c r="C8248" s="1">
        <v>46116</v>
      </c>
    </row>
    <row r="8249" spans="1:3" x14ac:dyDescent="0.25">
      <c r="A8249" t="s">
        <v>1253</v>
      </c>
      <c r="B8249" t="s">
        <v>8188</v>
      </c>
      <c r="C8249" s="1">
        <v>46113</v>
      </c>
    </row>
    <row r="8250" spans="1:3" x14ac:dyDescent="0.25">
      <c r="A8250" t="s">
        <v>1392</v>
      </c>
      <c r="B8250" t="s">
        <v>8188</v>
      </c>
      <c r="C8250" s="1">
        <v>46135</v>
      </c>
    </row>
    <row r="8251" spans="1:3" x14ac:dyDescent="0.25">
      <c r="A8251" t="s">
        <v>1383</v>
      </c>
      <c r="B8251" t="s">
        <v>39</v>
      </c>
      <c r="C8251" s="1"/>
    </row>
    <row r="8252" spans="1:3" x14ac:dyDescent="0.25">
      <c r="A8252" t="s">
        <v>1379</v>
      </c>
      <c r="B8252" t="s">
        <v>39</v>
      </c>
      <c r="C8252" s="1"/>
    </row>
    <row r="8253" spans="1:3" x14ac:dyDescent="0.25">
      <c r="A8253" t="s">
        <v>1371</v>
      </c>
      <c r="B8253" t="s">
        <v>8188</v>
      </c>
      <c r="C8253" s="1">
        <v>46127</v>
      </c>
    </row>
    <row r="8254" spans="1:3" x14ac:dyDescent="0.25">
      <c r="A8254" t="s">
        <v>1367</v>
      </c>
      <c r="B8254" t="s">
        <v>8188</v>
      </c>
      <c r="C8254" s="1">
        <v>46119</v>
      </c>
    </row>
    <row r="8255" spans="1:3" x14ac:dyDescent="0.25">
      <c r="A8255" t="s">
        <v>1365</v>
      </c>
      <c r="B8255" t="s">
        <v>8188</v>
      </c>
      <c r="C8255" s="1">
        <v>46123</v>
      </c>
    </row>
    <row r="8256" spans="1:3" x14ac:dyDescent="0.25">
      <c r="A8256" t="s">
        <v>1361</v>
      </c>
      <c r="B8256" t="s">
        <v>39</v>
      </c>
      <c r="C8256" s="1"/>
    </row>
    <row r="8257" spans="1:3" x14ac:dyDescent="0.25">
      <c r="A8257" t="s">
        <v>1353</v>
      </c>
      <c r="B8257" t="s">
        <v>8188</v>
      </c>
      <c r="C8257" s="1">
        <v>46121</v>
      </c>
    </row>
    <row r="8258" spans="1:3" x14ac:dyDescent="0.25">
      <c r="A8258" t="s">
        <v>1351</v>
      </c>
      <c r="B8258" t="s">
        <v>8188</v>
      </c>
      <c r="C8258" s="1">
        <v>46121</v>
      </c>
    </row>
    <row r="8259" spans="1:3" x14ac:dyDescent="0.25">
      <c r="A8259" t="s">
        <v>1349</v>
      </c>
      <c r="B8259" t="s">
        <v>39</v>
      </c>
      <c r="C8259" s="1"/>
    </row>
    <row r="8260" spans="1:3" x14ac:dyDescent="0.25">
      <c r="A8260" t="s">
        <v>1348</v>
      </c>
      <c r="B8260" t="s">
        <v>8188</v>
      </c>
      <c r="C8260" s="1">
        <v>46144</v>
      </c>
    </row>
    <row r="8261" spans="1:3" x14ac:dyDescent="0.25">
      <c r="A8261" t="s">
        <v>1342</v>
      </c>
      <c r="B8261" t="s">
        <v>8188</v>
      </c>
      <c r="C8261" s="1">
        <v>46118</v>
      </c>
    </row>
    <row r="8262" spans="1:3" x14ac:dyDescent="0.25">
      <c r="A8262" t="s">
        <v>1340</v>
      </c>
      <c r="B8262" t="s">
        <v>8188</v>
      </c>
      <c r="C8262" s="1">
        <v>46119</v>
      </c>
    </row>
    <row r="8263" spans="1:3" x14ac:dyDescent="0.25">
      <c r="A8263" t="s">
        <v>1277</v>
      </c>
      <c r="B8263" t="s">
        <v>8188</v>
      </c>
      <c r="C8263" s="1">
        <v>46119</v>
      </c>
    </row>
    <row r="8264" spans="1:3" x14ac:dyDescent="0.25">
      <c r="A8264" t="s">
        <v>1331</v>
      </c>
      <c r="B8264" t="s">
        <v>8189</v>
      </c>
      <c r="C8264" s="1"/>
    </row>
    <row r="8265" spans="1:3" x14ac:dyDescent="0.25">
      <c r="A8265" t="s">
        <v>1329</v>
      </c>
      <c r="B8265" t="s">
        <v>8188</v>
      </c>
      <c r="C8265" s="1">
        <v>46127</v>
      </c>
    </row>
    <row r="8266" spans="1:3" x14ac:dyDescent="0.25">
      <c r="A8266" t="s">
        <v>1327</v>
      </c>
      <c r="B8266" t="s">
        <v>8188</v>
      </c>
      <c r="C8266" s="1">
        <v>46130</v>
      </c>
    </row>
    <row r="8267" spans="1:3" x14ac:dyDescent="0.25">
      <c r="A8267" t="s">
        <v>1380</v>
      </c>
      <c r="B8267" t="s">
        <v>8188</v>
      </c>
      <c r="C8267" s="1">
        <v>46121</v>
      </c>
    </row>
    <row r="8268" spans="1:3" x14ac:dyDescent="0.25">
      <c r="A8268" t="s">
        <v>1323</v>
      </c>
      <c r="B8268" t="s">
        <v>39</v>
      </c>
      <c r="C8268" s="1"/>
    </row>
    <row r="8269" spans="1:3" x14ac:dyDescent="0.25">
      <c r="A8269" t="s">
        <v>1315</v>
      </c>
      <c r="B8269" t="s">
        <v>8188</v>
      </c>
      <c r="C8269" s="1">
        <v>46154</v>
      </c>
    </row>
    <row r="8270" spans="1:3" x14ac:dyDescent="0.25">
      <c r="A8270" t="s">
        <v>1313</v>
      </c>
      <c r="B8270" t="s">
        <v>8188</v>
      </c>
      <c r="C8270" s="1">
        <v>46130</v>
      </c>
    </row>
    <row r="8271" spans="1:3" x14ac:dyDescent="0.25">
      <c r="A8271" t="s">
        <v>1312</v>
      </c>
      <c r="B8271" t="s">
        <v>8188</v>
      </c>
      <c r="C8271" s="1">
        <v>46123</v>
      </c>
    </row>
    <row r="8272" spans="1:3" x14ac:dyDescent="0.25">
      <c r="A8272" t="s">
        <v>1313</v>
      </c>
      <c r="B8272" t="s">
        <v>8188</v>
      </c>
      <c r="C8272" s="1">
        <v>46130</v>
      </c>
    </row>
    <row r="8273" spans="1:3" x14ac:dyDescent="0.25">
      <c r="A8273" t="s">
        <v>1256</v>
      </c>
      <c r="B8273" t="s">
        <v>8188</v>
      </c>
      <c r="C8273" s="1">
        <v>46123</v>
      </c>
    </row>
    <row r="8274" spans="1:3" x14ac:dyDescent="0.25">
      <c r="A8274" t="s">
        <v>1310</v>
      </c>
      <c r="B8274" t="s">
        <v>8188</v>
      </c>
      <c r="C8274" s="1">
        <v>46135</v>
      </c>
    </row>
    <row r="8275" spans="1:3" x14ac:dyDescent="0.25">
      <c r="A8275" t="s">
        <v>1306</v>
      </c>
      <c r="B8275" t="s">
        <v>8188</v>
      </c>
      <c r="C8275" s="1">
        <v>46123</v>
      </c>
    </row>
    <row r="8276" spans="1:3" x14ac:dyDescent="0.25">
      <c r="A8276" t="s">
        <v>1350</v>
      </c>
      <c r="B8276" t="s">
        <v>8188</v>
      </c>
      <c r="C8276" s="1">
        <v>46150</v>
      </c>
    </row>
    <row r="8277" spans="1:3" x14ac:dyDescent="0.25">
      <c r="A8277" t="s">
        <v>1338</v>
      </c>
      <c r="B8277" t="s">
        <v>39</v>
      </c>
      <c r="C8277" s="1"/>
    </row>
    <row r="8278" spans="1:3" x14ac:dyDescent="0.25">
      <c r="A8278" t="s">
        <v>1304</v>
      </c>
      <c r="B8278" t="s">
        <v>8188</v>
      </c>
      <c r="C8278" s="1">
        <v>46123</v>
      </c>
    </row>
    <row r="8279" spans="1:3" x14ac:dyDescent="0.25">
      <c r="A8279" t="s">
        <v>1298</v>
      </c>
      <c r="B8279" t="s">
        <v>8188</v>
      </c>
      <c r="C8279" s="1">
        <v>46123</v>
      </c>
    </row>
    <row r="8280" spans="1:3" x14ac:dyDescent="0.25">
      <c r="A8280" t="s">
        <v>1294</v>
      </c>
      <c r="B8280" t="s">
        <v>8188</v>
      </c>
      <c r="C8280" s="1">
        <v>46147</v>
      </c>
    </row>
    <row r="8281" spans="1:3" x14ac:dyDescent="0.25">
      <c r="A8281" t="s">
        <v>1292</v>
      </c>
      <c r="B8281" t="s">
        <v>8188</v>
      </c>
      <c r="C8281" s="1">
        <v>46136</v>
      </c>
    </row>
    <row r="8282" spans="1:3" x14ac:dyDescent="0.25">
      <c r="A8282" t="s">
        <v>2371</v>
      </c>
      <c r="B8282" t="s">
        <v>8188</v>
      </c>
      <c r="C8282" s="1">
        <v>46141</v>
      </c>
    </row>
    <row r="8283" spans="1:3" x14ac:dyDescent="0.25">
      <c r="A8283" t="s">
        <v>2370</v>
      </c>
      <c r="B8283" t="s">
        <v>8188</v>
      </c>
      <c r="C8283" s="1">
        <v>46142</v>
      </c>
    </row>
    <row r="8284" spans="1:3" x14ac:dyDescent="0.25">
      <c r="A8284" t="s">
        <v>2359</v>
      </c>
      <c r="B8284" t="s">
        <v>8188</v>
      </c>
      <c r="C8284" s="1">
        <v>46128</v>
      </c>
    </row>
    <row r="8285" spans="1:3" x14ac:dyDescent="0.25">
      <c r="A8285" t="s">
        <v>2362</v>
      </c>
      <c r="B8285" t="s">
        <v>8188</v>
      </c>
      <c r="C8285" s="1">
        <v>46129</v>
      </c>
    </row>
    <row r="8286" spans="1:3" x14ac:dyDescent="0.25">
      <c r="A8286" t="s">
        <v>2353</v>
      </c>
      <c r="B8286" t="s">
        <v>8188</v>
      </c>
      <c r="C8286" s="1">
        <v>46149</v>
      </c>
    </row>
    <row r="8287" spans="1:3" x14ac:dyDescent="0.25">
      <c r="A8287" t="s">
        <v>2351</v>
      </c>
      <c r="B8287" t="s">
        <v>8188</v>
      </c>
      <c r="C8287" s="1">
        <v>46133</v>
      </c>
    </row>
    <row r="8288" spans="1:3" x14ac:dyDescent="0.25">
      <c r="A8288" t="s">
        <v>2347</v>
      </c>
      <c r="B8288" t="s">
        <v>8188</v>
      </c>
      <c r="C8288" s="1">
        <v>46161</v>
      </c>
    </row>
    <row r="8289" spans="1:3" x14ac:dyDescent="0.25">
      <c r="A8289" t="s">
        <v>2350</v>
      </c>
      <c r="B8289" t="s">
        <v>8188</v>
      </c>
      <c r="C8289" s="1">
        <v>46137</v>
      </c>
    </row>
    <row r="8290" spans="1:3" x14ac:dyDescent="0.25">
      <c r="A8290" t="s">
        <v>2337</v>
      </c>
      <c r="B8290" t="s">
        <v>8188</v>
      </c>
      <c r="C8290" s="1">
        <v>46133</v>
      </c>
    </row>
    <row r="8291" spans="1:3" x14ac:dyDescent="0.25">
      <c r="A8291" t="s">
        <v>2335</v>
      </c>
      <c r="B8291" t="s">
        <v>8188</v>
      </c>
      <c r="C8291" s="1">
        <v>46135</v>
      </c>
    </row>
    <row r="8292" spans="1:3" x14ac:dyDescent="0.25">
      <c r="A8292" t="s">
        <v>2333</v>
      </c>
      <c r="B8292" t="s">
        <v>8188</v>
      </c>
      <c r="C8292" s="1">
        <v>46129</v>
      </c>
    </row>
    <row r="8293" spans="1:3" x14ac:dyDescent="0.25">
      <c r="A8293" t="s">
        <v>2343</v>
      </c>
      <c r="B8293" t="s">
        <v>39</v>
      </c>
      <c r="C8293" s="1"/>
    </row>
    <row r="8294" spans="1:3" x14ac:dyDescent="0.25">
      <c r="A8294" t="s">
        <v>2330</v>
      </c>
      <c r="B8294" t="s">
        <v>8188</v>
      </c>
      <c r="C8294" s="1">
        <v>46127</v>
      </c>
    </row>
    <row r="8295" spans="1:3" x14ac:dyDescent="0.25">
      <c r="A8295" t="s">
        <v>2329</v>
      </c>
      <c r="B8295" t="s">
        <v>8188</v>
      </c>
      <c r="C8295" s="1">
        <v>46135</v>
      </c>
    </row>
    <row r="8296" spans="1:3" x14ac:dyDescent="0.25">
      <c r="A8296" t="s">
        <v>2328</v>
      </c>
      <c r="B8296" t="s">
        <v>8188</v>
      </c>
      <c r="C8296" s="1">
        <v>46130</v>
      </c>
    </row>
    <row r="8297" spans="1:3" x14ac:dyDescent="0.25">
      <c r="A8297" t="s">
        <v>2326</v>
      </c>
      <c r="B8297" t="s">
        <v>8188</v>
      </c>
      <c r="C8297" s="1">
        <v>46135</v>
      </c>
    </row>
    <row r="8298" spans="1:3" x14ac:dyDescent="0.25">
      <c r="A8298" t="s">
        <v>2321</v>
      </c>
      <c r="B8298" t="s">
        <v>8188</v>
      </c>
      <c r="C8298" s="1">
        <v>46135</v>
      </c>
    </row>
    <row r="8299" spans="1:3" x14ac:dyDescent="0.25">
      <c r="A8299" t="s">
        <v>2320</v>
      </c>
      <c r="B8299" t="s">
        <v>8188</v>
      </c>
      <c r="C8299" s="1">
        <v>46135</v>
      </c>
    </row>
    <row r="8300" spans="1:3" x14ac:dyDescent="0.25">
      <c r="A8300" t="s">
        <v>2318</v>
      </c>
      <c r="B8300" t="s">
        <v>8188</v>
      </c>
      <c r="C8300" s="1">
        <v>46132</v>
      </c>
    </row>
    <row r="8301" spans="1:3" x14ac:dyDescent="0.25">
      <c r="A8301" t="s">
        <v>2317</v>
      </c>
      <c r="B8301" t="s">
        <v>39</v>
      </c>
      <c r="C8301" s="1"/>
    </row>
    <row r="8302" spans="1:3" x14ac:dyDescent="0.25">
      <c r="A8302" t="s">
        <v>2316</v>
      </c>
      <c r="B8302" t="s">
        <v>8188</v>
      </c>
      <c r="C8302" s="1">
        <v>46137</v>
      </c>
    </row>
    <row r="8303" spans="1:3" x14ac:dyDescent="0.25">
      <c r="A8303" t="s">
        <v>2307</v>
      </c>
      <c r="B8303" t="s">
        <v>8188</v>
      </c>
      <c r="C8303" s="1">
        <v>46133</v>
      </c>
    </row>
    <row r="8304" spans="1:3" x14ac:dyDescent="0.25">
      <c r="A8304" t="s">
        <v>2307</v>
      </c>
      <c r="B8304" t="s">
        <v>8188</v>
      </c>
      <c r="C8304" s="1">
        <v>46133</v>
      </c>
    </row>
    <row r="8305" spans="1:3" x14ac:dyDescent="0.25">
      <c r="A8305" t="s">
        <v>2305</v>
      </c>
      <c r="B8305" t="s">
        <v>8188</v>
      </c>
      <c r="C8305" s="1">
        <v>46133</v>
      </c>
    </row>
    <row r="8306" spans="1:3" x14ac:dyDescent="0.25">
      <c r="A8306" t="s">
        <v>2302</v>
      </c>
      <c r="B8306" t="s">
        <v>8188</v>
      </c>
      <c r="C8306" s="1">
        <v>46133</v>
      </c>
    </row>
    <row r="8307" spans="1:3" x14ac:dyDescent="0.25">
      <c r="A8307" t="s">
        <v>2296</v>
      </c>
      <c r="B8307" t="s">
        <v>8188</v>
      </c>
      <c r="C8307" s="1">
        <v>46149</v>
      </c>
    </row>
    <row r="8308" spans="1:3" x14ac:dyDescent="0.25">
      <c r="A8308" t="s">
        <v>2294</v>
      </c>
      <c r="B8308" t="s">
        <v>8188</v>
      </c>
      <c r="C8308" s="1"/>
    </row>
    <row r="8309" spans="1:3" x14ac:dyDescent="0.25">
      <c r="A8309" t="s">
        <v>2287</v>
      </c>
      <c r="B8309" t="s">
        <v>8188</v>
      </c>
      <c r="C8309" s="1">
        <v>46133</v>
      </c>
    </row>
    <row r="8310" spans="1:3" x14ac:dyDescent="0.25">
      <c r="A8310" t="s">
        <v>2283</v>
      </c>
      <c r="B8310" t="s">
        <v>39</v>
      </c>
      <c r="C8310" s="1"/>
    </row>
    <row r="8311" spans="1:3" x14ac:dyDescent="0.25">
      <c r="A8311" t="s">
        <v>2278</v>
      </c>
      <c r="B8311" t="s">
        <v>8188</v>
      </c>
      <c r="C8311" s="1">
        <v>46141</v>
      </c>
    </row>
    <row r="8312" spans="1:3" x14ac:dyDescent="0.25">
      <c r="A8312" t="s">
        <v>2268</v>
      </c>
      <c r="B8312" t="s">
        <v>39</v>
      </c>
      <c r="C8312" s="1"/>
    </row>
    <row r="8313" spans="1:3" x14ac:dyDescent="0.25">
      <c r="A8313" t="s">
        <v>2268</v>
      </c>
      <c r="B8313" t="s">
        <v>39</v>
      </c>
      <c r="C8313" s="1"/>
    </row>
    <row r="8314" spans="1:3" x14ac:dyDescent="0.25">
      <c r="A8314" t="s">
        <v>2260</v>
      </c>
      <c r="B8314" t="s">
        <v>8188</v>
      </c>
      <c r="C8314" s="1">
        <v>46139</v>
      </c>
    </row>
    <row r="8315" spans="1:3" x14ac:dyDescent="0.25">
      <c r="A8315" t="s">
        <v>2260</v>
      </c>
      <c r="B8315" t="s">
        <v>8188</v>
      </c>
      <c r="C8315" s="1">
        <v>46139</v>
      </c>
    </row>
    <row r="8316" spans="1:3" x14ac:dyDescent="0.25">
      <c r="A8316" t="s">
        <v>2255</v>
      </c>
      <c r="B8316" t="s">
        <v>8188</v>
      </c>
      <c r="C8316" s="1">
        <v>46139</v>
      </c>
    </row>
    <row r="8317" spans="1:3" x14ac:dyDescent="0.25">
      <c r="A8317" t="s">
        <v>2256</v>
      </c>
      <c r="B8317" t="s">
        <v>8188</v>
      </c>
      <c r="C8317" s="1">
        <v>46141</v>
      </c>
    </row>
    <row r="8318" spans="1:3" x14ac:dyDescent="0.25">
      <c r="A8318" t="s">
        <v>2254</v>
      </c>
      <c r="B8318" t="s">
        <v>8188</v>
      </c>
      <c r="C8318" s="1">
        <v>46141</v>
      </c>
    </row>
    <row r="8319" spans="1:3" x14ac:dyDescent="0.25">
      <c r="A8319" t="s">
        <v>2252</v>
      </c>
      <c r="B8319" t="s">
        <v>39</v>
      </c>
      <c r="C8319" s="1"/>
    </row>
    <row r="8320" spans="1:3" x14ac:dyDescent="0.25">
      <c r="A8320" t="s">
        <v>2290</v>
      </c>
      <c r="B8320" t="s">
        <v>8188</v>
      </c>
      <c r="C8320" s="1">
        <v>46140</v>
      </c>
    </row>
    <row r="8321" spans="1:3" x14ac:dyDescent="0.25">
      <c r="A8321" t="s">
        <v>2372</v>
      </c>
      <c r="B8321" t="s">
        <v>8188</v>
      </c>
      <c r="C8321" s="1">
        <v>46135</v>
      </c>
    </row>
    <row r="8322" spans="1:3" x14ac:dyDescent="0.25">
      <c r="A8322" t="s">
        <v>8180</v>
      </c>
      <c r="B8322" t="s">
        <v>8188</v>
      </c>
      <c r="C8322" s="1">
        <v>46139</v>
      </c>
    </row>
    <row r="8323" spans="1:3" x14ac:dyDescent="0.25">
      <c r="A8323" t="s">
        <v>8181</v>
      </c>
      <c r="B8323" t="s">
        <v>8189</v>
      </c>
      <c r="C8323" s="1"/>
    </row>
    <row r="8324" spans="1:3" x14ac:dyDescent="0.25">
      <c r="A8324" t="s">
        <v>2246</v>
      </c>
      <c r="B8324" t="s">
        <v>8188</v>
      </c>
      <c r="C8324" s="1">
        <v>46140</v>
      </c>
    </row>
    <row r="8325" spans="1:3" x14ac:dyDescent="0.25">
      <c r="A8325" t="s">
        <v>8181</v>
      </c>
      <c r="B8325" t="s">
        <v>8189</v>
      </c>
      <c r="C8325" s="1"/>
    </row>
    <row r="8326" spans="1:3" x14ac:dyDescent="0.25">
      <c r="A8326" t="s">
        <v>2244</v>
      </c>
      <c r="B8326" t="s">
        <v>8188</v>
      </c>
      <c r="C8326" s="1">
        <v>46141</v>
      </c>
    </row>
    <row r="8327" spans="1:3" x14ac:dyDescent="0.25">
      <c r="A8327" t="s">
        <v>2243</v>
      </c>
      <c r="B8327" t="s">
        <v>8188</v>
      </c>
      <c r="C8327" s="1">
        <v>46140</v>
      </c>
    </row>
    <row r="8328" spans="1:3" x14ac:dyDescent="0.25">
      <c r="A8328" t="s">
        <v>2242</v>
      </c>
      <c r="B8328" t="s">
        <v>8188</v>
      </c>
      <c r="C8328" s="1">
        <v>46160</v>
      </c>
    </row>
    <row r="8329" spans="1:3" x14ac:dyDescent="0.25">
      <c r="A8329" t="s">
        <v>2239</v>
      </c>
      <c r="B8329" t="s">
        <v>39</v>
      </c>
      <c r="C8329" s="1"/>
    </row>
    <row r="8330" spans="1:3" x14ac:dyDescent="0.25">
      <c r="A8330" t="s">
        <v>2235</v>
      </c>
      <c r="B8330" t="s">
        <v>8188</v>
      </c>
      <c r="C8330" s="1">
        <v>46165</v>
      </c>
    </row>
    <row r="8331" spans="1:3" x14ac:dyDescent="0.25">
      <c r="A8331" t="s">
        <v>2228</v>
      </c>
      <c r="B8331" t="s">
        <v>8188</v>
      </c>
      <c r="C8331" s="1">
        <v>46148</v>
      </c>
    </row>
    <row r="8332" spans="1:3" x14ac:dyDescent="0.25">
      <c r="A8332" t="s">
        <v>2229</v>
      </c>
      <c r="B8332" t="s">
        <v>8188</v>
      </c>
      <c r="C8332" s="1">
        <v>46148</v>
      </c>
    </row>
    <row r="8333" spans="1:3" x14ac:dyDescent="0.25">
      <c r="A8333" t="s">
        <v>2230</v>
      </c>
      <c r="B8333" t="s">
        <v>8188</v>
      </c>
      <c r="C8333" s="1">
        <v>46136</v>
      </c>
    </row>
    <row r="8334" spans="1:3" x14ac:dyDescent="0.25">
      <c r="A8334" t="s">
        <v>2231</v>
      </c>
      <c r="B8334" t="s">
        <v>8188</v>
      </c>
      <c r="C8334" s="1">
        <v>46155</v>
      </c>
    </row>
    <row r="8335" spans="1:3" x14ac:dyDescent="0.25">
      <c r="A8335" t="s">
        <v>2232</v>
      </c>
      <c r="B8335" t="s">
        <v>8188</v>
      </c>
      <c r="C8335" s="1">
        <v>46154</v>
      </c>
    </row>
    <row r="8336" spans="1:3" x14ac:dyDescent="0.25">
      <c r="A8336" t="s">
        <v>2233</v>
      </c>
      <c r="B8336" t="s">
        <v>8188</v>
      </c>
      <c r="C8336" s="1">
        <v>46141</v>
      </c>
    </row>
    <row r="8337" spans="1:3" x14ac:dyDescent="0.25">
      <c r="A8337" t="s">
        <v>2247</v>
      </c>
      <c r="B8337" t="s">
        <v>39</v>
      </c>
      <c r="C8337" s="1"/>
    </row>
    <row r="8338" spans="1:3" x14ac:dyDescent="0.25">
      <c r="A8338" t="s">
        <v>2194</v>
      </c>
      <c r="B8338" t="s">
        <v>8188</v>
      </c>
      <c r="C8338" s="1">
        <v>46149</v>
      </c>
    </row>
    <row r="8339" spans="1:3" x14ac:dyDescent="0.25">
      <c r="A8339" t="s">
        <v>2221</v>
      </c>
      <c r="B8339" t="s">
        <v>8188</v>
      </c>
      <c r="C8339" s="1">
        <v>46142</v>
      </c>
    </row>
    <row r="8340" spans="1:3" x14ac:dyDescent="0.25">
      <c r="A8340" t="s">
        <v>2219</v>
      </c>
      <c r="B8340" t="s">
        <v>8188</v>
      </c>
      <c r="C8340" s="1">
        <v>46149</v>
      </c>
    </row>
    <row r="8341" spans="1:3" x14ac:dyDescent="0.25">
      <c r="A8341" t="s">
        <v>2217</v>
      </c>
      <c r="B8341" t="s">
        <v>8188</v>
      </c>
      <c r="C8341" s="1">
        <v>46145</v>
      </c>
    </row>
    <row r="8342" spans="1:3" x14ac:dyDescent="0.25">
      <c r="A8342" t="s">
        <v>2215</v>
      </c>
      <c r="B8342" t="s">
        <v>8188</v>
      </c>
      <c r="C8342" s="1">
        <v>46142</v>
      </c>
    </row>
    <row r="8343" spans="1:3" x14ac:dyDescent="0.25">
      <c r="A8343" t="s">
        <v>2210</v>
      </c>
      <c r="B8343" t="s">
        <v>39</v>
      </c>
      <c r="C8343" s="1"/>
    </row>
    <row r="8344" spans="1:3" x14ac:dyDescent="0.25">
      <c r="A8344" t="s">
        <v>1261</v>
      </c>
      <c r="B8344" t="s">
        <v>8188</v>
      </c>
      <c r="C8344" s="1">
        <v>46116</v>
      </c>
    </row>
    <row r="8345" spans="1:3" x14ac:dyDescent="0.25">
      <c r="A8345" t="s">
        <v>2199</v>
      </c>
      <c r="B8345" t="s">
        <v>39</v>
      </c>
      <c r="C8345" s="1"/>
    </row>
    <row r="8346" spans="1:3" x14ac:dyDescent="0.25">
      <c r="A8346" t="s">
        <v>2189</v>
      </c>
      <c r="B8346" t="s">
        <v>8188</v>
      </c>
      <c r="C8346" s="1">
        <v>46161</v>
      </c>
    </row>
    <row r="8347" spans="1:3" x14ac:dyDescent="0.25">
      <c r="A8347" t="s">
        <v>2188</v>
      </c>
      <c r="B8347" t="s">
        <v>8188</v>
      </c>
      <c r="C8347" s="1">
        <v>46161</v>
      </c>
    </row>
    <row r="8348" spans="1:3" x14ac:dyDescent="0.25">
      <c r="A8348" t="s">
        <v>2187</v>
      </c>
      <c r="B8348" t="s">
        <v>39</v>
      </c>
      <c r="C8348" s="1"/>
    </row>
    <row r="8349" spans="1:3" x14ac:dyDescent="0.25">
      <c r="A8349" t="s">
        <v>2182</v>
      </c>
      <c r="B8349" t="s">
        <v>8188</v>
      </c>
      <c r="C8349" s="1">
        <v>46145</v>
      </c>
    </row>
    <row r="8350" spans="1:3" x14ac:dyDescent="0.25">
      <c r="A8350" t="s">
        <v>2182</v>
      </c>
      <c r="B8350" t="s">
        <v>8188</v>
      </c>
      <c r="C8350" s="1">
        <v>46145</v>
      </c>
    </row>
    <row r="8351" spans="1:3" x14ac:dyDescent="0.25">
      <c r="A8351" t="s">
        <v>2178</v>
      </c>
      <c r="B8351" t="s">
        <v>8188</v>
      </c>
      <c r="C8351" s="1">
        <v>46155</v>
      </c>
    </row>
    <row r="8352" spans="1:3" x14ac:dyDescent="0.25">
      <c r="A8352" t="s">
        <v>1940</v>
      </c>
      <c r="B8352" t="s">
        <v>8188</v>
      </c>
      <c r="C8352" s="1">
        <v>46156</v>
      </c>
    </row>
    <row r="8353" spans="1:3" x14ac:dyDescent="0.25">
      <c r="A8353" t="s">
        <v>2170</v>
      </c>
      <c r="B8353" t="s">
        <v>8188</v>
      </c>
      <c r="C8353" s="1">
        <v>46148</v>
      </c>
    </row>
    <row r="8354" spans="1:3" x14ac:dyDescent="0.25">
      <c r="A8354" t="s">
        <v>2163</v>
      </c>
      <c r="B8354" t="s">
        <v>8188</v>
      </c>
      <c r="C8354" s="1">
        <v>46155</v>
      </c>
    </row>
    <row r="8355" spans="1:3" x14ac:dyDescent="0.25">
      <c r="A8355" t="s">
        <v>2157</v>
      </c>
      <c r="B8355" t="s">
        <v>8188</v>
      </c>
      <c r="C8355" s="1">
        <v>46145</v>
      </c>
    </row>
    <row r="8356" spans="1:3" x14ac:dyDescent="0.25">
      <c r="A8356" t="s">
        <v>2152</v>
      </c>
      <c r="B8356" t="s">
        <v>8188</v>
      </c>
      <c r="C8356" s="1">
        <v>46145</v>
      </c>
    </row>
    <row r="8357" spans="1:3" x14ac:dyDescent="0.25">
      <c r="A8357" t="s">
        <v>2153</v>
      </c>
      <c r="B8357" t="s">
        <v>8188</v>
      </c>
      <c r="C8357" s="1">
        <v>46142</v>
      </c>
    </row>
    <row r="8358" spans="1:3" x14ac:dyDescent="0.25">
      <c r="A8358" t="s">
        <v>2147</v>
      </c>
      <c r="B8358" t="s">
        <v>8188</v>
      </c>
      <c r="C8358" s="1">
        <v>46146</v>
      </c>
    </row>
    <row r="8359" spans="1:3" x14ac:dyDescent="0.25">
      <c r="A8359" t="s">
        <v>2139</v>
      </c>
      <c r="B8359" t="s">
        <v>39</v>
      </c>
      <c r="C8359" s="1"/>
    </row>
    <row r="8360" spans="1:3" x14ac:dyDescent="0.25">
      <c r="A8360" t="s">
        <v>2136</v>
      </c>
      <c r="B8360" t="s">
        <v>8188</v>
      </c>
      <c r="C8360" s="1">
        <v>46158</v>
      </c>
    </row>
    <row r="8361" spans="1:3" x14ac:dyDescent="0.25">
      <c r="A8361" t="s">
        <v>2128</v>
      </c>
      <c r="B8361" t="s">
        <v>8188</v>
      </c>
      <c r="C8361" s="1">
        <v>46153</v>
      </c>
    </row>
    <row r="8362" spans="1:3" x14ac:dyDescent="0.25">
      <c r="A8362" t="s">
        <v>2116</v>
      </c>
      <c r="B8362" t="s">
        <v>8188</v>
      </c>
      <c r="C8362" s="1">
        <v>46145</v>
      </c>
    </row>
    <row r="8363" spans="1:3" x14ac:dyDescent="0.25">
      <c r="A8363" t="s">
        <v>2158</v>
      </c>
      <c r="B8363" t="s">
        <v>8188</v>
      </c>
      <c r="C8363" s="1">
        <v>46155</v>
      </c>
    </row>
    <row r="8364" spans="1:3" x14ac:dyDescent="0.25">
      <c r="A8364" t="s">
        <v>2112</v>
      </c>
      <c r="B8364" t="s">
        <v>8188</v>
      </c>
      <c r="C8364" s="1">
        <v>46161</v>
      </c>
    </row>
    <row r="8365" spans="1:3" x14ac:dyDescent="0.25">
      <c r="A8365" t="s">
        <v>2110</v>
      </c>
      <c r="B8365" t="s">
        <v>8188</v>
      </c>
      <c r="C8365" s="1">
        <v>46149</v>
      </c>
    </row>
    <row r="8366" spans="1:3" x14ac:dyDescent="0.25">
      <c r="A8366" t="s">
        <v>2099</v>
      </c>
      <c r="B8366" t="s">
        <v>39</v>
      </c>
      <c r="C8366" s="1"/>
    </row>
    <row r="8367" spans="1:3" x14ac:dyDescent="0.25">
      <c r="A8367" t="s">
        <v>2092</v>
      </c>
      <c r="B8367" t="s">
        <v>8188</v>
      </c>
      <c r="C8367" s="1">
        <v>46151</v>
      </c>
    </row>
    <row r="8368" spans="1:3" x14ac:dyDescent="0.25">
      <c r="A8368" t="s">
        <v>2092</v>
      </c>
      <c r="B8368" t="s">
        <v>8188</v>
      </c>
      <c r="C8368" s="1">
        <v>46151</v>
      </c>
    </row>
    <row r="8369" spans="1:3" x14ac:dyDescent="0.25">
      <c r="A8369" t="s">
        <v>2090</v>
      </c>
      <c r="B8369" t="s">
        <v>8188</v>
      </c>
      <c r="C8369" s="1">
        <v>46151</v>
      </c>
    </row>
    <row r="8370" spans="1:3" x14ac:dyDescent="0.25">
      <c r="A8370" t="s">
        <v>2086</v>
      </c>
      <c r="B8370" t="s">
        <v>8188</v>
      </c>
      <c r="C8370" s="1">
        <v>46161</v>
      </c>
    </row>
    <row r="8371" spans="1:3" x14ac:dyDescent="0.25">
      <c r="A8371" t="s">
        <v>2082</v>
      </c>
      <c r="B8371" t="s">
        <v>8188</v>
      </c>
      <c r="C8371" s="1">
        <v>46155</v>
      </c>
    </row>
    <row r="8372" spans="1:3" x14ac:dyDescent="0.25">
      <c r="A8372" t="s">
        <v>2078</v>
      </c>
      <c r="B8372" t="s">
        <v>8188</v>
      </c>
      <c r="C8372" s="1">
        <v>46157</v>
      </c>
    </row>
    <row r="8373" spans="1:3" x14ac:dyDescent="0.25">
      <c r="A8373" t="s">
        <v>2071</v>
      </c>
      <c r="B8373" t="s">
        <v>8188</v>
      </c>
      <c r="C8373" s="1">
        <v>46151</v>
      </c>
    </row>
    <row r="8374" spans="1:3" x14ac:dyDescent="0.25">
      <c r="A8374" t="s">
        <v>2071</v>
      </c>
      <c r="B8374" t="s">
        <v>8188</v>
      </c>
      <c r="C8374" s="1">
        <v>46151</v>
      </c>
    </row>
    <row r="8375" spans="1:3" x14ac:dyDescent="0.25">
      <c r="A8375" t="s">
        <v>2060</v>
      </c>
      <c r="B8375" t="s">
        <v>8188</v>
      </c>
      <c r="C8375" s="1">
        <v>46151</v>
      </c>
    </row>
    <row r="8376" spans="1:3" x14ac:dyDescent="0.25">
      <c r="A8376" t="s">
        <v>2055</v>
      </c>
      <c r="B8376" t="s">
        <v>8188</v>
      </c>
      <c r="C8376" s="1">
        <v>46151</v>
      </c>
    </row>
    <row r="8377" spans="1:3" x14ac:dyDescent="0.25">
      <c r="A8377" t="s">
        <v>2052</v>
      </c>
      <c r="B8377" t="s">
        <v>8188</v>
      </c>
      <c r="C8377" s="1">
        <v>46153</v>
      </c>
    </row>
    <row r="8378" spans="1:3" x14ac:dyDescent="0.25">
      <c r="A8378" t="s">
        <v>2001</v>
      </c>
      <c r="B8378" t="s">
        <v>8188</v>
      </c>
      <c r="C8378" s="1">
        <v>46167</v>
      </c>
    </row>
    <row r="8379" spans="1:3" x14ac:dyDescent="0.25">
      <c r="A8379" t="s">
        <v>2001</v>
      </c>
      <c r="B8379" t="s">
        <v>8188</v>
      </c>
      <c r="C8379" s="1">
        <v>46158</v>
      </c>
    </row>
    <row r="8380" spans="1:3" x14ac:dyDescent="0.25">
      <c r="A8380" t="s">
        <v>1997</v>
      </c>
      <c r="B8380" t="s">
        <v>8188</v>
      </c>
      <c r="C8380" s="1">
        <v>46160</v>
      </c>
    </row>
    <row r="8381" spans="1:3" x14ac:dyDescent="0.25">
      <c r="A8381" t="s">
        <v>1994</v>
      </c>
      <c r="B8381" t="s">
        <v>8188</v>
      </c>
      <c r="C8381" s="1">
        <v>46158</v>
      </c>
    </row>
    <row r="8382" spans="1:3" x14ac:dyDescent="0.25">
      <c r="A8382" t="s">
        <v>1992</v>
      </c>
      <c r="B8382" t="s">
        <v>8188</v>
      </c>
      <c r="C8382" s="1">
        <v>46160</v>
      </c>
    </row>
    <row r="8383" spans="1:3" x14ac:dyDescent="0.25">
      <c r="A8383" t="s">
        <v>1990</v>
      </c>
      <c r="B8383" t="s">
        <v>8188</v>
      </c>
      <c r="C8383" s="1">
        <v>46155</v>
      </c>
    </row>
    <row r="8384" spans="1:3" x14ac:dyDescent="0.25">
      <c r="A8384" t="s">
        <v>1981</v>
      </c>
      <c r="B8384" t="s">
        <v>8188</v>
      </c>
      <c r="C8384" s="1">
        <v>46151</v>
      </c>
    </row>
    <row r="8385" spans="1:3" x14ac:dyDescent="0.25">
      <c r="A8385" t="s">
        <v>2019</v>
      </c>
      <c r="B8385" t="s">
        <v>8188</v>
      </c>
      <c r="C8385" s="1">
        <v>46153</v>
      </c>
    </row>
    <row r="8386" spans="1:3" x14ac:dyDescent="0.25">
      <c r="A8386" t="s">
        <v>2240</v>
      </c>
      <c r="B8386" t="s">
        <v>8188</v>
      </c>
      <c r="C8386" s="1">
        <v>46153</v>
      </c>
    </row>
    <row r="8387" spans="1:3" x14ac:dyDescent="0.25">
      <c r="A8387" t="s">
        <v>1975</v>
      </c>
      <c r="B8387" t="s">
        <v>8188</v>
      </c>
      <c r="C8387" s="1">
        <v>46155</v>
      </c>
    </row>
    <row r="8388" spans="1:3" x14ac:dyDescent="0.25">
      <c r="A8388" t="s">
        <v>1970</v>
      </c>
      <c r="B8388" t="s">
        <v>39</v>
      </c>
      <c r="C8388" s="1"/>
    </row>
    <row r="8389" spans="1:3" x14ac:dyDescent="0.25">
      <c r="A8389" t="s">
        <v>1973</v>
      </c>
      <c r="B8389" t="s">
        <v>8188</v>
      </c>
      <c r="C8389" s="1">
        <v>46155</v>
      </c>
    </row>
    <row r="8390" spans="1:3" x14ac:dyDescent="0.25">
      <c r="A8390" t="s">
        <v>1967</v>
      </c>
      <c r="B8390" t="s">
        <v>8188</v>
      </c>
      <c r="C8390" s="1">
        <v>46158</v>
      </c>
    </row>
    <row r="8391" spans="1:3" x14ac:dyDescent="0.25">
      <c r="A8391" t="s">
        <v>1958</v>
      </c>
      <c r="B8391" t="s">
        <v>8188</v>
      </c>
      <c r="C8391" s="1">
        <v>46157</v>
      </c>
    </row>
    <row r="8392" spans="1:3" x14ac:dyDescent="0.25">
      <c r="A8392" t="s">
        <v>1933</v>
      </c>
      <c r="B8392" t="s">
        <v>6966</v>
      </c>
      <c r="C8392" s="1"/>
    </row>
    <row r="8393" spans="1:3" x14ac:dyDescent="0.25">
      <c r="A8393" t="s">
        <v>1928</v>
      </c>
      <c r="B8393" t="s">
        <v>8188</v>
      </c>
      <c r="C8393" s="1">
        <v>46161</v>
      </c>
    </row>
    <row r="8394" spans="1:3" x14ac:dyDescent="0.25">
      <c r="A8394" t="s">
        <v>1927</v>
      </c>
      <c r="B8394" t="s">
        <v>8188</v>
      </c>
      <c r="C8394" s="1">
        <v>46156</v>
      </c>
    </row>
    <row r="8395" spans="1:3" x14ac:dyDescent="0.25">
      <c r="A8395" t="s">
        <v>2293</v>
      </c>
      <c r="B8395" t="s">
        <v>8188</v>
      </c>
      <c r="C8395" s="1">
        <v>46155</v>
      </c>
    </row>
    <row r="8396" spans="1:3" x14ac:dyDescent="0.25">
      <c r="A8396" t="s">
        <v>1908</v>
      </c>
      <c r="B8396" t="s">
        <v>8188</v>
      </c>
      <c r="C8396" s="1">
        <v>46157</v>
      </c>
    </row>
    <row r="8397" spans="1:3" x14ac:dyDescent="0.25">
      <c r="A8397" t="s">
        <v>1904</v>
      </c>
      <c r="B8397" t="s">
        <v>8188</v>
      </c>
      <c r="C8397" s="1">
        <v>46164</v>
      </c>
    </row>
    <row r="8398" spans="1:3" x14ac:dyDescent="0.25">
      <c r="A8398" t="s">
        <v>1894</v>
      </c>
      <c r="B8398" t="s">
        <v>8188</v>
      </c>
      <c r="C8398" s="1">
        <v>46161</v>
      </c>
    </row>
    <row r="8399" spans="1:3" x14ac:dyDescent="0.25">
      <c r="A8399" t="s">
        <v>1892</v>
      </c>
      <c r="B8399" t="s">
        <v>8188</v>
      </c>
      <c r="C8399" s="1">
        <v>46162</v>
      </c>
    </row>
    <row r="8400" spans="1:3" x14ac:dyDescent="0.25">
      <c r="A8400" t="s">
        <v>1892</v>
      </c>
      <c r="B8400" t="s">
        <v>8188</v>
      </c>
      <c r="C8400" s="1">
        <v>46161</v>
      </c>
    </row>
    <row r="8401" spans="1:3" x14ac:dyDescent="0.25">
      <c r="A8401" t="s">
        <v>1890</v>
      </c>
      <c r="B8401" t="s">
        <v>8188</v>
      </c>
      <c r="C8401" s="1">
        <v>46161</v>
      </c>
    </row>
    <row r="8402" spans="1:3" x14ac:dyDescent="0.25">
      <c r="A8402" t="s">
        <v>1877</v>
      </c>
      <c r="B8402" t="s">
        <v>8188</v>
      </c>
      <c r="C8402" s="1">
        <v>46156</v>
      </c>
    </row>
    <row r="8403" spans="1:3" x14ac:dyDescent="0.25">
      <c r="A8403" t="s">
        <v>1874</v>
      </c>
      <c r="B8403" t="s">
        <v>8188</v>
      </c>
      <c r="C8403" s="1">
        <v>46161</v>
      </c>
    </row>
    <row r="8404" spans="1:3" x14ac:dyDescent="0.25">
      <c r="A8404" t="s">
        <v>1872</v>
      </c>
      <c r="B8404" t="s">
        <v>8188</v>
      </c>
      <c r="C8404" s="1">
        <v>46168</v>
      </c>
    </row>
    <row r="8405" spans="1:3" x14ac:dyDescent="0.25">
      <c r="A8405" t="s">
        <v>1870</v>
      </c>
      <c r="B8405" t="s">
        <v>8188</v>
      </c>
      <c r="C8405" s="1">
        <v>46161</v>
      </c>
    </row>
    <row r="8406" spans="1:3" x14ac:dyDescent="0.25">
      <c r="A8406" t="s">
        <v>2206</v>
      </c>
      <c r="B8406" t="s">
        <v>8188</v>
      </c>
      <c r="C8406" s="1">
        <v>46154</v>
      </c>
    </row>
    <row r="8407" spans="1:3" x14ac:dyDescent="0.25">
      <c r="A8407" t="s">
        <v>1855</v>
      </c>
      <c r="B8407" t="s">
        <v>8188</v>
      </c>
      <c r="C8407" s="1">
        <v>46155</v>
      </c>
    </row>
    <row r="8408" spans="1:3" x14ac:dyDescent="0.25">
      <c r="A8408" t="s">
        <v>1844</v>
      </c>
      <c r="B8408" t="s">
        <v>8188</v>
      </c>
      <c r="C8408" s="1">
        <v>46163</v>
      </c>
    </row>
    <row r="8409" spans="1:3" x14ac:dyDescent="0.25">
      <c r="A8409" t="s">
        <v>1841</v>
      </c>
      <c r="B8409" t="s">
        <v>8188</v>
      </c>
      <c r="C8409" s="1">
        <v>46162</v>
      </c>
    </row>
    <row r="8410" spans="1:3" x14ac:dyDescent="0.25">
      <c r="A8410" t="s">
        <v>1839</v>
      </c>
      <c r="B8410" t="s">
        <v>8188</v>
      </c>
      <c r="C8410" s="1">
        <v>46161</v>
      </c>
    </row>
    <row r="8411" spans="1:3" x14ac:dyDescent="0.25">
      <c r="A8411" t="s">
        <v>1834</v>
      </c>
      <c r="B8411" t="s">
        <v>8188</v>
      </c>
      <c r="C8411" s="1">
        <v>46163</v>
      </c>
    </row>
    <row r="8412" spans="1:3" x14ac:dyDescent="0.25">
      <c r="A8412" t="s">
        <v>1828</v>
      </c>
      <c r="B8412" t="s">
        <v>8188</v>
      </c>
      <c r="C8412" s="1">
        <v>46162</v>
      </c>
    </row>
    <row r="8413" spans="1:3" x14ac:dyDescent="0.25">
      <c r="A8413" t="s">
        <v>1798</v>
      </c>
      <c r="B8413" t="s">
        <v>8188</v>
      </c>
      <c r="C8413" s="1">
        <v>46165</v>
      </c>
    </row>
    <row r="8414" spans="1:3" x14ac:dyDescent="0.25">
      <c r="A8414" t="s">
        <v>1794</v>
      </c>
      <c r="B8414" t="s">
        <v>8190</v>
      </c>
      <c r="C8414" s="1"/>
    </row>
    <row r="8415" spans="1:3" x14ac:dyDescent="0.25">
      <c r="A8415" t="s">
        <v>1780</v>
      </c>
      <c r="B8415" t="s">
        <v>8188</v>
      </c>
      <c r="C8415" s="1">
        <v>46163</v>
      </c>
    </row>
    <row r="8416" spans="1:3" x14ac:dyDescent="0.25">
      <c r="A8416" t="s">
        <v>1778</v>
      </c>
      <c r="B8416" t="s">
        <v>8188</v>
      </c>
      <c r="C8416" s="1">
        <v>46163</v>
      </c>
    </row>
    <row r="8417" spans="1:3" x14ac:dyDescent="0.25">
      <c r="A8417" t="s">
        <v>1768</v>
      </c>
      <c r="B8417" t="s">
        <v>8188</v>
      </c>
      <c r="C8417" s="1">
        <v>46161</v>
      </c>
    </row>
    <row r="8418" spans="1:3" x14ac:dyDescent="0.25">
      <c r="A8418" t="s">
        <v>1756</v>
      </c>
      <c r="B8418" t="s">
        <v>8188</v>
      </c>
      <c r="C8418" s="1">
        <v>46161</v>
      </c>
    </row>
    <row r="8419" spans="1:3" x14ac:dyDescent="0.25">
      <c r="A8419" t="s">
        <v>8182</v>
      </c>
      <c r="B8419" t="s">
        <v>8188</v>
      </c>
      <c r="C8419" s="1">
        <v>46160</v>
      </c>
    </row>
    <row r="8420" spans="1:3" x14ac:dyDescent="0.25">
      <c r="A8420" t="s">
        <v>8183</v>
      </c>
      <c r="B8420" t="s">
        <v>8188</v>
      </c>
      <c r="C8420" s="1">
        <v>46161</v>
      </c>
    </row>
    <row r="8421" spans="1:3" x14ac:dyDescent="0.25">
      <c r="A8421" t="s">
        <v>1748</v>
      </c>
      <c r="B8421" t="s">
        <v>8188</v>
      </c>
      <c r="C8421" s="1">
        <v>46161</v>
      </c>
    </row>
    <row r="8422" spans="1:3" x14ac:dyDescent="0.25">
      <c r="A8422" t="s">
        <v>2105</v>
      </c>
      <c r="B8422" t="s">
        <v>8188</v>
      </c>
      <c r="C8422" s="1">
        <v>46158</v>
      </c>
    </row>
    <row r="8423" spans="1:3" x14ac:dyDescent="0.25">
      <c r="A8423" t="s">
        <v>1739</v>
      </c>
      <c r="B8423" t="s">
        <v>8188</v>
      </c>
      <c r="C8423" s="1">
        <v>46167</v>
      </c>
    </row>
    <row r="8424" spans="1:3" x14ac:dyDescent="0.25">
      <c r="A8424" t="s">
        <v>1836</v>
      </c>
      <c r="B8424" t="s">
        <v>6966</v>
      </c>
      <c r="C8424" s="1"/>
    </row>
    <row r="8425" spans="1:3" x14ac:dyDescent="0.25">
      <c r="A8425" t="s">
        <v>1730</v>
      </c>
      <c r="B8425" t="s">
        <v>8188</v>
      </c>
      <c r="C8425" s="1">
        <v>46161</v>
      </c>
    </row>
    <row r="8426" spans="1:3" x14ac:dyDescent="0.25">
      <c r="A8426" t="s">
        <v>1728</v>
      </c>
      <c r="B8426" t="s">
        <v>8188</v>
      </c>
      <c r="C8426" s="1">
        <v>46162</v>
      </c>
    </row>
    <row r="8427" spans="1:3" x14ac:dyDescent="0.25">
      <c r="A8427" t="s">
        <v>8184</v>
      </c>
      <c r="B8427" t="s">
        <v>39</v>
      </c>
      <c r="C8427" s="1"/>
    </row>
    <row r="8428" spans="1:3" x14ac:dyDescent="0.25">
      <c r="A8428" t="s">
        <v>1715</v>
      </c>
      <c r="B8428" t="s">
        <v>8191</v>
      </c>
      <c r="C8428" s="1"/>
    </row>
    <row r="8429" spans="1:3" x14ac:dyDescent="0.25">
      <c r="A8429" t="s">
        <v>1712</v>
      </c>
      <c r="B8429" t="s">
        <v>8188</v>
      </c>
      <c r="C8429" s="1">
        <v>46168</v>
      </c>
    </row>
    <row r="8430" spans="1:3" x14ac:dyDescent="0.25">
      <c r="A8430" t="s">
        <v>1706</v>
      </c>
      <c r="B8430" t="s">
        <v>8188</v>
      </c>
      <c r="C8430" s="1">
        <v>46164</v>
      </c>
    </row>
    <row r="8431" spans="1:3" x14ac:dyDescent="0.25">
      <c r="A8431" t="s">
        <v>1706</v>
      </c>
      <c r="B8431" t="s">
        <v>8188</v>
      </c>
      <c r="C8431" s="1">
        <v>46164</v>
      </c>
    </row>
    <row r="8432" spans="1:3" x14ac:dyDescent="0.25">
      <c r="A8432" t="s">
        <v>1690</v>
      </c>
      <c r="B8432" t="s">
        <v>39</v>
      </c>
      <c r="C8432" s="1"/>
    </row>
    <row r="8433" spans="1:3" x14ac:dyDescent="0.25">
      <c r="A8433" t="s">
        <v>1688</v>
      </c>
      <c r="B8433" t="s">
        <v>6966</v>
      </c>
      <c r="C8433" s="1"/>
    </row>
    <row r="8434" spans="1:3" x14ac:dyDescent="0.25">
      <c r="A8434" t="s">
        <v>1678</v>
      </c>
      <c r="B8434" t="s">
        <v>8188</v>
      </c>
      <c r="C8434" s="1">
        <v>46166</v>
      </c>
    </row>
    <row r="8435" spans="1:3" x14ac:dyDescent="0.25">
      <c r="A8435" t="s">
        <v>2164</v>
      </c>
      <c r="B8435" t="s">
        <v>8188</v>
      </c>
      <c r="C8435" s="1">
        <v>46168</v>
      </c>
    </row>
    <row r="8436" spans="1:3" x14ac:dyDescent="0.25">
      <c r="A8436" t="s">
        <v>2164</v>
      </c>
      <c r="B8436" t="s">
        <v>6966</v>
      </c>
      <c r="C8436" s="1"/>
    </row>
    <row r="8437" spans="1:3" x14ac:dyDescent="0.25">
      <c r="A8437" t="s">
        <v>1672</v>
      </c>
      <c r="B8437" t="s">
        <v>8188</v>
      </c>
      <c r="C8437" s="1">
        <v>46164</v>
      </c>
    </row>
    <row r="8438" spans="1:3" x14ac:dyDescent="0.25">
      <c r="A8438" t="s">
        <v>1669</v>
      </c>
      <c r="B8438" t="s">
        <v>8188</v>
      </c>
      <c r="C8438" s="1">
        <v>46165</v>
      </c>
    </row>
    <row r="8439" spans="1:3" x14ac:dyDescent="0.25">
      <c r="A8439" t="s">
        <v>1667</v>
      </c>
      <c r="B8439" t="s">
        <v>8188</v>
      </c>
      <c r="C8439" s="1">
        <v>46164</v>
      </c>
    </row>
    <row r="8440" spans="1:3" x14ac:dyDescent="0.25">
      <c r="A8440" t="s">
        <v>1665</v>
      </c>
      <c r="B8440" t="s">
        <v>8191</v>
      </c>
      <c r="C8440" s="1"/>
    </row>
    <row r="8441" spans="1:3" x14ac:dyDescent="0.25">
      <c r="A8441" t="s">
        <v>1659</v>
      </c>
      <c r="B8441" t="s">
        <v>8188</v>
      </c>
      <c r="C8441" s="1">
        <v>46163</v>
      </c>
    </row>
    <row r="8442" spans="1:3" x14ac:dyDescent="0.25">
      <c r="A8442" t="s">
        <v>8185</v>
      </c>
      <c r="B8442" t="s">
        <v>39</v>
      </c>
      <c r="C8442" s="1"/>
    </row>
    <row r="8443" spans="1:3" x14ac:dyDescent="0.25">
      <c r="A8443" t="s">
        <v>1662</v>
      </c>
      <c r="B8443" t="s">
        <v>8188</v>
      </c>
      <c r="C8443" s="1">
        <v>46167</v>
      </c>
    </row>
    <row r="8444" spans="1:3" x14ac:dyDescent="0.25">
      <c r="A8444" t="s">
        <v>1656</v>
      </c>
      <c r="B8444" t="s">
        <v>8188</v>
      </c>
      <c r="C8444" s="1">
        <v>46165</v>
      </c>
    </row>
    <row r="8445" spans="1:3" x14ac:dyDescent="0.25">
      <c r="A8445" t="s">
        <v>1654</v>
      </c>
      <c r="B8445" t="s">
        <v>6966</v>
      </c>
      <c r="C8445" s="1"/>
    </row>
    <row r="8446" spans="1:3" x14ac:dyDescent="0.25">
      <c r="A8446" t="s">
        <v>1652</v>
      </c>
      <c r="B8446" t="s">
        <v>8188</v>
      </c>
      <c r="C8446" s="1">
        <v>46164</v>
      </c>
    </row>
    <row r="8447" spans="1:3" x14ac:dyDescent="0.25">
      <c r="A8447" t="s">
        <v>1641</v>
      </c>
      <c r="B8447" t="s">
        <v>8188</v>
      </c>
      <c r="C8447" s="1">
        <v>46164</v>
      </c>
    </row>
    <row r="8448" spans="1:3" x14ac:dyDescent="0.25">
      <c r="A8448" t="s">
        <v>1640</v>
      </c>
      <c r="B8448" t="s">
        <v>8188</v>
      </c>
      <c r="C8448" s="1">
        <v>46162</v>
      </c>
    </row>
    <row r="8449" spans="1:3" x14ac:dyDescent="0.25">
      <c r="A8449" t="s">
        <v>8186</v>
      </c>
      <c r="B8449" t="s">
        <v>8188</v>
      </c>
      <c r="C8449" s="1"/>
    </row>
    <row r="8450" spans="1:3" x14ac:dyDescent="0.25">
      <c r="A8450" t="s">
        <v>8186</v>
      </c>
      <c r="B8450" t="s">
        <v>8188</v>
      </c>
      <c r="C8450" s="1">
        <v>46162</v>
      </c>
    </row>
    <row r="8451" spans="1:3" x14ac:dyDescent="0.25">
      <c r="A8451" t="s">
        <v>1625</v>
      </c>
      <c r="B8451" t="s">
        <v>8188</v>
      </c>
      <c r="C8451" s="1">
        <v>46167</v>
      </c>
    </row>
    <row r="8452" spans="1:3" x14ac:dyDescent="0.25">
      <c r="A8452" t="s">
        <v>1620</v>
      </c>
      <c r="B8452" t="s">
        <v>8188</v>
      </c>
      <c r="C8452" s="1">
        <v>46165</v>
      </c>
    </row>
    <row r="8453" spans="1:3" x14ac:dyDescent="0.25">
      <c r="A8453" t="s">
        <v>1614</v>
      </c>
      <c r="B8453" t="s">
        <v>8188</v>
      </c>
      <c r="C8453" s="1">
        <v>46165</v>
      </c>
    </row>
    <row r="8454" spans="1:3" x14ac:dyDescent="0.25">
      <c r="A8454" t="s">
        <v>1611</v>
      </c>
      <c r="B8454" t="s">
        <v>8188</v>
      </c>
      <c r="C8454" s="1">
        <v>46167</v>
      </c>
    </row>
    <row r="8455" spans="1:3" x14ac:dyDescent="0.25">
      <c r="A8455" t="s">
        <v>1605</v>
      </c>
      <c r="B8455" t="s">
        <v>8188</v>
      </c>
      <c r="C8455" s="1">
        <v>46167</v>
      </c>
    </row>
    <row r="8456" spans="1:3" x14ac:dyDescent="0.25">
      <c r="A8456" t="s">
        <v>1608</v>
      </c>
      <c r="B8456" t="s">
        <v>8188</v>
      </c>
      <c r="C8456" s="1">
        <v>46167</v>
      </c>
    </row>
    <row r="8457" spans="1:3" x14ac:dyDescent="0.25">
      <c r="A8457" t="s">
        <v>1593</v>
      </c>
      <c r="B8457" t="s">
        <v>8188</v>
      </c>
      <c r="C8457" s="1">
        <v>46165</v>
      </c>
    </row>
    <row r="8458" spans="1:3" x14ac:dyDescent="0.25">
      <c r="A8458" t="s">
        <v>1593</v>
      </c>
      <c r="B8458" t="s">
        <v>8188</v>
      </c>
      <c r="C8458" s="1">
        <v>46165</v>
      </c>
    </row>
    <row r="8459" spans="1:3" x14ac:dyDescent="0.25">
      <c r="A8459" t="s">
        <v>1583</v>
      </c>
      <c r="B8459" t="s">
        <v>8188</v>
      </c>
      <c r="C8459" s="1">
        <v>46167</v>
      </c>
    </row>
    <row r="8460" spans="1:3" x14ac:dyDescent="0.25">
      <c r="A8460" t="s">
        <v>1580</v>
      </c>
      <c r="B8460" t="s">
        <v>8188</v>
      </c>
      <c r="C8460" s="1">
        <v>46168</v>
      </c>
    </row>
    <row r="8461" spans="1:3" x14ac:dyDescent="0.25">
      <c r="A8461" t="s">
        <v>1575</v>
      </c>
      <c r="B8461" t="s">
        <v>8191</v>
      </c>
      <c r="C8461" s="1"/>
    </row>
    <row r="8462" spans="1:3" x14ac:dyDescent="0.25">
      <c r="A8462" t="s">
        <v>1573</v>
      </c>
      <c r="B8462" t="s">
        <v>8191</v>
      </c>
      <c r="C8462" s="1"/>
    </row>
    <row r="8463" spans="1:3" x14ac:dyDescent="0.25">
      <c r="A8463" t="s">
        <v>1562</v>
      </c>
      <c r="B8463" t="s">
        <v>39</v>
      </c>
      <c r="C8463" s="1"/>
    </row>
    <row r="8464" spans="1:3" x14ac:dyDescent="0.25">
      <c r="A8464" t="s">
        <v>1560</v>
      </c>
      <c r="B8464" t="s">
        <v>2387</v>
      </c>
      <c r="C8464" s="1"/>
    </row>
    <row r="8465" spans="1:3" x14ac:dyDescent="0.25">
      <c r="A8465" t="s">
        <v>1558</v>
      </c>
      <c r="B8465" t="s">
        <v>8191</v>
      </c>
      <c r="C8465" s="1"/>
    </row>
    <row r="8466" spans="1:3" x14ac:dyDescent="0.25">
      <c r="A8466" t="s">
        <v>1556</v>
      </c>
      <c r="B8466" t="s">
        <v>8188</v>
      </c>
      <c r="C8466" s="1">
        <v>46168</v>
      </c>
    </row>
    <row r="8467" spans="1:3" x14ac:dyDescent="0.25">
      <c r="A8467" t="s">
        <v>1554</v>
      </c>
      <c r="B8467" t="s">
        <v>8191</v>
      </c>
      <c r="C8467" s="1"/>
    </row>
    <row r="8468" spans="1:3" x14ac:dyDescent="0.25">
      <c r="A8468" t="s">
        <v>1552</v>
      </c>
      <c r="B8468" t="s">
        <v>8191</v>
      </c>
      <c r="C8468" s="1"/>
    </row>
    <row r="8469" spans="1:3" x14ac:dyDescent="0.25">
      <c r="A8469" t="s">
        <v>1547</v>
      </c>
      <c r="B8469" t="s">
        <v>8191</v>
      </c>
      <c r="C8469" s="1"/>
    </row>
    <row r="8470" spans="1:3" x14ac:dyDescent="0.25">
      <c r="A8470" t="s">
        <v>1543</v>
      </c>
      <c r="B8470" t="s">
        <v>2387</v>
      </c>
      <c r="C8470" s="1"/>
    </row>
    <row r="8471" spans="1:3" x14ac:dyDescent="0.25">
      <c r="A8471" t="s">
        <v>1528</v>
      </c>
      <c r="B8471" t="s">
        <v>2387</v>
      </c>
      <c r="C8471" s="1"/>
    </row>
    <row r="8472" spans="1:3" x14ac:dyDescent="0.25">
      <c r="A8472" t="s">
        <v>1515</v>
      </c>
      <c r="B8472" t="s">
        <v>8188</v>
      </c>
      <c r="C8472" s="1">
        <v>46168</v>
      </c>
    </row>
    <row r="8473" spans="1:3" x14ac:dyDescent="0.25">
      <c r="A8473" t="s">
        <v>1512</v>
      </c>
      <c r="B8473" t="s">
        <v>8192</v>
      </c>
      <c r="C8473" s="1"/>
    </row>
    <row r="8474" spans="1:3" x14ac:dyDescent="0.25">
      <c r="A8474" t="s">
        <v>8187</v>
      </c>
      <c r="B8474" t="s">
        <v>2387</v>
      </c>
      <c r="C8474" s="1"/>
    </row>
    <row r="8475" spans="1:3" x14ac:dyDescent="0.25">
      <c r="C8475" s="1"/>
    </row>
    <row r="8476" spans="1:3" x14ac:dyDescent="0.25">
      <c r="C8476" s="1"/>
    </row>
    <row r="8477" spans="1:3" x14ac:dyDescent="0.25">
      <c r="C8477" s="1"/>
    </row>
    <row r="8478" spans="1:3" x14ac:dyDescent="0.25">
      <c r="C8478" s="1"/>
    </row>
    <row r="8479" spans="1:3" x14ac:dyDescent="0.25">
      <c r="C8479" s="1"/>
    </row>
    <row r="8480" spans="1:3" x14ac:dyDescent="0.25">
      <c r="C8480" s="1"/>
    </row>
    <row r="8481" spans="3:3" x14ac:dyDescent="0.25">
      <c r="C8481" s="1"/>
    </row>
    <row r="8482" spans="3:3" x14ac:dyDescent="0.25">
      <c r="C8482" s="1"/>
    </row>
    <row r="8483" spans="3:3" x14ac:dyDescent="0.25">
      <c r="C8483" s="1"/>
    </row>
    <row r="8484" spans="3:3" x14ac:dyDescent="0.25">
      <c r="C8484" s="1"/>
    </row>
    <row r="8485" spans="3:3" x14ac:dyDescent="0.25">
      <c r="C8485" s="1"/>
    </row>
    <row r="8486" spans="3:3" x14ac:dyDescent="0.25">
      <c r="C8486" s="1"/>
    </row>
    <row r="8487" spans="3:3" x14ac:dyDescent="0.25">
      <c r="C8487" s="1"/>
    </row>
    <row r="8488" spans="3:3" x14ac:dyDescent="0.25">
      <c r="C8488" s="1"/>
    </row>
    <row r="8489" spans="3:3" x14ac:dyDescent="0.25">
      <c r="C8489" s="1"/>
    </row>
    <row r="8490" spans="3:3" x14ac:dyDescent="0.25">
      <c r="C8490" s="1"/>
    </row>
    <row r="8491" spans="3:3" x14ac:dyDescent="0.25">
      <c r="C8491" s="1"/>
    </row>
    <row r="8492" spans="3:3" x14ac:dyDescent="0.25">
      <c r="C8492" s="1"/>
    </row>
    <row r="8493" spans="3:3" x14ac:dyDescent="0.25">
      <c r="C8493" s="1"/>
    </row>
    <row r="8494" spans="3:3" x14ac:dyDescent="0.25">
      <c r="C8494" s="1"/>
    </row>
    <row r="8495" spans="3:3" x14ac:dyDescent="0.25">
      <c r="C8495" s="1"/>
    </row>
    <row r="8496" spans="3:3" x14ac:dyDescent="0.25">
      <c r="C8496" s="1"/>
    </row>
    <row r="8497" spans="3:3" x14ac:dyDescent="0.25">
      <c r="C8497" s="1"/>
    </row>
    <row r="8498" spans="3:3" x14ac:dyDescent="0.25">
      <c r="C8498" s="1"/>
    </row>
    <row r="8499" spans="3:3" x14ac:dyDescent="0.25">
      <c r="C8499" s="1"/>
    </row>
    <row r="8500" spans="3:3" x14ac:dyDescent="0.25">
      <c r="C8500" s="1"/>
    </row>
    <row r="8501" spans="3:3" x14ac:dyDescent="0.25">
      <c r="C8501" s="1"/>
    </row>
    <row r="8502" spans="3:3" x14ac:dyDescent="0.25">
      <c r="C8502" s="1"/>
    </row>
    <row r="8503" spans="3:3" x14ac:dyDescent="0.25">
      <c r="C8503" s="1"/>
    </row>
    <row r="8504" spans="3:3" x14ac:dyDescent="0.25">
      <c r="C8504" s="1"/>
    </row>
    <row r="8505" spans="3:3" x14ac:dyDescent="0.25">
      <c r="C8505" s="1"/>
    </row>
    <row r="8506" spans="3:3" x14ac:dyDescent="0.25">
      <c r="C8506" s="1"/>
    </row>
    <row r="8507" spans="3:3" x14ac:dyDescent="0.25">
      <c r="C8507" s="1"/>
    </row>
    <row r="8508" spans="3:3" x14ac:dyDescent="0.25">
      <c r="C8508" s="1"/>
    </row>
    <row r="8509" spans="3:3" x14ac:dyDescent="0.25">
      <c r="C8509" s="1"/>
    </row>
    <row r="8510" spans="3:3" x14ac:dyDescent="0.25">
      <c r="C8510" s="1"/>
    </row>
    <row r="8511" spans="3:3" x14ac:dyDescent="0.25">
      <c r="C8511" s="1"/>
    </row>
    <row r="8512" spans="3:3" x14ac:dyDescent="0.25">
      <c r="C8512" s="1"/>
    </row>
    <row r="8513" spans="3:3" x14ac:dyDescent="0.25">
      <c r="C8513" s="1"/>
    </row>
    <row r="8514" spans="3:3" x14ac:dyDescent="0.25">
      <c r="C8514" s="1"/>
    </row>
    <row r="8515" spans="3:3" x14ac:dyDescent="0.25">
      <c r="C8515" s="1"/>
    </row>
    <row r="8516" spans="3:3" x14ac:dyDescent="0.25">
      <c r="C8516" s="1"/>
    </row>
    <row r="8517" spans="3:3" x14ac:dyDescent="0.25">
      <c r="C8517" s="1"/>
    </row>
    <row r="8518" spans="3:3" x14ac:dyDescent="0.25">
      <c r="C8518" s="1"/>
    </row>
    <row r="8519" spans="3:3" x14ac:dyDescent="0.25">
      <c r="C8519" s="1"/>
    </row>
    <row r="8520" spans="3:3" x14ac:dyDescent="0.25">
      <c r="C8520" s="1"/>
    </row>
    <row r="8521" spans="3:3" x14ac:dyDescent="0.25">
      <c r="C8521" s="1"/>
    </row>
    <row r="8522" spans="3:3" x14ac:dyDescent="0.25">
      <c r="C8522" s="1"/>
    </row>
    <row r="8523" spans="3:3" x14ac:dyDescent="0.25">
      <c r="C8523" s="1"/>
    </row>
    <row r="8524" spans="3:3" x14ac:dyDescent="0.25">
      <c r="C8524" s="1"/>
    </row>
    <row r="8525" spans="3:3" x14ac:dyDescent="0.25">
      <c r="C8525" s="1"/>
    </row>
    <row r="8526" spans="3:3" x14ac:dyDescent="0.25">
      <c r="C8526" s="1"/>
    </row>
    <row r="8527" spans="3:3" x14ac:dyDescent="0.25">
      <c r="C8527" s="1"/>
    </row>
    <row r="8528" spans="3:3" x14ac:dyDescent="0.25">
      <c r="C8528" s="1"/>
    </row>
    <row r="8529" spans="3:3" x14ac:dyDescent="0.25">
      <c r="C8529" s="1"/>
    </row>
    <row r="8530" spans="3:3" x14ac:dyDescent="0.25">
      <c r="C8530" s="1"/>
    </row>
    <row r="8531" spans="3:3" x14ac:dyDescent="0.25">
      <c r="C8531" s="1"/>
    </row>
    <row r="8532" spans="3:3" x14ac:dyDescent="0.25">
      <c r="C8532" s="1"/>
    </row>
    <row r="8533" spans="3:3" x14ac:dyDescent="0.25">
      <c r="C8533" s="1"/>
    </row>
    <row r="8534" spans="3:3" x14ac:dyDescent="0.25">
      <c r="C8534" s="1"/>
    </row>
    <row r="8535" spans="3:3" x14ac:dyDescent="0.25">
      <c r="C8535" s="1"/>
    </row>
    <row r="8536" spans="3:3" x14ac:dyDescent="0.25">
      <c r="C8536" s="1"/>
    </row>
    <row r="8537" spans="3:3" x14ac:dyDescent="0.25">
      <c r="C8537" s="1"/>
    </row>
    <row r="8538" spans="3:3" x14ac:dyDescent="0.25">
      <c r="C8538" s="1"/>
    </row>
    <row r="8539" spans="3:3" x14ac:dyDescent="0.25">
      <c r="C8539" s="1"/>
    </row>
    <row r="8540" spans="3:3" x14ac:dyDescent="0.25">
      <c r="C8540" s="1"/>
    </row>
    <row r="8541" spans="3:3" x14ac:dyDescent="0.25">
      <c r="C8541" s="1"/>
    </row>
    <row r="8542" spans="3:3" x14ac:dyDescent="0.25">
      <c r="C8542" s="1"/>
    </row>
    <row r="8543" spans="3:3" x14ac:dyDescent="0.25">
      <c r="C8543" s="1"/>
    </row>
    <row r="8544" spans="3:3" x14ac:dyDescent="0.25">
      <c r="C8544" s="1"/>
    </row>
    <row r="8545" spans="3:3" x14ac:dyDescent="0.25">
      <c r="C8545" s="1"/>
    </row>
    <row r="8546" spans="3:3" x14ac:dyDescent="0.25">
      <c r="C8546" s="1"/>
    </row>
    <row r="8547" spans="3:3" x14ac:dyDescent="0.25">
      <c r="C8547" s="1"/>
    </row>
    <row r="8548" spans="3:3" x14ac:dyDescent="0.25">
      <c r="C8548" s="1"/>
    </row>
    <row r="8549" spans="3:3" x14ac:dyDescent="0.25">
      <c r="C8549" s="1"/>
    </row>
    <row r="8550" spans="3:3" x14ac:dyDescent="0.25">
      <c r="C8550" s="1"/>
    </row>
    <row r="8551" spans="3:3" x14ac:dyDescent="0.25">
      <c r="C8551" s="1"/>
    </row>
    <row r="8552" spans="3:3" x14ac:dyDescent="0.25">
      <c r="C8552" s="1"/>
    </row>
    <row r="8553" spans="3:3" x14ac:dyDescent="0.25">
      <c r="C8553" s="1"/>
    </row>
    <row r="8554" spans="3:3" x14ac:dyDescent="0.25">
      <c r="C8554" s="1"/>
    </row>
    <row r="8555" spans="3:3" x14ac:dyDescent="0.25">
      <c r="C8555" s="1"/>
    </row>
    <row r="8556" spans="3:3" x14ac:dyDescent="0.25">
      <c r="C8556" s="1"/>
    </row>
    <row r="8557" spans="3:3" x14ac:dyDescent="0.25">
      <c r="C8557" s="1"/>
    </row>
    <row r="8558" spans="3:3" x14ac:dyDescent="0.25">
      <c r="C8558" s="1"/>
    </row>
    <row r="8559" spans="3:3" x14ac:dyDescent="0.25">
      <c r="C8559" s="1"/>
    </row>
    <row r="8560" spans="3:3" x14ac:dyDescent="0.25">
      <c r="C8560" s="1"/>
    </row>
    <row r="8561" spans="3:3" x14ac:dyDescent="0.25">
      <c r="C8561" s="1"/>
    </row>
    <row r="8562" spans="3:3" x14ac:dyDescent="0.25">
      <c r="C8562" s="1"/>
    </row>
    <row r="8563" spans="3:3" x14ac:dyDescent="0.25">
      <c r="C8563" s="1"/>
    </row>
    <row r="8564" spans="3:3" x14ac:dyDescent="0.25">
      <c r="C8564" s="1"/>
    </row>
    <row r="8565" spans="3:3" x14ac:dyDescent="0.25">
      <c r="C8565" s="1"/>
    </row>
    <row r="8566" spans="3:3" x14ac:dyDescent="0.25">
      <c r="C8566" s="1"/>
    </row>
    <row r="8567" spans="3:3" x14ac:dyDescent="0.25">
      <c r="C8567" s="1"/>
    </row>
    <row r="8568" spans="3:3" x14ac:dyDescent="0.25">
      <c r="C8568" s="1"/>
    </row>
    <row r="8569" spans="3:3" x14ac:dyDescent="0.25">
      <c r="C8569" s="1"/>
    </row>
    <row r="8570" spans="3:3" x14ac:dyDescent="0.25">
      <c r="C8570" s="1"/>
    </row>
    <row r="8571" spans="3:3" x14ac:dyDescent="0.25">
      <c r="C8571" s="1"/>
    </row>
    <row r="8572" spans="3:3" x14ac:dyDescent="0.25">
      <c r="C8572" s="1"/>
    </row>
    <row r="8573" spans="3:3" x14ac:dyDescent="0.25">
      <c r="C8573" s="1"/>
    </row>
    <row r="8574" spans="3:3" x14ac:dyDescent="0.25">
      <c r="C8574" s="1"/>
    </row>
    <row r="8575" spans="3:3" x14ac:dyDescent="0.25">
      <c r="C8575" s="1"/>
    </row>
    <row r="8576" spans="3:3" x14ac:dyDescent="0.25">
      <c r="C8576" s="1"/>
    </row>
    <row r="8577" spans="3:3" x14ac:dyDescent="0.25">
      <c r="C8577" s="1"/>
    </row>
    <row r="8578" spans="3:3" x14ac:dyDescent="0.25">
      <c r="C8578" s="1"/>
    </row>
    <row r="8579" spans="3:3" x14ac:dyDescent="0.25">
      <c r="C8579" s="1"/>
    </row>
    <row r="8580" spans="3:3" x14ac:dyDescent="0.25">
      <c r="C8580" s="1"/>
    </row>
    <row r="8581" spans="3:3" x14ac:dyDescent="0.25">
      <c r="C8581" s="1"/>
    </row>
    <row r="8582" spans="3:3" x14ac:dyDescent="0.25">
      <c r="C8582" s="1"/>
    </row>
    <row r="8583" spans="3:3" x14ac:dyDescent="0.25">
      <c r="C8583" s="1"/>
    </row>
    <row r="8584" spans="3:3" x14ac:dyDescent="0.25">
      <c r="C8584" s="1"/>
    </row>
    <row r="8585" spans="3:3" x14ac:dyDescent="0.25">
      <c r="C8585" s="1"/>
    </row>
    <row r="8586" spans="3:3" x14ac:dyDescent="0.25">
      <c r="C8586" s="1"/>
    </row>
    <row r="8587" spans="3:3" x14ac:dyDescent="0.25">
      <c r="C8587" s="1"/>
    </row>
    <row r="8588" spans="3:3" x14ac:dyDescent="0.25">
      <c r="C8588" s="1"/>
    </row>
    <row r="8589" spans="3:3" x14ac:dyDescent="0.25">
      <c r="C8589" s="1"/>
    </row>
    <row r="8590" spans="3:3" x14ac:dyDescent="0.25">
      <c r="C8590" s="1"/>
    </row>
    <row r="8591" spans="3:3" x14ac:dyDescent="0.25">
      <c r="C8591" s="1"/>
    </row>
    <row r="8592" spans="3:3" x14ac:dyDescent="0.25">
      <c r="C8592" s="1"/>
    </row>
    <row r="8593" spans="3:3" x14ac:dyDescent="0.25">
      <c r="C8593" s="1"/>
    </row>
    <row r="8594" spans="3:3" x14ac:dyDescent="0.25">
      <c r="C8594" s="1"/>
    </row>
    <row r="8595" spans="3:3" x14ac:dyDescent="0.25">
      <c r="C8595" s="1"/>
    </row>
    <row r="8596" spans="3:3" x14ac:dyDescent="0.25">
      <c r="C8596" s="1"/>
    </row>
    <row r="8597" spans="3:3" x14ac:dyDescent="0.25">
      <c r="C8597" s="1"/>
    </row>
    <row r="8598" spans="3:3" x14ac:dyDescent="0.25">
      <c r="C8598" s="1"/>
    </row>
    <row r="8599" spans="3:3" x14ac:dyDescent="0.25">
      <c r="C8599" s="1"/>
    </row>
    <row r="8600" spans="3:3" x14ac:dyDescent="0.25">
      <c r="C8600" s="1"/>
    </row>
    <row r="8601" spans="3:3" x14ac:dyDescent="0.25">
      <c r="C8601" s="1"/>
    </row>
    <row r="8602" spans="3:3" x14ac:dyDescent="0.25">
      <c r="C8602" s="1"/>
    </row>
    <row r="8603" spans="3:3" x14ac:dyDescent="0.25">
      <c r="C8603" s="1"/>
    </row>
    <row r="8604" spans="3:3" x14ac:dyDescent="0.25">
      <c r="C8604" s="1"/>
    </row>
    <row r="8605" spans="3:3" x14ac:dyDescent="0.25">
      <c r="C8605" s="1"/>
    </row>
    <row r="8606" spans="3:3" x14ac:dyDescent="0.25">
      <c r="C8606" s="1"/>
    </row>
    <row r="8607" spans="3:3" x14ac:dyDescent="0.25">
      <c r="C8607" s="1"/>
    </row>
    <row r="8608" spans="3:3" x14ac:dyDescent="0.25">
      <c r="C8608" s="1"/>
    </row>
    <row r="8609" spans="3:3" x14ac:dyDescent="0.25">
      <c r="C8609" s="1"/>
    </row>
    <row r="8610" spans="3:3" x14ac:dyDescent="0.25">
      <c r="C8610" s="1"/>
    </row>
    <row r="8611" spans="3:3" x14ac:dyDescent="0.25">
      <c r="C8611" s="1"/>
    </row>
    <row r="8612" spans="3:3" x14ac:dyDescent="0.25">
      <c r="C8612" s="1"/>
    </row>
    <row r="8613" spans="3:3" x14ac:dyDescent="0.25">
      <c r="C8613" s="1"/>
    </row>
    <row r="8614" spans="3:3" x14ac:dyDescent="0.25">
      <c r="C8614" s="1"/>
    </row>
    <row r="8615" spans="3:3" x14ac:dyDescent="0.25">
      <c r="C8615" s="1"/>
    </row>
    <row r="8616" spans="3:3" x14ac:dyDescent="0.25">
      <c r="C8616" s="1"/>
    </row>
    <row r="8617" spans="3:3" x14ac:dyDescent="0.25">
      <c r="C8617" s="1"/>
    </row>
    <row r="8618" spans="3:3" x14ac:dyDescent="0.25">
      <c r="C8618" s="1"/>
    </row>
    <row r="8619" spans="3:3" x14ac:dyDescent="0.25">
      <c r="C8619" s="1"/>
    </row>
    <row r="8620" spans="3:3" x14ac:dyDescent="0.25">
      <c r="C8620" s="1"/>
    </row>
    <row r="8621" spans="3:3" x14ac:dyDescent="0.25">
      <c r="C8621" s="1"/>
    </row>
    <row r="8622" spans="3:3" x14ac:dyDescent="0.25">
      <c r="C8622" s="1"/>
    </row>
    <row r="8623" spans="3:3" x14ac:dyDescent="0.25">
      <c r="C8623" s="1"/>
    </row>
    <row r="8624" spans="3:3" x14ac:dyDescent="0.25">
      <c r="C8624" s="1"/>
    </row>
    <row r="8625" spans="3:3" x14ac:dyDescent="0.25">
      <c r="C8625" s="1"/>
    </row>
    <row r="8626" spans="3:3" x14ac:dyDescent="0.25">
      <c r="C8626" s="1"/>
    </row>
    <row r="8627" spans="3:3" x14ac:dyDescent="0.25">
      <c r="C8627" s="1"/>
    </row>
    <row r="8628" spans="3:3" x14ac:dyDescent="0.25">
      <c r="C8628" s="1"/>
    </row>
    <row r="8629" spans="3:3" x14ac:dyDescent="0.25">
      <c r="C8629" s="1"/>
    </row>
    <row r="8630" spans="3:3" x14ac:dyDescent="0.25">
      <c r="C8630" s="1"/>
    </row>
    <row r="8631" spans="3:3" x14ac:dyDescent="0.25">
      <c r="C8631" s="1"/>
    </row>
    <row r="8632" spans="3:3" x14ac:dyDescent="0.25">
      <c r="C8632" s="1"/>
    </row>
    <row r="8633" spans="3:3" x14ac:dyDescent="0.25">
      <c r="C8633" s="1"/>
    </row>
    <row r="8634" spans="3:3" x14ac:dyDescent="0.25">
      <c r="C8634" s="1"/>
    </row>
    <row r="8635" spans="3:3" x14ac:dyDescent="0.25">
      <c r="C8635" s="1"/>
    </row>
    <row r="8636" spans="3:3" x14ac:dyDescent="0.25">
      <c r="C8636" s="1"/>
    </row>
    <row r="8637" spans="3:3" x14ac:dyDescent="0.25">
      <c r="C8637" s="1"/>
    </row>
    <row r="8638" spans="3:3" x14ac:dyDescent="0.25">
      <c r="C8638" s="1"/>
    </row>
    <row r="8639" spans="3:3" x14ac:dyDescent="0.25">
      <c r="C8639" s="1"/>
    </row>
    <row r="8640" spans="3:3" x14ac:dyDescent="0.25">
      <c r="C8640" s="1"/>
    </row>
    <row r="8641" spans="3:3" x14ac:dyDescent="0.25">
      <c r="C8641" s="1"/>
    </row>
    <row r="8642" spans="3:3" x14ac:dyDescent="0.25">
      <c r="C8642" s="1"/>
    </row>
    <row r="8643" spans="3:3" x14ac:dyDescent="0.25">
      <c r="C8643" s="1"/>
    </row>
    <row r="8644" spans="3:3" x14ac:dyDescent="0.25">
      <c r="C8644" s="1"/>
    </row>
    <row r="8645" spans="3:3" x14ac:dyDescent="0.25">
      <c r="C8645" s="1"/>
    </row>
    <row r="8646" spans="3:3" x14ac:dyDescent="0.25">
      <c r="C8646" s="1"/>
    </row>
    <row r="8647" spans="3:3" x14ac:dyDescent="0.25">
      <c r="C8647" s="1"/>
    </row>
    <row r="8648" spans="3:3" x14ac:dyDescent="0.25">
      <c r="C8648" s="1"/>
    </row>
    <row r="8649" spans="3:3" x14ac:dyDescent="0.25">
      <c r="C8649" s="1"/>
    </row>
    <row r="8650" spans="3:3" x14ac:dyDescent="0.25">
      <c r="C8650" s="1"/>
    </row>
    <row r="8651" spans="3:3" x14ac:dyDescent="0.25">
      <c r="C8651" s="1"/>
    </row>
    <row r="8652" spans="3:3" x14ac:dyDescent="0.25">
      <c r="C8652" s="1"/>
    </row>
    <row r="8653" spans="3:3" x14ac:dyDescent="0.25">
      <c r="C8653" s="1"/>
    </row>
    <row r="8654" spans="3:3" x14ac:dyDescent="0.25">
      <c r="C8654" s="1"/>
    </row>
    <row r="8655" spans="3:3" x14ac:dyDescent="0.25">
      <c r="C8655" s="1"/>
    </row>
    <row r="8656" spans="3:3" x14ac:dyDescent="0.25">
      <c r="C8656" s="1"/>
    </row>
    <row r="8657" spans="3:3" x14ac:dyDescent="0.25">
      <c r="C8657" s="1"/>
    </row>
    <row r="8658" spans="3:3" x14ac:dyDescent="0.25">
      <c r="C8658" s="1"/>
    </row>
    <row r="8659" spans="3:3" x14ac:dyDescent="0.25">
      <c r="C8659" s="1"/>
    </row>
    <row r="8660" spans="3:3" x14ac:dyDescent="0.25">
      <c r="C8660" s="1"/>
    </row>
    <row r="8661" spans="3:3" x14ac:dyDescent="0.25">
      <c r="C8661" s="1"/>
    </row>
    <row r="8662" spans="3:3" x14ac:dyDescent="0.25">
      <c r="C8662" s="1"/>
    </row>
    <row r="8663" spans="3:3" x14ac:dyDescent="0.25">
      <c r="C8663" s="1"/>
    </row>
    <row r="8664" spans="3:3" x14ac:dyDescent="0.25">
      <c r="C8664" s="1"/>
    </row>
    <row r="8665" spans="3:3" x14ac:dyDescent="0.25">
      <c r="C8665" s="1"/>
    </row>
    <row r="8666" spans="3:3" x14ac:dyDescent="0.25">
      <c r="C8666" s="1"/>
    </row>
    <row r="8667" spans="3:3" x14ac:dyDescent="0.25">
      <c r="C8667" s="1"/>
    </row>
    <row r="8668" spans="3:3" x14ac:dyDescent="0.25">
      <c r="C8668" s="1"/>
    </row>
    <row r="8669" spans="3:3" x14ac:dyDescent="0.25">
      <c r="C8669" s="1"/>
    </row>
    <row r="8670" spans="3:3" x14ac:dyDescent="0.25">
      <c r="C8670" s="1"/>
    </row>
    <row r="8671" spans="3:3" x14ac:dyDescent="0.25">
      <c r="C8671" s="1"/>
    </row>
    <row r="8672" spans="3:3" x14ac:dyDescent="0.25">
      <c r="C8672" s="1"/>
    </row>
    <row r="8673" spans="3:3" x14ac:dyDescent="0.25">
      <c r="C8673" s="1"/>
    </row>
    <row r="8674" spans="3:3" x14ac:dyDescent="0.25">
      <c r="C8674" s="1"/>
    </row>
    <row r="8675" spans="3:3" x14ac:dyDescent="0.25">
      <c r="C8675" s="1"/>
    </row>
    <row r="8676" spans="3:3" x14ac:dyDescent="0.25">
      <c r="C8676" s="1"/>
    </row>
    <row r="8677" spans="3:3" x14ac:dyDescent="0.25">
      <c r="C8677" s="1"/>
    </row>
    <row r="8678" spans="3:3" x14ac:dyDescent="0.25">
      <c r="C8678" s="1"/>
    </row>
    <row r="8679" spans="3:3" x14ac:dyDescent="0.25">
      <c r="C8679" s="1"/>
    </row>
    <row r="8680" spans="3:3" x14ac:dyDescent="0.25">
      <c r="C8680" s="1"/>
    </row>
    <row r="8681" spans="3:3" x14ac:dyDescent="0.25">
      <c r="C8681" s="1"/>
    </row>
    <row r="8682" spans="3:3" x14ac:dyDescent="0.25">
      <c r="C8682" s="1"/>
    </row>
    <row r="8683" spans="3:3" x14ac:dyDescent="0.25">
      <c r="C8683" s="1"/>
    </row>
    <row r="8684" spans="3:3" x14ac:dyDescent="0.25">
      <c r="C8684" s="1"/>
    </row>
    <row r="8685" spans="3:3" x14ac:dyDescent="0.25">
      <c r="C8685" s="1"/>
    </row>
    <row r="8686" spans="3:3" x14ac:dyDescent="0.25">
      <c r="C8686" s="1"/>
    </row>
    <row r="8687" spans="3:3" x14ac:dyDescent="0.25">
      <c r="C8687" s="1"/>
    </row>
    <row r="8688" spans="3:3" x14ac:dyDescent="0.25">
      <c r="C8688" s="1"/>
    </row>
    <row r="8689" spans="3:3" x14ac:dyDescent="0.25">
      <c r="C8689" s="1"/>
    </row>
    <row r="8690" spans="3:3" x14ac:dyDescent="0.25">
      <c r="C8690" s="1"/>
    </row>
    <row r="8691" spans="3:3" x14ac:dyDescent="0.25">
      <c r="C8691" s="1"/>
    </row>
    <row r="8692" spans="3:3" x14ac:dyDescent="0.25">
      <c r="C8692" s="1"/>
    </row>
    <row r="8693" spans="3:3" x14ac:dyDescent="0.25">
      <c r="C8693" s="1"/>
    </row>
    <row r="8694" spans="3:3" x14ac:dyDescent="0.25">
      <c r="C8694" s="1"/>
    </row>
    <row r="8695" spans="3:3" x14ac:dyDescent="0.25">
      <c r="C8695" s="1"/>
    </row>
    <row r="8696" spans="3:3" x14ac:dyDescent="0.25">
      <c r="C8696" s="1"/>
    </row>
    <row r="8697" spans="3:3" x14ac:dyDescent="0.25">
      <c r="C8697" s="1"/>
    </row>
    <row r="8698" spans="3:3" x14ac:dyDescent="0.25">
      <c r="C8698" s="1"/>
    </row>
    <row r="8699" spans="3:3" x14ac:dyDescent="0.25">
      <c r="C8699" s="1"/>
    </row>
    <row r="8700" spans="3:3" x14ac:dyDescent="0.25">
      <c r="C8700" s="1"/>
    </row>
    <row r="8701" spans="3:3" x14ac:dyDescent="0.25">
      <c r="C8701" s="1"/>
    </row>
    <row r="8702" spans="3:3" x14ac:dyDescent="0.25">
      <c r="C8702" s="1"/>
    </row>
    <row r="8703" spans="3:3" x14ac:dyDescent="0.25">
      <c r="C8703" s="1"/>
    </row>
    <row r="8704" spans="3:3" x14ac:dyDescent="0.25">
      <c r="C8704" s="1"/>
    </row>
    <row r="8705" spans="3:3" x14ac:dyDescent="0.25">
      <c r="C8705" s="1"/>
    </row>
    <row r="8706" spans="3:3" x14ac:dyDescent="0.25">
      <c r="C8706" s="1"/>
    </row>
    <row r="8707" spans="3:3" x14ac:dyDescent="0.25">
      <c r="C8707" s="1"/>
    </row>
    <row r="8708" spans="3:3" x14ac:dyDescent="0.25">
      <c r="C8708" s="1"/>
    </row>
    <row r="8709" spans="3:3" x14ac:dyDescent="0.25">
      <c r="C8709" s="1"/>
    </row>
    <row r="8710" spans="3:3" x14ac:dyDescent="0.25">
      <c r="C8710" s="1"/>
    </row>
    <row r="8711" spans="3:3" x14ac:dyDescent="0.25">
      <c r="C8711" s="1"/>
    </row>
    <row r="8712" spans="3:3" x14ac:dyDescent="0.25">
      <c r="C8712" s="1"/>
    </row>
    <row r="8713" spans="3:3" x14ac:dyDescent="0.25">
      <c r="C8713" s="1"/>
    </row>
    <row r="8714" spans="3:3" x14ac:dyDescent="0.25">
      <c r="C8714" s="1"/>
    </row>
    <row r="8715" spans="3:3" x14ac:dyDescent="0.25">
      <c r="C8715" s="1"/>
    </row>
    <row r="8716" spans="3:3" x14ac:dyDescent="0.25">
      <c r="C8716" s="1"/>
    </row>
    <row r="8717" spans="3:3" x14ac:dyDescent="0.25">
      <c r="C8717" s="1"/>
    </row>
    <row r="8718" spans="3:3" x14ac:dyDescent="0.25">
      <c r="C8718" s="1"/>
    </row>
    <row r="8719" spans="3:3" x14ac:dyDescent="0.25">
      <c r="C8719" s="1"/>
    </row>
    <row r="8720" spans="3:3" x14ac:dyDescent="0.25">
      <c r="C8720" s="1"/>
    </row>
    <row r="8721" spans="3:3" x14ac:dyDescent="0.25">
      <c r="C8721" s="1"/>
    </row>
    <row r="8722" spans="3:3" x14ac:dyDescent="0.25">
      <c r="C8722" s="1"/>
    </row>
    <row r="8723" spans="3:3" x14ac:dyDescent="0.25">
      <c r="C8723" s="1"/>
    </row>
    <row r="8724" spans="3:3" x14ac:dyDescent="0.25">
      <c r="C8724" s="1"/>
    </row>
    <row r="8725" spans="3:3" x14ac:dyDescent="0.25">
      <c r="C8725" s="1"/>
    </row>
    <row r="8726" spans="3:3" x14ac:dyDescent="0.25">
      <c r="C8726" s="1"/>
    </row>
    <row r="8727" spans="3:3" x14ac:dyDescent="0.25">
      <c r="C8727" s="1"/>
    </row>
    <row r="8728" spans="3:3" x14ac:dyDescent="0.25">
      <c r="C8728" s="1"/>
    </row>
    <row r="8729" spans="3:3" x14ac:dyDescent="0.25">
      <c r="C8729" s="1"/>
    </row>
    <row r="8730" spans="3:3" x14ac:dyDescent="0.25">
      <c r="C8730" s="1"/>
    </row>
    <row r="8731" spans="3:3" x14ac:dyDescent="0.25">
      <c r="C8731" s="1"/>
    </row>
    <row r="8732" spans="3:3" x14ac:dyDescent="0.25">
      <c r="C873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CB11-A77E-4798-A46E-891907C820F5}">
  <dimension ref="A1:D5484"/>
  <sheetViews>
    <sheetView workbookViewId="0">
      <selection activeCell="C2" sqref="C2:C5484"/>
    </sheetView>
  </sheetViews>
  <sheetFormatPr defaultRowHeight="15" x14ac:dyDescent="0.25"/>
  <cols>
    <col min="3" max="3" width="10.42578125" bestFit="1" customWidth="1"/>
  </cols>
  <sheetData>
    <row r="1" spans="1:4" x14ac:dyDescent="0.25">
      <c r="A1" t="s">
        <v>6</v>
      </c>
      <c r="B1" t="s">
        <v>8</v>
      </c>
      <c r="C1" t="s">
        <v>13</v>
      </c>
      <c r="D1" t="s">
        <v>2383</v>
      </c>
    </row>
    <row r="2" spans="1:4" x14ac:dyDescent="0.25">
      <c r="A2" t="s">
        <v>664</v>
      </c>
      <c r="B2" t="s">
        <v>1239</v>
      </c>
      <c r="C2" s="1">
        <v>46052.429166666669</v>
      </c>
      <c r="D2" t="s">
        <v>5146</v>
      </c>
    </row>
    <row r="3" spans="1:4" x14ac:dyDescent="0.25">
      <c r="A3" t="s">
        <v>624</v>
      </c>
      <c r="B3" t="s">
        <v>35</v>
      </c>
      <c r="C3" s="1">
        <v>46052.387499999997</v>
      </c>
      <c r="D3" t="s">
        <v>5146</v>
      </c>
    </row>
    <row r="4" spans="1:4" x14ac:dyDescent="0.25">
      <c r="A4" t="s">
        <v>2480</v>
      </c>
      <c r="B4" t="s">
        <v>38</v>
      </c>
      <c r="C4" s="1">
        <v>45954.484027777777</v>
      </c>
      <c r="D4" t="s">
        <v>5146</v>
      </c>
    </row>
    <row r="5" spans="1:4" x14ac:dyDescent="0.25">
      <c r="A5" t="s">
        <v>626</v>
      </c>
      <c r="B5" t="s">
        <v>30</v>
      </c>
      <c r="C5" s="1">
        <v>46052.390277777777</v>
      </c>
      <c r="D5" t="s">
        <v>5146</v>
      </c>
    </row>
    <row r="6" spans="1:4" x14ac:dyDescent="0.25">
      <c r="A6" t="s">
        <v>627</v>
      </c>
      <c r="B6" t="s">
        <v>30</v>
      </c>
      <c r="C6" s="1">
        <v>46052.392361111109</v>
      </c>
      <c r="D6" t="s">
        <v>5146</v>
      </c>
    </row>
    <row r="7" spans="1:4" x14ac:dyDescent="0.25">
      <c r="A7" t="s">
        <v>629</v>
      </c>
      <c r="B7" t="s">
        <v>30</v>
      </c>
      <c r="C7" s="1">
        <v>46052.393750000003</v>
      </c>
      <c r="D7" t="s">
        <v>5146</v>
      </c>
    </row>
    <row r="8" spans="1:4" x14ac:dyDescent="0.25">
      <c r="A8" t="s">
        <v>2481</v>
      </c>
      <c r="B8" t="s">
        <v>38</v>
      </c>
      <c r="C8" s="1">
        <v>45954.484027777777</v>
      </c>
      <c r="D8" t="s">
        <v>5146</v>
      </c>
    </row>
    <row r="9" spans="1:4" x14ac:dyDescent="0.25">
      <c r="A9" t="s">
        <v>2482</v>
      </c>
      <c r="B9" t="s">
        <v>38</v>
      </c>
      <c r="C9" s="1">
        <v>45929.572222222225</v>
      </c>
      <c r="D9" t="s">
        <v>5146</v>
      </c>
    </row>
    <row r="10" spans="1:4" x14ac:dyDescent="0.25">
      <c r="A10" t="s">
        <v>2483</v>
      </c>
      <c r="B10" t="s">
        <v>38</v>
      </c>
      <c r="C10" s="1">
        <v>45929.572222222225</v>
      </c>
      <c r="D10" t="s">
        <v>5146</v>
      </c>
    </row>
    <row r="11" spans="1:4" x14ac:dyDescent="0.25">
      <c r="A11" t="s">
        <v>2484</v>
      </c>
      <c r="B11" t="s">
        <v>38</v>
      </c>
      <c r="C11" s="1">
        <v>45929.572222222225</v>
      </c>
      <c r="D11" t="s">
        <v>5146</v>
      </c>
    </row>
    <row r="12" spans="1:4" x14ac:dyDescent="0.25">
      <c r="A12" t="s">
        <v>2485</v>
      </c>
      <c r="B12" t="s">
        <v>38</v>
      </c>
      <c r="C12" s="1">
        <v>45880.457638888889</v>
      </c>
      <c r="D12" t="s">
        <v>5146</v>
      </c>
    </row>
    <row r="13" spans="1:4" x14ac:dyDescent="0.25">
      <c r="A13" t="s">
        <v>2486</v>
      </c>
      <c r="B13" t="s">
        <v>38</v>
      </c>
      <c r="C13" s="1">
        <v>45929.572222222225</v>
      </c>
      <c r="D13" t="s">
        <v>5146</v>
      </c>
    </row>
    <row r="14" spans="1:4" x14ac:dyDescent="0.25">
      <c r="A14" t="s">
        <v>2487</v>
      </c>
      <c r="B14" t="s">
        <v>38</v>
      </c>
      <c r="C14" s="1">
        <v>45912.573611111111</v>
      </c>
      <c r="D14" t="s">
        <v>5146</v>
      </c>
    </row>
    <row r="15" spans="1:4" x14ac:dyDescent="0.25">
      <c r="A15" t="s">
        <v>2488</v>
      </c>
      <c r="B15" t="s">
        <v>39</v>
      </c>
      <c r="C15" s="1">
        <v>45979.646527777775</v>
      </c>
      <c r="D15" t="s">
        <v>5146</v>
      </c>
    </row>
    <row r="16" spans="1:4" x14ac:dyDescent="0.25">
      <c r="A16" t="s">
        <v>618</v>
      </c>
      <c r="B16" t="s">
        <v>1129</v>
      </c>
      <c r="C16" s="1">
        <v>46051.700694444444</v>
      </c>
      <c r="D16" t="s">
        <v>5146</v>
      </c>
    </row>
    <row r="17" spans="1:4" x14ac:dyDescent="0.25">
      <c r="A17" t="s">
        <v>621</v>
      </c>
      <c r="B17" t="s">
        <v>35</v>
      </c>
      <c r="C17" s="1">
        <v>46051.934027777781</v>
      </c>
      <c r="D17" t="s">
        <v>5146</v>
      </c>
    </row>
    <row r="18" spans="1:4" x14ac:dyDescent="0.25">
      <c r="A18" t="s">
        <v>2489</v>
      </c>
      <c r="B18" t="s">
        <v>38</v>
      </c>
      <c r="C18" s="1">
        <v>45912.573611111111</v>
      </c>
      <c r="D18" t="s">
        <v>5146</v>
      </c>
    </row>
    <row r="19" spans="1:4" x14ac:dyDescent="0.25">
      <c r="A19" t="s">
        <v>2490</v>
      </c>
      <c r="B19" t="s">
        <v>38</v>
      </c>
      <c r="C19" s="1">
        <v>45954.48333333333</v>
      </c>
      <c r="D19" t="s">
        <v>5146</v>
      </c>
    </row>
    <row r="20" spans="1:4" x14ac:dyDescent="0.25">
      <c r="A20" t="s">
        <v>601</v>
      </c>
      <c r="B20" t="s">
        <v>35</v>
      </c>
      <c r="C20" s="1">
        <v>46051.598611111112</v>
      </c>
      <c r="D20" t="s">
        <v>5146</v>
      </c>
    </row>
    <row r="21" spans="1:4" x14ac:dyDescent="0.25">
      <c r="A21" t="s">
        <v>602</v>
      </c>
      <c r="B21" t="s">
        <v>1129</v>
      </c>
      <c r="C21" s="1">
        <v>46051.665972222225</v>
      </c>
      <c r="D21" t="s">
        <v>5146</v>
      </c>
    </row>
    <row r="22" spans="1:4" x14ac:dyDescent="0.25">
      <c r="A22" t="s">
        <v>2491</v>
      </c>
      <c r="B22" t="s">
        <v>38</v>
      </c>
      <c r="C22" s="1">
        <v>45929.570833333331</v>
      </c>
      <c r="D22" t="s">
        <v>5146</v>
      </c>
    </row>
    <row r="23" spans="1:4" x14ac:dyDescent="0.25">
      <c r="A23" t="s">
        <v>2492</v>
      </c>
      <c r="B23" t="s">
        <v>38</v>
      </c>
      <c r="C23" s="1">
        <v>45912.572916666664</v>
      </c>
      <c r="D23" t="s">
        <v>5146</v>
      </c>
    </row>
    <row r="24" spans="1:4" x14ac:dyDescent="0.25">
      <c r="A24" t="s">
        <v>2493</v>
      </c>
      <c r="B24" t="s">
        <v>38</v>
      </c>
      <c r="C24" s="1">
        <v>45929.570833333331</v>
      </c>
      <c r="D24" t="s">
        <v>5146</v>
      </c>
    </row>
    <row r="25" spans="1:4" x14ac:dyDescent="0.25">
      <c r="A25" t="s">
        <v>2494</v>
      </c>
      <c r="B25" t="s">
        <v>39</v>
      </c>
      <c r="C25" s="1">
        <v>45826.527777777781</v>
      </c>
      <c r="D25" t="s">
        <v>5146</v>
      </c>
    </row>
    <row r="26" spans="1:4" x14ac:dyDescent="0.25">
      <c r="A26" t="s">
        <v>2495</v>
      </c>
      <c r="B26" t="s">
        <v>38</v>
      </c>
      <c r="C26" s="1">
        <v>45912.572222222225</v>
      </c>
      <c r="D26" t="s">
        <v>5146</v>
      </c>
    </row>
    <row r="27" spans="1:4" x14ac:dyDescent="0.25">
      <c r="A27" t="s">
        <v>2496</v>
      </c>
      <c r="B27" t="s">
        <v>38</v>
      </c>
      <c r="C27" s="1">
        <v>45929.570833333331</v>
      </c>
      <c r="D27" t="s">
        <v>5146</v>
      </c>
    </row>
    <row r="28" spans="1:4" x14ac:dyDescent="0.25">
      <c r="A28" t="s">
        <v>2497</v>
      </c>
      <c r="B28" t="s">
        <v>38</v>
      </c>
      <c r="C28" s="1">
        <v>45953.382638888892</v>
      </c>
      <c r="D28" t="s">
        <v>5146</v>
      </c>
    </row>
    <row r="29" spans="1:4" x14ac:dyDescent="0.25">
      <c r="A29" t="s">
        <v>2498</v>
      </c>
      <c r="B29" t="s">
        <v>38</v>
      </c>
      <c r="C29" s="1">
        <v>45929.570833333331</v>
      </c>
      <c r="D29" t="s">
        <v>5146</v>
      </c>
    </row>
    <row r="30" spans="1:4" x14ac:dyDescent="0.25">
      <c r="A30" t="s">
        <v>2499</v>
      </c>
      <c r="B30" t="s">
        <v>38</v>
      </c>
      <c r="C30" s="1">
        <v>45953.382638888892</v>
      </c>
      <c r="D30" t="s">
        <v>5146</v>
      </c>
    </row>
    <row r="31" spans="1:4" x14ac:dyDescent="0.25">
      <c r="A31" t="s">
        <v>610</v>
      </c>
      <c r="B31" t="s">
        <v>39</v>
      </c>
      <c r="C31" s="1">
        <v>46052.377083333333</v>
      </c>
      <c r="D31" t="s">
        <v>5146</v>
      </c>
    </row>
    <row r="32" spans="1:4" x14ac:dyDescent="0.25">
      <c r="A32" t="s">
        <v>611</v>
      </c>
      <c r="B32" t="s">
        <v>1129</v>
      </c>
      <c r="C32" s="1">
        <v>46052.364583333336</v>
      </c>
      <c r="D32" t="s">
        <v>5146</v>
      </c>
    </row>
    <row r="33" spans="1:4" x14ac:dyDescent="0.25">
      <c r="A33" t="s">
        <v>612</v>
      </c>
      <c r="B33" t="s">
        <v>1129</v>
      </c>
      <c r="C33" s="1">
        <v>46051.828472222223</v>
      </c>
      <c r="D33" t="s">
        <v>5146</v>
      </c>
    </row>
    <row r="34" spans="1:4" x14ac:dyDescent="0.25">
      <c r="A34" t="s">
        <v>613</v>
      </c>
      <c r="B34" t="s">
        <v>35</v>
      </c>
      <c r="C34" s="1">
        <v>46051.368750000001</v>
      </c>
      <c r="D34" t="s">
        <v>5146</v>
      </c>
    </row>
    <row r="35" spans="1:4" x14ac:dyDescent="0.25">
      <c r="A35" t="s">
        <v>2500</v>
      </c>
      <c r="B35" t="s">
        <v>38</v>
      </c>
      <c r="C35" s="1">
        <v>45929.570138888892</v>
      </c>
      <c r="D35" t="s">
        <v>5146</v>
      </c>
    </row>
    <row r="36" spans="1:4" x14ac:dyDescent="0.25">
      <c r="A36" t="s">
        <v>597</v>
      </c>
      <c r="B36" t="s">
        <v>35</v>
      </c>
      <c r="C36" s="1">
        <v>46050.548611111109</v>
      </c>
      <c r="D36" t="s">
        <v>5146</v>
      </c>
    </row>
    <row r="37" spans="1:4" x14ac:dyDescent="0.25">
      <c r="A37" t="s">
        <v>2501</v>
      </c>
      <c r="B37" t="s">
        <v>38</v>
      </c>
      <c r="C37" s="1">
        <v>45953.381944444445</v>
      </c>
      <c r="D37" t="s">
        <v>5146</v>
      </c>
    </row>
    <row r="38" spans="1:4" x14ac:dyDescent="0.25">
      <c r="A38" t="s">
        <v>2502</v>
      </c>
      <c r="B38" t="s">
        <v>39</v>
      </c>
      <c r="C38" s="1">
        <v>45792.588194444441</v>
      </c>
      <c r="D38" t="s">
        <v>5146</v>
      </c>
    </row>
    <row r="39" spans="1:4" x14ac:dyDescent="0.25">
      <c r="A39" t="s">
        <v>594</v>
      </c>
      <c r="B39" t="s">
        <v>38</v>
      </c>
      <c r="C39" s="1">
        <v>46050.458333333336</v>
      </c>
      <c r="D39" t="s">
        <v>5146</v>
      </c>
    </row>
    <row r="40" spans="1:4" x14ac:dyDescent="0.25">
      <c r="A40" t="s">
        <v>2503</v>
      </c>
      <c r="B40" t="s">
        <v>38</v>
      </c>
      <c r="C40" s="1">
        <v>45953.381944444445</v>
      </c>
      <c r="D40" t="s">
        <v>5146</v>
      </c>
    </row>
    <row r="41" spans="1:4" x14ac:dyDescent="0.25">
      <c r="A41" t="s">
        <v>2504</v>
      </c>
      <c r="B41" t="s">
        <v>38</v>
      </c>
      <c r="C41" s="1">
        <v>45845.741666666669</v>
      </c>
      <c r="D41" t="s">
        <v>5146</v>
      </c>
    </row>
    <row r="42" spans="1:4" x14ac:dyDescent="0.25">
      <c r="A42" t="s">
        <v>2505</v>
      </c>
      <c r="B42" t="s">
        <v>38</v>
      </c>
      <c r="C42" s="1">
        <v>45929.570138888892</v>
      </c>
      <c r="D42" t="s">
        <v>5146</v>
      </c>
    </row>
    <row r="43" spans="1:4" x14ac:dyDescent="0.25">
      <c r="A43" t="s">
        <v>2506</v>
      </c>
      <c r="B43" t="s">
        <v>38</v>
      </c>
      <c r="C43" s="1">
        <v>45912.572222222225</v>
      </c>
      <c r="D43" t="s">
        <v>5146</v>
      </c>
    </row>
    <row r="44" spans="1:4" x14ac:dyDescent="0.25">
      <c r="A44" t="s">
        <v>2507</v>
      </c>
      <c r="B44" t="s">
        <v>38</v>
      </c>
      <c r="C44" s="1">
        <v>45929.570138888892</v>
      </c>
      <c r="D44" t="s">
        <v>5146</v>
      </c>
    </row>
    <row r="45" spans="1:4" x14ac:dyDescent="0.25">
      <c r="A45" t="s">
        <v>2508</v>
      </c>
      <c r="B45" t="s">
        <v>38</v>
      </c>
      <c r="C45" s="1">
        <v>45912.572222222225</v>
      </c>
      <c r="D45" t="s">
        <v>5146</v>
      </c>
    </row>
    <row r="46" spans="1:4" x14ac:dyDescent="0.25">
      <c r="A46" t="s">
        <v>2509</v>
      </c>
      <c r="B46" t="s">
        <v>38</v>
      </c>
      <c r="C46" s="1">
        <v>45929.570138888892</v>
      </c>
      <c r="D46" t="s">
        <v>5146</v>
      </c>
    </row>
    <row r="47" spans="1:4" x14ac:dyDescent="0.25">
      <c r="A47" t="s">
        <v>2510</v>
      </c>
      <c r="B47" t="s">
        <v>38</v>
      </c>
      <c r="C47" s="1">
        <v>45912.571527777778</v>
      </c>
      <c r="D47" t="s">
        <v>5146</v>
      </c>
    </row>
    <row r="48" spans="1:4" x14ac:dyDescent="0.25">
      <c r="A48" t="s">
        <v>2511</v>
      </c>
      <c r="B48" t="s">
        <v>38</v>
      </c>
      <c r="C48" s="1">
        <v>45912.571527777778</v>
      </c>
      <c r="D48" t="s">
        <v>5146</v>
      </c>
    </row>
    <row r="49" spans="1:4" x14ac:dyDescent="0.25">
      <c r="A49" t="s">
        <v>2512</v>
      </c>
      <c r="B49" t="s">
        <v>38</v>
      </c>
      <c r="C49" s="1">
        <v>45929.569444444445</v>
      </c>
      <c r="D49" t="s">
        <v>5146</v>
      </c>
    </row>
    <row r="50" spans="1:4" x14ac:dyDescent="0.25">
      <c r="A50" t="s">
        <v>2513</v>
      </c>
      <c r="B50" t="s">
        <v>38</v>
      </c>
      <c r="C50" s="1">
        <v>45912.571527777778</v>
      </c>
      <c r="D50" t="s">
        <v>5146</v>
      </c>
    </row>
    <row r="51" spans="1:4" x14ac:dyDescent="0.25">
      <c r="A51" t="s">
        <v>572</v>
      </c>
      <c r="B51" t="s">
        <v>38</v>
      </c>
      <c r="C51" s="1">
        <v>46050.546527777777</v>
      </c>
      <c r="D51" t="s">
        <v>5146</v>
      </c>
    </row>
    <row r="52" spans="1:4" x14ac:dyDescent="0.25">
      <c r="A52" t="s">
        <v>2514</v>
      </c>
      <c r="B52" t="s">
        <v>38</v>
      </c>
      <c r="C52" s="1">
        <v>45929.568749999999</v>
      </c>
      <c r="D52" t="s">
        <v>5146</v>
      </c>
    </row>
    <row r="53" spans="1:4" x14ac:dyDescent="0.25">
      <c r="A53" t="s">
        <v>573</v>
      </c>
      <c r="B53" t="s">
        <v>1129</v>
      </c>
      <c r="C53" s="1">
        <v>46051.75277777778</v>
      </c>
      <c r="D53" t="s">
        <v>5146</v>
      </c>
    </row>
    <row r="54" spans="1:4" x14ac:dyDescent="0.25">
      <c r="A54" t="s">
        <v>2515</v>
      </c>
      <c r="B54" t="s">
        <v>38</v>
      </c>
      <c r="C54" s="1">
        <v>45912.570833333331</v>
      </c>
      <c r="D54" t="s">
        <v>5146</v>
      </c>
    </row>
    <row r="55" spans="1:4" x14ac:dyDescent="0.25">
      <c r="A55" t="s">
        <v>2516</v>
      </c>
      <c r="B55" t="s">
        <v>38</v>
      </c>
      <c r="C55" s="1">
        <v>45912.56527777778</v>
      </c>
      <c r="D55" t="s">
        <v>5146</v>
      </c>
    </row>
    <row r="56" spans="1:4" x14ac:dyDescent="0.25">
      <c r="A56" t="s">
        <v>2517</v>
      </c>
      <c r="B56" t="s">
        <v>38</v>
      </c>
      <c r="C56" s="1">
        <v>45912.56527777778</v>
      </c>
      <c r="D56" t="s">
        <v>5146</v>
      </c>
    </row>
    <row r="57" spans="1:4" x14ac:dyDescent="0.25">
      <c r="A57" t="s">
        <v>579</v>
      </c>
      <c r="B57" t="s">
        <v>39</v>
      </c>
      <c r="C57" s="1">
        <v>46052.428472222222</v>
      </c>
      <c r="D57" t="s">
        <v>5146</v>
      </c>
    </row>
    <row r="58" spans="1:4" x14ac:dyDescent="0.25">
      <c r="A58" t="s">
        <v>580</v>
      </c>
      <c r="B58" t="s">
        <v>38</v>
      </c>
      <c r="C58" s="1">
        <v>46051.504861111112</v>
      </c>
      <c r="D58" t="s">
        <v>5146</v>
      </c>
    </row>
    <row r="59" spans="1:4" x14ac:dyDescent="0.25">
      <c r="A59" t="s">
        <v>2518</v>
      </c>
      <c r="B59" t="s">
        <v>39</v>
      </c>
      <c r="C59" s="1">
        <v>45869.716666666667</v>
      </c>
      <c r="D59" t="s">
        <v>5146</v>
      </c>
    </row>
    <row r="60" spans="1:4" x14ac:dyDescent="0.25">
      <c r="A60" t="s">
        <v>2519</v>
      </c>
      <c r="B60" t="s">
        <v>38</v>
      </c>
      <c r="C60" s="1">
        <v>45929.568749999999</v>
      </c>
      <c r="D60" t="s">
        <v>5146</v>
      </c>
    </row>
    <row r="61" spans="1:4" x14ac:dyDescent="0.25">
      <c r="A61" t="s">
        <v>2520</v>
      </c>
      <c r="B61" t="s">
        <v>38</v>
      </c>
      <c r="C61" s="1">
        <v>45912.564583333333</v>
      </c>
      <c r="D61" t="s">
        <v>5146</v>
      </c>
    </row>
    <row r="62" spans="1:4" x14ac:dyDescent="0.25">
      <c r="A62" t="s">
        <v>2521</v>
      </c>
      <c r="B62" t="s">
        <v>38</v>
      </c>
      <c r="C62" s="1">
        <v>45929.568055555559</v>
      </c>
      <c r="D62" t="s">
        <v>5146</v>
      </c>
    </row>
    <row r="63" spans="1:4" x14ac:dyDescent="0.25">
      <c r="A63" t="s">
        <v>556</v>
      </c>
      <c r="B63" t="s">
        <v>38</v>
      </c>
      <c r="C63" s="1">
        <v>46049.698611111111</v>
      </c>
      <c r="D63" t="s">
        <v>5146</v>
      </c>
    </row>
    <row r="64" spans="1:4" x14ac:dyDescent="0.25">
      <c r="A64" t="s">
        <v>2522</v>
      </c>
      <c r="B64" t="s">
        <v>38</v>
      </c>
      <c r="C64" s="1">
        <v>45912.564583333333</v>
      </c>
      <c r="D64" t="s">
        <v>5146</v>
      </c>
    </row>
    <row r="65" spans="1:4" x14ac:dyDescent="0.25">
      <c r="A65" t="s">
        <v>2523</v>
      </c>
      <c r="B65" t="s">
        <v>38</v>
      </c>
      <c r="C65" s="1">
        <v>45912.563888888886</v>
      </c>
      <c r="D65" t="s">
        <v>5146</v>
      </c>
    </row>
    <row r="66" spans="1:4" x14ac:dyDescent="0.25">
      <c r="A66" t="s">
        <v>2524</v>
      </c>
      <c r="B66" t="s">
        <v>38</v>
      </c>
      <c r="C66" s="1">
        <v>45912.563888888886</v>
      </c>
      <c r="D66" t="s">
        <v>5146</v>
      </c>
    </row>
    <row r="67" spans="1:4" x14ac:dyDescent="0.25">
      <c r="A67" t="s">
        <v>2525</v>
      </c>
      <c r="B67" t="s">
        <v>38</v>
      </c>
      <c r="C67" s="1">
        <v>45912.563888888886</v>
      </c>
      <c r="D67" t="s">
        <v>5146</v>
      </c>
    </row>
    <row r="68" spans="1:4" x14ac:dyDescent="0.25">
      <c r="A68" t="s">
        <v>2526</v>
      </c>
      <c r="B68" t="s">
        <v>38</v>
      </c>
      <c r="C68" s="1">
        <v>45929.568055555559</v>
      </c>
      <c r="D68" t="s">
        <v>5146</v>
      </c>
    </row>
    <row r="69" spans="1:4" x14ac:dyDescent="0.25">
      <c r="A69" t="s">
        <v>2527</v>
      </c>
      <c r="B69" t="s">
        <v>38</v>
      </c>
      <c r="C69" s="1">
        <v>45929.568055555559</v>
      </c>
      <c r="D69" t="s">
        <v>5146</v>
      </c>
    </row>
    <row r="70" spans="1:4" x14ac:dyDescent="0.25">
      <c r="A70" t="s">
        <v>2528</v>
      </c>
      <c r="B70" t="s">
        <v>38</v>
      </c>
      <c r="C70" s="1">
        <v>45929.568055555559</v>
      </c>
      <c r="D70" t="s">
        <v>5146</v>
      </c>
    </row>
    <row r="71" spans="1:4" x14ac:dyDescent="0.25">
      <c r="A71" t="s">
        <v>2529</v>
      </c>
      <c r="B71" t="s">
        <v>38</v>
      </c>
      <c r="C71" s="1">
        <v>45912.563194444447</v>
      </c>
      <c r="D71" t="s">
        <v>5146</v>
      </c>
    </row>
    <row r="72" spans="1:4" x14ac:dyDescent="0.25">
      <c r="A72" t="s">
        <v>2530</v>
      </c>
      <c r="B72" t="s">
        <v>38</v>
      </c>
      <c r="C72" s="1">
        <v>45912.563194444447</v>
      </c>
      <c r="D72" t="s">
        <v>5146</v>
      </c>
    </row>
    <row r="73" spans="1:4" x14ac:dyDescent="0.25">
      <c r="A73" t="s">
        <v>554</v>
      </c>
      <c r="B73" t="s">
        <v>38</v>
      </c>
      <c r="C73" s="1">
        <v>46049.569444444445</v>
      </c>
      <c r="D73" t="s">
        <v>5146</v>
      </c>
    </row>
    <row r="74" spans="1:4" x14ac:dyDescent="0.25">
      <c r="A74" t="s">
        <v>532</v>
      </c>
      <c r="B74" t="s">
        <v>38</v>
      </c>
      <c r="C74" s="1">
        <v>46046.611805555556</v>
      </c>
      <c r="D74" t="s">
        <v>5146</v>
      </c>
    </row>
    <row r="75" spans="1:4" x14ac:dyDescent="0.25">
      <c r="A75" t="s">
        <v>533</v>
      </c>
      <c r="B75" t="s">
        <v>38</v>
      </c>
      <c r="C75" s="1">
        <v>46046.622916666667</v>
      </c>
      <c r="D75" t="s">
        <v>5146</v>
      </c>
    </row>
    <row r="76" spans="1:4" x14ac:dyDescent="0.25">
      <c r="A76" t="s">
        <v>534</v>
      </c>
      <c r="B76" t="s">
        <v>38</v>
      </c>
      <c r="C76" s="1">
        <v>46049.486111111109</v>
      </c>
      <c r="D76" t="s">
        <v>5146</v>
      </c>
    </row>
    <row r="77" spans="1:4" x14ac:dyDescent="0.25">
      <c r="A77" t="s">
        <v>538</v>
      </c>
      <c r="B77" t="s">
        <v>38</v>
      </c>
      <c r="C77" s="1">
        <v>46051.693055555559</v>
      </c>
      <c r="D77" t="s">
        <v>5146</v>
      </c>
    </row>
    <row r="78" spans="1:4" x14ac:dyDescent="0.25">
      <c r="A78" t="s">
        <v>541</v>
      </c>
      <c r="B78" t="s">
        <v>38</v>
      </c>
      <c r="C78" s="1">
        <v>46044.532638888886</v>
      </c>
      <c r="D78" t="s">
        <v>5146</v>
      </c>
    </row>
    <row r="79" spans="1:4" x14ac:dyDescent="0.25">
      <c r="A79" t="s">
        <v>2531</v>
      </c>
      <c r="B79" t="s">
        <v>38</v>
      </c>
      <c r="C79" s="1">
        <v>45912.5625</v>
      </c>
      <c r="D79" t="s">
        <v>5146</v>
      </c>
    </row>
    <row r="80" spans="1:4" x14ac:dyDescent="0.25">
      <c r="A80" t="s">
        <v>2532</v>
      </c>
      <c r="B80" t="s">
        <v>38</v>
      </c>
      <c r="C80" s="1">
        <v>45912.5625</v>
      </c>
      <c r="D80" t="s">
        <v>5146</v>
      </c>
    </row>
    <row r="81" spans="1:4" x14ac:dyDescent="0.25">
      <c r="A81" t="s">
        <v>2533</v>
      </c>
      <c r="B81" t="s">
        <v>38</v>
      </c>
      <c r="C81" s="1">
        <v>45912.5625</v>
      </c>
      <c r="D81" t="s">
        <v>5146</v>
      </c>
    </row>
    <row r="82" spans="1:4" x14ac:dyDescent="0.25">
      <c r="A82" t="s">
        <v>2534</v>
      </c>
      <c r="B82" t="s">
        <v>38</v>
      </c>
      <c r="C82" s="1">
        <v>45929.567361111112</v>
      </c>
      <c r="D82" t="s">
        <v>5146</v>
      </c>
    </row>
    <row r="83" spans="1:4" x14ac:dyDescent="0.25">
      <c r="A83" t="s">
        <v>2535</v>
      </c>
      <c r="B83" t="s">
        <v>38</v>
      </c>
      <c r="C83" s="1">
        <v>45929.566666666666</v>
      </c>
      <c r="D83" t="s">
        <v>5146</v>
      </c>
    </row>
    <row r="84" spans="1:4" x14ac:dyDescent="0.25">
      <c r="A84" t="s">
        <v>2536</v>
      </c>
      <c r="B84" t="s">
        <v>38</v>
      </c>
      <c r="C84" s="1">
        <v>45929.566666666666</v>
      </c>
      <c r="D84" t="s">
        <v>5146</v>
      </c>
    </row>
    <row r="85" spans="1:4" x14ac:dyDescent="0.25">
      <c r="A85" t="s">
        <v>2537</v>
      </c>
      <c r="B85" t="s">
        <v>39</v>
      </c>
      <c r="C85" s="1">
        <v>45846.454861111109</v>
      </c>
      <c r="D85" t="s">
        <v>5146</v>
      </c>
    </row>
    <row r="86" spans="1:4" x14ac:dyDescent="0.25">
      <c r="A86" t="s">
        <v>2538</v>
      </c>
      <c r="B86" t="s">
        <v>38</v>
      </c>
      <c r="C86" s="1">
        <v>45929.566666666666</v>
      </c>
      <c r="D86" t="s">
        <v>5146</v>
      </c>
    </row>
    <row r="87" spans="1:4" x14ac:dyDescent="0.25">
      <c r="A87" t="s">
        <v>515</v>
      </c>
      <c r="B87" t="s">
        <v>39</v>
      </c>
      <c r="C87" s="1">
        <v>46049.509027777778</v>
      </c>
      <c r="D87" t="s">
        <v>5146</v>
      </c>
    </row>
    <row r="88" spans="1:4" x14ac:dyDescent="0.25">
      <c r="A88" t="s">
        <v>2539</v>
      </c>
      <c r="B88" t="s">
        <v>39</v>
      </c>
      <c r="C88" s="1">
        <v>45839.649305555555</v>
      </c>
      <c r="D88" t="s">
        <v>5146</v>
      </c>
    </row>
    <row r="89" spans="1:4" x14ac:dyDescent="0.25">
      <c r="A89" t="s">
        <v>2540</v>
      </c>
      <c r="B89" t="s">
        <v>38</v>
      </c>
      <c r="C89" s="1">
        <v>45912.561805555553</v>
      </c>
      <c r="D89" t="s">
        <v>5146</v>
      </c>
    </row>
    <row r="90" spans="1:4" x14ac:dyDescent="0.25">
      <c r="A90" t="s">
        <v>2541</v>
      </c>
      <c r="B90" t="s">
        <v>38</v>
      </c>
      <c r="C90" s="1">
        <v>45855.463888888888</v>
      </c>
      <c r="D90" t="s">
        <v>5146</v>
      </c>
    </row>
    <row r="91" spans="1:4" x14ac:dyDescent="0.25">
      <c r="A91" t="s">
        <v>2542</v>
      </c>
      <c r="B91" t="s">
        <v>38</v>
      </c>
      <c r="C91" s="1">
        <v>45929.566666666666</v>
      </c>
      <c r="D91" t="s">
        <v>5146</v>
      </c>
    </row>
    <row r="92" spans="1:4" x14ac:dyDescent="0.25">
      <c r="A92" t="s">
        <v>2543</v>
      </c>
      <c r="B92" t="s">
        <v>38</v>
      </c>
      <c r="C92" s="1">
        <v>45855.463888888888</v>
      </c>
      <c r="D92" t="s">
        <v>5146</v>
      </c>
    </row>
    <row r="93" spans="1:4" x14ac:dyDescent="0.25">
      <c r="A93" t="s">
        <v>522</v>
      </c>
      <c r="B93" t="s">
        <v>1129</v>
      </c>
      <c r="C93" s="1">
        <v>46046.710416666669</v>
      </c>
      <c r="D93" t="s">
        <v>5146</v>
      </c>
    </row>
    <row r="94" spans="1:4" x14ac:dyDescent="0.25">
      <c r="A94" t="s">
        <v>2544</v>
      </c>
      <c r="B94" t="s">
        <v>38</v>
      </c>
      <c r="C94" s="1">
        <v>45939.872916666667</v>
      </c>
      <c r="D94" t="s">
        <v>5146</v>
      </c>
    </row>
    <row r="95" spans="1:4" x14ac:dyDescent="0.25">
      <c r="A95" t="s">
        <v>2545</v>
      </c>
      <c r="B95" t="s">
        <v>38</v>
      </c>
      <c r="C95" s="1">
        <v>45912.561111111114</v>
      </c>
      <c r="D95" t="s">
        <v>5146</v>
      </c>
    </row>
    <row r="96" spans="1:4" x14ac:dyDescent="0.25">
      <c r="A96" t="s">
        <v>2546</v>
      </c>
      <c r="B96" t="s">
        <v>38</v>
      </c>
      <c r="C96" s="1">
        <v>45855.453472222223</v>
      </c>
      <c r="D96" t="s">
        <v>5146</v>
      </c>
    </row>
    <row r="97" spans="1:4" x14ac:dyDescent="0.25">
      <c r="A97" t="s">
        <v>2547</v>
      </c>
      <c r="B97" t="s">
        <v>38</v>
      </c>
      <c r="C97" s="1">
        <v>45912.561111111114</v>
      </c>
      <c r="D97" t="s">
        <v>5146</v>
      </c>
    </row>
    <row r="98" spans="1:4" x14ac:dyDescent="0.25">
      <c r="A98" t="s">
        <v>496</v>
      </c>
      <c r="B98" t="s">
        <v>38</v>
      </c>
      <c r="C98" s="1">
        <v>46044.525000000001</v>
      </c>
      <c r="D98" t="s">
        <v>5146</v>
      </c>
    </row>
    <row r="99" spans="1:4" x14ac:dyDescent="0.25">
      <c r="A99" t="s">
        <v>502</v>
      </c>
      <c r="B99" t="s">
        <v>39</v>
      </c>
      <c r="C99" s="1">
        <v>46049.510416666664</v>
      </c>
      <c r="D99" t="s">
        <v>5146</v>
      </c>
    </row>
    <row r="100" spans="1:4" x14ac:dyDescent="0.25">
      <c r="A100" t="s">
        <v>2548</v>
      </c>
      <c r="B100" t="s">
        <v>38</v>
      </c>
      <c r="C100" s="1">
        <v>45912.551388888889</v>
      </c>
      <c r="D100" t="s">
        <v>5146</v>
      </c>
    </row>
    <row r="101" spans="1:4" x14ac:dyDescent="0.25">
      <c r="A101" t="s">
        <v>2549</v>
      </c>
      <c r="B101" t="s">
        <v>38</v>
      </c>
      <c r="C101" s="1">
        <v>45912.550694444442</v>
      </c>
      <c r="D101" t="s">
        <v>5146</v>
      </c>
    </row>
    <row r="102" spans="1:4" x14ac:dyDescent="0.25">
      <c r="A102" t="s">
        <v>509</v>
      </c>
      <c r="B102" t="s">
        <v>38</v>
      </c>
      <c r="C102" s="1">
        <v>46042.431944444441</v>
      </c>
      <c r="D102" t="s">
        <v>5146</v>
      </c>
    </row>
    <row r="103" spans="1:4" x14ac:dyDescent="0.25">
      <c r="A103" t="s">
        <v>2550</v>
      </c>
      <c r="B103" t="s">
        <v>38</v>
      </c>
      <c r="C103" s="1">
        <v>45912.550694444442</v>
      </c>
      <c r="D103" t="s">
        <v>5146</v>
      </c>
    </row>
    <row r="104" spans="1:4" x14ac:dyDescent="0.25">
      <c r="A104" t="s">
        <v>471</v>
      </c>
      <c r="B104" t="s">
        <v>39</v>
      </c>
      <c r="C104" s="1">
        <v>46049.511111111111</v>
      </c>
      <c r="D104" t="s">
        <v>5146</v>
      </c>
    </row>
    <row r="105" spans="1:4" x14ac:dyDescent="0.25">
      <c r="A105" t="s">
        <v>488</v>
      </c>
      <c r="B105" t="s">
        <v>38</v>
      </c>
      <c r="C105" s="1">
        <v>46043.660416666666</v>
      </c>
      <c r="D105" t="s">
        <v>5146</v>
      </c>
    </row>
    <row r="106" spans="1:4" x14ac:dyDescent="0.25">
      <c r="A106" t="s">
        <v>2551</v>
      </c>
      <c r="B106" t="s">
        <v>38</v>
      </c>
      <c r="C106" s="1">
        <v>45953.381249999999</v>
      </c>
      <c r="D106" t="s">
        <v>5146</v>
      </c>
    </row>
    <row r="107" spans="1:4" x14ac:dyDescent="0.25">
      <c r="A107" t="s">
        <v>474</v>
      </c>
      <c r="B107" t="s">
        <v>38</v>
      </c>
      <c r="C107" s="1">
        <v>46042.57708333333</v>
      </c>
      <c r="D107" t="s">
        <v>5146</v>
      </c>
    </row>
    <row r="108" spans="1:4" x14ac:dyDescent="0.25">
      <c r="A108" t="s">
        <v>476</v>
      </c>
      <c r="B108" t="s">
        <v>39</v>
      </c>
      <c r="C108" s="1">
        <v>46041.443749999999</v>
      </c>
      <c r="D108" t="s">
        <v>5146</v>
      </c>
    </row>
    <row r="109" spans="1:4" x14ac:dyDescent="0.25">
      <c r="A109" t="s">
        <v>2552</v>
      </c>
      <c r="B109" t="s">
        <v>38</v>
      </c>
      <c r="C109" s="1">
        <v>45953.381249999999</v>
      </c>
      <c r="D109" t="s">
        <v>5146</v>
      </c>
    </row>
    <row r="110" spans="1:4" x14ac:dyDescent="0.25">
      <c r="A110" t="s">
        <v>483</v>
      </c>
      <c r="B110" t="s">
        <v>38</v>
      </c>
      <c r="C110" s="1">
        <v>46042.570833333331</v>
      </c>
      <c r="D110" t="s">
        <v>5146</v>
      </c>
    </row>
    <row r="111" spans="1:4" x14ac:dyDescent="0.25">
      <c r="A111" t="s">
        <v>2553</v>
      </c>
      <c r="B111" t="s">
        <v>38</v>
      </c>
      <c r="C111" s="1">
        <v>45912.549305555556</v>
      </c>
      <c r="D111" t="s">
        <v>5146</v>
      </c>
    </row>
    <row r="112" spans="1:4" x14ac:dyDescent="0.25">
      <c r="A112" t="s">
        <v>2554</v>
      </c>
      <c r="B112" t="s">
        <v>38</v>
      </c>
      <c r="C112" s="1">
        <v>45912.549305555556</v>
      </c>
      <c r="D112" t="s">
        <v>5146</v>
      </c>
    </row>
    <row r="113" spans="1:4" x14ac:dyDescent="0.25">
      <c r="A113" t="s">
        <v>469</v>
      </c>
      <c r="B113" t="s">
        <v>38</v>
      </c>
      <c r="C113" s="1">
        <v>46043.520833333336</v>
      </c>
      <c r="D113" t="s">
        <v>5146</v>
      </c>
    </row>
    <row r="114" spans="1:4" x14ac:dyDescent="0.25">
      <c r="A114" t="s">
        <v>466</v>
      </c>
      <c r="B114" t="s">
        <v>38</v>
      </c>
      <c r="C114" s="1">
        <v>46042.542361111111</v>
      </c>
      <c r="D114" t="s">
        <v>5146</v>
      </c>
    </row>
    <row r="115" spans="1:4" x14ac:dyDescent="0.25">
      <c r="A115" t="s">
        <v>2555</v>
      </c>
      <c r="B115" t="s">
        <v>38</v>
      </c>
      <c r="C115" s="1">
        <v>45855.463194444441</v>
      </c>
      <c r="D115" t="s">
        <v>5146</v>
      </c>
    </row>
    <row r="116" spans="1:4" x14ac:dyDescent="0.25">
      <c r="A116" t="s">
        <v>2556</v>
      </c>
      <c r="B116" t="s">
        <v>39</v>
      </c>
      <c r="C116" s="1">
        <v>45922.421527777777</v>
      </c>
      <c r="D116" t="s">
        <v>5146</v>
      </c>
    </row>
    <row r="117" spans="1:4" x14ac:dyDescent="0.25">
      <c r="A117" t="s">
        <v>2557</v>
      </c>
      <c r="B117" t="s">
        <v>38</v>
      </c>
      <c r="C117" s="1">
        <v>45979.646527777775</v>
      </c>
      <c r="D117" t="s">
        <v>5146</v>
      </c>
    </row>
    <row r="118" spans="1:4" x14ac:dyDescent="0.25">
      <c r="A118" t="s">
        <v>2558</v>
      </c>
      <c r="B118" t="s">
        <v>38</v>
      </c>
      <c r="C118" s="1">
        <v>45912.548611111109</v>
      </c>
      <c r="D118" t="s">
        <v>5146</v>
      </c>
    </row>
    <row r="119" spans="1:4" x14ac:dyDescent="0.25">
      <c r="A119" t="s">
        <v>2559</v>
      </c>
      <c r="B119" t="s">
        <v>38</v>
      </c>
      <c r="C119" s="1">
        <v>45912.548611111109</v>
      </c>
      <c r="D119" t="s">
        <v>5146</v>
      </c>
    </row>
    <row r="120" spans="1:4" x14ac:dyDescent="0.25">
      <c r="A120" t="s">
        <v>2560</v>
      </c>
      <c r="B120" t="s">
        <v>38</v>
      </c>
      <c r="C120" s="1">
        <v>45834.643750000003</v>
      </c>
      <c r="D120" t="s">
        <v>5146</v>
      </c>
    </row>
    <row r="121" spans="1:4" x14ac:dyDescent="0.25">
      <c r="A121" t="s">
        <v>461</v>
      </c>
      <c r="B121" t="s">
        <v>39</v>
      </c>
      <c r="C121" s="1">
        <v>46050.427777777775</v>
      </c>
      <c r="D121" t="s">
        <v>5146</v>
      </c>
    </row>
    <row r="122" spans="1:4" x14ac:dyDescent="0.25">
      <c r="A122" t="s">
        <v>463</v>
      </c>
      <c r="B122" t="s">
        <v>38</v>
      </c>
      <c r="C122" s="1">
        <v>46043.510416666664</v>
      </c>
      <c r="D122" t="s">
        <v>5146</v>
      </c>
    </row>
    <row r="123" spans="1:4" x14ac:dyDescent="0.25">
      <c r="A123" t="s">
        <v>2561</v>
      </c>
      <c r="B123" t="s">
        <v>38</v>
      </c>
      <c r="C123" s="1">
        <v>45855.463194444441</v>
      </c>
      <c r="D123" t="s">
        <v>5146</v>
      </c>
    </row>
    <row r="124" spans="1:4" x14ac:dyDescent="0.25">
      <c r="A124" t="s">
        <v>2562</v>
      </c>
      <c r="B124" t="s">
        <v>38</v>
      </c>
      <c r="C124" s="1">
        <v>45912.548611111109</v>
      </c>
      <c r="D124" t="s">
        <v>5146</v>
      </c>
    </row>
    <row r="125" spans="1:4" x14ac:dyDescent="0.25">
      <c r="A125" t="s">
        <v>2563</v>
      </c>
      <c r="B125" t="s">
        <v>38</v>
      </c>
      <c r="C125" s="1">
        <v>45912.54791666667</v>
      </c>
      <c r="D125" t="s">
        <v>5146</v>
      </c>
    </row>
    <row r="126" spans="1:4" x14ac:dyDescent="0.25">
      <c r="A126" t="s">
        <v>456</v>
      </c>
      <c r="B126" t="s">
        <v>39</v>
      </c>
      <c r="C126" s="1">
        <v>46049.484722222223</v>
      </c>
      <c r="D126" t="s">
        <v>5146</v>
      </c>
    </row>
    <row r="127" spans="1:4" x14ac:dyDescent="0.25">
      <c r="A127" t="s">
        <v>457</v>
      </c>
      <c r="B127" t="s">
        <v>38</v>
      </c>
      <c r="C127" s="1">
        <v>46039.686805555553</v>
      </c>
      <c r="D127" t="s">
        <v>5146</v>
      </c>
    </row>
    <row r="128" spans="1:4" x14ac:dyDescent="0.25">
      <c r="A128" t="s">
        <v>2564</v>
      </c>
      <c r="B128" t="s">
        <v>38</v>
      </c>
      <c r="C128" s="1">
        <v>45912.54791666667</v>
      </c>
      <c r="D128" t="s">
        <v>5146</v>
      </c>
    </row>
    <row r="129" spans="1:4" x14ac:dyDescent="0.25">
      <c r="A129" t="s">
        <v>2565</v>
      </c>
      <c r="B129" t="s">
        <v>38</v>
      </c>
      <c r="C129" s="1">
        <v>45912.54791666667</v>
      </c>
      <c r="D129" t="s">
        <v>5146</v>
      </c>
    </row>
    <row r="130" spans="1:4" x14ac:dyDescent="0.25">
      <c r="A130" t="s">
        <v>2566</v>
      </c>
      <c r="B130" t="s">
        <v>38</v>
      </c>
      <c r="C130" s="1">
        <v>45912.547222222223</v>
      </c>
      <c r="D130" t="s">
        <v>5146</v>
      </c>
    </row>
    <row r="131" spans="1:4" x14ac:dyDescent="0.25">
      <c r="A131" t="s">
        <v>2567</v>
      </c>
      <c r="B131" t="s">
        <v>38</v>
      </c>
      <c r="C131" s="1">
        <v>45855.462500000001</v>
      </c>
      <c r="D131" t="s">
        <v>5146</v>
      </c>
    </row>
    <row r="132" spans="1:4" x14ac:dyDescent="0.25">
      <c r="A132" t="s">
        <v>2568</v>
      </c>
      <c r="B132" t="s">
        <v>38</v>
      </c>
      <c r="C132" s="1">
        <v>45912.547222222223</v>
      </c>
      <c r="D132" t="s">
        <v>5146</v>
      </c>
    </row>
    <row r="133" spans="1:4" x14ac:dyDescent="0.25">
      <c r="A133" t="s">
        <v>2569</v>
      </c>
      <c r="B133" t="s">
        <v>38</v>
      </c>
      <c r="C133" s="1">
        <v>45912.463194444441</v>
      </c>
      <c r="D133" t="s">
        <v>5146</v>
      </c>
    </row>
    <row r="134" spans="1:4" x14ac:dyDescent="0.25">
      <c r="A134" t="s">
        <v>2570</v>
      </c>
      <c r="B134" t="s">
        <v>38</v>
      </c>
      <c r="C134" s="1">
        <v>45953.379861111112</v>
      </c>
      <c r="D134" t="s">
        <v>5146</v>
      </c>
    </row>
    <row r="135" spans="1:4" x14ac:dyDescent="0.25">
      <c r="A135" t="s">
        <v>2571</v>
      </c>
      <c r="B135" t="s">
        <v>38</v>
      </c>
      <c r="C135" s="1">
        <v>45979.645833333336</v>
      </c>
      <c r="D135" t="s">
        <v>5146</v>
      </c>
    </row>
    <row r="136" spans="1:4" x14ac:dyDescent="0.25">
      <c r="A136" t="s">
        <v>2572</v>
      </c>
      <c r="B136" t="s">
        <v>39</v>
      </c>
      <c r="C136" s="1">
        <v>45883.499305555553</v>
      </c>
      <c r="D136" t="s">
        <v>5146</v>
      </c>
    </row>
    <row r="137" spans="1:4" x14ac:dyDescent="0.25">
      <c r="A137" t="s">
        <v>2573</v>
      </c>
      <c r="B137" t="s">
        <v>38</v>
      </c>
      <c r="C137" s="1">
        <v>45912.441666666666</v>
      </c>
      <c r="D137" t="s">
        <v>5146</v>
      </c>
    </row>
    <row r="138" spans="1:4" x14ac:dyDescent="0.25">
      <c r="A138" t="s">
        <v>2574</v>
      </c>
      <c r="B138" t="s">
        <v>38</v>
      </c>
      <c r="C138" s="1">
        <v>45910.70208333333</v>
      </c>
      <c r="D138" t="s">
        <v>5146</v>
      </c>
    </row>
    <row r="139" spans="1:4" x14ac:dyDescent="0.25">
      <c r="A139" t="s">
        <v>2575</v>
      </c>
      <c r="B139" t="s">
        <v>38</v>
      </c>
      <c r="C139" s="1">
        <v>45929.563888888886</v>
      </c>
      <c r="D139" t="s">
        <v>5146</v>
      </c>
    </row>
    <row r="140" spans="1:4" x14ac:dyDescent="0.25">
      <c r="A140" t="s">
        <v>2576</v>
      </c>
      <c r="B140" t="s">
        <v>38</v>
      </c>
      <c r="C140" s="1">
        <v>45855.462500000001</v>
      </c>
      <c r="D140" t="s">
        <v>5146</v>
      </c>
    </row>
    <row r="141" spans="1:4" x14ac:dyDescent="0.25">
      <c r="A141" t="s">
        <v>2577</v>
      </c>
      <c r="B141" t="s">
        <v>38</v>
      </c>
      <c r="C141" s="1">
        <v>45910.699305555558</v>
      </c>
      <c r="D141" t="s">
        <v>5146</v>
      </c>
    </row>
    <row r="142" spans="1:4" x14ac:dyDescent="0.25">
      <c r="A142" t="s">
        <v>2578</v>
      </c>
      <c r="B142" t="s">
        <v>38</v>
      </c>
      <c r="C142" s="1">
        <v>45929.490277777775</v>
      </c>
      <c r="D142" t="s">
        <v>5146</v>
      </c>
    </row>
    <row r="143" spans="1:4" x14ac:dyDescent="0.25">
      <c r="A143" t="s">
        <v>2579</v>
      </c>
      <c r="B143" t="s">
        <v>38</v>
      </c>
      <c r="C143" s="1">
        <v>45883.019444444442</v>
      </c>
      <c r="D143" t="s">
        <v>5146</v>
      </c>
    </row>
    <row r="144" spans="1:4" x14ac:dyDescent="0.25">
      <c r="A144" t="s">
        <v>2580</v>
      </c>
      <c r="B144" t="s">
        <v>38</v>
      </c>
      <c r="C144" s="1">
        <v>45910.699305555558</v>
      </c>
      <c r="D144" t="s">
        <v>5146</v>
      </c>
    </row>
    <row r="145" spans="1:4" x14ac:dyDescent="0.25">
      <c r="A145" t="s">
        <v>2581</v>
      </c>
      <c r="B145" t="s">
        <v>38</v>
      </c>
      <c r="C145" s="1">
        <v>45979.645833333336</v>
      </c>
      <c r="D145" t="s">
        <v>5146</v>
      </c>
    </row>
    <row r="146" spans="1:4" x14ac:dyDescent="0.25">
      <c r="A146" t="s">
        <v>2582</v>
      </c>
      <c r="B146" t="s">
        <v>38</v>
      </c>
      <c r="C146" s="1">
        <v>45910.698611111111</v>
      </c>
      <c r="D146" t="s">
        <v>5146</v>
      </c>
    </row>
    <row r="147" spans="1:4" x14ac:dyDescent="0.25">
      <c r="A147" t="s">
        <v>437</v>
      </c>
      <c r="B147" t="s">
        <v>38</v>
      </c>
      <c r="C147" s="1">
        <v>46039.70208333333</v>
      </c>
      <c r="D147" t="s">
        <v>5146</v>
      </c>
    </row>
    <row r="148" spans="1:4" x14ac:dyDescent="0.25">
      <c r="A148" t="s">
        <v>439</v>
      </c>
      <c r="B148" t="s">
        <v>38</v>
      </c>
      <c r="C148" s="1">
        <v>46036.527777777781</v>
      </c>
      <c r="D148" t="s">
        <v>5146</v>
      </c>
    </row>
    <row r="149" spans="1:4" x14ac:dyDescent="0.25">
      <c r="A149" t="s">
        <v>2583</v>
      </c>
      <c r="B149" t="s">
        <v>38</v>
      </c>
      <c r="C149" s="1">
        <v>45910.698611111111</v>
      </c>
      <c r="D149" t="s">
        <v>5146</v>
      </c>
    </row>
    <row r="150" spans="1:4" x14ac:dyDescent="0.25">
      <c r="A150" t="s">
        <v>2584</v>
      </c>
      <c r="B150" t="s">
        <v>38</v>
      </c>
      <c r="C150" s="1">
        <v>45910.698611111111</v>
      </c>
      <c r="D150" t="s">
        <v>5146</v>
      </c>
    </row>
    <row r="151" spans="1:4" x14ac:dyDescent="0.25">
      <c r="A151" t="s">
        <v>2585</v>
      </c>
      <c r="B151" t="s">
        <v>38</v>
      </c>
      <c r="C151" s="1">
        <v>45910.697916666664</v>
      </c>
      <c r="D151" t="s">
        <v>5146</v>
      </c>
    </row>
    <row r="152" spans="1:4" x14ac:dyDescent="0.25">
      <c r="A152" t="s">
        <v>2586</v>
      </c>
      <c r="B152" t="s">
        <v>39</v>
      </c>
      <c r="C152" s="1">
        <v>45852.667361111111</v>
      </c>
      <c r="D152" t="s">
        <v>5146</v>
      </c>
    </row>
    <row r="153" spans="1:4" x14ac:dyDescent="0.25">
      <c r="A153" t="s">
        <v>2587</v>
      </c>
      <c r="B153" t="s">
        <v>39</v>
      </c>
      <c r="C153" s="1">
        <v>45853.724999999999</v>
      </c>
      <c r="D153" t="s">
        <v>5146</v>
      </c>
    </row>
    <row r="154" spans="1:4" x14ac:dyDescent="0.25">
      <c r="A154" t="s">
        <v>2588</v>
      </c>
      <c r="B154" t="s">
        <v>38</v>
      </c>
      <c r="C154" s="1">
        <v>45910.697916666664</v>
      </c>
      <c r="D154" t="s">
        <v>5146</v>
      </c>
    </row>
    <row r="155" spans="1:4" x14ac:dyDescent="0.25">
      <c r="A155" t="s">
        <v>2589</v>
      </c>
      <c r="B155" t="s">
        <v>38</v>
      </c>
      <c r="C155" s="1">
        <v>45958.518055555556</v>
      </c>
      <c r="D155" t="s">
        <v>5146</v>
      </c>
    </row>
    <row r="156" spans="1:4" x14ac:dyDescent="0.25">
      <c r="A156" t="s">
        <v>2590</v>
      </c>
      <c r="B156" t="s">
        <v>38</v>
      </c>
      <c r="C156" s="1">
        <v>45873.490972222222</v>
      </c>
      <c r="D156" t="s">
        <v>5146</v>
      </c>
    </row>
    <row r="157" spans="1:4" x14ac:dyDescent="0.25">
      <c r="A157" t="s">
        <v>2591</v>
      </c>
      <c r="B157" t="s">
        <v>38</v>
      </c>
      <c r="C157" s="1">
        <v>45910.697222222225</v>
      </c>
      <c r="D157" t="s">
        <v>5146</v>
      </c>
    </row>
    <row r="158" spans="1:4" x14ac:dyDescent="0.25">
      <c r="A158" t="s">
        <v>445</v>
      </c>
      <c r="B158" t="s">
        <v>38</v>
      </c>
      <c r="C158" s="1">
        <v>46039.544444444444</v>
      </c>
      <c r="D158" t="s">
        <v>5146</v>
      </c>
    </row>
    <row r="159" spans="1:4" x14ac:dyDescent="0.25">
      <c r="A159" t="s">
        <v>2592</v>
      </c>
      <c r="B159" t="s">
        <v>38</v>
      </c>
      <c r="C159" s="1">
        <v>45925.581944444442</v>
      </c>
      <c r="D159" t="s">
        <v>5146</v>
      </c>
    </row>
    <row r="160" spans="1:4" x14ac:dyDescent="0.25">
      <c r="A160" t="s">
        <v>2593</v>
      </c>
      <c r="B160" t="s">
        <v>38</v>
      </c>
      <c r="C160" s="1">
        <v>45903.508333333331</v>
      </c>
      <c r="D160" t="s">
        <v>5146</v>
      </c>
    </row>
    <row r="161" spans="1:4" x14ac:dyDescent="0.25">
      <c r="A161" t="s">
        <v>2594</v>
      </c>
      <c r="B161" t="s">
        <v>38</v>
      </c>
      <c r="C161" s="1">
        <v>45910.693749999999</v>
      </c>
      <c r="D161" t="s">
        <v>5146</v>
      </c>
    </row>
    <row r="162" spans="1:4" x14ac:dyDescent="0.25">
      <c r="A162" t="s">
        <v>2595</v>
      </c>
      <c r="B162" t="s">
        <v>38</v>
      </c>
      <c r="C162" s="1">
        <v>45910.693055555559</v>
      </c>
      <c r="D162" t="s">
        <v>5146</v>
      </c>
    </row>
    <row r="163" spans="1:4" x14ac:dyDescent="0.25">
      <c r="A163" t="s">
        <v>2596</v>
      </c>
      <c r="B163" t="s">
        <v>38</v>
      </c>
      <c r="C163" s="1">
        <v>45846.498611111114</v>
      </c>
      <c r="D163" t="s">
        <v>5146</v>
      </c>
    </row>
    <row r="164" spans="1:4" x14ac:dyDescent="0.25">
      <c r="A164" t="s">
        <v>2597</v>
      </c>
      <c r="B164" t="s">
        <v>38</v>
      </c>
      <c r="C164" s="1">
        <v>45910.693055555559</v>
      </c>
      <c r="D164" t="s">
        <v>5146</v>
      </c>
    </row>
    <row r="165" spans="1:4" x14ac:dyDescent="0.25">
      <c r="A165" t="s">
        <v>2598</v>
      </c>
      <c r="B165" t="s">
        <v>38</v>
      </c>
      <c r="C165" s="1">
        <v>45910.693055555559</v>
      </c>
      <c r="D165" t="s">
        <v>5146</v>
      </c>
    </row>
    <row r="166" spans="1:4" x14ac:dyDescent="0.25">
      <c r="A166" t="s">
        <v>435</v>
      </c>
      <c r="B166" t="s">
        <v>38</v>
      </c>
      <c r="C166" s="1">
        <v>46039.546527777777</v>
      </c>
      <c r="D166" t="s">
        <v>5146</v>
      </c>
    </row>
    <row r="167" spans="1:4" x14ac:dyDescent="0.25">
      <c r="A167" t="s">
        <v>436</v>
      </c>
      <c r="B167" t="s">
        <v>38</v>
      </c>
      <c r="C167" s="1">
        <v>46037.535416666666</v>
      </c>
      <c r="D167" t="s">
        <v>5146</v>
      </c>
    </row>
    <row r="168" spans="1:4" x14ac:dyDescent="0.25">
      <c r="A168" t="s">
        <v>2599</v>
      </c>
      <c r="B168" t="s">
        <v>38</v>
      </c>
      <c r="C168" s="1">
        <v>45925.749305555553</v>
      </c>
      <c r="D168" t="s">
        <v>5146</v>
      </c>
    </row>
    <row r="169" spans="1:4" x14ac:dyDescent="0.25">
      <c r="A169" t="s">
        <v>2600</v>
      </c>
      <c r="B169" t="s">
        <v>38</v>
      </c>
      <c r="C169" s="1">
        <v>45855.461805555555</v>
      </c>
      <c r="D169" t="s">
        <v>5146</v>
      </c>
    </row>
    <row r="170" spans="1:4" x14ac:dyDescent="0.25">
      <c r="A170" t="s">
        <v>2601</v>
      </c>
      <c r="B170" t="s">
        <v>38</v>
      </c>
      <c r="C170" s="1">
        <v>45910.692361111112</v>
      </c>
      <c r="D170" t="s">
        <v>5146</v>
      </c>
    </row>
    <row r="171" spans="1:4" x14ac:dyDescent="0.25">
      <c r="A171" t="s">
        <v>2602</v>
      </c>
      <c r="B171" t="s">
        <v>38</v>
      </c>
      <c r="C171" s="1">
        <v>45954.482638888891</v>
      </c>
      <c r="D171" t="s">
        <v>5146</v>
      </c>
    </row>
    <row r="172" spans="1:4" x14ac:dyDescent="0.25">
      <c r="A172" t="s">
        <v>2603</v>
      </c>
      <c r="B172" t="s">
        <v>38</v>
      </c>
      <c r="C172" s="1">
        <v>45855.461805555555</v>
      </c>
      <c r="D172" t="s">
        <v>5146</v>
      </c>
    </row>
    <row r="173" spans="1:4" x14ac:dyDescent="0.25">
      <c r="A173" t="s">
        <v>2604</v>
      </c>
      <c r="B173" t="s">
        <v>38</v>
      </c>
      <c r="C173" s="1">
        <v>45870.45416666667</v>
      </c>
      <c r="D173" t="s">
        <v>5146</v>
      </c>
    </row>
    <row r="174" spans="1:4" x14ac:dyDescent="0.25">
      <c r="A174" t="s">
        <v>2605</v>
      </c>
      <c r="B174" t="s">
        <v>38</v>
      </c>
      <c r="C174" s="1">
        <v>45910.686805555553</v>
      </c>
      <c r="D174" t="s">
        <v>5146</v>
      </c>
    </row>
    <row r="175" spans="1:4" x14ac:dyDescent="0.25">
      <c r="A175" t="s">
        <v>427</v>
      </c>
      <c r="B175" t="s">
        <v>38</v>
      </c>
      <c r="C175" s="1">
        <v>46049.512499999997</v>
      </c>
      <c r="D175" t="s">
        <v>5146</v>
      </c>
    </row>
    <row r="176" spans="1:4" x14ac:dyDescent="0.25">
      <c r="A176" t="s">
        <v>2606</v>
      </c>
      <c r="B176" t="s">
        <v>38</v>
      </c>
      <c r="C176" s="1">
        <v>45910.686111111114</v>
      </c>
      <c r="D176" t="s">
        <v>5146</v>
      </c>
    </row>
    <row r="177" spans="1:4" x14ac:dyDescent="0.25">
      <c r="A177" t="s">
        <v>2607</v>
      </c>
      <c r="B177" t="s">
        <v>38</v>
      </c>
      <c r="C177" s="1">
        <v>45910.686111111114</v>
      </c>
      <c r="D177" t="s">
        <v>5146</v>
      </c>
    </row>
    <row r="178" spans="1:4" x14ac:dyDescent="0.25">
      <c r="A178" t="s">
        <v>2608</v>
      </c>
      <c r="B178" t="s">
        <v>38</v>
      </c>
      <c r="C178" s="1">
        <v>45855.468055555553</v>
      </c>
      <c r="D178" t="s">
        <v>5146</v>
      </c>
    </row>
    <row r="179" spans="1:4" x14ac:dyDescent="0.25">
      <c r="A179" t="s">
        <v>2609</v>
      </c>
      <c r="B179" t="s">
        <v>38</v>
      </c>
      <c r="C179" s="1">
        <v>45910.686111111114</v>
      </c>
      <c r="D179" t="s">
        <v>5146</v>
      </c>
    </row>
    <row r="180" spans="1:4" x14ac:dyDescent="0.25">
      <c r="A180" t="s">
        <v>2610</v>
      </c>
      <c r="B180" t="s">
        <v>38</v>
      </c>
      <c r="C180" s="1">
        <v>45855.481944444444</v>
      </c>
      <c r="D180" t="s">
        <v>5146</v>
      </c>
    </row>
    <row r="181" spans="1:4" x14ac:dyDescent="0.25">
      <c r="A181" t="s">
        <v>425</v>
      </c>
      <c r="B181" t="s">
        <v>38</v>
      </c>
      <c r="C181" s="1">
        <v>46039.684027777781</v>
      </c>
      <c r="D181" t="s">
        <v>5146</v>
      </c>
    </row>
    <row r="182" spans="1:4" x14ac:dyDescent="0.25">
      <c r="A182" t="s">
        <v>416</v>
      </c>
      <c r="B182" t="s">
        <v>38</v>
      </c>
      <c r="C182" s="1">
        <v>46034.54583333333</v>
      </c>
      <c r="D182" t="s">
        <v>5146</v>
      </c>
    </row>
    <row r="183" spans="1:4" x14ac:dyDescent="0.25">
      <c r="A183" t="s">
        <v>417</v>
      </c>
      <c r="B183" t="s">
        <v>38</v>
      </c>
      <c r="C183" s="1">
        <v>46039.549305555556</v>
      </c>
      <c r="D183" t="s">
        <v>5146</v>
      </c>
    </row>
    <row r="184" spans="1:4" x14ac:dyDescent="0.25">
      <c r="A184" t="s">
        <v>419</v>
      </c>
      <c r="B184" t="s">
        <v>38</v>
      </c>
      <c r="C184" s="1">
        <v>46035.566666666666</v>
      </c>
      <c r="D184" t="s">
        <v>5146</v>
      </c>
    </row>
    <row r="185" spans="1:4" x14ac:dyDescent="0.25">
      <c r="A185" t="s">
        <v>2611</v>
      </c>
      <c r="B185" t="s">
        <v>38</v>
      </c>
      <c r="C185" s="1">
        <v>45910.686111111114</v>
      </c>
      <c r="D185" t="s">
        <v>5146</v>
      </c>
    </row>
    <row r="186" spans="1:4" x14ac:dyDescent="0.25">
      <c r="A186" t="s">
        <v>2612</v>
      </c>
      <c r="B186" t="s">
        <v>38</v>
      </c>
      <c r="C186" s="1">
        <v>45855.461111111108</v>
      </c>
      <c r="D186" t="s">
        <v>5146</v>
      </c>
    </row>
    <row r="187" spans="1:4" x14ac:dyDescent="0.25">
      <c r="A187" t="s">
        <v>2613</v>
      </c>
      <c r="B187" t="s">
        <v>38</v>
      </c>
      <c r="C187" s="1">
        <v>45910.685416666667</v>
      </c>
      <c r="D187" t="s">
        <v>5146</v>
      </c>
    </row>
    <row r="188" spans="1:4" x14ac:dyDescent="0.25">
      <c r="A188" t="s">
        <v>2614</v>
      </c>
      <c r="B188" t="s">
        <v>38</v>
      </c>
      <c r="C188" s="1">
        <v>45910.685416666667</v>
      </c>
      <c r="D188" t="s">
        <v>5146</v>
      </c>
    </row>
    <row r="189" spans="1:4" x14ac:dyDescent="0.25">
      <c r="A189" t="s">
        <v>2615</v>
      </c>
      <c r="B189" t="s">
        <v>38</v>
      </c>
      <c r="C189" s="1">
        <v>45910.685416666667</v>
      </c>
      <c r="D189" t="s">
        <v>5146</v>
      </c>
    </row>
    <row r="190" spans="1:4" x14ac:dyDescent="0.25">
      <c r="A190" t="s">
        <v>398</v>
      </c>
      <c r="B190" t="s">
        <v>39</v>
      </c>
      <c r="C190" s="1">
        <v>46030.701388888891</v>
      </c>
      <c r="D190" t="s">
        <v>5146</v>
      </c>
    </row>
    <row r="191" spans="1:4" x14ac:dyDescent="0.25">
      <c r="A191" t="s">
        <v>399</v>
      </c>
      <c r="B191" t="s">
        <v>38</v>
      </c>
      <c r="C191" s="1">
        <v>46034.533333333333</v>
      </c>
      <c r="D191" t="s">
        <v>5146</v>
      </c>
    </row>
    <row r="192" spans="1:4" x14ac:dyDescent="0.25">
      <c r="A192" t="s">
        <v>2616</v>
      </c>
      <c r="B192" t="s">
        <v>38</v>
      </c>
      <c r="C192" s="1">
        <v>45910.685416666667</v>
      </c>
      <c r="D192" t="s">
        <v>5146</v>
      </c>
    </row>
    <row r="193" spans="1:4" x14ac:dyDescent="0.25">
      <c r="A193" t="s">
        <v>2617</v>
      </c>
      <c r="B193" t="s">
        <v>38</v>
      </c>
      <c r="C193" s="1">
        <v>45910.68472222222</v>
      </c>
      <c r="D193" t="s">
        <v>5146</v>
      </c>
    </row>
    <row r="194" spans="1:4" x14ac:dyDescent="0.25">
      <c r="A194" t="s">
        <v>2618</v>
      </c>
      <c r="B194" t="s">
        <v>38</v>
      </c>
      <c r="C194" s="1">
        <v>45910.68472222222</v>
      </c>
      <c r="D194" t="s">
        <v>5146</v>
      </c>
    </row>
    <row r="195" spans="1:4" x14ac:dyDescent="0.25">
      <c r="A195" t="s">
        <v>403</v>
      </c>
      <c r="B195" t="s">
        <v>38</v>
      </c>
      <c r="C195" s="1">
        <v>46039.554166666669</v>
      </c>
      <c r="D195" t="s">
        <v>5146</v>
      </c>
    </row>
    <row r="196" spans="1:4" x14ac:dyDescent="0.25">
      <c r="A196" t="s">
        <v>2619</v>
      </c>
      <c r="B196" t="s">
        <v>38</v>
      </c>
      <c r="C196" s="1">
        <v>45910.684027777781</v>
      </c>
      <c r="D196" t="s">
        <v>5146</v>
      </c>
    </row>
    <row r="197" spans="1:4" x14ac:dyDescent="0.25">
      <c r="A197" t="s">
        <v>2620</v>
      </c>
      <c r="B197" t="s">
        <v>38</v>
      </c>
      <c r="C197" s="1">
        <v>45910.684027777781</v>
      </c>
      <c r="D197" t="s">
        <v>5146</v>
      </c>
    </row>
    <row r="198" spans="1:4" x14ac:dyDescent="0.25">
      <c r="A198" t="s">
        <v>2621</v>
      </c>
      <c r="B198" t="s">
        <v>38</v>
      </c>
      <c r="C198" s="1">
        <v>45840.536805555559</v>
      </c>
      <c r="D198" t="s">
        <v>5146</v>
      </c>
    </row>
    <row r="199" spans="1:4" x14ac:dyDescent="0.25">
      <c r="A199" t="s">
        <v>2622</v>
      </c>
      <c r="B199" t="s">
        <v>38</v>
      </c>
      <c r="C199" s="1">
        <v>45958.517361111109</v>
      </c>
      <c r="D199" t="s">
        <v>5146</v>
      </c>
    </row>
    <row r="200" spans="1:4" x14ac:dyDescent="0.25">
      <c r="A200" t="s">
        <v>2623</v>
      </c>
      <c r="B200" t="s">
        <v>38</v>
      </c>
      <c r="C200" s="1">
        <v>45910.684027777781</v>
      </c>
      <c r="D200" t="s">
        <v>5146</v>
      </c>
    </row>
    <row r="201" spans="1:4" x14ac:dyDescent="0.25">
      <c r="A201" t="s">
        <v>406</v>
      </c>
      <c r="B201" t="s">
        <v>38</v>
      </c>
      <c r="C201" s="1">
        <v>46039.700694444444</v>
      </c>
      <c r="D201" t="s">
        <v>5146</v>
      </c>
    </row>
    <row r="202" spans="1:4" x14ac:dyDescent="0.25">
      <c r="A202" t="s">
        <v>2624</v>
      </c>
      <c r="B202" t="s">
        <v>38</v>
      </c>
      <c r="C202" s="1">
        <v>45910.684027777781</v>
      </c>
      <c r="D202" t="s">
        <v>5146</v>
      </c>
    </row>
    <row r="203" spans="1:4" x14ac:dyDescent="0.25">
      <c r="A203" t="s">
        <v>2625</v>
      </c>
      <c r="B203" t="s">
        <v>38</v>
      </c>
      <c r="C203" s="1">
        <v>45910.683333333334</v>
      </c>
      <c r="D203" t="s">
        <v>5146</v>
      </c>
    </row>
    <row r="204" spans="1:4" x14ac:dyDescent="0.25">
      <c r="A204" t="s">
        <v>407</v>
      </c>
      <c r="B204" t="s">
        <v>38</v>
      </c>
      <c r="C204" s="1">
        <v>46031.561805555553</v>
      </c>
      <c r="D204" t="s">
        <v>5146</v>
      </c>
    </row>
    <row r="205" spans="1:4" x14ac:dyDescent="0.25">
      <c r="A205" t="s">
        <v>408</v>
      </c>
      <c r="B205" t="s">
        <v>39</v>
      </c>
      <c r="C205" s="1">
        <v>46042.761111111111</v>
      </c>
      <c r="D205" t="s">
        <v>5146</v>
      </c>
    </row>
    <row r="206" spans="1:4" x14ac:dyDescent="0.25">
      <c r="A206" t="s">
        <v>2626</v>
      </c>
      <c r="B206" t="s">
        <v>38</v>
      </c>
      <c r="C206" s="1">
        <v>45862.559027777781</v>
      </c>
      <c r="D206" t="s">
        <v>5146</v>
      </c>
    </row>
    <row r="207" spans="1:4" x14ac:dyDescent="0.25">
      <c r="A207" t="s">
        <v>2627</v>
      </c>
      <c r="B207" t="s">
        <v>38</v>
      </c>
      <c r="C207" s="1">
        <v>45860.542361111111</v>
      </c>
      <c r="D207" t="s">
        <v>5146</v>
      </c>
    </row>
    <row r="208" spans="1:4" x14ac:dyDescent="0.25">
      <c r="A208" t="s">
        <v>2628</v>
      </c>
      <c r="B208" t="s">
        <v>38</v>
      </c>
      <c r="C208" s="1">
        <v>45862.744444444441</v>
      </c>
      <c r="D208" t="s">
        <v>5146</v>
      </c>
    </row>
    <row r="209" spans="1:4" x14ac:dyDescent="0.25">
      <c r="A209" t="s">
        <v>411</v>
      </c>
      <c r="B209" t="s">
        <v>38</v>
      </c>
      <c r="C209" s="1">
        <v>46031.534722222219</v>
      </c>
      <c r="D209" t="s">
        <v>5146</v>
      </c>
    </row>
    <row r="210" spans="1:4" x14ac:dyDescent="0.25">
      <c r="A210" t="s">
        <v>395</v>
      </c>
      <c r="B210" t="s">
        <v>38</v>
      </c>
      <c r="C210" s="1">
        <v>46039.556944444441</v>
      </c>
      <c r="D210" t="s">
        <v>5146</v>
      </c>
    </row>
    <row r="211" spans="1:4" x14ac:dyDescent="0.25">
      <c r="A211" t="s">
        <v>2629</v>
      </c>
      <c r="B211" t="s">
        <v>38</v>
      </c>
      <c r="C211" s="1">
        <v>45910.683333333334</v>
      </c>
      <c r="D211" t="s">
        <v>5146</v>
      </c>
    </row>
    <row r="212" spans="1:4" x14ac:dyDescent="0.25">
      <c r="A212" t="s">
        <v>2630</v>
      </c>
      <c r="B212" t="s">
        <v>38</v>
      </c>
      <c r="C212" s="1">
        <v>45925.749305555553</v>
      </c>
      <c r="D212" t="s">
        <v>5146</v>
      </c>
    </row>
    <row r="213" spans="1:4" x14ac:dyDescent="0.25">
      <c r="A213" t="s">
        <v>2631</v>
      </c>
      <c r="B213" t="s">
        <v>38</v>
      </c>
      <c r="C213" s="1">
        <v>45910.682638888888</v>
      </c>
      <c r="D213" t="s">
        <v>5146</v>
      </c>
    </row>
    <row r="214" spans="1:4" x14ac:dyDescent="0.25">
      <c r="A214" t="s">
        <v>2632</v>
      </c>
      <c r="B214" t="s">
        <v>38</v>
      </c>
      <c r="C214" s="1">
        <v>45855.460416666669</v>
      </c>
      <c r="D214" t="s">
        <v>5146</v>
      </c>
    </row>
    <row r="215" spans="1:4" x14ac:dyDescent="0.25">
      <c r="A215" t="s">
        <v>2633</v>
      </c>
      <c r="B215" t="s">
        <v>38</v>
      </c>
      <c r="C215" s="1">
        <v>45855.460416666669</v>
      </c>
      <c r="D215" t="s">
        <v>5146</v>
      </c>
    </row>
    <row r="216" spans="1:4" x14ac:dyDescent="0.25">
      <c r="A216" t="s">
        <v>2634</v>
      </c>
      <c r="B216" t="s">
        <v>38</v>
      </c>
      <c r="C216" s="1">
        <v>45870.453472222223</v>
      </c>
      <c r="D216" t="s">
        <v>5146</v>
      </c>
    </row>
    <row r="217" spans="1:4" x14ac:dyDescent="0.25">
      <c r="A217" t="s">
        <v>2635</v>
      </c>
      <c r="B217" t="s">
        <v>38</v>
      </c>
      <c r="C217" s="1">
        <v>45860.513194444444</v>
      </c>
      <c r="D217" t="s">
        <v>5146</v>
      </c>
    </row>
    <row r="218" spans="1:4" x14ac:dyDescent="0.25">
      <c r="A218" t="s">
        <v>2636</v>
      </c>
      <c r="B218" t="s">
        <v>39</v>
      </c>
      <c r="C218" s="1">
        <v>45860.519444444442</v>
      </c>
      <c r="D218" t="s">
        <v>5146</v>
      </c>
    </row>
    <row r="219" spans="1:4" x14ac:dyDescent="0.25">
      <c r="A219" t="s">
        <v>2637</v>
      </c>
      <c r="B219" t="s">
        <v>38</v>
      </c>
      <c r="C219" s="1">
        <v>45910.682638888888</v>
      </c>
      <c r="D219" t="s">
        <v>5146</v>
      </c>
    </row>
    <row r="220" spans="1:4" x14ac:dyDescent="0.25">
      <c r="A220" t="s">
        <v>2638</v>
      </c>
      <c r="B220" t="s">
        <v>38</v>
      </c>
      <c r="C220" s="1">
        <v>45910.682638888888</v>
      </c>
      <c r="D220" t="s">
        <v>5146</v>
      </c>
    </row>
    <row r="221" spans="1:4" x14ac:dyDescent="0.25">
      <c r="A221" t="s">
        <v>2639</v>
      </c>
      <c r="B221" t="s">
        <v>38</v>
      </c>
      <c r="C221" s="1">
        <v>45855.45416666667</v>
      </c>
      <c r="D221" t="s">
        <v>5146</v>
      </c>
    </row>
    <row r="222" spans="1:4" x14ac:dyDescent="0.25">
      <c r="A222" t="s">
        <v>2640</v>
      </c>
      <c r="B222" t="s">
        <v>38</v>
      </c>
      <c r="C222" s="1">
        <v>45910.681944444441</v>
      </c>
      <c r="D222" t="s">
        <v>5146</v>
      </c>
    </row>
    <row r="223" spans="1:4" x14ac:dyDescent="0.25">
      <c r="A223" t="s">
        <v>2641</v>
      </c>
      <c r="B223" t="s">
        <v>38</v>
      </c>
      <c r="C223" s="1">
        <v>45875.838194444441</v>
      </c>
      <c r="D223" t="s">
        <v>5146</v>
      </c>
    </row>
    <row r="224" spans="1:4" x14ac:dyDescent="0.25">
      <c r="A224" t="s">
        <v>2642</v>
      </c>
      <c r="B224" t="s">
        <v>38</v>
      </c>
      <c r="C224" s="1">
        <v>45870.452777777777</v>
      </c>
      <c r="D224" t="s">
        <v>5146</v>
      </c>
    </row>
    <row r="225" spans="1:4" x14ac:dyDescent="0.25">
      <c r="A225" t="s">
        <v>2643</v>
      </c>
      <c r="B225" t="s">
        <v>38</v>
      </c>
      <c r="C225" s="1">
        <v>45868.65625</v>
      </c>
      <c r="D225" t="s">
        <v>5146</v>
      </c>
    </row>
    <row r="226" spans="1:4" x14ac:dyDescent="0.25">
      <c r="A226" t="s">
        <v>2644</v>
      </c>
      <c r="B226" t="s">
        <v>39</v>
      </c>
      <c r="C226" s="1">
        <v>45894.73541666667</v>
      </c>
      <c r="D226" t="s">
        <v>5146</v>
      </c>
    </row>
    <row r="227" spans="1:4" x14ac:dyDescent="0.25">
      <c r="A227" t="s">
        <v>2645</v>
      </c>
      <c r="B227" t="s">
        <v>39</v>
      </c>
      <c r="C227" s="1">
        <v>45882.736805555556</v>
      </c>
      <c r="D227" t="s">
        <v>5146</v>
      </c>
    </row>
    <row r="228" spans="1:4" x14ac:dyDescent="0.25">
      <c r="A228" t="s">
        <v>2646</v>
      </c>
      <c r="B228" t="s">
        <v>38</v>
      </c>
      <c r="C228" s="1">
        <v>45873.538888888892</v>
      </c>
      <c r="D228" t="s">
        <v>5146</v>
      </c>
    </row>
    <row r="229" spans="1:4" x14ac:dyDescent="0.25">
      <c r="A229" t="s">
        <v>2647</v>
      </c>
      <c r="B229" t="s">
        <v>38</v>
      </c>
      <c r="C229" s="1">
        <v>45862.745138888888</v>
      </c>
      <c r="D229" t="s">
        <v>5146</v>
      </c>
    </row>
    <row r="230" spans="1:4" x14ac:dyDescent="0.25">
      <c r="A230" t="s">
        <v>2648</v>
      </c>
      <c r="B230" t="s">
        <v>38</v>
      </c>
      <c r="C230" s="1">
        <v>45855.460416666669</v>
      </c>
      <c r="D230" t="s">
        <v>5146</v>
      </c>
    </row>
    <row r="231" spans="1:4" x14ac:dyDescent="0.25">
      <c r="A231" t="s">
        <v>2649</v>
      </c>
      <c r="B231" t="s">
        <v>38</v>
      </c>
      <c r="C231" s="1">
        <v>45862.495833333334</v>
      </c>
      <c r="D231" t="s">
        <v>5146</v>
      </c>
    </row>
    <row r="232" spans="1:4" x14ac:dyDescent="0.25">
      <c r="A232" t="s">
        <v>2650</v>
      </c>
      <c r="B232" t="s">
        <v>38</v>
      </c>
      <c r="C232" s="1">
        <v>45877.489583333336</v>
      </c>
      <c r="D232" t="s">
        <v>5146</v>
      </c>
    </row>
    <row r="233" spans="1:4" x14ac:dyDescent="0.25">
      <c r="A233" t="s">
        <v>2651</v>
      </c>
      <c r="B233" t="s">
        <v>38</v>
      </c>
      <c r="C233" s="1">
        <v>45853.678472222222</v>
      </c>
      <c r="D233" t="s">
        <v>5146</v>
      </c>
    </row>
    <row r="234" spans="1:4" x14ac:dyDescent="0.25">
      <c r="A234" t="s">
        <v>2652</v>
      </c>
      <c r="B234" t="s">
        <v>38</v>
      </c>
      <c r="C234" s="1">
        <v>45869.442361111112</v>
      </c>
      <c r="D234" t="s">
        <v>5146</v>
      </c>
    </row>
    <row r="235" spans="1:4" x14ac:dyDescent="0.25">
      <c r="A235" t="s">
        <v>2653</v>
      </c>
      <c r="B235" t="s">
        <v>38</v>
      </c>
      <c r="C235" s="1">
        <v>45870.459722222222</v>
      </c>
      <c r="D235" t="s">
        <v>5146</v>
      </c>
    </row>
    <row r="236" spans="1:4" x14ac:dyDescent="0.25">
      <c r="A236" t="s">
        <v>2654</v>
      </c>
      <c r="B236" t="s">
        <v>38</v>
      </c>
      <c r="C236" s="1">
        <v>45888.676388888889</v>
      </c>
      <c r="D236" t="s">
        <v>5146</v>
      </c>
    </row>
    <row r="237" spans="1:4" x14ac:dyDescent="0.25">
      <c r="A237" t="s">
        <v>374</v>
      </c>
      <c r="B237" t="s">
        <v>38</v>
      </c>
      <c r="C237" s="1">
        <v>46032.595833333333</v>
      </c>
      <c r="D237" t="s">
        <v>5146</v>
      </c>
    </row>
    <row r="238" spans="1:4" x14ac:dyDescent="0.25">
      <c r="A238" t="s">
        <v>2655</v>
      </c>
      <c r="B238" t="s">
        <v>39</v>
      </c>
      <c r="C238" s="1">
        <v>45866.46875</v>
      </c>
      <c r="D238" t="s">
        <v>5146</v>
      </c>
    </row>
    <row r="239" spans="1:4" x14ac:dyDescent="0.25">
      <c r="A239" t="s">
        <v>2656</v>
      </c>
      <c r="B239" t="s">
        <v>38</v>
      </c>
      <c r="C239" s="1">
        <v>45866.526388888888</v>
      </c>
      <c r="D239" t="s">
        <v>5146</v>
      </c>
    </row>
    <row r="240" spans="1:4" x14ac:dyDescent="0.25">
      <c r="A240" t="s">
        <v>2657</v>
      </c>
      <c r="B240" t="s">
        <v>38</v>
      </c>
      <c r="C240" s="1">
        <v>45866.52847222222</v>
      </c>
      <c r="D240" t="s">
        <v>5146</v>
      </c>
    </row>
    <row r="241" spans="1:4" x14ac:dyDescent="0.25">
      <c r="A241" t="s">
        <v>371</v>
      </c>
      <c r="B241" t="s">
        <v>38</v>
      </c>
      <c r="C241" s="1">
        <v>46029.536805555559</v>
      </c>
      <c r="D241" t="s">
        <v>5146</v>
      </c>
    </row>
    <row r="242" spans="1:4" x14ac:dyDescent="0.25">
      <c r="A242" t="s">
        <v>2658</v>
      </c>
      <c r="B242" t="s">
        <v>38</v>
      </c>
      <c r="C242" s="1">
        <v>45862.5</v>
      </c>
      <c r="D242" t="s">
        <v>5146</v>
      </c>
    </row>
    <row r="243" spans="1:4" x14ac:dyDescent="0.25">
      <c r="A243" t="s">
        <v>2659</v>
      </c>
      <c r="B243" t="s">
        <v>38</v>
      </c>
      <c r="C243" s="1">
        <v>45870.450694444444</v>
      </c>
      <c r="D243" t="s">
        <v>5146</v>
      </c>
    </row>
    <row r="244" spans="1:4" x14ac:dyDescent="0.25">
      <c r="A244" t="s">
        <v>2660</v>
      </c>
      <c r="B244" t="s">
        <v>38</v>
      </c>
      <c r="C244" s="1">
        <v>45870.450694444444</v>
      </c>
      <c r="D244" t="s">
        <v>5146</v>
      </c>
    </row>
    <row r="245" spans="1:4" x14ac:dyDescent="0.25">
      <c r="A245" t="s">
        <v>2661</v>
      </c>
      <c r="B245" t="s">
        <v>38</v>
      </c>
      <c r="C245" s="1">
        <v>45868.709027777775</v>
      </c>
      <c r="D245" t="s">
        <v>5146</v>
      </c>
    </row>
    <row r="246" spans="1:4" x14ac:dyDescent="0.25">
      <c r="A246" t="s">
        <v>363</v>
      </c>
      <c r="B246" t="s">
        <v>38</v>
      </c>
      <c r="C246" s="1">
        <v>46029.500694444447</v>
      </c>
      <c r="D246" t="s">
        <v>5146</v>
      </c>
    </row>
    <row r="247" spans="1:4" x14ac:dyDescent="0.25">
      <c r="A247" t="s">
        <v>364</v>
      </c>
      <c r="B247" t="s">
        <v>38</v>
      </c>
      <c r="C247" s="1">
        <v>46029.496527777781</v>
      </c>
      <c r="D247" t="s">
        <v>5146</v>
      </c>
    </row>
    <row r="248" spans="1:4" x14ac:dyDescent="0.25">
      <c r="A248" t="s">
        <v>2662</v>
      </c>
      <c r="B248" t="s">
        <v>38</v>
      </c>
      <c r="C248" s="1">
        <v>45888.676388888889</v>
      </c>
      <c r="D248" t="s">
        <v>5146</v>
      </c>
    </row>
    <row r="249" spans="1:4" x14ac:dyDescent="0.25">
      <c r="A249" t="s">
        <v>2663</v>
      </c>
      <c r="B249" t="s">
        <v>39</v>
      </c>
      <c r="C249" s="1">
        <v>45881.454861111109</v>
      </c>
      <c r="D249" t="s">
        <v>5146</v>
      </c>
    </row>
    <row r="250" spans="1:4" x14ac:dyDescent="0.25">
      <c r="A250" t="s">
        <v>2664</v>
      </c>
      <c r="B250" t="s">
        <v>38</v>
      </c>
      <c r="C250" s="1">
        <v>45910.676388888889</v>
      </c>
      <c r="D250" t="s">
        <v>5146</v>
      </c>
    </row>
    <row r="251" spans="1:4" x14ac:dyDescent="0.25">
      <c r="A251" t="s">
        <v>2665</v>
      </c>
      <c r="B251" t="s">
        <v>38</v>
      </c>
      <c r="C251" s="1">
        <v>45868.688888888886</v>
      </c>
      <c r="D251" t="s">
        <v>5146</v>
      </c>
    </row>
    <row r="252" spans="1:4" x14ac:dyDescent="0.25">
      <c r="A252" t="s">
        <v>352</v>
      </c>
      <c r="B252" t="s">
        <v>38</v>
      </c>
      <c r="C252" s="1">
        <v>46039.673611111109</v>
      </c>
      <c r="D252" t="s">
        <v>5146</v>
      </c>
    </row>
    <row r="253" spans="1:4" x14ac:dyDescent="0.25">
      <c r="A253" t="s">
        <v>2666</v>
      </c>
      <c r="B253" t="s">
        <v>38</v>
      </c>
      <c r="C253" s="1">
        <v>45878.652777777781</v>
      </c>
      <c r="D253" t="s">
        <v>5146</v>
      </c>
    </row>
    <row r="254" spans="1:4" x14ac:dyDescent="0.25">
      <c r="A254" t="s">
        <v>2667</v>
      </c>
      <c r="B254" t="s">
        <v>38</v>
      </c>
      <c r="C254" s="1">
        <v>45868.664583333331</v>
      </c>
      <c r="D254" t="s">
        <v>5146</v>
      </c>
    </row>
    <row r="255" spans="1:4" x14ac:dyDescent="0.25">
      <c r="A255" t="s">
        <v>2668</v>
      </c>
      <c r="B255" t="s">
        <v>38</v>
      </c>
      <c r="C255" s="1">
        <v>45910.675694444442</v>
      </c>
      <c r="D255" t="s">
        <v>5146</v>
      </c>
    </row>
    <row r="256" spans="1:4" x14ac:dyDescent="0.25">
      <c r="A256" t="s">
        <v>2669</v>
      </c>
      <c r="B256" t="s">
        <v>38</v>
      </c>
      <c r="C256" s="1">
        <v>45898.526388888888</v>
      </c>
      <c r="D256" t="s">
        <v>5146</v>
      </c>
    </row>
    <row r="257" spans="1:4" x14ac:dyDescent="0.25">
      <c r="A257" t="s">
        <v>2670</v>
      </c>
      <c r="B257" t="s">
        <v>38</v>
      </c>
      <c r="C257" s="1">
        <v>45888.447222222225</v>
      </c>
      <c r="D257" t="s">
        <v>5146</v>
      </c>
    </row>
    <row r="258" spans="1:4" x14ac:dyDescent="0.25">
      <c r="A258" t="s">
        <v>2671</v>
      </c>
      <c r="B258" t="s">
        <v>38</v>
      </c>
      <c r="C258" s="1">
        <v>45870.477777777778</v>
      </c>
      <c r="D258" t="s">
        <v>5146</v>
      </c>
    </row>
    <row r="259" spans="1:4" x14ac:dyDescent="0.25">
      <c r="A259" t="s">
        <v>2672</v>
      </c>
      <c r="B259" t="s">
        <v>38</v>
      </c>
      <c r="C259" s="1">
        <v>46003.853472222225</v>
      </c>
      <c r="D259" t="s">
        <v>5146</v>
      </c>
    </row>
    <row r="260" spans="1:4" x14ac:dyDescent="0.25">
      <c r="A260" t="s">
        <v>341</v>
      </c>
      <c r="B260" t="s">
        <v>38</v>
      </c>
      <c r="C260" s="1">
        <v>46029.490277777775</v>
      </c>
      <c r="D260" t="s">
        <v>5146</v>
      </c>
    </row>
    <row r="261" spans="1:4" x14ac:dyDescent="0.25">
      <c r="A261" t="s">
        <v>343</v>
      </c>
      <c r="B261" t="s">
        <v>38</v>
      </c>
      <c r="C261" s="1">
        <v>46050.547222222223</v>
      </c>
      <c r="D261" t="s">
        <v>5146</v>
      </c>
    </row>
    <row r="262" spans="1:4" x14ac:dyDescent="0.25">
      <c r="A262" t="s">
        <v>2673</v>
      </c>
      <c r="B262" t="s">
        <v>38</v>
      </c>
      <c r="C262" s="1">
        <v>45868.679166666669</v>
      </c>
      <c r="D262" t="s">
        <v>5146</v>
      </c>
    </row>
    <row r="263" spans="1:4" x14ac:dyDescent="0.25">
      <c r="A263" t="s">
        <v>344</v>
      </c>
      <c r="B263" t="s">
        <v>39</v>
      </c>
      <c r="C263" s="1">
        <v>46034.690972222219</v>
      </c>
      <c r="D263" t="s">
        <v>5146</v>
      </c>
    </row>
    <row r="264" spans="1:4" x14ac:dyDescent="0.25">
      <c r="A264" t="s">
        <v>345</v>
      </c>
      <c r="B264" t="s">
        <v>38</v>
      </c>
      <c r="C264" s="1">
        <v>46029.464583333334</v>
      </c>
      <c r="D264" t="s">
        <v>5146</v>
      </c>
    </row>
    <row r="265" spans="1:4" x14ac:dyDescent="0.25">
      <c r="A265" t="s">
        <v>2674</v>
      </c>
      <c r="B265" t="s">
        <v>38</v>
      </c>
      <c r="C265" s="1">
        <v>45877.500694444447</v>
      </c>
      <c r="D265" t="s">
        <v>5146</v>
      </c>
    </row>
    <row r="266" spans="1:4" x14ac:dyDescent="0.25">
      <c r="A266" t="s">
        <v>2675</v>
      </c>
      <c r="B266" t="s">
        <v>38</v>
      </c>
      <c r="C266" s="1">
        <v>45866.539583333331</v>
      </c>
      <c r="D266" t="s">
        <v>5146</v>
      </c>
    </row>
    <row r="267" spans="1:4" x14ac:dyDescent="0.25">
      <c r="A267" t="s">
        <v>2676</v>
      </c>
      <c r="B267" t="s">
        <v>38</v>
      </c>
      <c r="C267" s="1">
        <v>45866.532638888886</v>
      </c>
      <c r="D267" t="s">
        <v>5146</v>
      </c>
    </row>
    <row r="268" spans="1:4" x14ac:dyDescent="0.25">
      <c r="A268" t="s">
        <v>2677</v>
      </c>
      <c r="B268" t="s">
        <v>38</v>
      </c>
      <c r="C268" s="1">
        <v>45874.671527777777</v>
      </c>
      <c r="D268" t="s">
        <v>5146</v>
      </c>
    </row>
    <row r="269" spans="1:4" x14ac:dyDescent="0.25">
      <c r="A269" t="s">
        <v>2678</v>
      </c>
      <c r="B269" t="s">
        <v>38</v>
      </c>
      <c r="C269" s="1">
        <v>45881.504166666666</v>
      </c>
      <c r="D269" t="s">
        <v>5146</v>
      </c>
    </row>
    <row r="270" spans="1:4" x14ac:dyDescent="0.25">
      <c r="A270" t="s">
        <v>2679</v>
      </c>
      <c r="B270" t="s">
        <v>38</v>
      </c>
      <c r="C270" s="1">
        <v>45869.463194444441</v>
      </c>
      <c r="D270" t="s">
        <v>5146</v>
      </c>
    </row>
    <row r="271" spans="1:4" x14ac:dyDescent="0.25">
      <c r="A271" t="s">
        <v>2680</v>
      </c>
      <c r="B271" t="s">
        <v>38</v>
      </c>
      <c r="C271" s="1">
        <v>45910.675000000003</v>
      </c>
      <c r="D271" t="s">
        <v>5146</v>
      </c>
    </row>
    <row r="272" spans="1:4" x14ac:dyDescent="0.25">
      <c r="A272" t="s">
        <v>2681</v>
      </c>
      <c r="B272" t="s">
        <v>38</v>
      </c>
      <c r="C272" s="1">
        <v>45866.525000000001</v>
      </c>
      <c r="D272" t="s">
        <v>5146</v>
      </c>
    </row>
    <row r="273" spans="1:4" x14ac:dyDescent="0.25">
      <c r="A273" t="s">
        <v>2682</v>
      </c>
      <c r="B273" t="s">
        <v>38</v>
      </c>
      <c r="C273" s="1">
        <v>45910.674305555556</v>
      </c>
      <c r="D273" t="s">
        <v>5146</v>
      </c>
    </row>
    <row r="274" spans="1:4" x14ac:dyDescent="0.25">
      <c r="A274" t="s">
        <v>2683</v>
      </c>
      <c r="B274" t="s">
        <v>39</v>
      </c>
      <c r="C274" s="1">
        <v>45869.424305555556</v>
      </c>
      <c r="D274" t="s">
        <v>5146</v>
      </c>
    </row>
    <row r="275" spans="1:4" x14ac:dyDescent="0.25">
      <c r="A275" t="s">
        <v>2684</v>
      </c>
      <c r="B275" t="s">
        <v>39</v>
      </c>
      <c r="C275" s="1">
        <v>45868.536111111112</v>
      </c>
      <c r="D275" t="s">
        <v>5146</v>
      </c>
    </row>
    <row r="276" spans="1:4" x14ac:dyDescent="0.25">
      <c r="A276" t="s">
        <v>2685</v>
      </c>
      <c r="B276" t="s">
        <v>38</v>
      </c>
      <c r="C276" s="1">
        <v>45883.631249999999</v>
      </c>
      <c r="D276" t="s">
        <v>5146</v>
      </c>
    </row>
    <row r="277" spans="1:4" x14ac:dyDescent="0.25">
      <c r="A277" t="s">
        <v>2686</v>
      </c>
      <c r="B277" t="s">
        <v>38</v>
      </c>
      <c r="C277" s="1">
        <v>45889.78402777778</v>
      </c>
      <c r="D277" t="s">
        <v>5146</v>
      </c>
    </row>
    <row r="278" spans="1:4" x14ac:dyDescent="0.25">
      <c r="A278" t="s">
        <v>2687</v>
      </c>
      <c r="B278" t="s">
        <v>38</v>
      </c>
      <c r="C278" s="1">
        <v>45881.511111111111</v>
      </c>
      <c r="D278" t="s">
        <v>5146</v>
      </c>
    </row>
    <row r="279" spans="1:4" x14ac:dyDescent="0.25">
      <c r="A279" t="s">
        <v>2688</v>
      </c>
      <c r="B279" t="s">
        <v>38</v>
      </c>
      <c r="C279" s="1">
        <v>45920.636111111111</v>
      </c>
      <c r="D279" t="s">
        <v>5146</v>
      </c>
    </row>
    <row r="280" spans="1:4" x14ac:dyDescent="0.25">
      <c r="A280" t="s">
        <v>2689</v>
      </c>
      <c r="B280" t="s">
        <v>38</v>
      </c>
      <c r="C280" s="1">
        <v>45891.691666666666</v>
      </c>
      <c r="D280" t="s">
        <v>5146</v>
      </c>
    </row>
    <row r="281" spans="1:4" x14ac:dyDescent="0.25">
      <c r="A281" t="s">
        <v>338</v>
      </c>
      <c r="B281" t="s">
        <v>38</v>
      </c>
      <c r="C281" s="1">
        <v>46024.527083333334</v>
      </c>
      <c r="D281" t="s">
        <v>5146</v>
      </c>
    </row>
    <row r="282" spans="1:4" x14ac:dyDescent="0.25">
      <c r="A282" t="s">
        <v>2690</v>
      </c>
      <c r="B282" t="s">
        <v>38</v>
      </c>
      <c r="C282" s="1">
        <v>45881.51666666667</v>
      </c>
      <c r="D282" t="s">
        <v>5146</v>
      </c>
    </row>
    <row r="283" spans="1:4" x14ac:dyDescent="0.25">
      <c r="A283" t="s">
        <v>2691</v>
      </c>
      <c r="B283" t="s">
        <v>38</v>
      </c>
      <c r="C283" s="1">
        <v>45869.709027777775</v>
      </c>
      <c r="D283" t="s">
        <v>5146</v>
      </c>
    </row>
    <row r="284" spans="1:4" x14ac:dyDescent="0.25">
      <c r="A284" t="s">
        <v>2692</v>
      </c>
      <c r="B284" t="s">
        <v>38</v>
      </c>
      <c r="C284" s="1">
        <v>45897.495138888888</v>
      </c>
      <c r="D284" t="s">
        <v>5146</v>
      </c>
    </row>
    <row r="285" spans="1:4" x14ac:dyDescent="0.25">
      <c r="A285" t="s">
        <v>2693</v>
      </c>
      <c r="B285" t="s">
        <v>38</v>
      </c>
      <c r="C285" s="1">
        <v>45888.447222222225</v>
      </c>
      <c r="D285" t="s">
        <v>5146</v>
      </c>
    </row>
    <row r="286" spans="1:4" x14ac:dyDescent="0.25">
      <c r="A286" t="s">
        <v>2694</v>
      </c>
      <c r="B286" t="s">
        <v>38</v>
      </c>
      <c r="C286" s="1">
        <v>45878.736805555556</v>
      </c>
      <c r="D286" t="s">
        <v>5146</v>
      </c>
    </row>
    <row r="287" spans="1:4" x14ac:dyDescent="0.25">
      <c r="A287" t="s">
        <v>2695</v>
      </c>
      <c r="B287" t="s">
        <v>38</v>
      </c>
      <c r="C287" s="1">
        <v>45877.512499999997</v>
      </c>
      <c r="D287" t="s">
        <v>5146</v>
      </c>
    </row>
    <row r="288" spans="1:4" x14ac:dyDescent="0.25">
      <c r="A288" t="s">
        <v>2696</v>
      </c>
      <c r="B288" t="s">
        <v>38</v>
      </c>
      <c r="C288" s="1">
        <v>45875.762499999997</v>
      </c>
      <c r="D288" t="s">
        <v>5146</v>
      </c>
    </row>
    <row r="289" spans="1:4" x14ac:dyDescent="0.25">
      <c r="A289" t="s">
        <v>2697</v>
      </c>
      <c r="B289" t="s">
        <v>38</v>
      </c>
      <c r="C289" s="1">
        <v>45931.570138888892</v>
      </c>
      <c r="D289" t="s">
        <v>5146</v>
      </c>
    </row>
    <row r="290" spans="1:4" x14ac:dyDescent="0.25">
      <c r="A290" t="s">
        <v>328</v>
      </c>
      <c r="B290" t="s">
        <v>39</v>
      </c>
      <c r="C290" s="1">
        <v>46034.536111111112</v>
      </c>
      <c r="D290" t="s">
        <v>5146</v>
      </c>
    </row>
    <row r="291" spans="1:4" x14ac:dyDescent="0.25">
      <c r="A291" t="s">
        <v>2698</v>
      </c>
      <c r="B291" t="s">
        <v>38</v>
      </c>
      <c r="C291" s="1">
        <v>45881.629861111112</v>
      </c>
      <c r="D291" t="s">
        <v>5146</v>
      </c>
    </row>
    <row r="292" spans="1:4" x14ac:dyDescent="0.25">
      <c r="A292" t="s">
        <v>2699</v>
      </c>
      <c r="B292" t="s">
        <v>38</v>
      </c>
      <c r="C292" s="1">
        <v>45880.457638888889</v>
      </c>
      <c r="D292" t="s">
        <v>5146</v>
      </c>
    </row>
    <row r="293" spans="1:4" x14ac:dyDescent="0.25">
      <c r="A293" t="s">
        <v>326</v>
      </c>
      <c r="B293" t="s">
        <v>38</v>
      </c>
      <c r="C293" s="1">
        <v>46024.522916666669</v>
      </c>
      <c r="D293" t="s">
        <v>5146</v>
      </c>
    </row>
    <row r="294" spans="1:4" x14ac:dyDescent="0.25">
      <c r="A294" t="s">
        <v>327</v>
      </c>
      <c r="B294" t="s">
        <v>39</v>
      </c>
      <c r="C294" s="1">
        <v>46050.435416666667</v>
      </c>
      <c r="D294" t="s">
        <v>5146</v>
      </c>
    </row>
    <row r="295" spans="1:4" x14ac:dyDescent="0.25">
      <c r="A295" t="s">
        <v>2700</v>
      </c>
      <c r="B295" t="s">
        <v>38</v>
      </c>
      <c r="C295" s="1">
        <v>45910.67291666667</v>
      </c>
      <c r="D295" t="s">
        <v>5146</v>
      </c>
    </row>
    <row r="296" spans="1:4" x14ac:dyDescent="0.25">
      <c r="A296" t="s">
        <v>2701</v>
      </c>
      <c r="B296" t="s">
        <v>38</v>
      </c>
      <c r="C296" s="1">
        <v>45903.515277777777</v>
      </c>
      <c r="D296" t="s">
        <v>5146</v>
      </c>
    </row>
    <row r="297" spans="1:4" x14ac:dyDescent="0.25">
      <c r="A297" t="s">
        <v>2702</v>
      </c>
      <c r="B297" t="s">
        <v>38</v>
      </c>
      <c r="C297" s="1">
        <v>45877.525000000001</v>
      </c>
      <c r="D297" t="s">
        <v>5146</v>
      </c>
    </row>
    <row r="298" spans="1:4" x14ac:dyDescent="0.25">
      <c r="A298" t="s">
        <v>2703</v>
      </c>
      <c r="B298" t="s">
        <v>38</v>
      </c>
      <c r="C298" s="1">
        <v>45880.456944444442</v>
      </c>
      <c r="D298" t="s">
        <v>5146</v>
      </c>
    </row>
    <row r="299" spans="1:4" x14ac:dyDescent="0.25">
      <c r="A299" t="s">
        <v>2704</v>
      </c>
      <c r="B299" t="s">
        <v>38</v>
      </c>
      <c r="C299" s="1">
        <v>45888.447222222225</v>
      </c>
      <c r="D299" t="s">
        <v>5146</v>
      </c>
    </row>
    <row r="300" spans="1:4" x14ac:dyDescent="0.25">
      <c r="A300" t="s">
        <v>322</v>
      </c>
      <c r="B300" t="s">
        <v>38</v>
      </c>
      <c r="C300" s="1">
        <v>46025.508333333331</v>
      </c>
      <c r="D300" t="s">
        <v>5146</v>
      </c>
    </row>
    <row r="301" spans="1:4" x14ac:dyDescent="0.25">
      <c r="A301" t="s">
        <v>323</v>
      </c>
      <c r="B301" t="s">
        <v>38</v>
      </c>
      <c r="C301" s="1">
        <v>46036.556944444441</v>
      </c>
      <c r="D301" t="s">
        <v>5146</v>
      </c>
    </row>
    <row r="302" spans="1:4" x14ac:dyDescent="0.25">
      <c r="A302" t="s">
        <v>319</v>
      </c>
      <c r="B302" t="s">
        <v>38</v>
      </c>
      <c r="C302" s="1">
        <v>46022.55</v>
      </c>
      <c r="D302" t="s">
        <v>5146</v>
      </c>
    </row>
    <row r="303" spans="1:4" x14ac:dyDescent="0.25">
      <c r="A303" t="s">
        <v>2705</v>
      </c>
      <c r="B303" t="s">
        <v>38</v>
      </c>
      <c r="C303" s="1">
        <v>45910.67291666667</v>
      </c>
      <c r="D303" t="s">
        <v>5146</v>
      </c>
    </row>
    <row r="304" spans="1:4" x14ac:dyDescent="0.25">
      <c r="A304" t="s">
        <v>2706</v>
      </c>
      <c r="B304" t="s">
        <v>38</v>
      </c>
      <c r="C304" s="1">
        <v>45878.865277777775</v>
      </c>
      <c r="D304" t="s">
        <v>5146</v>
      </c>
    </row>
    <row r="305" spans="1:4" x14ac:dyDescent="0.25">
      <c r="A305" t="s">
        <v>2707</v>
      </c>
      <c r="B305" t="s">
        <v>38</v>
      </c>
      <c r="C305" s="1">
        <v>45910.672222222223</v>
      </c>
      <c r="D305" t="s">
        <v>5146</v>
      </c>
    </row>
    <row r="306" spans="1:4" x14ac:dyDescent="0.25">
      <c r="A306" t="s">
        <v>2708</v>
      </c>
      <c r="B306" t="s">
        <v>39</v>
      </c>
      <c r="C306" s="1">
        <v>45882.629166666666</v>
      </c>
      <c r="D306" t="s">
        <v>5146</v>
      </c>
    </row>
    <row r="307" spans="1:4" x14ac:dyDescent="0.25">
      <c r="A307" t="s">
        <v>2709</v>
      </c>
      <c r="B307" t="s">
        <v>39</v>
      </c>
      <c r="C307" s="1">
        <v>45876.462500000001</v>
      </c>
      <c r="D307" t="s">
        <v>5146</v>
      </c>
    </row>
    <row r="308" spans="1:4" x14ac:dyDescent="0.25">
      <c r="A308" t="s">
        <v>2710</v>
      </c>
      <c r="B308" t="s">
        <v>38</v>
      </c>
      <c r="C308" s="1">
        <v>45875.824999999997</v>
      </c>
      <c r="D308" t="s">
        <v>5146</v>
      </c>
    </row>
    <row r="309" spans="1:4" x14ac:dyDescent="0.25">
      <c r="A309" t="s">
        <v>2711</v>
      </c>
      <c r="B309" t="s">
        <v>39</v>
      </c>
      <c r="C309" s="1">
        <v>45888.46597222222</v>
      </c>
      <c r="D309" t="s">
        <v>5146</v>
      </c>
    </row>
    <row r="310" spans="1:4" x14ac:dyDescent="0.25">
      <c r="A310" t="s">
        <v>2712</v>
      </c>
      <c r="B310" t="s">
        <v>38</v>
      </c>
      <c r="C310" s="1">
        <v>45988.541666666664</v>
      </c>
      <c r="D310" t="s">
        <v>5146</v>
      </c>
    </row>
    <row r="311" spans="1:4" x14ac:dyDescent="0.25">
      <c r="A311" t="s">
        <v>2713</v>
      </c>
      <c r="B311" t="s">
        <v>38</v>
      </c>
      <c r="C311" s="1">
        <v>45881.613194444442</v>
      </c>
      <c r="D311" t="s">
        <v>5146</v>
      </c>
    </row>
    <row r="312" spans="1:4" x14ac:dyDescent="0.25">
      <c r="A312" t="s">
        <v>2714</v>
      </c>
      <c r="B312" t="s">
        <v>38</v>
      </c>
      <c r="C312" s="1">
        <v>45881.634027777778</v>
      </c>
      <c r="D312" t="s">
        <v>5146</v>
      </c>
    </row>
    <row r="313" spans="1:4" x14ac:dyDescent="0.25">
      <c r="A313" t="s">
        <v>303</v>
      </c>
      <c r="B313" t="s">
        <v>38</v>
      </c>
      <c r="C313" s="1">
        <v>46036.555555555555</v>
      </c>
      <c r="D313" t="s">
        <v>5146</v>
      </c>
    </row>
    <row r="314" spans="1:4" x14ac:dyDescent="0.25">
      <c r="A314" t="s">
        <v>304</v>
      </c>
      <c r="B314" t="s">
        <v>38</v>
      </c>
      <c r="C314" s="1">
        <v>46021.631249999999</v>
      </c>
      <c r="D314" t="s">
        <v>5146</v>
      </c>
    </row>
    <row r="315" spans="1:4" x14ac:dyDescent="0.25">
      <c r="A315" t="s">
        <v>2715</v>
      </c>
      <c r="B315" t="s">
        <v>38</v>
      </c>
      <c r="C315" s="1">
        <v>45878.930555555555</v>
      </c>
      <c r="D315" t="s">
        <v>5146</v>
      </c>
    </row>
    <row r="316" spans="1:4" x14ac:dyDescent="0.25">
      <c r="A316" t="s">
        <v>2716</v>
      </c>
      <c r="B316" t="s">
        <v>38</v>
      </c>
      <c r="C316" s="1">
        <v>45881.681250000001</v>
      </c>
      <c r="D316" t="s">
        <v>5146</v>
      </c>
    </row>
    <row r="317" spans="1:4" x14ac:dyDescent="0.25">
      <c r="A317" t="s">
        <v>2717</v>
      </c>
      <c r="B317" t="s">
        <v>38</v>
      </c>
      <c r="C317" s="1">
        <v>45903.573611111111</v>
      </c>
      <c r="D317" t="s">
        <v>5146</v>
      </c>
    </row>
    <row r="318" spans="1:4" x14ac:dyDescent="0.25">
      <c r="A318" t="s">
        <v>2718</v>
      </c>
      <c r="B318" t="s">
        <v>38</v>
      </c>
      <c r="C318" s="1">
        <v>45903.574305555558</v>
      </c>
      <c r="D318" t="s">
        <v>5146</v>
      </c>
    </row>
    <row r="319" spans="1:4" x14ac:dyDescent="0.25">
      <c r="A319" t="s">
        <v>2719</v>
      </c>
      <c r="B319" t="s">
        <v>38</v>
      </c>
      <c r="C319" s="1">
        <v>45888.447222222225</v>
      </c>
      <c r="D319" t="s">
        <v>5146</v>
      </c>
    </row>
    <row r="320" spans="1:4" x14ac:dyDescent="0.25">
      <c r="A320" t="s">
        <v>2720</v>
      </c>
      <c r="B320" t="s">
        <v>38</v>
      </c>
      <c r="C320" s="1">
        <v>45880.574999999997</v>
      </c>
      <c r="D320" t="s">
        <v>5146</v>
      </c>
    </row>
    <row r="321" spans="1:4" x14ac:dyDescent="0.25">
      <c r="A321" t="s">
        <v>2721</v>
      </c>
      <c r="B321" t="s">
        <v>38</v>
      </c>
      <c r="C321" s="1">
        <v>45910.67083333333</v>
      </c>
      <c r="D321" t="s">
        <v>5146</v>
      </c>
    </row>
    <row r="322" spans="1:4" x14ac:dyDescent="0.25">
      <c r="A322" t="s">
        <v>2722</v>
      </c>
      <c r="B322" t="s">
        <v>38</v>
      </c>
      <c r="C322" s="1">
        <v>45910.67083333333</v>
      </c>
      <c r="D322" t="s">
        <v>5146</v>
      </c>
    </row>
    <row r="323" spans="1:4" x14ac:dyDescent="0.25">
      <c r="A323" t="s">
        <v>2723</v>
      </c>
      <c r="B323" t="s">
        <v>38</v>
      </c>
      <c r="C323" s="1">
        <v>45910.670138888891</v>
      </c>
      <c r="D323" t="s">
        <v>5146</v>
      </c>
    </row>
    <row r="324" spans="1:4" x14ac:dyDescent="0.25">
      <c r="A324" t="s">
        <v>2724</v>
      </c>
      <c r="B324" t="s">
        <v>38</v>
      </c>
      <c r="C324" s="1">
        <v>45887.724999999999</v>
      </c>
      <c r="D324" t="s">
        <v>5146</v>
      </c>
    </row>
    <row r="325" spans="1:4" x14ac:dyDescent="0.25">
      <c r="A325" t="s">
        <v>2725</v>
      </c>
      <c r="B325" t="s">
        <v>38</v>
      </c>
      <c r="C325" s="1">
        <v>45903.574305555558</v>
      </c>
      <c r="D325" t="s">
        <v>5146</v>
      </c>
    </row>
    <row r="326" spans="1:4" x14ac:dyDescent="0.25">
      <c r="A326" t="s">
        <v>2726</v>
      </c>
      <c r="B326" t="s">
        <v>38</v>
      </c>
      <c r="C326" s="1">
        <v>45883.684027777781</v>
      </c>
      <c r="D326" t="s">
        <v>5146</v>
      </c>
    </row>
    <row r="327" spans="1:4" x14ac:dyDescent="0.25">
      <c r="A327" t="s">
        <v>306</v>
      </c>
      <c r="B327" t="s">
        <v>38</v>
      </c>
      <c r="C327" s="1">
        <v>46022.574305555558</v>
      </c>
      <c r="D327" t="s">
        <v>5146</v>
      </c>
    </row>
    <row r="328" spans="1:4" x14ac:dyDescent="0.25">
      <c r="A328" t="s">
        <v>2727</v>
      </c>
      <c r="B328" t="s">
        <v>38</v>
      </c>
      <c r="C328" s="1">
        <v>45903.574999999997</v>
      </c>
      <c r="D328" t="s">
        <v>5146</v>
      </c>
    </row>
    <row r="329" spans="1:4" x14ac:dyDescent="0.25">
      <c r="A329" t="s">
        <v>2728</v>
      </c>
      <c r="B329" t="s">
        <v>38</v>
      </c>
      <c r="C329" s="1">
        <v>45903.574999999997</v>
      </c>
      <c r="D329" t="s">
        <v>5146</v>
      </c>
    </row>
    <row r="330" spans="1:4" x14ac:dyDescent="0.25">
      <c r="A330" t="s">
        <v>307</v>
      </c>
      <c r="B330" t="s">
        <v>38</v>
      </c>
      <c r="C330" s="1">
        <v>46020.51666666667</v>
      </c>
      <c r="D330" t="s">
        <v>5146</v>
      </c>
    </row>
    <row r="331" spans="1:4" x14ac:dyDescent="0.25">
      <c r="A331" t="s">
        <v>2729</v>
      </c>
      <c r="B331" t="s">
        <v>38</v>
      </c>
      <c r="C331" s="1">
        <v>45883.70416666667</v>
      </c>
      <c r="D331" t="s">
        <v>5146</v>
      </c>
    </row>
    <row r="332" spans="1:4" x14ac:dyDescent="0.25">
      <c r="A332" t="s">
        <v>2730</v>
      </c>
      <c r="B332" t="s">
        <v>38</v>
      </c>
      <c r="C332" s="1">
        <v>45903.575694444444</v>
      </c>
      <c r="D332" t="s">
        <v>5146</v>
      </c>
    </row>
    <row r="333" spans="1:4" x14ac:dyDescent="0.25">
      <c r="A333" t="s">
        <v>2731</v>
      </c>
      <c r="B333" t="s">
        <v>39</v>
      </c>
      <c r="C333" s="1">
        <v>45901.541666666664</v>
      </c>
      <c r="D333" t="s">
        <v>5146</v>
      </c>
    </row>
    <row r="334" spans="1:4" x14ac:dyDescent="0.25">
      <c r="A334" t="s">
        <v>2732</v>
      </c>
      <c r="B334" t="s">
        <v>38</v>
      </c>
      <c r="C334" s="1">
        <v>45888.446527777778</v>
      </c>
      <c r="D334" t="s">
        <v>5146</v>
      </c>
    </row>
    <row r="335" spans="1:4" x14ac:dyDescent="0.25">
      <c r="A335" t="s">
        <v>311</v>
      </c>
      <c r="B335" t="s">
        <v>38</v>
      </c>
      <c r="C335" s="1">
        <v>46036.565972222219</v>
      </c>
      <c r="D335" t="s">
        <v>5146</v>
      </c>
    </row>
    <row r="336" spans="1:4" x14ac:dyDescent="0.25">
      <c r="A336" t="s">
        <v>2733</v>
      </c>
      <c r="B336" t="s">
        <v>39</v>
      </c>
      <c r="C336" s="1">
        <v>45903.736805555556</v>
      </c>
      <c r="D336" t="s">
        <v>5146</v>
      </c>
    </row>
    <row r="337" spans="1:4" x14ac:dyDescent="0.25">
      <c r="A337" t="s">
        <v>297</v>
      </c>
      <c r="B337" t="s">
        <v>38</v>
      </c>
      <c r="C337" s="1">
        <v>46036.554861111108</v>
      </c>
      <c r="D337" t="s">
        <v>5146</v>
      </c>
    </row>
    <row r="338" spans="1:4" x14ac:dyDescent="0.25">
      <c r="A338" t="s">
        <v>298</v>
      </c>
      <c r="B338" t="s">
        <v>39</v>
      </c>
      <c r="C338" s="1">
        <v>46029.731944444444</v>
      </c>
      <c r="D338" t="s">
        <v>5146</v>
      </c>
    </row>
    <row r="339" spans="1:4" x14ac:dyDescent="0.25">
      <c r="A339" t="s">
        <v>2734</v>
      </c>
      <c r="B339" t="s">
        <v>38</v>
      </c>
      <c r="C339" s="1">
        <v>45903.575694444444</v>
      </c>
      <c r="D339" t="s">
        <v>5146</v>
      </c>
    </row>
    <row r="340" spans="1:4" x14ac:dyDescent="0.25">
      <c r="A340" t="s">
        <v>2735</v>
      </c>
      <c r="B340" t="s">
        <v>38</v>
      </c>
      <c r="C340" s="1">
        <v>45903.576388888891</v>
      </c>
      <c r="D340" t="s">
        <v>5146</v>
      </c>
    </row>
    <row r="341" spans="1:4" x14ac:dyDescent="0.25">
      <c r="A341" t="s">
        <v>300</v>
      </c>
      <c r="B341" t="s">
        <v>38</v>
      </c>
      <c r="C341" s="1">
        <v>46034.67083333333</v>
      </c>
      <c r="D341" t="s">
        <v>5146</v>
      </c>
    </row>
    <row r="342" spans="1:4" x14ac:dyDescent="0.25">
      <c r="A342" t="s">
        <v>2736</v>
      </c>
      <c r="B342" t="s">
        <v>38</v>
      </c>
      <c r="C342" s="1">
        <v>45888.446527777778</v>
      </c>
      <c r="D342" t="s">
        <v>5146</v>
      </c>
    </row>
    <row r="343" spans="1:4" x14ac:dyDescent="0.25">
      <c r="A343" t="s">
        <v>2737</v>
      </c>
      <c r="B343" t="s">
        <v>39</v>
      </c>
      <c r="C343" s="1">
        <v>45890.60833333333</v>
      </c>
      <c r="D343" t="s">
        <v>5146</v>
      </c>
    </row>
    <row r="344" spans="1:4" x14ac:dyDescent="0.25">
      <c r="A344" t="s">
        <v>2738</v>
      </c>
      <c r="B344" t="s">
        <v>38</v>
      </c>
      <c r="C344" s="1">
        <v>45903.580555555556</v>
      </c>
      <c r="D344" t="s">
        <v>5146</v>
      </c>
    </row>
    <row r="345" spans="1:4" x14ac:dyDescent="0.25">
      <c r="A345" t="s">
        <v>2739</v>
      </c>
      <c r="B345" t="s">
        <v>39</v>
      </c>
      <c r="C345" s="1">
        <v>45898.621527777781</v>
      </c>
      <c r="D345" t="s">
        <v>5146</v>
      </c>
    </row>
    <row r="346" spans="1:4" x14ac:dyDescent="0.25">
      <c r="A346" t="s">
        <v>2740</v>
      </c>
      <c r="B346" t="s">
        <v>38</v>
      </c>
      <c r="C346" s="1">
        <v>45988.538194444445</v>
      </c>
      <c r="D346" t="s">
        <v>5146</v>
      </c>
    </row>
    <row r="347" spans="1:4" x14ac:dyDescent="0.25">
      <c r="A347" t="s">
        <v>2741</v>
      </c>
      <c r="B347" t="s">
        <v>38</v>
      </c>
      <c r="C347" s="1">
        <v>45898.584027777775</v>
      </c>
      <c r="D347" t="s">
        <v>5146</v>
      </c>
    </row>
    <row r="348" spans="1:4" x14ac:dyDescent="0.25">
      <c r="A348" t="s">
        <v>290</v>
      </c>
      <c r="B348" t="s">
        <v>38</v>
      </c>
      <c r="C348" s="1">
        <v>46017.663888888892</v>
      </c>
      <c r="D348" t="s">
        <v>5146</v>
      </c>
    </row>
    <row r="349" spans="1:4" x14ac:dyDescent="0.25">
      <c r="A349" t="s">
        <v>2742</v>
      </c>
      <c r="B349" t="s">
        <v>38</v>
      </c>
      <c r="C349" s="1">
        <v>45898.525694444441</v>
      </c>
      <c r="D349" t="s">
        <v>5146</v>
      </c>
    </row>
    <row r="350" spans="1:4" x14ac:dyDescent="0.25">
      <c r="A350" t="s">
        <v>2743</v>
      </c>
      <c r="B350" t="s">
        <v>38</v>
      </c>
      <c r="C350" s="1">
        <v>45903.580555555556</v>
      </c>
      <c r="D350" t="s">
        <v>5146</v>
      </c>
    </row>
    <row r="351" spans="1:4" x14ac:dyDescent="0.25">
      <c r="A351" t="s">
        <v>2744</v>
      </c>
      <c r="B351" t="s">
        <v>38</v>
      </c>
      <c r="C351" s="1">
        <v>45903.581250000003</v>
      </c>
      <c r="D351" t="s">
        <v>5146</v>
      </c>
    </row>
    <row r="352" spans="1:4" x14ac:dyDescent="0.25">
      <c r="A352" t="s">
        <v>2745</v>
      </c>
      <c r="B352" t="s">
        <v>38</v>
      </c>
      <c r="C352" s="1">
        <v>45903.581250000003</v>
      </c>
      <c r="D352" t="s">
        <v>5146</v>
      </c>
    </row>
    <row r="353" spans="1:4" x14ac:dyDescent="0.25">
      <c r="A353" t="s">
        <v>292</v>
      </c>
      <c r="B353" t="s">
        <v>38</v>
      </c>
      <c r="C353" s="1">
        <v>46022.741666666669</v>
      </c>
      <c r="D353" t="s">
        <v>5146</v>
      </c>
    </row>
    <row r="354" spans="1:4" x14ac:dyDescent="0.25">
      <c r="A354" t="s">
        <v>2746</v>
      </c>
      <c r="B354" t="s">
        <v>38</v>
      </c>
      <c r="C354" s="1">
        <v>45910.668055555558</v>
      </c>
      <c r="D354" t="s">
        <v>5146</v>
      </c>
    </row>
    <row r="355" spans="1:4" x14ac:dyDescent="0.25">
      <c r="A355" t="s">
        <v>2747</v>
      </c>
      <c r="B355" t="s">
        <v>38</v>
      </c>
      <c r="C355" s="1">
        <v>45903.581250000003</v>
      </c>
      <c r="D355" t="s">
        <v>5146</v>
      </c>
    </row>
    <row r="356" spans="1:4" x14ac:dyDescent="0.25">
      <c r="A356" t="s">
        <v>293</v>
      </c>
      <c r="B356" t="s">
        <v>38</v>
      </c>
      <c r="C356" s="1">
        <v>46018.561111111114</v>
      </c>
      <c r="D356" t="s">
        <v>5146</v>
      </c>
    </row>
    <row r="357" spans="1:4" x14ac:dyDescent="0.25">
      <c r="A357" t="s">
        <v>2748</v>
      </c>
      <c r="B357" t="s">
        <v>38</v>
      </c>
      <c r="C357" s="1">
        <v>45903.581944444442</v>
      </c>
      <c r="D357" t="s">
        <v>5146</v>
      </c>
    </row>
    <row r="358" spans="1:4" x14ac:dyDescent="0.25">
      <c r="A358" t="s">
        <v>2749</v>
      </c>
      <c r="B358" t="s">
        <v>38</v>
      </c>
      <c r="C358" s="1">
        <v>45903.581944444442</v>
      </c>
      <c r="D358" t="s">
        <v>5146</v>
      </c>
    </row>
    <row r="359" spans="1:4" x14ac:dyDescent="0.25">
      <c r="A359" t="s">
        <v>2750</v>
      </c>
      <c r="B359" t="s">
        <v>38</v>
      </c>
      <c r="C359" s="1">
        <v>45898.559027777781</v>
      </c>
      <c r="D359" t="s">
        <v>5146</v>
      </c>
    </row>
    <row r="360" spans="1:4" x14ac:dyDescent="0.25">
      <c r="A360" t="s">
        <v>2751</v>
      </c>
      <c r="B360" t="s">
        <v>38</v>
      </c>
      <c r="C360" s="1">
        <v>45903.582638888889</v>
      </c>
      <c r="D360" t="s">
        <v>5146</v>
      </c>
    </row>
    <row r="361" spans="1:4" x14ac:dyDescent="0.25">
      <c r="A361" t="s">
        <v>2752</v>
      </c>
      <c r="B361" t="s">
        <v>38</v>
      </c>
      <c r="C361" s="1">
        <v>45891.472916666666</v>
      </c>
      <c r="D361" t="s">
        <v>5146</v>
      </c>
    </row>
    <row r="362" spans="1:4" x14ac:dyDescent="0.25">
      <c r="A362" t="s">
        <v>2753</v>
      </c>
      <c r="B362" t="s">
        <v>38</v>
      </c>
      <c r="C362" s="1">
        <v>45974.665277777778</v>
      </c>
      <c r="D362" t="s">
        <v>5146</v>
      </c>
    </row>
    <row r="363" spans="1:4" x14ac:dyDescent="0.25">
      <c r="A363" t="s">
        <v>2754</v>
      </c>
      <c r="B363" t="s">
        <v>38</v>
      </c>
      <c r="C363" s="1">
        <v>45903.582638888889</v>
      </c>
      <c r="D363" t="s">
        <v>5146</v>
      </c>
    </row>
    <row r="364" spans="1:4" x14ac:dyDescent="0.25">
      <c r="A364" t="s">
        <v>2755</v>
      </c>
      <c r="B364" t="s">
        <v>38</v>
      </c>
      <c r="C364" s="1">
        <v>45903.583333333336</v>
      </c>
      <c r="D364" t="s">
        <v>5146</v>
      </c>
    </row>
    <row r="365" spans="1:4" x14ac:dyDescent="0.25">
      <c r="A365" t="s">
        <v>2756</v>
      </c>
      <c r="B365" t="s">
        <v>39</v>
      </c>
      <c r="C365" s="1">
        <v>45892.412499999999</v>
      </c>
      <c r="D365" t="s">
        <v>5146</v>
      </c>
    </row>
    <row r="366" spans="1:4" x14ac:dyDescent="0.25">
      <c r="A366" t="s">
        <v>280</v>
      </c>
      <c r="B366" t="s">
        <v>39</v>
      </c>
      <c r="C366" s="1">
        <v>46029.732638888891</v>
      </c>
      <c r="D366" t="s">
        <v>5146</v>
      </c>
    </row>
    <row r="367" spans="1:4" x14ac:dyDescent="0.25">
      <c r="A367" t="s">
        <v>2757</v>
      </c>
      <c r="B367" t="s">
        <v>39</v>
      </c>
      <c r="C367" s="1">
        <v>45901.790277777778</v>
      </c>
      <c r="D367" t="s">
        <v>5146</v>
      </c>
    </row>
    <row r="368" spans="1:4" x14ac:dyDescent="0.25">
      <c r="A368" t="s">
        <v>2758</v>
      </c>
      <c r="B368" t="s">
        <v>38</v>
      </c>
      <c r="C368" s="1">
        <v>45910.65625</v>
      </c>
      <c r="D368" t="s">
        <v>5146</v>
      </c>
    </row>
    <row r="369" spans="1:4" x14ac:dyDescent="0.25">
      <c r="A369" t="s">
        <v>2759</v>
      </c>
      <c r="B369" t="s">
        <v>38</v>
      </c>
      <c r="C369" s="1">
        <v>45910.65625</v>
      </c>
      <c r="D369" t="s">
        <v>5146</v>
      </c>
    </row>
    <row r="370" spans="1:4" x14ac:dyDescent="0.25">
      <c r="A370" t="s">
        <v>2760</v>
      </c>
      <c r="B370" t="s">
        <v>38</v>
      </c>
      <c r="C370" s="1">
        <v>45898.599305555559</v>
      </c>
      <c r="D370" t="s">
        <v>5146</v>
      </c>
    </row>
    <row r="371" spans="1:4" x14ac:dyDescent="0.25">
      <c r="A371" t="s">
        <v>2761</v>
      </c>
      <c r="B371" t="s">
        <v>38</v>
      </c>
      <c r="C371" s="1">
        <v>45898.604166666664</v>
      </c>
      <c r="D371" t="s">
        <v>5146</v>
      </c>
    </row>
    <row r="372" spans="1:4" x14ac:dyDescent="0.25">
      <c r="A372" t="s">
        <v>274</v>
      </c>
      <c r="B372" t="s">
        <v>38</v>
      </c>
      <c r="C372" s="1">
        <v>46014.479166666664</v>
      </c>
      <c r="D372" t="s">
        <v>5146</v>
      </c>
    </row>
    <row r="373" spans="1:4" x14ac:dyDescent="0.25">
      <c r="A373" t="s">
        <v>2762</v>
      </c>
      <c r="B373" t="s">
        <v>38</v>
      </c>
      <c r="C373" s="1">
        <v>45910.65625</v>
      </c>
      <c r="D373" t="s">
        <v>5146</v>
      </c>
    </row>
    <row r="374" spans="1:4" x14ac:dyDescent="0.25">
      <c r="A374" t="s">
        <v>269</v>
      </c>
      <c r="B374" t="s">
        <v>39</v>
      </c>
      <c r="C374" s="1">
        <v>46029.73333333333</v>
      </c>
      <c r="D374" t="s">
        <v>5146</v>
      </c>
    </row>
    <row r="375" spans="1:4" x14ac:dyDescent="0.25">
      <c r="A375" t="s">
        <v>270</v>
      </c>
      <c r="B375" t="s">
        <v>38</v>
      </c>
      <c r="C375" s="1">
        <v>46014.503472222219</v>
      </c>
      <c r="D375" t="s">
        <v>5146</v>
      </c>
    </row>
    <row r="376" spans="1:4" x14ac:dyDescent="0.25">
      <c r="A376" t="s">
        <v>2763</v>
      </c>
      <c r="B376" t="s">
        <v>38</v>
      </c>
      <c r="C376" s="1">
        <v>45910.655555555553</v>
      </c>
      <c r="D376" t="s">
        <v>5146</v>
      </c>
    </row>
    <row r="377" spans="1:4" x14ac:dyDescent="0.25">
      <c r="A377" t="s">
        <v>2764</v>
      </c>
      <c r="B377" t="s">
        <v>39</v>
      </c>
      <c r="C377" s="1">
        <v>45897.768750000003</v>
      </c>
      <c r="D377" t="s">
        <v>5146</v>
      </c>
    </row>
    <row r="378" spans="1:4" x14ac:dyDescent="0.25">
      <c r="A378" t="s">
        <v>271</v>
      </c>
      <c r="B378" t="s">
        <v>39</v>
      </c>
      <c r="C378" s="1">
        <v>46034.535416666666</v>
      </c>
      <c r="D378" t="s">
        <v>5146</v>
      </c>
    </row>
    <row r="379" spans="1:4" x14ac:dyDescent="0.25">
      <c r="A379" t="s">
        <v>272</v>
      </c>
      <c r="B379" t="s">
        <v>38</v>
      </c>
      <c r="C379" s="1">
        <v>46017.631249999999</v>
      </c>
      <c r="D379" t="s">
        <v>5146</v>
      </c>
    </row>
    <row r="380" spans="1:4" x14ac:dyDescent="0.25">
      <c r="A380" t="s">
        <v>2765</v>
      </c>
      <c r="B380" t="s">
        <v>38</v>
      </c>
      <c r="C380" s="1">
        <v>45904.494444444441</v>
      </c>
      <c r="D380" t="s">
        <v>5146</v>
      </c>
    </row>
    <row r="381" spans="1:4" x14ac:dyDescent="0.25">
      <c r="A381" t="s">
        <v>2766</v>
      </c>
      <c r="B381" t="s">
        <v>38</v>
      </c>
      <c r="C381" s="1">
        <v>46003.922222222223</v>
      </c>
      <c r="D381" t="s">
        <v>5146</v>
      </c>
    </row>
    <row r="382" spans="1:4" x14ac:dyDescent="0.25">
      <c r="A382" t="s">
        <v>2767</v>
      </c>
      <c r="B382" t="s">
        <v>38</v>
      </c>
      <c r="C382" s="1">
        <v>45910.648611111108</v>
      </c>
      <c r="D382" t="s">
        <v>5146</v>
      </c>
    </row>
    <row r="383" spans="1:4" x14ac:dyDescent="0.25">
      <c r="A383" t="s">
        <v>258</v>
      </c>
      <c r="B383" t="s">
        <v>38</v>
      </c>
      <c r="C383" s="1">
        <v>46014.499305555553</v>
      </c>
      <c r="D383" t="s">
        <v>5146</v>
      </c>
    </row>
    <row r="384" spans="1:4" x14ac:dyDescent="0.25">
      <c r="A384" t="s">
        <v>2768</v>
      </c>
      <c r="B384" t="s">
        <v>39</v>
      </c>
      <c r="C384" s="1">
        <v>45912.589583333334</v>
      </c>
      <c r="D384" t="s">
        <v>5146</v>
      </c>
    </row>
    <row r="385" spans="1:4" x14ac:dyDescent="0.25">
      <c r="A385" t="s">
        <v>260</v>
      </c>
      <c r="B385" t="s">
        <v>38</v>
      </c>
      <c r="C385" s="1">
        <v>46014.490972222222</v>
      </c>
      <c r="D385" t="s">
        <v>5146</v>
      </c>
    </row>
    <row r="386" spans="1:4" x14ac:dyDescent="0.25">
      <c r="A386" t="s">
        <v>2769</v>
      </c>
      <c r="B386" t="s">
        <v>38</v>
      </c>
      <c r="C386" s="1">
        <v>45920.709027777775</v>
      </c>
      <c r="D386" t="s">
        <v>5146</v>
      </c>
    </row>
    <row r="387" spans="1:4" x14ac:dyDescent="0.25">
      <c r="A387" t="s">
        <v>261</v>
      </c>
      <c r="B387" t="s">
        <v>38</v>
      </c>
      <c r="C387" s="1">
        <v>46013.579861111109</v>
      </c>
      <c r="D387" t="s">
        <v>5146</v>
      </c>
    </row>
    <row r="388" spans="1:4" x14ac:dyDescent="0.25">
      <c r="A388" t="s">
        <v>262</v>
      </c>
      <c r="B388" t="s">
        <v>39</v>
      </c>
      <c r="C388" s="1">
        <v>46029.734027777777</v>
      </c>
      <c r="D388" t="s">
        <v>5146</v>
      </c>
    </row>
    <row r="389" spans="1:4" x14ac:dyDescent="0.25">
      <c r="A389" t="s">
        <v>2770</v>
      </c>
      <c r="B389" t="s">
        <v>38</v>
      </c>
      <c r="C389" s="1">
        <v>45910.648611111108</v>
      </c>
      <c r="D389" t="s">
        <v>5146</v>
      </c>
    </row>
    <row r="390" spans="1:4" x14ac:dyDescent="0.25">
      <c r="A390" t="s">
        <v>2771</v>
      </c>
      <c r="B390" t="s">
        <v>39</v>
      </c>
      <c r="C390" s="1">
        <v>45908.444444444445</v>
      </c>
      <c r="D390" t="s">
        <v>5146</v>
      </c>
    </row>
    <row r="391" spans="1:4" x14ac:dyDescent="0.25">
      <c r="A391" t="s">
        <v>2772</v>
      </c>
      <c r="B391" t="s">
        <v>38</v>
      </c>
      <c r="C391" s="1">
        <v>45904.49722222222</v>
      </c>
      <c r="D391" t="s">
        <v>5146</v>
      </c>
    </row>
    <row r="392" spans="1:4" x14ac:dyDescent="0.25">
      <c r="A392" t="s">
        <v>2773</v>
      </c>
      <c r="B392" t="s">
        <v>38</v>
      </c>
      <c r="C392" s="1">
        <v>45938.468055555553</v>
      </c>
      <c r="D392" t="s">
        <v>5146</v>
      </c>
    </row>
    <row r="393" spans="1:4" x14ac:dyDescent="0.25">
      <c r="A393" t="s">
        <v>2774</v>
      </c>
      <c r="B393" t="s">
        <v>38</v>
      </c>
      <c r="C393" s="1">
        <v>45910.647916666669</v>
      </c>
      <c r="D393" t="s">
        <v>5146</v>
      </c>
    </row>
    <row r="394" spans="1:4" x14ac:dyDescent="0.25">
      <c r="A394" t="s">
        <v>2775</v>
      </c>
      <c r="B394" t="s">
        <v>39</v>
      </c>
      <c r="C394" s="1">
        <v>45901.526388888888</v>
      </c>
      <c r="D394" t="s">
        <v>5146</v>
      </c>
    </row>
    <row r="395" spans="1:4" x14ac:dyDescent="0.25">
      <c r="A395" t="s">
        <v>2776</v>
      </c>
      <c r="B395" t="s">
        <v>39</v>
      </c>
      <c r="C395" s="1">
        <v>45911.656944444447</v>
      </c>
      <c r="D395" t="s">
        <v>5146</v>
      </c>
    </row>
    <row r="396" spans="1:4" x14ac:dyDescent="0.25">
      <c r="A396" t="s">
        <v>2777</v>
      </c>
      <c r="B396" t="s">
        <v>38</v>
      </c>
      <c r="C396" s="1">
        <v>45910.646527777775</v>
      </c>
      <c r="D396" t="s">
        <v>5146</v>
      </c>
    </row>
    <row r="397" spans="1:4" x14ac:dyDescent="0.25">
      <c r="A397" t="s">
        <v>2778</v>
      </c>
      <c r="B397" t="s">
        <v>38</v>
      </c>
      <c r="C397" s="1">
        <v>45910.646527777775</v>
      </c>
      <c r="D397" t="s">
        <v>5146</v>
      </c>
    </row>
    <row r="398" spans="1:4" x14ac:dyDescent="0.25">
      <c r="A398" t="s">
        <v>2779</v>
      </c>
      <c r="B398" t="s">
        <v>39</v>
      </c>
      <c r="C398" s="1">
        <v>45904.655555555553</v>
      </c>
      <c r="D398" t="s">
        <v>5146</v>
      </c>
    </row>
    <row r="399" spans="1:4" x14ac:dyDescent="0.25">
      <c r="A399" t="s">
        <v>2780</v>
      </c>
      <c r="B399" t="s">
        <v>38</v>
      </c>
      <c r="C399" s="1">
        <v>45910.622916666667</v>
      </c>
      <c r="D399" t="s">
        <v>5146</v>
      </c>
    </row>
    <row r="400" spans="1:4" x14ac:dyDescent="0.25">
      <c r="A400" t="s">
        <v>2781</v>
      </c>
      <c r="B400" t="s">
        <v>39</v>
      </c>
      <c r="C400" s="1">
        <v>45901.527083333334</v>
      </c>
      <c r="D400" t="s">
        <v>5146</v>
      </c>
    </row>
    <row r="401" spans="1:4" x14ac:dyDescent="0.25">
      <c r="A401" t="s">
        <v>2782</v>
      </c>
      <c r="B401" t="s">
        <v>38</v>
      </c>
      <c r="C401" s="1">
        <v>45910.62222222222</v>
      </c>
      <c r="D401" t="s">
        <v>5146</v>
      </c>
    </row>
    <row r="402" spans="1:4" x14ac:dyDescent="0.25">
      <c r="A402" t="s">
        <v>2783</v>
      </c>
      <c r="B402" t="s">
        <v>38</v>
      </c>
      <c r="C402" s="1">
        <v>45910.62222222222</v>
      </c>
      <c r="D402" t="s">
        <v>5146</v>
      </c>
    </row>
    <row r="403" spans="1:4" x14ac:dyDescent="0.25">
      <c r="A403" t="s">
        <v>2784</v>
      </c>
      <c r="B403" t="s">
        <v>38</v>
      </c>
      <c r="C403" s="1">
        <v>45904.696527777778</v>
      </c>
      <c r="D403" t="s">
        <v>5146</v>
      </c>
    </row>
    <row r="404" spans="1:4" x14ac:dyDescent="0.25">
      <c r="A404" t="s">
        <v>2785</v>
      </c>
      <c r="B404" t="s">
        <v>38</v>
      </c>
      <c r="C404" s="1">
        <v>45910.621527777781</v>
      </c>
      <c r="D404" t="s">
        <v>5146</v>
      </c>
    </row>
    <row r="405" spans="1:4" x14ac:dyDescent="0.25">
      <c r="A405" t="s">
        <v>244</v>
      </c>
      <c r="B405" t="s">
        <v>38</v>
      </c>
      <c r="C405" s="1">
        <v>46014.698611111111</v>
      </c>
      <c r="D405" t="s">
        <v>5146</v>
      </c>
    </row>
    <row r="406" spans="1:4" x14ac:dyDescent="0.25">
      <c r="A406" t="s">
        <v>2786</v>
      </c>
      <c r="B406" t="s">
        <v>38</v>
      </c>
      <c r="C406" s="1">
        <v>45910.823611111111</v>
      </c>
      <c r="D406" t="s">
        <v>5146</v>
      </c>
    </row>
    <row r="407" spans="1:4" x14ac:dyDescent="0.25">
      <c r="A407" t="s">
        <v>240</v>
      </c>
      <c r="B407" t="s">
        <v>38</v>
      </c>
      <c r="C407" s="1">
        <v>46010.477083333331</v>
      </c>
      <c r="D407" t="s">
        <v>5146</v>
      </c>
    </row>
    <row r="408" spans="1:4" x14ac:dyDescent="0.25">
      <c r="A408" t="s">
        <v>241</v>
      </c>
      <c r="B408" t="s">
        <v>38</v>
      </c>
      <c r="C408" s="1">
        <v>46024.759722222225</v>
      </c>
      <c r="D408" t="s">
        <v>5146</v>
      </c>
    </row>
    <row r="409" spans="1:4" x14ac:dyDescent="0.25">
      <c r="A409" t="s">
        <v>242</v>
      </c>
      <c r="B409" t="s">
        <v>38</v>
      </c>
      <c r="C409" s="1">
        <v>46013.518055555556</v>
      </c>
      <c r="D409" t="s">
        <v>5146</v>
      </c>
    </row>
    <row r="410" spans="1:4" x14ac:dyDescent="0.25">
      <c r="A410" t="s">
        <v>2787</v>
      </c>
      <c r="B410" t="s">
        <v>38</v>
      </c>
      <c r="C410" s="1">
        <v>45902.556944444441</v>
      </c>
      <c r="D410" t="s">
        <v>5146</v>
      </c>
    </row>
    <row r="411" spans="1:4" x14ac:dyDescent="0.25">
      <c r="A411" t="s">
        <v>230</v>
      </c>
      <c r="B411" t="s">
        <v>38</v>
      </c>
      <c r="C411" s="1">
        <v>46036.564583333333</v>
      </c>
      <c r="D411" t="s">
        <v>5146</v>
      </c>
    </row>
    <row r="412" spans="1:4" x14ac:dyDescent="0.25">
      <c r="A412" t="s">
        <v>231</v>
      </c>
      <c r="B412" t="s">
        <v>38</v>
      </c>
      <c r="C412" s="1">
        <v>46027.70416666667</v>
      </c>
      <c r="D412" t="s">
        <v>5146</v>
      </c>
    </row>
    <row r="413" spans="1:4" x14ac:dyDescent="0.25">
      <c r="A413" t="s">
        <v>2788</v>
      </c>
      <c r="B413" t="s">
        <v>38</v>
      </c>
      <c r="C413" s="1">
        <v>45910.621527777781</v>
      </c>
      <c r="D413" t="s">
        <v>5146</v>
      </c>
    </row>
    <row r="414" spans="1:4" x14ac:dyDescent="0.25">
      <c r="A414" t="s">
        <v>2789</v>
      </c>
      <c r="B414" t="s">
        <v>38</v>
      </c>
      <c r="C414" s="1">
        <v>45910.579861111109</v>
      </c>
      <c r="D414" t="s">
        <v>5146</v>
      </c>
    </row>
    <row r="415" spans="1:4" x14ac:dyDescent="0.25">
      <c r="A415" t="s">
        <v>2790</v>
      </c>
      <c r="B415" t="s">
        <v>38</v>
      </c>
      <c r="C415" s="1">
        <v>45909.574305555558</v>
      </c>
      <c r="D415" t="s">
        <v>5146</v>
      </c>
    </row>
    <row r="416" spans="1:4" x14ac:dyDescent="0.25">
      <c r="A416" t="s">
        <v>2791</v>
      </c>
      <c r="B416" t="s">
        <v>38</v>
      </c>
      <c r="C416" s="1">
        <v>45910.585416666669</v>
      </c>
      <c r="D416" t="s">
        <v>5146</v>
      </c>
    </row>
    <row r="417" spans="1:4" x14ac:dyDescent="0.25">
      <c r="A417" t="s">
        <v>2792</v>
      </c>
      <c r="B417" t="s">
        <v>38</v>
      </c>
      <c r="C417" s="1">
        <v>45911.918749999997</v>
      </c>
      <c r="D417" t="s">
        <v>5146</v>
      </c>
    </row>
    <row r="418" spans="1:4" x14ac:dyDescent="0.25">
      <c r="A418" t="s">
        <v>2793</v>
      </c>
      <c r="B418" t="s">
        <v>38</v>
      </c>
      <c r="C418" s="1">
        <v>45910.584027777775</v>
      </c>
      <c r="D418" t="s">
        <v>5146</v>
      </c>
    </row>
    <row r="419" spans="1:4" x14ac:dyDescent="0.25">
      <c r="A419" t="s">
        <v>223</v>
      </c>
      <c r="B419" t="s">
        <v>39</v>
      </c>
      <c r="C419" s="1">
        <v>46029.734027777777</v>
      </c>
      <c r="D419" t="s">
        <v>5146</v>
      </c>
    </row>
    <row r="420" spans="1:4" x14ac:dyDescent="0.25">
      <c r="A420" t="s">
        <v>2794</v>
      </c>
      <c r="B420" t="s">
        <v>38</v>
      </c>
      <c r="C420" s="1">
        <v>45958.524305555555</v>
      </c>
      <c r="D420" t="s">
        <v>5146</v>
      </c>
    </row>
    <row r="421" spans="1:4" x14ac:dyDescent="0.25">
      <c r="A421" t="s">
        <v>2795</v>
      </c>
      <c r="B421" t="s">
        <v>38</v>
      </c>
      <c r="C421" s="1">
        <v>45910.583333333336</v>
      </c>
      <c r="D421" t="s">
        <v>5146</v>
      </c>
    </row>
    <row r="422" spans="1:4" x14ac:dyDescent="0.25">
      <c r="A422" t="s">
        <v>225</v>
      </c>
      <c r="B422" t="s">
        <v>38</v>
      </c>
      <c r="C422" s="1">
        <v>46010.465277777781</v>
      </c>
      <c r="D422" t="s">
        <v>5146</v>
      </c>
    </row>
    <row r="423" spans="1:4" x14ac:dyDescent="0.25">
      <c r="A423" t="s">
        <v>2796</v>
      </c>
      <c r="B423" t="s">
        <v>39</v>
      </c>
      <c r="C423" s="1">
        <v>45916.518055555556</v>
      </c>
      <c r="D423" t="s">
        <v>5146</v>
      </c>
    </row>
    <row r="424" spans="1:4" x14ac:dyDescent="0.25">
      <c r="A424" t="s">
        <v>2797</v>
      </c>
      <c r="B424" t="s">
        <v>38</v>
      </c>
      <c r="C424" s="1">
        <v>45911.931944444441</v>
      </c>
      <c r="D424" t="s">
        <v>5146</v>
      </c>
    </row>
    <row r="425" spans="1:4" x14ac:dyDescent="0.25">
      <c r="A425" t="s">
        <v>2798</v>
      </c>
      <c r="B425" t="s">
        <v>38</v>
      </c>
      <c r="C425" s="1">
        <v>45910.838888888888</v>
      </c>
      <c r="D425" t="s">
        <v>5146</v>
      </c>
    </row>
    <row r="426" spans="1:4" x14ac:dyDescent="0.25">
      <c r="A426" t="s">
        <v>208</v>
      </c>
      <c r="B426" t="s">
        <v>38</v>
      </c>
      <c r="C426" s="1">
        <v>46008.479166666664</v>
      </c>
      <c r="D426" t="s">
        <v>5146</v>
      </c>
    </row>
    <row r="427" spans="1:4" x14ac:dyDescent="0.25">
      <c r="A427" t="s">
        <v>2799</v>
      </c>
      <c r="B427" t="s">
        <v>38</v>
      </c>
      <c r="C427" s="1">
        <v>45958.531944444447</v>
      </c>
      <c r="D427" t="s">
        <v>5146</v>
      </c>
    </row>
    <row r="428" spans="1:4" x14ac:dyDescent="0.25">
      <c r="A428" t="s">
        <v>2800</v>
      </c>
      <c r="B428" t="s">
        <v>39</v>
      </c>
      <c r="C428" s="1">
        <v>45926.588194444441</v>
      </c>
      <c r="D428" t="s">
        <v>5146</v>
      </c>
    </row>
    <row r="429" spans="1:4" x14ac:dyDescent="0.25">
      <c r="A429" t="s">
        <v>2801</v>
      </c>
      <c r="B429" t="s">
        <v>38</v>
      </c>
      <c r="C429" s="1">
        <v>45911.938194444447</v>
      </c>
      <c r="D429" t="s">
        <v>5146</v>
      </c>
    </row>
    <row r="430" spans="1:4" x14ac:dyDescent="0.25">
      <c r="A430" t="s">
        <v>195</v>
      </c>
      <c r="B430" t="s">
        <v>39</v>
      </c>
      <c r="C430" s="1">
        <v>46030.50277777778</v>
      </c>
      <c r="D430" t="s">
        <v>5146</v>
      </c>
    </row>
    <row r="431" spans="1:4" x14ac:dyDescent="0.25">
      <c r="A431" t="s">
        <v>196</v>
      </c>
      <c r="B431" t="s">
        <v>39</v>
      </c>
      <c r="C431" s="1">
        <v>46029.734722222223</v>
      </c>
      <c r="D431" t="s">
        <v>5146</v>
      </c>
    </row>
    <row r="432" spans="1:4" x14ac:dyDescent="0.25">
      <c r="A432" t="s">
        <v>2802</v>
      </c>
      <c r="B432" t="s">
        <v>38</v>
      </c>
      <c r="C432" s="1">
        <v>45958.524305555555</v>
      </c>
      <c r="D432" t="s">
        <v>5146</v>
      </c>
    </row>
    <row r="433" spans="1:4" x14ac:dyDescent="0.25">
      <c r="A433" t="s">
        <v>2803</v>
      </c>
      <c r="B433" t="s">
        <v>38</v>
      </c>
      <c r="C433" s="1">
        <v>45958.526388888888</v>
      </c>
      <c r="D433" t="s">
        <v>5146</v>
      </c>
    </row>
    <row r="434" spans="1:4" x14ac:dyDescent="0.25">
      <c r="A434" t="s">
        <v>2804</v>
      </c>
      <c r="B434" t="s">
        <v>38</v>
      </c>
      <c r="C434" s="1">
        <v>45912.921527777777</v>
      </c>
      <c r="D434" t="s">
        <v>5146</v>
      </c>
    </row>
    <row r="435" spans="1:4" x14ac:dyDescent="0.25">
      <c r="A435" t="s">
        <v>2805</v>
      </c>
      <c r="B435" t="s">
        <v>38</v>
      </c>
      <c r="C435" s="1">
        <v>45912.695833333331</v>
      </c>
      <c r="D435" t="s">
        <v>5146</v>
      </c>
    </row>
    <row r="436" spans="1:4" x14ac:dyDescent="0.25">
      <c r="A436" t="s">
        <v>2806</v>
      </c>
      <c r="B436" t="s">
        <v>39</v>
      </c>
      <c r="C436" s="1">
        <v>45925.63958333333</v>
      </c>
      <c r="D436" t="s">
        <v>5146</v>
      </c>
    </row>
    <row r="437" spans="1:4" x14ac:dyDescent="0.25">
      <c r="A437" t="s">
        <v>2807</v>
      </c>
      <c r="B437" t="s">
        <v>39</v>
      </c>
      <c r="C437" s="1">
        <v>45916.454861111109</v>
      </c>
      <c r="D437" t="s">
        <v>5146</v>
      </c>
    </row>
    <row r="438" spans="1:4" x14ac:dyDescent="0.25">
      <c r="A438" t="s">
        <v>2808</v>
      </c>
      <c r="B438" t="s">
        <v>39</v>
      </c>
      <c r="C438" s="1">
        <v>45923.57916666667</v>
      </c>
      <c r="D438" t="s">
        <v>5146</v>
      </c>
    </row>
    <row r="439" spans="1:4" x14ac:dyDescent="0.25">
      <c r="A439" t="s">
        <v>2809</v>
      </c>
      <c r="B439" t="s">
        <v>38</v>
      </c>
      <c r="C439" s="1">
        <v>45920.424305555556</v>
      </c>
      <c r="D439" t="s">
        <v>5146</v>
      </c>
    </row>
    <row r="440" spans="1:4" x14ac:dyDescent="0.25">
      <c r="A440" t="s">
        <v>2810</v>
      </c>
      <c r="B440" t="s">
        <v>39</v>
      </c>
      <c r="C440" s="1">
        <v>45940.519444444442</v>
      </c>
      <c r="D440" t="s">
        <v>5146</v>
      </c>
    </row>
    <row r="441" spans="1:4" x14ac:dyDescent="0.25">
      <c r="A441" t="s">
        <v>2811</v>
      </c>
      <c r="B441" t="s">
        <v>38</v>
      </c>
      <c r="C441" s="1">
        <v>45921.531944444447</v>
      </c>
      <c r="D441" t="s">
        <v>5146</v>
      </c>
    </row>
    <row r="442" spans="1:4" x14ac:dyDescent="0.25">
      <c r="A442" t="s">
        <v>2812</v>
      </c>
      <c r="B442" t="s">
        <v>38</v>
      </c>
      <c r="C442" s="1">
        <v>45924.45</v>
      </c>
      <c r="D442" t="s">
        <v>5146</v>
      </c>
    </row>
    <row r="443" spans="1:4" x14ac:dyDescent="0.25">
      <c r="A443" t="s">
        <v>2813</v>
      </c>
      <c r="B443" t="s">
        <v>38</v>
      </c>
      <c r="C443" s="1">
        <v>45916.909722222219</v>
      </c>
      <c r="D443" t="s">
        <v>5146</v>
      </c>
    </row>
    <row r="444" spans="1:4" x14ac:dyDescent="0.25">
      <c r="A444" t="s">
        <v>2814</v>
      </c>
      <c r="B444" t="s">
        <v>38</v>
      </c>
      <c r="C444" s="1">
        <v>45916.428472222222</v>
      </c>
      <c r="D444" t="s">
        <v>5146</v>
      </c>
    </row>
    <row r="445" spans="1:4" x14ac:dyDescent="0.25">
      <c r="A445" t="s">
        <v>2815</v>
      </c>
      <c r="B445" t="s">
        <v>39</v>
      </c>
      <c r="C445" s="1">
        <v>45964.661805555559</v>
      </c>
      <c r="D445" t="s">
        <v>5146</v>
      </c>
    </row>
    <row r="446" spans="1:4" x14ac:dyDescent="0.25">
      <c r="A446" t="s">
        <v>2816</v>
      </c>
      <c r="B446" t="s">
        <v>38</v>
      </c>
      <c r="C446" s="1">
        <v>45916.421527777777</v>
      </c>
      <c r="D446" t="s">
        <v>5146</v>
      </c>
    </row>
    <row r="447" spans="1:4" x14ac:dyDescent="0.25">
      <c r="A447" t="s">
        <v>2817</v>
      </c>
      <c r="B447" t="s">
        <v>38</v>
      </c>
      <c r="C447" s="1">
        <v>45923.48541666667</v>
      </c>
      <c r="D447" t="s">
        <v>5146</v>
      </c>
    </row>
    <row r="448" spans="1:4" x14ac:dyDescent="0.25">
      <c r="A448" t="s">
        <v>2818</v>
      </c>
      <c r="B448" t="s">
        <v>38</v>
      </c>
      <c r="C448" s="1">
        <v>45916.520138888889</v>
      </c>
      <c r="D448" t="s">
        <v>5146</v>
      </c>
    </row>
    <row r="449" spans="1:4" x14ac:dyDescent="0.25">
      <c r="A449" t="s">
        <v>2819</v>
      </c>
      <c r="B449" t="s">
        <v>38</v>
      </c>
      <c r="C449" s="1">
        <v>45917.597916666666</v>
      </c>
      <c r="D449" t="s">
        <v>5146</v>
      </c>
    </row>
    <row r="450" spans="1:4" x14ac:dyDescent="0.25">
      <c r="A450" t="s">
        <v>2820</v>
      </c>
      <c r="B450" t="s">
        <v>39</v>
      </c>
      <c r="C450" s="1">
        <v>45926.555555555555</v>
      </c>
      <c r="D450" t="s">
        <v>5146</v>
      </c>
    </row>
    <row r="451" spans="1:4" x14ac:dyDescent="0.25">
      <c r="A451" t="s">
        <v>2821</v>
      </c>
      <c r="B451" t="s">
        <v>39</v>
      </c>
      <c r="C451" s="1">
        <v>45937.505555555559</v>
      </c>
      <c r="D451" t="s">
        <v>5146</v>
      </c>
    </row>
    <row r="452" spans="1:4" x14ac:dyDescent="0.25">
      <c r="A452" t="s">
        <v>2822</v>
      </c>
      <c r="B452" t="s">
        <v>38</v>
      </c>
      <c r="C452" s="1">
        <v>45920.429861111108</v>
      </c>
      <c r="D452" t="s">
        <v>5146</v>
      </c>
    </row>
    <row r="453" spans="1:4" x14ac:dyDescent="0.25">
      <c r="A453" t="s">
        <v>203</v>
      </c>
      <c r="B453" t="s">
        <v>39</v>
      </c>
      <c r="C453" s="1">
        <v>46029.734722222223</v>
      </c>
      <c r="D453" t="s">
        <v>5146</v>
      </c>
    </row>
    <row r="454" spans="1:4" x14ac:dyDescent="0.25">
      <c r="A454" t="s">
        <v>2823</v>
      </c>
      <c r="B454" t="s">
        <v>38</v>
      </c>
      <c r="C454" s="1">
        <v>45922.511805555558</v>
      </c>
      <c r="D454" t="s">
        <v>5146</v>
      </c>
    </row>
    <row r="455" spans="1:4" x14ac:dyDescent="0.25">
      <c r="A455" t="s">
        <v>2824</v>
      </c>
      <c r="B455" t="s">
        <v>38</v>
      </c>
      <c r="C455" s="1">
        <v>45920.438194444447</v>
      </c>
      <c r="D455" t="s">
        <v>5146</v>
      </c>
    </row>
    <row r="456" spans="1:4" x14ac:dyDescent="0.25">
      <c r="A456" t="s">
        <v>2825</v>
      </c>
      <c r="B456" t="s">
        <v>38</v>
      </c>
      <c r="C456" s="1">
        <v>45921.458333333336</v>
      </c>
      <c r="D456" t="s">
        <v>5146</v>
      </c>
    </row>
    <row r="457" spans="1:4" x14ac:dyDescent="0.25">
      <c r="A457" t="s">
        <v>2826</v>
      </c>
      <c r="B457" t="s">
        <v>38</v>
      </c>
      <c r="C457" s="1">
        <v>45920.447222222225</v>
      </c>
      <c r="D457" t="s">
        <v>5146</v>
      </c>
    </row>
    <row r="458" spans="1:4" x14ac:dyDescent="0.25">
      <c r="A458" t="s">
        <v>2827</v>
      </c>
      <c r="B458" t="s">
        <v>38</v>
      </c>
      <c r="C458" s="1">
        <v>45920.45</v>
      </c>
      <c r="D458" t="s">
        <v>5146</v>
      </c>
    </row>
    <row r="459" spans="1:4" x14ac:dyDescent="0.25">
      <c r="A459" t="s">
        <v>2828</v>
      </c>
      <c r="B459" t="s">
        <v>38</v>
      </c>
      <c r="C459" s="1">
        <v>45921.45</v>
      </c>
      <c r="D459" t="s">
        <v>5146</v>
      </c>
    </row>
    <row r="460" spans="1:4" x14ac:dyDescent="0.25">
      <c r="A460" t="s">
        <v>2829</v>
      </c>
      <c r="B460" t="s">
        <v>38</v>
      </c>
      <c r="C460" s="1">
        <v>45920.45416666667</v>
      </c>
      <c r="D460" t="s">
        <v>5146</v>
      </c>
    </row>
    <row r="461" spans="1:4" x14ac:dyDescent="0.25">
      <c r="A461" t="s">
        <v>2830</v>
      </c>
      <c r="B461" t="s">
        <v>38</v>
      </c>
      <c r="C461" s="1">
        <v>45958.525000000001</v>
      </c>
      <c r="D461" t="s">
        <v>5146</v>
      </c>
    </row>
    <row r="462" spans="1:4" x14ac:dyDescent="0.25">
      <c r="A462" t="s">
        <v>194</v>
      </c>
      <c r="B462" t="s">
        <v>38</v>
      </c>
      <c r="C462" s="1">
        <v>46036.5625</v>
      </c>
      <c r="D462" t="s">
        <v>5146</v>
      </c>
    </row>
    <row r="463" spans="1:4" x14ac:dyDescent="0.25">
      <c r="A463" t="s">
        <v>2831</v>
      </c>
      <c r="B463" t="s">
        <v>38</v>
      </c>
      <c r="C463" s="1">
        <v>45939.556944444441</v>
      </c>
      <c r="D463" t="s">
        <v>5146</v>
      </c>
    </row>
    <row r="464" spans="1:4" x14ac:dyDescent="0.25">
      <c r="A464" t="s">
        <v>182</v>
      </c>
      <c r="B464" t="s">
        <v>39</v>
      </c>
      <c r="C464" s="1">
        <v>46029.73541666667</v>
      </c>
      <c r="D464" t="s">
        <v>5146</v>
      </c>
    </row>
    <row r="465" spans="1:4" x14ac:dyDescent="0.25">
      <c r="A465" t="s">
        <v>184</v>
      </c>
      <c r="B465" t="s">
        <v>38</v>
      </c>
      <c r="C465" s="1">
        <v>46004.481249999997</v>
      </c>
      <c r="D465" t="s">
        <v>5146</v>
      </c>
    </row>
    <row r="466" spans="1:4" x14ac:dyDescent="0.25">
      <c r="A466" t="s">
        <v>2832</v>
      </c>
      <c r="B466" t="s">
        <v>39</v>
      </c>
      <c r="C466" s="1">
        <v>45925.836111111108</v>
      </c>
      <c r="D466" t="s">
        <v>5146</v>
      </c>
    </row>
    <row r="467" spans="1:4" x14ac:dyDescent="0.25">
      <c r="A467" t="s">
        <v>186</v>
      </c>
      <c r="B467" t="s">
        <v>39</v>
      </c>
      <c r="C467" s="1">
        <v>46029.73541666667</v>
      </c>
      <c r="D467" t="s">
        <v>5146</v>
      </c>
    </row>
    <row r="468" spans="1:4" x14ac:dyDescent="0.25">
      <c r="A468" t="s">
        <v>187</v>
      </c>
      <c r="B468" t="s">
        <v>38</v>
      </c>
      <c r="C468" s="1">
        <v>46006.461805555555</v>
      </c>
      <c r="D468" t="s">
        <v>5146</v>
      </c>
    </row>
    <row r="469" spans="1:4" x14ac:dyDescent="0.25">
      <c r="A469" t="s">
        <v>2833</v>
      </c>
      <c r="B469" t="s">
        <v>38</v>
      </c>
      <c r="C469" s="1">
        <v>45953.37777777778</v>
      </c>
      <c r="D469" t="s">
        <v>5146</v>
      </c>
    </row>
    <row r="470" spans="1:4" x14ac:dyDescent="0.25">
      <c r="A470" t="s">
        <v>2834</v>
      </c>
      <c r="B470" t="s">
        <v>38</v>
      </c>
      <c r="C470" s="1">
        <v>45929.461805555555</v>
      </c>
      <c r="D470" t="s">
        <v>5146</v>
      </c>
    </row>
    <row r="471" spans="1:4" x14ac:dyDescent="0.25">
      <c r="A471" t="s">
        <v>180</v>
      </c>
      <c r="B471" t="s">
        <v>39</v>
      </c>
      <c r="C471" s="1">
        <v>46004.99722222222</v>
      </c>
      <c r="D471" t="s">
        <v>5146</v>
      </c>
    </row>
    <row r="472" spans="1:4" x14ac:dyDescent="0.25">
      <c r="A472" t="s">
        <v>2835</v>
      </c>
      <c r="B472" t="s">
        <v>38</v>
      </c>
      <c r="C472" s="1">
        <v>45953.376388888886</v>
      </c>
      <c r="D472" t="s">
        <v>5146</v>
      </c>
    </row>
    <row r="473" spans="1:4" x14ac:dyDescent="0.25">
      <c r="A473" t="s">
        <v>181</v>
      </c>
      <c r="B473" t="s">
        <v>39</v>
      </c>
      <c r="C473" s="1">
        <v>46029.73541666667</v>
      </c>
      <c r="D473" t="s">
        <v>5146</v>
      </c>
    </row>
    <row r="474" spans="1:4" x14ac:dyDescent="0.25">
      <c r="A474" t="s">
        <v>2836</v>
      </c>
      <c r="B474" t="s">
        <v>39</v>
      </c>
      <c r="C474" s="1">
        <v>45923.519444444442</v>
      </c>
      <c r="D474" t="s">
        <v>5146</v>
      </c>
    </row>
    <row r="475" spans="1:4" x14ac:dyDescent="0.25">
      <c r="A475" t="s">
        <v>2837</v>
      </c>
      <c r="B475" t="s">
        <v>38</v>
      </c>
      <c r="C475" s="1">
        <v>45953.376388888886</v>
      </c>
      <c r="D475" t="s">
        <v>5146</v>
      </c>
    </row>
    <row r="476" spans="1:4" x14ac:dyDescent="0.25">
      <c r="A476" t="s">
        <v>2838</v>
      </c>
      <c r="B476" t="s">
        <v>39</v>
      </c>
      <c r="C476" s="1">
        <v>45923.625694444447</v>
      </c>
      <c r="D476" t="s">
        <v>5146</v>
      </c>
    </row>
    <row r="477" spans="1:4" x14ac:dyDescent="0.25">
      <c r="A477" t="s">
        <v>179</v>
      </c>
      <c r="B477" t="s">
        <v>38</v>
      </c>
      <c r="C477" s="1">
        <v>46007.617361111108</v>
      </c>
      <c r="D477" t="s">
        <v>5146</v>
      </c>
    </row>
    <row r="478" spans="1:4" x14ac:dyDescent="0.25">
      <c r="A478" t="s">
        <v>2839</v>
      </c>
      <c r="B478" t="s">
        <v>38</v>
      </c>
      <c r="C478" s="1">
        <v>45953.375694444447</v>
      </c>
      <c r="D478" t="s">
        <v>5146</v>
      </c>
    </row>
    <row r="479" spans="1:4" x14ac:dyDescent="0.25">
      <c r="A479" t="s">
        <v>2840</v>
      </c>
      <c r="B479" t="s">
        <v>38</v>
      </c>
      <c r="C479" s="1">
        <v>45953.375694444447</v>
      </c>
      <c r="D479" t="s">
        <v>5146</v>
      </c>
    </row>
    <row r="480" spans="1:4" x14ac:dyDescent="0.25">
      <c r="A480" t="s">
        <v>2841</v>
      </c>
      <c r="B480" t="s">
        <v>38</v>
      </c>
      <c r="C480" s="1">
        <v>45953.375694444447</v>
      </c>
      <c r="D480" t="s">
        <v>5146</v>
      </c>
    </row>
    <row r="481" spans="1:4" x14ac:dyDescent="0.25">
      <c r="A481" t="s">
        <v>165</v>
      </c>
      <c r="B481" t="s">
        <v>38</v>
      </c>
      <c r="C481" s="1">
        <v>46009.503472222219</v>
      </c>
      <c r="D481" t="s">
        <v>5146</v>
      </c>
    </row>
    <row r="482" spans="1:4" x14ac:dyDescent="0.25">
      <c r="A482" t="s">
        <v>166</v>
      </c>
      <c r="B482" t="s">
        <v>39</v>
      </c>
      <c r="C482" s="1">
        <v>46029.736111111109</v>
      </c>
      <c r="D482" t="s">
        <v>5146</v>
      </c>
    </row>
    <row r="483" spans="1:4" x14ac:dyDescent="0.25">
      <c r="A483" t="s">
        <v>2842</v>
      </c>
      <c r="B483" t="s">
        <v>38</v>
      </c>
      <c r="C483" s="1">
        <v>45953.375</v>
      </c>
      <c r="D483" t="s">
        <v>5146</v>
      </c>
    </row>
    <row r="484" spans="1:4" x14ac:dyDescent="0.25">
      <c r="A484" t="s">
        <v>169</v>
      </c>
      <c r="B484" t="s">
        <v>39</v>
      </c>
      <c r="C484" s="1">
        <v>46029.736111111109</v>
      </c>
      <c r="D484" t="s">
        <v>5146</v>
      </c>
    </row>
    <row r="485" spans="1:4" x14ac:dyDescent="0.25">
      <c r="A485" t="s">
        <v>170</v>
      </c>
      <c r="B485" t="s">
        <v>38</v>
      </c>
      <c r="C485" s="1">
        <v>46007.520138888889</v>
      </c>
      <c r="D485" t="s">
        <v>5146</v>
      </c>
    </row>
    <row r="486" spans="1:4" x14ac:dyDescent="0.25">
      <c r="A486" t="s">
        <v>2843</v>
      </c>
      <c r="B486" t="s">
        <v>39</v>
      </c>
      <c r="C486" s="1">
        <v>45938.474305555559</v>
      </c>
      <c r="D486" t="s">
        <v>5146</v>
      </c>
    </row>
    <row r="487" spans="1:4" x14ac:dyDescent="0.25">
      <c r="A487" t="s">
        <v>171</v>
      </c>
      <c r="B487" t="s">
        <v>38</v>
      </c>
      <c r="C487" s="1">
        <v>46036.54791666667</v>
      </c>
      <c r="D487" t="s">
        <v>5146</v>
      </c>
    </row>
    <row r="488" spans="1:4" x14ac:dyDescent="0.25">
      <c r="A488" t="s">
        <v>2844</v>
      </c>
      <c r="B488" t="s">
        <v>38</v>
      </c>
      <c r="C488" s="1">
        <v>45934.484722222223</v>
      </c>
      <c r="D488" t="s">
        <v>5146</v>
      </c>
    </row>
    <row r="489" spans="1:4" x14ac:dyDescent="0.25">
      <c r="A489" t="s">
        <v>153</v>
      </c>
      <c r="B489" t="s">
        <v>38</v>
      </c>
      <c r="C489" s="1">
        <v>46007.507638888892</v>
      </c>
      <c r="D489" t="s">
        <v>5146</v>
      </c>
    </row>
    <row r="490" spans="1:4" x14ac:dyDescent="0.25">
      <c r="A490" t="s">
        <v>155</v>
      </c>
      <c r="B490" t="s">
        <v>38</v>
      </c>
      <c r="C490" s="1">
        <v>46003.49722222222</v>
      </c>
      <c r="D490" t="s">
        <v>5146</v>
      </c>
    </row>
    <row r="491" spans="1:4" x14ac:dyDescent="0.25">
      <c r="A491" t="s">
        <v>156</v>
      </c>
      <c r="B491" t="s">
        <v>38</v>
      </c>
      <c r="C491" s="1">
        <v>46003.493750000001</v>
      </c>
      <c r="D491" t="s">
        <v>5146</v>
      </c>
    </row>
    <row r="492" spans="1:4" x14ac:dyDescent="0.25">
      <c r="A492" t="s">
        <v>2845</v>
      </c>
      <c r="B492" t="s">
        <v>38</v>
      </c>
      <c r="C492" s="1">
        <v>45934.499305555553</v>
      </c>
      <c r="D492" t="s">
        <v>5146</v>
      </c>
    </row>
    <row r="493" spans="1:4" x14ac:dyDescent="0.25">
      <c r="A493" t="s">
        <v>158</v>
      </c>
      <c r="B493" t="s">
        <v>38</v>
      </c>
      <c r="C493" s="1">
        <v>46003.489583333336</v>
      </c>
      <c r="D493" t="s">
        <v>5146</v>
      </c>
    </row>
    <row r="494" spans="1:4" x14ac:dyDescent="0.25">
      <c r="A494" t="s">
        <v>141</v>
      </c>
      <c r="B494" t="s">
        <v>38</v>
      </c>
      <c r="C494" s="1">
        <v>46002.559027777781</v>
      </c>
      <c r="D494" t="s">
        <v>5146</v>
      </c>
    </row>
    <row r="495" spans="1:4" x14ac:dyDescent="0.25">
      <c r="A495" t="s">
        <v>2846</v>
      </c>
      <c r="B495" t="s">
        <v>38</v>
      </c>
      <c r="C495" s="1">
        <v>45934.557638888888</v>
      </c>
      <c r="D495" t="s">
        <v>5146</v>
      </c>
    </row>
    <row r="496" spans="1:4" x14ac:dyDescent="0.25">
      <c r="A496" t="s">
        <v>146</v>
      </c>
      <c r="B496" t="s">
        <v>38</v>
      </c>
      <c r="C496" s="1">
        <v>46036.55972222222</v>
      </c>
      <c r="D496" t="s">
        <v>5146</v>
      </c>
    </row>
    <row r="497" spans="1:4" x14ac:dyDescent="0.25">
      <c r="A497" t="s">
        <v>149</v>
      </c>
      <c r="B497" t="s">
        <v>38</v>
      </c>
      <c r="C497" s="1">
        <v>46002.553472222222</v>
      </c>
      <c r="D497" t="s">
        <v>5146</v>
      </c>
    </row>
    <row r="498" spans="1:4" x14ac:dyDescent="0.25">
      <c r="A498" t="s">
        <v>151</v>
      </c>
      <c r="B498" t="s">
        <v>38</v>
      </c>
      <c r="C498" s="1">
        <v>46036.558333333334</v>
      </c>
      <c r="D498" t="s">
        <v>5146</v>
      </c>
    </row>
    <row r="499" spans="1:4" x14ac:dyDescent="0.25">
      <c r="A499" t="s">
        <v>139</v>
      </c>
      <c r="B499" t="s">
        <v>38</v>
      </c>
      <c r="C499" s="1">
        <v>46036.54583333333</v>
      </c>
      <c r="D499" t="s">
        <v>5146</v>
      </c>
    </row>
    <row r="500" spans="1:4" x14ac:dyDescent="0.25">
      <c r="A500" t="s">
        <v>122</v>
      </c>
      <c r="B500" t="s">
        <v>38</v>
      </c>
      <c r="C500" s="1">
        <v>46002.470833333333</v>
      </c>
      <c r="D500" t="s">
        <v>5146</v>
      </c>
    </row>
    <row r="501" spans="1:4" x14ac:dyDescent="0.25">
      <c r="A501" t="s">
        <v>2847</v>
      </c>
      <c r="B501" t="s">
        <v>38</v>
      </c>
      <c r="C501" s="1">
        <v>45936.6</v>
      </c>
      <c r="D501" t="s">
        <v>5146</v>
      </c>
    </row>
    <row r="502" spans="1:4" x14ac:dyDescent="0.25">
      <c r="A502" t="s">
        <v>125</v>
      </c>
      <c r="B502" t="s">
        <v>38</v>
      </c>
      <c r="C502" s="1">
        <v>46002.466666666667</v>
      </c>
      <c r="D502" t="s">
        <v>5146</v>
      </c>
    </row>
    <row r="503" spans="1:4" x14ac:dyDescent="0.25">
      <c r="A503" t="s">
        <v>129</v>
      </c>
      <c r="B503" t="s">
        <v>38</v>
      </c>
      <c r="C503" s="1">
        <v>46036.544444444444</v>
      </c>
      <c r="D503" t="s">
        <v>5146</v>
      </c>
    </row>
    <row r="504" spans="1:4" x14ac:dyDescent="0.25">
      <c r="A504" t="s">
        <v>2848</v>
      </c>
      <c r="B504" t="s">
        <v>38</v>
      </c>
      <c r="C504" s="1">
        <v>45938.709027777775</v>
      </c>
      <c r="D504" t="s">
        <v>5146</v>
      </c>
    </row>
    <row r="505" spans="1:4" x14ac:dyDescent="0.25">
      <c r="A505" t="s">
        <v>133</v>
      </c>
      <c r="B505" t="s">
        <v>38</v>
      </c>
      <c r="C505" s="1">
        <v>46036.544444444444</v>
      </c>
      <c r="D505" t="s">
        <v>5146</v>
      </c>
    </row>
    <row r="506" spans="1:4" x14ac:dyDescent="0.25">
      <c r="A506" t="s">
        <v>2849</v>
      </c>
      <c r="B506" t="s">
        <v>38</v>
      </c>
      <c r="C506" s="1">
        <v>45939.449305555558</v>
      </c>
      <c r="D506" t="s">
        <v>5146</v>
      </c>
    </row>
    <row r="507" spans="1:4" x14ac:dyDescent="0.25">
      <c r="A507" t="s">
        <v>2850</v>
      </c>
      <c r="B507" t="s">
        <v>38</v>
      </c>
      <c r="C507" s="1">
        <v>45950.522222222222</v>
      </c>
      <c r="D507" t="s">
        <v>5146</v>
      </c>
    </row>
    <row r="508" spans="1:4" x14ac:dyDescent="0.25">
      <c r="A508" t="s">
        <v>2851</v>
      </c>
      <c r="B508" t="s">
        <v>38</v>
      </c>
      <c r="C508" s="1">
        <v>45939.456250000003</v>
      </c>
      <c r="D508" t="s">
        <v>5146</v>
      </c>
    </row>
    <row r="509" spans="1:4" x14ac:dyDescent="0.25">
      <c r="A509" t="s">
        <v>2852</v>
      </c>
      <c r="B509" t="s">
        <v>38</v>
      </c>
      <c r="C509" s="1">
        <v>45988.536111111112</v>
      </c>
      <c r="D509" t="s">
        <v>5146</v>
      </c>
    </row>
    <row r="510" spans="1:4" x14ac:dyDescent="0.25">
      <c r="A510" t="s">
        <v>2853</v>
      </c>
      <c r="B510" t="s">
        <v>39</v>
      </c>
      <c r="C510" s="1">
        <v>45972.716666666667</v>
      </c>
      <c r="D510" t="s">
        <v>5146</v>
      </c>
    </row>
    <row r="511" spans="1:4" x14ac:dyDescent="0.25">
      <c r="A511" t="s">
        <v>2854</v>
      </c>
      <c r="B511" t="s">
        <v>38</v>
      </c>
      <c r="C511" s="1">
        <v>45939.462500000001</v>
      </c>
      <c r="D511" t="s">
        <v>5146</v>
      </c>
    </row>
    <row r="512" spans="1:4" x14ac:dyDescent="0.25">
      <c r="A512" t="s">
        <v>2855</v>
      </c>
      <c r="B512" t="s">
        <v>38</v>
      </c>
      <c r="C512" s="1">
        <v>45954.493750000001</v>
      </c>
      <c r="D512" t="s">
        <v>5146</v>
      </c>
    </row>
    <row r="513" spans="1:4" x14ac:dyDescent="0.25">
      <c r="A513" t="s">
        <v>2856</v>
      </c>
      <c r="B513" t="s">
        <v>38</v>
      </c>
      <c r="C513" s="1">
        <v>45941.765277777777</v>
      </c>
      <c r="D513" t="s">
        <v>5146</v>
      </c>
    </row>
    <row r="514" spans="1:4" x14ac:dyDescent="0.25">
      <c r="A514" t="s">
        <v>111</v>
      </c>
      <c r="B514" t="s">
        <v>38</v>
      </c>
      <c r="C514" s="1">
        <v>46036.552083333336</v>
      </c>
      <c r="D514" t="s">
        <v>5146</v>
      </c>
    </row>
    <row r="515" spans="1:4" x14ac:dyDescent="0.25">
      <c r="A515" t="s">
        <v>2857</v>
      </c>
      <c r="B515" t="s">
        <v>38</v>
      </c>
      <c r="C515" s="1">
        <v>45944.915972222225</v>
      </c>
      <c r="D515" t="s">
        <v>5146</v>
      </c>
    </row>
    <row r="516" spans="1:4" x14ac:dyDescent="0.25">
      <c r="A516" t="s">
        <v>2858</v>
      </c>
      <c r="B516" t="s">
        <v>39</v>
      </c>
      <c r="C516" s="1">
        <v>45974.597916666666</v>
      </c>
      <c r="D516" t="s">
        <v>5146</v>
      </c>
    </row>
    <row r="517" spans="1:4" x14ac:dyDescent="0.25">
      <c r="A517" t="s">
        <v>2859</v>
      </c>
      <c r="B517" t="s">
        <v>38</v>
      </c>
      <c r="C517" s="1">
        <v>45988.536805555559</v>
      </c>
      <c r="D517" t="s">
        <v>5146</v>
      </c>
    </row>
    <row r="518" spans="1:4" x14ac:dyDescent="0.25">
      <c r="A518" t="s">
        <v>2860</v>
      </c>
      <c r="B518" t="s">
        <v>38</v>
      </c>
      <c r="C518" s="1">
        <v>45946.463888888888</v>
      </c>
      <c r="D518" t="s">
        <v>5146</v>
      </c>
    </row>
    <row r="519" spans="1:4" x14ac:dyDescent="0.25">
      <c r="A519" t="s">
        <v>2861</v>
      </c>
      <c r="B519" t="s">
        <v>38</v>
      </c>
      <c r="C519" s="1">
        <v>45941.753472222219</v>
      </c>
      <c r="D519" t="s">
        <v>5146</v>
      </c>
    </row>
    <row r="520" spans="1:4" x14ac:dyDescent="0.25">
      <c r="A520" t="s">
        <v>2862</v>
      </c>
      <c r="B520" t="s">
        <v>38</v>
      </c>
      <c r="C520" s="1">
        <v>45944.430555555555</v>
      </c>
      <c r="D520" t="s">
        <v>5146</v>
      </c>
    </row>
    <row r="521" spans="1:4" x14ac:dyDescent="0.25">
      <c r="A521" t="s">
        <v>2863</v>
      </c>
      <c r="B521" t="s">
        <v>38</v>
      </c>
      <c r="C521" s="1">
        <v>45948.615277777775</v>
      </c>
      <c r="D521" t="s">
        <v>5146</v>
      </c>
    </row>
    <row r="522" spans="1:4" x14ac:dyDescent="0.25">
      <c r="A522" t="s">
        <v>2864</v>
      </c>
      <c r="B522" t="s">
        <v>38</v>
      </c>
      <c r="C522" s="1">
        <v>45944.923611111109</v>
      </c>
      <c r="D522" t="s">
        <v>5146</v>
      </c>
    </row>
    <row r="523" spans="1:4" x14ac:dyDescent="0.25">
      <c r="A523" t="s">
        <v>102</v>
      </c>
      <c r="B523" t="s">
        <v>38</v>
      </c>
      <c r="C523" s="1">
        <v>46036.692361111112</v>
      </c>
      <c r="D523" t="s">
        <v>5146</v>
      </c>
    </row>
    <row r="524" spans="1:4" x14ac:dyDescent="0.25">
      <c r="A524" t="s">
        <v>104</v>
      </c>
      <c r="B524" t="s">
        <v>38</v>
      </c>
      <c r="C524" s="1">
        <v>45997.47152777778</v>
      </c>
      <c r="D524" t="s">
        <v>5146</v>
      </c>
    </row>
    <row r="525" spans="1:4" x14ac:dyDescent="0.25">
      <c r="A525" t="s">
        <v>2865</v>
      </c>
      <c r="B525" t="s">
        <v>38</v>
      </c>
      <c r="C525" s="1">
        <v>45945.538888888892</v>
      </c>
      <c r="D525" t="s">
        <v>5146</v>
      </c>
    </row>
    <row r="526" spans="1:4" x14ac:dyDescent="0.25">
      <c r="A526" t="s">
        <v>2866</v>
      </c>
      <c r="B526" t="s">
        <v>38</v>
      </c>
      <c r="C526" s="1">
        <v>45945.533333333333</v>
      </c>
      <c r="D526" t="s">
        <v>5146</v>
      </c>
    </row>
    <row r="527" spans="1:4" x14ac:dyDescent="0.25">
      <c r="A527" t="s">
        <v>2867</v>
      </c>
      <c r="B527" t="s">
        <v>38</v>
      </c>
      <c r="C527" s="1">
        <v>45944.442361111112</v>
      </c>
      <c r="D527" t="s">
        <v>5146</v>
      </c>
    </row>
    <row r="528" spans="1:4" x14ac:dyDescent="0.25">
      <c r="A528" t="s">
        <v>2868</v>
      </c>
      <c r="B528" t="s">
        <v>38</v>
      </c>
      <c r="C528" s="1">
        <v>45946.472222222219</v>
      </c>
      <c r="D528" t="s">
        <v>5146</v>
      </c>
    </row>
    <row r="529" spans="1:4" x14ac:dyDescent="0.25">
      <c r="A529" t="s">
        <v>2869</v>
      </c>
      <c r="B529" t="s">
        <v>39</v>
      </c>
      <c r="C529" s="1">
        <v>45953.660416666666</v>
      </c>
      <c r="D529" t="s">
        <v>5146</v>
      </c>
    </row>
    <row r="530" spans="1:4" x14ac:dyDescent="0.25">
      <c r="A530" t="s">
        <v>2870</v>
      </c>
      <c r="B530" t="s">
        <v>38</v>
      </c>
      <c r="C530" s="1">
        <v>45947.809027777781</v>
      </c>
      <c r="D530" t="s">
        <v>5146</v>
      </c>
    </row>
    <row r="531" spans="1:4" x14ac:dyDescent="0.25">
      <c r="A531" t="s">
        <v>89</v>
      </c>
      <c r="B531" t="s">
        <v>38</v>
      </c>
      <c r="C531" s="1">
        <v>45996.576388888891</v>
      </c>
      <c r="D531" t="s">
        <v>5146</v>
      </c>
    </row>
    <row r="532" spans="1:4" x14ac:dyDescent="0.25">
      <c r="A532" t="s">
        <v>90</v>
      </c>
      <c r="B532" t="s">
        <v>38</v>
      </c>
      <c r="C532" s="1">
        <v>45996.49722222222</v>
      </c>
      <c r="D532" t="s">
        <v>5146</v>
      </c>
    </row>
    <row r="533" spans="1:4" x14ac:dyDescent="0.25">
      <c r="A533" t="s">
        <v>2871</v>
      </c>
      <c r="B533" t="s">
        <v>38</v>
      </c>
      <c r="C533" s="1">
        <v>45954.473611111112</v>
      </c>
      <c r="D533" t="s">
        <v>5146</v>
      </c>
    </row>
    <row r="534" spans="1:4" x14ac:dyDescent="0.25">
      <c r="A534" t="s">
        <v>81</v>
      </c>
      <c r="B534" t="s">
        <v>38</v>
      </c>
      <c r="C534" s="1">
        <v>46036.545138888891</v>
      </c>
      <c r="D534" t="s">
        <v>5146</v>
      </c>
    </row>
    <row r="535" spans="1:4" x14ac:dyDescent="0.25">
      <c r="A535" t="s">
        <v>94</v>
      </c>
      <c r="B535" t="s">
        <v>38</v>
      </c>
      <c r="C535" s="1">
        <v>46022.642361111109</v>
      </c>
      <c r="D535" t="s">
        <v>5146</v>
      </c>
    </row>
    <row r="536" spans="1:4" x14ac:dyDescent="0.25">
      <c r="A536" t="s">
        <v>2872</v>
      </c>
      <c r="B536" t="s">
        <v>38</v>
      </c>
      <c r="C536" s="1">
        <v>45946.475694444445</v>
      </c>
      <c r="D536" t="s">
        <v>5146</v>
      </c>
    </row>
    <row r="537" spans="1:4" x14ac:dyDescent="0.25">
      <c r="A537" t="s">
        <v>2873</v>
      </c>
      <c r="B537" t="s">
        <v>38</v>
      </c>
      <c r="C537" s="1">
        <v>45946.480555555558</v>
      </c>
      <c r="D537" t="s">
        <v>5146</v>
      </c>
    </row>
    <row r="538" spans="1:4" x14ac:dyDescent="0.25">
      <c r="A538" t="s">
        <v>83</v>
      </c>
      <c r="B538" t="s">
        <v>39</v>
      </c>
      <c r="C538" s="1">
        <v>46029.736111111109</v>
      </c>
      <c r="D538" t="s">
        <v>5146</v>
      </c>
    </row>
    <row r="539" spans="1:4" x14ac:dyDescent="0.25">
      <c r="A539" t="s">
        <v>84</v>
      </c>
      <c r="B539" t="s">
        <v>38</v>
      </c>
      <c r="C539" s="1">
        <v>46036.543055555558</v>
      </c>
      <c r="D539" t="s">
        <v>5146</v>
      </c>
    </row>
    <row r="540" spans="1:4" x14ac:dyDescent="0.25">
      <c r="A540" t="s">
        <v>2874</v>
      </c>
      <c r="B540" t="s">
        <v>38</v>
      </c>
      <c r="C540" s="1">
        <v>45947.484722222223</v>
      </c>
      <c r="D540" t="s">
        <v>5146</v>
      </c>
    </row>
    <row r="541" spans="1:4" x14ac:dyDescent="0.25">
      <c r="A541" t="s">
        <v>86</v>
      </c>
      <c r="B541" t="s">
        <v>38</v>
      </c>
      <c r="C541" s="1">
        <v>45997.48333333333</v>
      </c>
      <c r="D541" t="s">
        <v>5146</v>
      </c>
    </row>
    <row r="542" spans="1:4" x14ac:dyDescent="0.25">
      <c r="A542" t="s">
        <v>2875</v>
      </c>
      <c r="B542" t="s">
        <v>38</v>
      </c>
      <c r="C542" s="1">
        <v>45952.693749999999</v>
      </c>
      <c r="D542" t="s">
        <v>5146</v>
      </c>
    </row>
    <row r="543" spans="1:4" x14ac:dyDescent="0.25">
      <c r="A543" t="s">
        <v>2876</v>
      </c>
      <c r="B543" t="s">
        <v>39</v>
      </c>
      <c r="C543" s="1">
        <v>45954.439583333333</v>
      </c>
      <c r="D543" t="s">
        <v>5146</v>
      </c>
    </row>
    <row r="544" spans="1:4" x14ac:dyDescent="0.25">
      <c r="A544" t="s">
        <v>2877</v>
      </c>
      <c r="B544" t="s">
        <v>38</v>
      </c>
      <c r="C544" s="1">
        <v>45988.535416666666</v>
      </c>
      <c r="D544" t="s">
        <v>5146</v>
      </c>
    </row>
    <row r="545" spans="1:4" x14ac:dyDescent="0.25">
      <c r="A545" t="s">
        <v>2878</v>
      </c>
      <c r="B545" t="s">
        <v>38</v>
      </c>
      <c r="C545" s="1">
        <v>45947.675000000003</v>
      </c>
      <c r="D545" t="s">
        <v>5146</v>
      </c>
    </row>
    <row r="546" spans="1:4" x14ac:dyDescent="0.25">
      <c r="A546" t="s">
        <v>2879</v>
      </c>
      <c r="B546" t="s">
        <v>38</v>
      </c>
      <c r="C546" s="1">
        <v>45947.496527777781</v>
      </c>
      <c r="D546" t="s">
        <v>5146</v>
      </c>
    </row>
    <row r="547" spans="1:4" x14ac:dyDescent="0.25">
      <c r="A547" t="s">
        <v>76</v>
      </c>
      <c r="B547" t="s">
        <v>38</v>
      </c>
      <c r="C547" s="1">
        <v>45997.463194444441</v>
      </c>
      <c r="D547" t="s">
        <v>5146</v>
      </c>
    </row>
    <row r="548" spans="1:4" x14ac:dyDescent="0.25">
      <c r="A548" t="s">
        <v>2880</v>
      </c>
      <c r="B548" t="s">
        <v>38</v>
      </c>
      <c r="C548" s="1">
        <v>45947.506249999999</v>
      </c>
      <c r="D548" t="s">
        <v>5146</v>
      </c>
    </row>
    <row r="549" spans="1:4" x14ac:dyDescent="0.25">
      <c r="A549" t="s">
        <v>74</v>
      </c>
      <c r="B549" t="s">
        <v>38</v>
      </c>
      <c r="C549" s="1">
        <v>45996.550694444442</v>
      </c>
      <c r="D549" t="s">
        <v>5146</v>
      </c>
    </row>
    <row r="550" spans="1:4" x14ac:dyDescent="0.25">
      <c r="A550" t="s">
        <v>2881</v>
      </c>
      <c r="B550" t="s">
        <v>38</v>
      </c>
      <c r="C550" s="1">
        <v>45952.644444444442</v>
      </c>
      <c r="D550" t="s">
        <v>5146</v>
      </c>
    </row>
    <row r="551" spans="1:4" x14ac:dyDescent="0.25">
      <c r="A551" t="s">
        <v>2882</v>
      </c>
      <c r="B551" t="s">
        <v>38</v>
      </c>
      <c r="C551" s="1">
        <v>45953.466666666667</v>
      </c>
      <c r="D551" t="s">
        <v>5146</v>
      </c>
    </row>
    <row r="552" spans="1:4" x14ac:dyDescent="0.25">
      <c r="A552" t="s">
        <v>2883</v>
      </c>
      <c r="B552" t="s">
        <v>38</v>
      </c>
      <c r="C552" s="1">
        <v>45947.815972222219</v>
      </c>
      <c r="D552" t="s">
        <v>5146</v>
      </c>
    </row>
    <row r="553" spans="1:4" x14ac:dyDescent="0.25">
      <c r="A553" t="s">
        <v>2884</v>
      </c>
      <c r="B553" t="s">
        <v>39</v>
      </c>
      <c r="C553" s="1">
        <v>45973.551388888889</v>
      </c>
      <c r="D553" t="s">
        <v>5146</v>
      </c>
    </row>
    <row r="554" spans="1:4" x14ac:dyDescent="0.25">
      <c r="A554" t="s">
        <v>2885</v>
      </c>
      <c r="B554" t="s">
        <v>38</v>
      </c>
      <c r="C554" s="1">
        <v>45958.521527777775</v>
      </c>
      <c r="D554" t="s">
        <v>5146</v>
      </c>
    </row>
    <row r="555" spans="1:4" x14ac:dyDescent="0.25">
      <c r="A555" t="s">
        <v>2886</v>
      </c>
      <c r="B555" t="s">
        <v>38</v>
      </c>
      <c r="C555" s="1">
        <v>45954.425000000003</v>
      </c>
      <c r="D555" t="s">
        <v>5146</v>
      </c>
    </row>
    <row r="556" spans="1:4" x14ac:dyDescent="0.25">
      <c r="A556" t="s">
        <v>2887</v>
      </c>
      <c r="B556" t="s">
        <v>38</v>
      </c>
      <c r="C556" s="1">
        <v>45954.466666666667</v>
      </c>
      <c r="D556" t="s">
        <v>5146</v>
      </c>
    </row>
    <row r="557" spans="1:4" x14ac:dyDescent="0.25">
      <c r="A557" t="s">
        <v>2888</v>
      </c>
      <c r="B557" t="s">
        <v>39</v>
      </c>
      <c r="C557" s="1">
        <v>45958.779166666667</v>
      </c>
      <c r="D557" t="s">
        <v>5146</v>
      </c>
    </row>
    <row r="558" spans="1:4" x14ac:dyDescent="0.25">
      <c r="A558" t="s">
        <v>2889</v>
      </c>
      <c r="B558" t="s">
        <v>38</v>
      </c>
      <c r="C558" s="1">
        <v>45988.534722222219</v>
      </c>
      <c r="D558" t="s">
        <v>5146</v>
      </c>
    </row>
    <row r="559" spans="1:4" x14ac:dyDescent="0.25">
      <c r="A559" t="s">
        <v>2890</v>
      </c>
      <c r="B559" t="s">
        <v>38</v>
      </c>
      <c r="C559" s="1">
        <v>45958.554861111108</v>
      </c>
      <c r="D559" t="s">
        <v>5146</v>
      </c>
    </row>
    <row r="560" spans="1:4" x14ac:dyDescent="0.25">
      <c r="A560" t="s">
        <v>60</v>
      </c>
      <c r="B560" t="s">
        <v>38</v>
      </c>
      <c r="C560" s="1">
        <v>45996.487500000003</v>
      </c>
      <c r="D560" t="s">
        <v>5146</v>
      </c>
    </row>
    <row r="561" spans="1:4" x14ac:dyDescent="0.25">
      <c r="A561" t="s">
        <v>61</v>
      </c>
      <c r="B561" t="s">
        <v>38</v>
      </c>
      <c r="C561" s="1">
        <v>45995.504166666666</v>
      </c>
      <c r="D561" t="s">
        <v>5146</v>
      </c>
    </row>
    <row r="562" spans="1:4" x14ac:dyDescent="0.25">
      <c r="A562" t="s">
        <v>2891</v>
      </c>
      <c r="B562" t="s">
        <v>38</v>
      </c>
      <c r="C562" s="1">
        <v>45961.69027777778</v>
      </c>
      <c r="D562" t="s">
        <v>5146</v>
      </c>
    </row>
    <row r="563" spans="1:4" x14ac:dyDescent="0.25">
      <c r="A563" t="s">
        <v>48</v>
      </c>
      <c r="B563" t="s">
        <v>39</v>
      </c>
      <c r="C563" s="1">
        <v>46036.531944444447</v>
      </c>
      <c r="D563" t="s">
        <v>5146</v>
      </c>
    </row>
    <row r="564" spans="1:4" x14ac:dyDescent="0.25">
      <c r="A564" t="s">
        <v>49</v>
      </c>
      <c r="B564" t="s">
        <v>38</v>
      </c>
      <c r="C564" s="1">
        <v>45995.499305555553</v>
      </c>
      <c r="D564" t="s">
        <v>5146</v>
      </c>
    </row>
    <row r="565" spans="1:4" x14ac:dyDescent="0.25">
      <c r="A565" t="s">
        <v>2892</v>
      </c>
      <c r="B565" t="s">
        <v>38</v>
      </c>
      <c r="C565" s="1">
        <v>46003.980555555558</v>
      </c>
      <c r="D565" t="s">
        <v>5146</v>
      </c>
    </row>
    <row r="566" spans="1:4" x14ac:dyDescent="0.25">
      <c r="A566" t="s">
        <v>2893</v>
      </c>
      <c r="B566" t="s">
        <v>38</v>
      </c>
      <c r="C566" s="1">
        <v>45955.474999999999</v>
      </c>
      <c r="D566" t="s">
        <v>5146</v>
      </c>
    </row>
    <row r="567" spans="1:4" x14ac:dyDescent="0.25">
      <c r="A567" t="s">
        <v>2894</v>
      </c>
      <c r="B567" t="s">
        <v>38</v>
      </c>
      <c r="C567" s="1">
        <v>45955.48333333333</v>
      </c>
      <c r="D567" t="s">
        <v>5146</v>
      </c>
    </row>
    <row r="568" spans="1:4" x14ac:dyDescent="0.25">
      <c r="A568" t="s">
        <v>55</v>
      </c>
      <c r="B568" t="s">
        <v>39</v>
      </c>
      <c r="C568" s="1">
        <v>46029.736805555556</v>
      </c>
      <c r="D568" t="s">
        <v>5146</v>
      </c>
    </row>
    <row r="569" spans="1:4" x14ac:dyDescent="0.25">
      <c r="A569" t="s">
        <v>2895</v>
      </c>
      <c r="B569" t="s">
        <v>38</v>
      </c>
      <c r="C569" s="1">
        <v>45960.512499999997</v>
      </c>
      <c r="D569" t="s">
        <v>5146</v>
      </c>
    </row>
    <row r="570" spans="1:4" x14ac:dyDescent="0.25">
      <c r="A570" t="s">
        <v>59</v>
      </c>
      <c r="B570" t="s">
        <v>38</v>
      </c>
      <c r="C570" s="1">
        <v>45994.553472222222</v>
      </c>
      <c r="D570" t="s">
        <v>5146</v>
      </c>
    </row>
    <row r="571" spans="1:4" x14ac:dyDescent="0.25">
      <c r="A571" t="s">
        <v>2896</v>
      </c>
      <c r="B571" t="s">
        <v>38</v>
      </c>
      <c r="C571" s="1">
        <v>45958.479861111111</v>
      </c>
      <c r="D571" t="s">
        <v>5146</v>
      </c>
    </row>
    <row r="572" spans="1:4" x14ac:dyDescent="0.25">
      <c r="A572" t="s">
        <v>2897</v>
      </c>
      <c r="B572" t="s">
        <v>38</v>
      </c>
      <c r="C572" s="1">
        <v>45962.463194444441</v>
      </c>
      <c r="D572" t="s">
        <v>5146</v>
      </c>
    </row>
    <row r="573" spans="1:4" x14ac:dyDescent="0.25">
      <c r="A573" t="s">
        <v>2898</v>
      </c>
      <c r="B573" t="s">
        <v>39</v>
      </c>
      <c r="C573" s="1">
        <v>46002.590277777781</v>
      </c>
      <c r="D573" t="s">
        <v>5146</v>
      </c>
    </row>
    <row r="574" spans="1:4" x14ac:dyDescent="0.25">
      <c r="A574" t="s">
        <v>2899</v>
      </c>
      <c r="B574" t="s">
        <v>38</v>
      </c>
      <c r="C574" s="1">
        <v>45959.958333333336</v>
      </c>
      <c r="D574" t="s">
        <v>5146</v>
      </c>
    </row>
    <row r="575" spans="1:4" x14ac:dyDescent="0.25">
      <c r="A575" t="s">
        <v>2900</v>
      </c>
      <c r="B575" t="s">
        <v>39</v>
      </c>
      <c r="C575" s="1">
        <v>45957.811805555553</v>
      </c>
      <c r="D575" t="s">
        <v>5146</v>
      </c>
    </row>
    <row r="576" spans="1:4" x14ac:dyDescent="0.25">
      <c r="A576" t="s">
        <v>2901</v>
      </c>
      <c r="B576" t="s">
        <v>39</v>
      </c>
      <c r="C576" s="1">
        <v>45964.4375</v>
      </c>
      <c r="D576" t="s">
        <v>5146</v>
      </c>
    </row>
    <row r="577" spans="1:4" x14ac:dyDescent="0.25">
      <c r="A577" t="s">
        <v>2902</v>
      </c>
      <c r="B577" t="s">
        <v>38</v>
      </c>
      <c r="C577" s="1">
        <v>45960.459027777775</v>
      </c>
      <c r="D577" t="s">
        <v>5146</v>
      </c>
    </row>
    <row r="578" spans="1:4" x14ac:dyDescent="0.25">
      <c r="A578" t="s">
        <v>2903</v>
      </c>
      <c r="B578" t="s">
        <v>38</v>
      </c>
      <c r="C578" s="1">
        <v>45960.463194444441</v>
      </c>
      <c r="D578" t="s">
        <v>5146</v>
      </c>
    </row>
    <row r="579" spans="1:4" x14ac:dyDescent="0.25">
      <c r="A579" t="s">
        <v>2904</v>
      </c>
      <c r="B579" t="s">
        <v>38</v>
      </c>
      <c r="C579" s="1">
        <v>46036.539583333331</v>
      </c>
      <c r="D579" t="s">
        <v>5146</v>
      </c>
    </row>
    <row r="580" spans="1:4" x14ac:dyDescent="0.25">
      <c r="A580" t="s">
        <v>2905</v>
      </c>
      <c r="B580" t="s">
        <v>39</v>
      </c>
      <c r="C580" s="1">
        <v>45995.710416666669</v>
      </c>
      <c r="D580" t="s">
        <v>5146</v>
      </c>
    </row>
    <row r="581" spans="1:4" x14ac:dyDescent="0.25">
      <c r="A581" t="s">
        <v>2906</v>
      </c>
      <c r="B581" t="s">
        <v>38</v>
      </c>
      <c r="C581" s="1">
        <v>45962.467361111114</v>
      </c>
      <c r="D581" t="s">
        <v>5146</v>
      </c>
    </row>
    <row r="582" spans="1:4" x14ac:dyDescent="0.25">
      <c r="A582" t="s">
        <v>2907</v>
      </c>
      <c r="B582" t="s">
        <v>38</v>
      </c>
      <c r="C582" s="1">
        <v>45966.487500000003</v>
      </c>
      <c r="D582" t="s">
        <v>5146</v>
      </c>
    </row>
    <row r="583" spans="1:4" x14ac:dyDescent="0.25">
      <c r="A583" t="s">
        <v>2908</v>
      </c>
      <c r="B583" t="s">
        <v>38</v>
      </c>
      <c r="C583" s="1">
        <v>45962.470833333333</v>
      </c>
      <c r="D583" t="s">
        <v>5146</v>
      </c>
    </row>
    <row r="584" spans="1:4" x14ac:dyDescent="0.25">
      <c r="A584" t="s">
        <v>2909</v>
      </c>
      <c r="B584" t="s">
        <v>39</v>
      </c>
      <c r="C584" s="1">
        <v>45960.65902777778</v>
      </c>
      <c r="D584" t="s">
        <v>5146</v>
      </c>
    </row>
    <row r="585" spans="1:4" x14ac:dyDescent="0.25">
      <c r="A585" t="s">
        <v>2910</v>
      </c>
      <c r="B585" t="s">
        <v>38</v>
      </c>
      <c r="C585" s="1">
        <v>45961.477777777778</v>
      </c>
      <c r="D585" t="s">
        <v>5146</v>
      </c>
    </row>
    <row r="586" spans="1:4" x14ac:dyDescent="0.25">
      <c r="A586" t="s">
        <v>2911</v>
      </c>
      <c r="B586" t="s">
        <v>39</v>
      </c>
      <c r="C586" s="1">
        <v>45962.807638888888</v>
      </c>
      <c r="D586" t="s">
        <v>5146</v>
      </c>
    </row>
    <row r="587" spans="1:4" x14ac:dyDescent="0.25">
      <c r="A587" t="s">
        <v>2912</v>
      </c>
      <c r="B587" t="s">
        <v>38</v>
      </c>
      <c r="C587" s="1">
        <v>45961.48333333333</v>
      </c>
      <c r="D587" t="s">
        <v>5146</v>
      </c>
    </row>
    <row r="588" spans="1:4" x14ac:dyDescent="0.25">
      <c r="A588" t="s">
        <v>2913</v>
      </c>
      <c r="B588" t="s">
        <v>38</v>
      </c>
      <c r="C588" s="1">
        <v>45961.490277777775</v>
      </c>
      <c r="D588" t="s">
        <v>5146</v>
      </c>
    </row>
    <row r="589" spans="1:4" x14ac:dyDescent="0.25">
      <c r="A589" t="s">
        <v>2914</v>
      </c>
      <c r="B589" t="s">
        <v>38</v>
      </c>
      <c r="C589" s="1">
        <v>45993.484027777777</v>
      </c>
      <c r="D589" t="s">
        <v>5146</v>
      </c>
    </row>
    <row r="590" spans="1:4" x14ac:dyDescent="0.25">
      <c r="A590" t="s">
        <v>2915</v>
      </c>
      <c r="B590" t="s">
        <v>38</v>
      </c>
      <c r="C590" s="1">
        <v>45994.506249999999</v>
      </c>
      <c r="D590" t="s">
        <v>5146</v>
      </c>
    </row>
    <row r="591" spans="1:4" x14ac:dyDescent="0.25">
      <c r="A591" t="s">
        <v>2916</v>
      </c>
      <c r="B591" t="s">
        <v>38</v>
      </c>
      <c r="C591" s="1">
        <v>45961.500694444447</v>
      </c>
      <c r="D591" t="s">
        <v>5146</v>
      </c>
    </row>
    <row r="592" spans="1:4" x14ac:dyDescent="0.25">
      <c r="A592" t="s">
        <v>2917</v>
      </c>
      <c r="B592" t="s">
        <v>38</v>
      </c>
      <c r="C592" s="1">
        <v>45968.436111111114</v>
      </c>
      <c r="D592" t="s">
        <v>5146</v>
      </c>
    </row>
    <row r="593" spans="1:4" x14ac:dyDescent="0.25">
      <c r="A593" t="s">
        <v>2918</v>
      </c>
      <c r="B593" t="s">
        <v>38</v>
      </c>
      <c r="C593" s="1">
        <v>45969.532638888886</v>
      </c>
      <c r="D593" t="s">
        <v>5146</v>
      </c>
    </row>
    <row r="594" spans="1:4" x14ac:dyDescent="0.25">
      <c r="A594" t="s">
        <v>2919</v>
      </c>
      <c r="B594" t="s">
        <v>38</v>
      </c>
      <c r="C594" s="1">
        <v>45962.474999999999</v>
      </c>
      <c r="D594" t="s">
        <v>5146</v>
      </c>
    </row>
    <row r="595" spans="1:4" x14ac:dyDescent="0.25">
      <c r="A595" t="s">
        <v>2920</v>
      </c>
      <c r="B595" t="s">
        <v>38</v>
      </c>
      <c r="C595" s="1">
        <v>45968.444444444445</v>
      </c>
      <c r="D595" t="s">
        <v>5146</v>
      </c>
    </row>
    <row r="596" spans="1:4" x14ac:dyDescent="0.25">
      <c r="A596" t="s">
        <v>2921</v>
      </c>
      <c r="B596" t="s">
        <v>38</v>
      </c>
      <c r="C596" s="1">
        <v>45966.473611111112</v>
      </c>
      <c r="D596" t="s">
        <v>5146</v>
      </c>
    </row>
    <row r="597" spans="1:4" x14ac:dyDescent="0.25">
      <c r="A597" t="s">
        <v>2922</v>
      </c>
      <c r="B597" t="s">
        <v>38</v>
      </c>
      <c r="C597" s="1">
        <v>45962.499305555553</v>
      </c>
      <c r="D597" t="s">
        <v>5146</v>
      </c>
    </row>
    <row r="598" spans="1:4" x14ac:dyDescent="0.25">
      <c r="A598" t="s">
        <v>2923</v>
      </c>
      <c r="B598" t="s">
        <v>38</v>
      </c>
      <c r="C598" s="1">
        <v>45972.45416666667</v>
      </c>
      <c r="D598" t="s">
        <v>5146</v>
      </c>
    </row>
    <row r="599" spans="1:4" x14ac:dyDescent="0.25">
      <c r="A599" t="s">
        <v>2924</v>
      </c>
      <c r="B599" t="s">
        <v>39</v>
      </c>
      <c r="C599" s="1">
        <v>45965.609027777777</v>
      </c>
      <c r="D599" t="s">
        <v>5146</v>
      </c>
    </row>
    <row r="600" spans="1:4" x14ac:dyDescent="0.25">
      <c r="A600" t="s">
        <v>2925</v>
      </c>
      <c r="B600" t="s">
        <v>38</v>
      </c>
      <c r="C600" s="1">
        <v>45968.455555555556</v>
      </c>
      <c r="D600" t="s">
        <v>5146</v>
      </c>
    </row>
    <row r="601" spans="1:4" x14ac:dyDescent="0.25">
      <c r="A601" t="s">
        <v>2926</v>
      </c>
      <c r="B601" t="s">
        <v>38</v>
      </c>
      <c r="C601" s="1">
        <v>45968.651388888888</v>
      </c>
      <c r="D601" t="s">
        <v>5146</v>
      </c>
    </row>
    <row r="602" spans="1:4" x14ac:dyDescent="0.25">
      <c r="A602" t="s">
        <v>2927</v>
      </c>
      <c r="B602" t="s">
        <v>38</v>
      </c>
      <c r="C602" s="1">
        <v>45968.446527777778</v>
      </c>
      <c r="D602" t="s">
        <v>5146</v>
      </c>
    </row>
    <row r="603" spans="1:4" x14ac:dyDescent="0.25">
      <c r="A603" t="s">
        <v>2928</v>
      </c>
      <c r="B603" t="s">
        <v>38</v>
      </c>
      <c r="C603" s="1">
        <v>45968.459027777775</v>
      </c>
      <c r="D603" t="s">
        <v>5146</v>
      </c>
    </row>
    <row r="604" spans="1:4" x14ac:dyDescent="0.25">
      <c r="A604" t="s">
        <v>2929</v>
      </c>
      <c r="B604" t="s">
        <v>38</v>
      </c>
      <c r="C604" s="1">
        <v>45968.451388888891</v>
      </c>
      <c r="D604" t="s">
        <v>5146</v>
      </c>
    </row>
    <row r="605" spans="1:4" x14ac:dyDescent="0.25">
      <c r="A605" t="s">
        <v>2930</v>
      </c>
      <c r="B605" t="s">
        <v>38</v>
      </c>
      <c r="C605" s="1">
        <v>45972.449305555558</v>
      </c>
      <c r="D605" t="s">
        <v>5146</v>
      </c>
    </row>
    <row r="606" spans="1:4" x14ac:dyDescent="0.25">
      <c r="A606" t="s">
        <v>2931</v>
      </c>
      <c r="B606" t="s">
        <v>39</v>
      </c>
      <c r="C606" s="1">
        <v>46029.522222222222</v>
      </c>
      <c r="D606" t="s">
        <v>5146</v>
      </c>
    </row>
    <row r="607" spans="1:4" x14ac:dyDescent="0.25">
      <c r="A607" t="s">
        <v>2932</v>
      </c>
      <c r="B607" t="s">
        <v>38</v>
      </c>
      <c r="C607" s="1">
        <v>45992.498611111114</v>
      </c>
      <c r="D607" t="s">
        <v>5146</v>
      </c>
    </row>
    <row r="608" spans="1:4" x14ac:dyDescent="0.25">
      <c r="A608" t="s">
        <v>2933</v>
      </c>
      <c r="B608" t="s">
        <v>38</v>
      </c>
      <c r="C608" s="1">
        <v>45994.491666666669</v>
      </c>
      <c r="D608" t="s">
        <v>5146</v>
      </c>
    </row>
    <row r="609" spans="1:4" x14ac:dyDescent="0.25">
      <c r="A609" t="s">
        <v>2934</v>
      </c>
      <c r="B609" t="s">
        <v>39</v>
      </c>
      <c r="C609" s="1">
        <v>46029.741666666669</v>
      </c>
      <c r="D609" t="s">
        <v>5146</v>
      </c>
    </row>
    <row r="610" spans="1:4" x14ac:dyDescent="0.25">
      <c r="A610" t="s">
        <v>2935</v>
      </c>
      <c r="B610" t="s">
        <v>38</v>
      </c>
      <c r="C610" s="1">
        <v>45994.484027777777</v>
      </c>
      <c r="D610" t="s">
        <v>5146</v>
      </c>
    </row>
    <row r="611" spans="1:4" x14ac:dyDescent="0.25">
      <c r="A611" t="s">
        <v>2936</v>
      </c>
      <c r="B611" t="s">
        <v>38</v>
      </c>
      <c r="C611" s="1">
        <v>45993.467361111114</v>
      </c>
      <c r="D611" t="s">
        <v>5146</v>
      </c>
    </row>
    <row r="612" spans="1:4" x14ac:dyDescent="0.25">
      <c r="A612" t="s">
        <v>2937</v>
      </c>
      <c r="B612" t="s">
        <v>38</v>
      </c>
      <c r="C612" s="1">
        <v>45990.472222222219</v>
      </c>
      <c r="D612" t="s">
        <v>5146</v>
      </c>
    </row>
    <row r="613" spans="1:4" x14ac:dyDescent="0.25">
      <c r="A613" t="s">
        <v>2938</v>
      </c>
      <c r="B613" t="s">
        <v>38</v>
      </c>
      <c r="C613" s="1">
        <v>45973.565972222219</v>
      </c>
      <c r="D613" t="s">
        <v>5146</v>
      </c>
    </row>
    <row r="614" spans="1:4" x14ac:dyDescent="0.25">
      <c r="A614" t="s">
        <v>2939</v>
      </c>
      <c r="B614" t="s">
        <v>39</v>
      </c>
      <c r="C614" s="1">
        <v>46029.740972222222</v>
      </c>
      <c r="D614" t="s">
        <v>5146</v>
      </c>
    </row>
    <row r="615" spans="1:4" x14ac:dyDescent="0.25">
      <c r="A615" t="s">
        <v>2940</v>
      </c>
      <c r="B615" t="s">
        <v>38</v>
      </c>
      <c r="C615" s="1">
        <v>45969.539583333331</v>
      </c>
      <c r="D615" t="s">
        <v>5146</v>
      </c>
    </row>
    <row r="616" spans="1:4" x14ac:dyDescent="0.25">
      <c r="A616" t="s">
        <v>2941</v>
      </c>
      <c r="B616" t="s">
        <v>38</v>
      </c>
      <c r="C616" s="1">
        <v>45973.48541666667</v>
      </c>
      <c r="D616" t="s">
        <v>5146</v>
      </c>
    </row>
    <row r="617" spans="1:4" x14ac:dyDescent="0.25">
      <c r="A617" t="s">
        <v>2942</v>
      </c>
      <c r="B617" t="s">
        <v>38</v>
      </c>
      <c r="C617" s="1">
        <v>45989.452777777777</v>
      </c>
      <c r="D617" t="s">
        <v>5146</v>
      </c>
    </row>
    <row r="618" spans="1:4" x14ac:dyDescent="0.25">
      <c r="A618" t="s">
        <v>2943</v>
      </c>
      <c r="B618" t="s">
        <v>38</v>
      </c>
      <c r="C618" s="1">
        <v>45975.60833333333</v>
      </c>
      <c r="D618" t="s">
        <v>5146</v>
      </c>
    </row>
    <row r="619" spans="1:4" x14ac:dyDescent="0.25">
      <c r="A619" t="s">
        <v>2944</v>
      </c>
      <c r="B619" t="s">
        <v>38</v>
      </c>
      <c r="C619" s="1">
        <v>45969.501388888886</v>
      </c>
      <c r="D619" t="s">
        <v>5146</v>
      </c>
    </row>
    <row r="620" spans="1:4" x14ac:dyDescent="0.25">
      <c r="A620" t="s">
        <v>2945</v>
      </c>
      <c r="B620" t="s">
        <v>38</v>
      </c>
      <c r="C620" s="1">
        <v>45989.456250000003</v>
      </c>
      <c r="D620" t="s">
        <v>5146</v>
      </c>
    </row>
    <row r="621" spans="1:4" x14ac:dyDescent="0.25">
      <c r="A621" t="s">
        <v>2946</v>
      </c>
      <c r="B621" t="s">
        <v>39</v>
      </c>
      <c r="C621" s="1">
        <v>46029.740277777775</v>
      </c>
      <c r="D621" t="s">
        <v>5146</v>
      </c>
    </row>
    <row r="622" spans="1:4" x14ac:dyDescent="0.25">
      <c r="A622" t="s">
        <v>2947</v>
      </c>
      <c r="B622" t="s">
        <v>38</v>
      </c>
      <c r="C622" s="1">
        <v>45973.508333333331</v>
      </c>
      <c r="D622" t="s">
        <v>5146</v>
      </c>
    </row>
    <row r="623" spans="1:4" x14ac:dyDescent="0.25">
      <c r="A623" t="s">
        <v>2948</v>
      </c>
      <c r="B623" t="s">
        <v>38</v>
      </c>
      <c r="C623" s="1">
        <v>45985.46875</v>
      </c>
      <c r="D623" t="s">
        <v>5146</v>
      </c>
    </row>
    <row r="624" spans="1:4" x14ac:dyDescent="0.25">
      <c r="A624" t="s">
        <v>2949</v>
      </c>
      <c r="B624" t="s">
        <v>38</v>
      </c>
      <c r="C624" s="1">
        <v>45990.469444444447</v>
      </c>
      <c r="D624" t="s">
        <v>5146</v>
      </c>
    </row>
    <row r="625" spans="1:4" x14ac:dyDescent="0.25">
      <c r="A625" t="s">
        <v>2950</v>
      </c>
      <c r="B625" t="s">
        <v>38</v>
      </c>
      <c r="C625" s="1">
        <v>45973.513194444444</v>
      </c>
      <c r="D625" t="s">
        <v>5146</v>
      </c>
    </row>
    <row r="626" spans="1:4" x14ac:dyDescent="0.25">
      <c r="A626" t="s">
        <v>2951</v>
      </c>
      <c r="B626" t="s">
        <v>38</v>
      </c>
      <c r="C626" s="1">
        <v>45976.470833333333</v>
      </c>
      <c r="D626" t="s">
        <v>5146</v>
      </c>
    </row>
    <row r="627" spans="1:4" x14ac:dyDescent="0.25">
      <c r="A627" t="s">
        <v>2952</v>
      </c>
      <c r="B627" t="s">
        <v>39</v>
      </c>
      <c r="C627" s="1">
        <v>46029.739583333336</v>
      </c>
      <c r="D627" t="s">
        <v>5146</v>
      </c>
    </row>
    <row r="628" spans="1:4" x14ac:dyDescent="0.25">
      <c r="A628" t="s">
        <v>2953</v>
      </c>
      <c r="B628" t="s">
        <v>38</v>
      </c>
      <c r="C628" s="1">
        <v>45972.529861111114</v>
      </c>
      <c r="D628" t="s">
        <v>5146</v>
      </c>
    </row>
    <row r="629" spans="1:4" x14ac:dyDescent="0.25">
      <c r="A629" t="s">
        <v>2954</v>
      </c>
      <c r="B629" t="s">
        <v>38</v>
      </c>
      <c r="C629" s="1">
        <v>45985.46875</v>
      </c>
      <c r="D629" t="s">
        <v>5146</v>
      </c>
    </row>
    <row r="630" spans="1:4" x14ac:dyDescent="0.25">
      <c r="A630" t="s">
        <v>2955</v>
      </c>
      <c r="B630" t="s">
        <v>38</v>
      </c>
      <c r="C630" s="1">
        <v>45973.521527777775</v>
      </c>
      <c r="D630" t="s">
        <v>5146</v>
      </c>
    </row>
    <row r="631" spans="1:4" x14ac:dyDescent="0.25">
      <c r="A631" t="s">
        <v>2956</v>
      </c>
      <c r="B631" t="s">
        <v>39</v>
      </c>
      <c r="C631" s="1">
        <v>46029.739583333336</v>
      </c>
      <c r="D631" t="s">
        <v>5146</v>
      </c>
    </row>
    <row r="632" spans="1:4" x14ac:dyDescent="0.25">
      <c r="A632" t="s">
        <v>2957</v>
      </c>
      <c r="B632" t="s">
        <v>39</v>
      </c>
      <c r="C632" s="1">
        <v>46029.738888888889</v>
      </c>
      <c r="D632" t="s">
        <v>5146</v>
      </c>
    </row>
    <row r="633" spans="1:4" x14ac:dyDescent="0.25">
      <c r="A633" t="s">
        <v>2958</v>
      </c>
      <c r="B633" t="s">
        <v>39</v>
      </c>
      <c r="C633" s="1">
        <v>46029.738888888889</v>
      </c>
      <c r="D633" t="s">
        <v>5146</v>
      </c>
    </row>
    <row r="634" spans="1:4" x14ac:dyDescent="0.25">
      <c r="A634" t="s">
        <v>2959</v>
      </c>
      <c r="B634" t="s">
        <v>38</v>
      </c>
      <c r="C634" s="1">
        <v>45974.491666666669</v>
      </c>
      <c r="D634" t="s">
        <v>5146</v>
      </c>
    </row>
    <row r="635" spans="1:4" x14ac:dyDescent="0.25">
      <c r="A635" t="s">
        <v>2960</v>
      </c>
      <c r="B635" t="s">
        <v>38</v>
      </c>
      <c r="C635" s="1">
        <v>45978.534722222219</v>
      </c>
      <c r="D635" t="s">
        <v>5146</v>
      </c>
    </row>
    <row r="636" spans="1:4" x14ac:dyDescent="0.25">
      <c r="A636" t="s">
        <v>2961</v>
      </c>
      <c r="B636" t="s">
        <v>38</v>
      </c>
      <c r="C636" s="1">
        <v>45979.474305555559</v>
      </c>
      <c r="D636" t="s">
        <v>5146</v>
      </c>
    </row>
    <row r="637" spans="1:4" x14ac:dyDescent="0.25">
      <c r="A637" t="s">
        <v>2962</v>
      </c>
      <c r="B637" t="s">
        <v>38</v>
      </c>
      <c r="C637" s="1">
        <v>45976.474999999999</v>
      </c>
      <c r="D637" t="s">
        <v>5146</v>
      </c>
    </row>
    <row r="638" spans="1:4" x14ac:dyDescent="0.25">
      <c r="A638" t="s">
        <v>2963</v>
      </c>
      <c r="B638" t="s">
        <v>38</v>
      </c>
      <c r="C638" s="1">
        <v>45985.46875</v>
      </c>
      <c r="D638" t="s">
        <v>5146</v>
      </c>
    </row>
    <row r="639" spans="1:4" x14ac:dyDescent="0.25">
      <c r="A639" t="s">
        <v>2964</v>
      </c>
      <c r="B639" t="s">
        <v>39</v>
      </c>
      <c r="C639" s="1">
        <v>46029.738888888889</v>
      </c>
      <c r="D639" t="s">
        <v>5146</v>
      </c>
    </row>
    <row r="640" spans="1:4" x14ac:dyDescent="0.25">
      <c r="A640" t="s">
        <v>2965</v>
      </c>
      <c r="B640" t="s">
        <v>38</v>
      </c>
      <c r="C640" s="1">
        <v>45988.490972222222</v>
      </c>
      <c r="D640" t="s">
        <v>5146</v>
      </c>
    </row>
    <row r="641" spans="1:4" x14ac:dyDescent="0.25">
      <c r="A641" t="s">
        <v>2966</v>
      </c>
      <c r="B641" t="s">
        <v>38</v>
      </c>
      <c r="C641" s="1">
        <v>45979.468055555553</v>
      </c>
      <c r="D641" t="s">
        <v>5146</v>
      </c>
    </row>
    <row r="642" spans="1:4" x14ac:dyDescent="0.25">
      <c r="A642" t="s">
        <v>2967</v>
      </c>
      <c r="B642" t="s">
        <v>38</v>
      </c>
      <c r="C642" s="1">
        <v>45990.462500000001</v>
      </c>
      <c r="D642" t="s">
        <v>5146</v>
      </c>
    </row>
    <row r="643" spans="1:4" x14ac:dyDescent="0.25">
      <c r="A643" t="s">
        <v>2968</v>
      </c>
      <c r="B643" t="s">
        <v>38</v>
      </c>
      <c r="C643" s="1">
        <v>45988.494444444441</v>
      </c>
      <c r="D643" t="s">
        <v>5146</v>
      </c>
    </row>
    <row r="644" spans="1:4" x14ac:dyDescent="0.25">
      <c r="A644" t="s">
        <v>2969</v>
      </c>
      <c r="B644" t="s">
        <v>38</v>
      </c>
      <c r="C644" s="1">
        <v>45990.46597222222</v>
      </c>
      <c r="D644" t="s">
        <v>5146</v>
      </c>
    </row>
    <row r="645" spans="1:4" x14ac:dyDescent="0.25">
      <c r="A645" t="s">
        <v>2970</v>
      </c>
      <c r="B645" t="s">
        <v>39</v>
      </c>
      <c r="C645" s="1">
        <v>46029.738888888889</v>
      </c>
      <c r="D645" t="s">
        <v>5146</v>
      </c>
    </row>
    <row r="646" spans="1:4" x14ac:dyDescent="0.25">
      <c r="A646" t="s">
        <v>2971</v>
      </c>
      <c r="B646" t="s">
        <v>38</v>
      </c>
      <c r="C646" s="1">
        <v>45976.48333333333</v>
      </c>
      <c r="D646" t="s">
        <v>5146</v>
      </c>
    </row>
    <row r="647" spans="1:4" x14ac:dyDescent="0.25">
      <c r="A647" t="s">
        <v>2972</v>
      </c>
      <c r="B647" t="s">
        <v>38</v>
      </c>
      <c r="C647" s="1">
        <v>45978.494444444441</v>
      </c>
      <c r="D647" t="s">
        <v>5146</v>
      </c>
    </row>
    <row r="648" spans="1:4" x14ac:dyDescent="0.25">
      <c r="A648" t="s">
        <v>2973</v>
      </c>
      <c r="B648" t="s">
        <v>39</v>
      </c>
      <c r="C648" s="1">
        <v>46029.738194444442</v>
      </c>
      <c r="D648" t="s">
        <v>5146</v>
      </c>
    </row>
    <row r="649" spans="1:4" x14ac:dyDescent="0.25">
      <c r="A649" t="s">
        <v>2974</v>
      </c>
      <c r="B649" t="s">
        <v>38</v>
      </c>
      <c r="C649" s="1">
        <v>45976.487500000003</v>
      </c>
      <c r="D649" t="s">
        <v>5146</v>
      </c>
    </row>
    <row r="650" spans="1:4" x14ac:dyDescent="0.25">
      <c r="A650" t="s">
        <v>2975</v>
      </c>
      <c r="B650" t="s">
        <v>38</v>
      </c>
      <c r="C650" s="1">
        <v>45978.502083333333</v>
      </c>
      <c r="D650" t="s">
        <v>5146</v>
      </c>
    </row>
    <row r="651" spans="1:4" x14ac:dyDescent="0.25">
      <c r="A651" t="s">
        <v>2976</v>
      </c>
      <c r="B651" t="s">
        <v>38</v>
      </c>
      <c r="C651" s="1">
        <v>45976.757638888892</v>
      </c>
      <c r="D651" t="s">
        <v>5146</v>
      </c>
    </row>
    <row r="652" spans="1:4" x14ac:dyDescent="0.25">
      <c r="A652" t="s">
        <v>2977</v>
      </c>
      <c r="B652" t="s">
        <v>39</v>
      </c>
      <c r="C652" s="1">
        <v>46036.53125</v>
      </c>
      <c r="D652" t="s">
        <v>5146</v>
      </c>
    </row>
    <row r="653" spans="1:4" x14ac:dyDescent="0.25">
      <c r="A653" t="s">
        <v>2978</v>
      </c>
      <c r="B653" t="s">
        <v>38</v>
      </c>
      <c r="C653" s="1">
        <v>45988.480555555558</v>
      </c>
      <c r="D653" t="s">
        <v>5146</v>
      </c>
    </row>
    <row r="654" spans="1:4" x14ac:dyDescent="0.25">
      <c r="A654" t="s">
        <v>2979</v>
      </c>
      <c r="B654" t="s">
        <v>38</v>
      </c>
      <c r="C654" s="1">
        <v>45989.449305555558</v>
      </c>
      <c r="D654" t="s">
        <v>5146</v>
      </c>
    </row>
    <row r="655" spans="1:4" x14ac:dyDescent="0.25">
      <c r="A655" t="s">
        <v>2980</v>
      </c>
      <c r="B655" t="s">
        <v>38</v>
      </c>
      <c r="C655" s="1">
        <v>45978.506944444445</v>
      </c>
      <c r="D655" t="s">
        <v>5146</v>
      </c>
    </row>
    <row r="656" spans="1:4" x14ac:dyDescent="0.25">
      <c r="A656" t="s">
        <v>2981</v>
      </c>
      <c r="B656" t="s">
        <v>39</v>
      </c>
      <c r="C656" s="1">
        <v>46029.738194444442</v>
      </c>
      <c r="D656" t="s">
        <v>5146</v>
      </c>
    </row>
    <row r="657" spans="1:4" x14ac:dyDescent="0.25">
      <c r="A657" t="s">
        <v>2982</v>
      </c>
      <c r="B657" t="s">
        <v>38</v>
      </c>
      <c r="C657" s="1">
        <v>45979.47152777778</v>
      </c>
      <c r="D657" t="s">
        <v>5146</v>
      </c>
    </row>
    <row r="658" spans="1:4" x14ac:dyDescent="0.25">
      <c r="A658" t="s">
        <v>2983</v>
      </c>
      <c r="B658" t="s">
        <v>38</v>
      </c>
      <c r="C658" s="1">
        <v>45976.494444444441</v>
      </c>
      <c r="D658" t="s">
        <v>5146</v>
      </c>
    </row>
    <row r="659" spans="1:4" x14ac:dyDescent="0.25">
      <c r="A659" t="s">
        <v>2984</v>
      </c>
      <c r="B659" t="s">
        <v>38</v>
      </c>
      <c r="C659" s="1">
        <v>45978.527777777781</v>
      </c>
      <c r="D659" t="s">
        <v>5146</v>
      </c>
    </row>
    <row r="660" spans="1:4" x14ac:dyDescent="0.25">
      <c r="A660" t="s">
        <v>2985</v>
      </c>
      <c r="B660" t="s">
        <v>38</v>
      </c>
      <c r="C660" s="1">
        <v>45985.456250000003</v>
      </c>
      <c r="D660" t="s">
        <v>5146</v>
      </c>
    </row>
    <row r="661" spans="1:4" x14ac:dyDescent="0.25">
      <c r="A661" t="s">
        <v>2986</v>
      </c>
      <c r="B661" t="s">
        <v>38</v>
      </c>
      <c r="C661" s="1">
        <v>45980.410416666666</v>
      </c>
      <c r="D661" t="s">
        <v>5146</v>
      </c>
    </row>
    <row r="662" spans="1:4" x14ac:dyDescent="0.25">
      <c r="A662" t="s">
        <v>2987</v>
      </c>
      <c r="B662" t="s">
        <v>38</v>
      </c>
      <c r="C662" s="1">
        <v>45983.48541666667</v>
      </c>
      <c r="D662" t="s">
        <v>5146</v>
      </c>
    </row>
    <row r="663" spans="1:4" x14ac:dyDescent="0.25">
      <c r="A663" t="s">
        <v>2988</v>
      </c>
      <c r="B663" t="s">
        <v>38</v>
      </c>
      <c r="C663" s="1">
        <v>45980.418055555558</v>
      </c>
      <c r="D663" t="s">
        <v>5146</v>
      </c>
    </row>
    <row r="664" spans="1:4" x14ac:dyDescent="0.25">
      <c r="A664" t="s">
        <v>2989</v>
      </c>
      <c r="B664" t="s">
        <v>38</v>
      </c>
      <c r="C664" s="1">
        <v>45981.801388888889</v>
      </c>
      <c r="D664" t="s">
        <v>5146</v>
      </c>
    </row>
    <row r="665" spans="1:4" x14ac:dyDescent="0.25">
      <c r="A665" t="s">
        <v>2990</v>
      </c>
      <c r="B665" t="s">
        <v>38</v>
      </c>
      <c r="C665" s="1">
        <v>45981.412499999999</v>
      </c>
      <c r="D665" t="s">
        <v>5146</v>
      </c>
    </row>
    <row r="666" spans="1:4" x14ac:dyDescent="0.25">
      <c r="A666" t="s">
        <v>2991</v>
      </c>
      <c r="B666" t="s">
        <v>38</v>
      </c>
      <c r="C666" s="1">
        <v>45983.498611111114</v>
      </c>
      <c r="D666" t="s">
        <v>5146</v>
      </c>
    </row>
    <row r="667" spans="1:4" x14ac:dyDescent="0.25">
      <c r="A667" t="s">
        <v>2992</v>
      </c>
      <c r="B667" t="s">
        <v>38</v>
      </c>
      <c r="C667" s="1">
        <v>45982.431944444441</v>
      </c>
      <c r="D667" t="s">
        <v>5146</v>
      </c>
    </row>
    <row r="668" spans="1:4" x14ac:dyDescent="0.25">
      <c r="A668" t="s">
        <v>2993</v>
      </c>
      <c r="B668" t="s">
        <v>38</v>
      </c>
      <c r="C668" s="1">
        <v>45982.44027777778</v>
      </c>
      <c r="D668" t="s">
        <v>5146</v>
      </c>
    </row>
    <row r="669" spans="1:4" x14ac:dyDescent="0.25">
      <c r="A669" t="s">
        <v>2994</v>
      </c>
      <c r="B669" t="s">
        <v>38</v>
      </c>
      <c r="C669" s="1">
        <v>45981.426388888889</v>
      </c>
      <c r="D669" t="s">
        <v>5146</v>
      </c>
    </row>
    <row r="670" spans="1:4" x14ac:dyDescent="0.25">
      <c r="A670" t="s">
        <v>2995</v>
      </c>
      <c r="B670" t="s">
        <v>38</v>
      </c>
      <c r="C670" s="1">
        <v>45981.793749999997</v>
      </c>
      <c r="D670" t="s">
        <v>5146</v>
      </c>
    </row>
    <row r="671" spans="1:4" x14ac:dyDescent="0.25">
      <c r="A671" t="s">
        <v>2996</v>
      </c>
      <c r="B671" t="s">
        <v>38</v>
      </c>
      <c r="C671" s="1">
        <v>45992.659722222219</v>
      </c>
      <c r="D671" t="s">
        <v>5146</v>
      </c>
    </row>
    <row r="672" spans="1:4" x14ac:dyDescent="0.25">
      <c r="A672" t="s">
        <v>2997</v>
      </c>
      <c r="B672" t="s">
        <v>38</v>
      </c>
      <c r="C672" s="1">
        <v>45988.532638888886</v>
      </c>
      <c r="D672" t="s">
        <v>5146</v>
      </c>
    </row>
    <row r="673" spans="1:4" x14ac:dyDescent="0.25">
      <c r="A673" t="s">
        <v>2998</v>
      </c>
      <c r="B673" t="s">
        <v>38</v>
      </c>
      <c r="C673" s="1">
        <v>45981.421527777777</v>
      </c>
      <c r="D673" t="s">
        <v>5146</v>
      </c>
    </row>
    <row r="674" spans="1:4" x14ac:dyDescent="0.25">
      <c r="A674" t="s">
        <v>2999</v>
      </c>
      <c r="B674" t="s">
        <v>38</v>
      </c>
      <c r="C674" s="1">
        <v>45986.427777777775</v>
      </c>
      <c r="D674" t="s">
        <v>5146</v>
      </c>
    </row>
    <row r="675" spans="1:4" x14ac:dyDescent="0.25">
      <c r="A675" t="s">
        <v>3000</v>
      </c>
      <c r="B675" t="s">
        <v>38</v>
      </c>
      <c r="C675" s="1">
        <v>45995.495138888888</v>
      </c>
      <c r="D675" t="s">
        <v>5146</v>
      </c>
    </row>
    <row r="676" spans="1:4" x14ac:dyDescent="0.25">
      <c r="A676" t="s">
        <v>3001</v>
      </c>
      <c r="B676" t="s">
        <v>38</v>
      </c>
      <c r="C676" s="1">
        <v>45989.445833333331</v>
      </c>
      <c r="D676" t="s">
        <v>5146</v>
      </c>
    </row>
    <row r="677" spans="1:4" x14ac:dyDescent="0.25">
      <c r="A677" t="s">
        <v>3002</v>
      </c>
      <c r="B677" t="s">
        <v>38</v>
      </c>
      <c r="C677" s="1">
        <v>45982.448611111111</v>
      </c>
      <c r="D677" t="s">
        <v>5146</v>
      </c>
    </row>
    <row r="678" spans="1:4" x14ac:dyDescent="0.25">
      <c r="A678" t="s">
        <v>3003</v>
      </c>
      <c r="B678" t="s">
        <v>38</v>
      </c>
      <c r="C678" s="1">
        <v>45981.415972222225</v>
      </c>
      <c r="D678" t="s">
        <v>5146</v>
      </c>
    </row>
    <row r="679" spans="1:4" x14ac:dyDescent="0.25">
      <c r="A679" t="s">
        <v>3004</v>
      </c>
      <c r="B679" t="s">
        <v>39</v>
      </c>
      <c r="C679" s="1">
        <v>46029.737500000003</v>
      </c>
      <c r="D679" t="s">
        <v>5146</v>
      </c>
    </row>
    <row r="680" spans="1:4" x14ac:dyDescent="0.25">
      <c r="A680" t="s">
        <v>3005</v>
      </c>
      <c r="B680" t="s">
        <v>38</v>
      </c>
      <c r="C680" s="1">
        <v>45981.463888888888</v>
      </c>
      <c r="D680" t="s">
        <v>5146</v>
      </c>
    </row>
    <row r="681" spans="1:4" x14ac:dyDescent="0.25">
      <c r="A681" t="s">
        <v>3006</v>
      </c>
      <c r="B681" t="s">
        <v>38</v>
      </c>
      <c r="C681" s="1">
        <v>45983.509027777778</v>
      </c>
      <c r="D681" t="s">
        <v>5146</v>
      </c>
    </row>
    <row r="682" spans="1:4" x14ac:dyDescent="0.25">
      <c r="A682" t="s">
        <v>3007</v>
      </c>
      <c r="B682" t="s">
        <v>38</v>
      </c>
      <c r="C682" s="1">
        <v>45983.513888888891</v>
      </c>
      <c r="D682" t="s">
        <v>5146</v>
      </c>
    </row>
    <row r="683" spans="1:4" x14ac:dyDescent="0.25">
      <c r="A683" t="s">
        <v>3008</v>
      </c>
      <c r="B683" t="s">
        <v>38</v>
      </c>
      <c r="C683" s="1">
        <v>45983.518055555556</v>
      </c>
      <c r="D683" t="s">
        <v>5146</v>
      </c>
    </row>
    <row r="684" spans="1:4" x14ac:dyDescent="0.25">
      <c r="A684" t="s">
        <v>3009</v>
      </c>
      <c r="B684" t="s">
        <v>38</v>
      </c>
      <c r="C684" s="1">
        <v>45983.521527777775</v>
      </c>
      <c r="D684" t="s">
        <v>5146</v>
      </c>
    </row>
    <row r="685" spans="1:4" x14ac:dyDescent="0.25">
      <c r="A685" t="s">
        <v>3010</v>
      </c>
      <c r="B685" t="s">
        <v>38</v>
      </c>
      <c r="C685" s="1">
        <v>45987.453472222223</v>
      </c>
      <c r="D685" t="s">
        <v>5146</v>
      </c>
    </row>
    <row r="686" spans="1:4" x14ac:dyDescent="0.25">
      <c r="A686" t="s">
        <v>3011</v>
      </c>
      <c r="B686" t="s">
        <v>38</v>
      </c>
      <c r="C686" s="1">
        <v>45987.458333333336</v>
      </c>
      <c r="D686" t="s">
        <v>5146</v>
      </c>
    </row>
    <row r="687" spans="1:4" x14ac:dyDescent="0.25">
      <c r="A687" t="s">
        <v>3012</v>
      </c>
      <c r="B687" t="s">
        <v>38</v>
      </c>
      <c r="C687" s="1">
        <v>45986.446527777778</v>
      </c>
      <c r="D687" t="s">
        <v>5146</v>
      </c>
    </row>
    <row r="688" spans="1:4" x14ac:dyDescent="0.25">
      <c r="A688" t="s">
        <v>3013</v>
      </c>
      <c r="B688" t="s">
        <v>39</v>
      </c>
      <c r="C688" s="1">
        <v>46029.737500000003</v>
      </c>
      <c r="D688" t="s">
        <v>5146</v>
      </c>
    </row>
    <row r="689" spans="1:4" x14ac:dyDescent="0.25">
      <c r="A689" t="s">
        <v>3014</v>
      </c>
      <c r="B689" t="s">
        <v>38</v>
      </c>
      <c r="C689" s="1">
        <v>45987.470833333333</v>
      </c>
      <c r="D689" t="s">
        <v>5146</v>
      </c>
    </row>
    <row r="690" spans="1:4" x14ac:dyDescent="0.25">
      <c r="A690" t="s">
        <v>3015</v>
      </c>
      <c r="B690" t="s">
        <v>38</v>
      </c>
      <c r="C690" s="1">
        <v>45985.479166666664</v>
      </c>
      <c r="D690" t="s">
        <v>5146</v>
      </c>
    </row>
    <row r="691" spans="1:4" x14ac:dyDescent="0.25">
      <c r="A691" t="s">
        <v>3016</v>
      </c>
      <c r="B691" t="s">
        <v>38</v>
      </c>
      <c r="C691" s="1">
        <v>45836.606249999997</v>
      </c>
      <c r="D691" t="s">
        <v>5146</v>
      </c>
    </row>
    <row r="692" spans="1:4" x14ac:dyDescent="0.25">
      <c r="A692" t="s">
        <v>3017</v>
      </c>
      <c r="B692" t="s">
        <v>38</v>
      </c>
      <c r="C692" s="1">
        <v>45798.545138888891</v>
      </c>
      <c r="D692" t="s">
        <v>5146</v>
      </c>
    </row>
    <row r="693" spans="1:4" x14ac:dyDescent="0.25">
      <c r="A693" t="s">
        <v>3018</v>
      </c>
      <c r="B693" t="s">
        <v>38</v>
      </c>
      <c r="C693" s="1">
        <v>45798.54583333333</v>
      </c>
      <c r="D693" t="s">
        <v>5146</v>
      </c>
    </row>
    <row r="694" spans="1:4" x14ac:dyDescent="0.25">
      <c r="A694" t="s">
        <v>3019</v>
      </c>
      <c r="B694" t="s">
        <v>38</v>
      </c>
      <c r="C694" s="1">
        <v>45798.551388888889</v>
      </c>
      <c r="D694" t="s">
        <v>5146</v>
      </c>
    </row>
    <row r="695" spans="1:4" x14ac:dyDescent="0.25">
      <c r="A695" t="s">
        <v>3020</v>
      </c>
      <c r="B695" t="s">
        <v>38</v>
      </c>
      <c r="C695" s="1">
        <v>45806.559027777781</v>
      </c>
      <c r="D695" t="s">
        <v>5146</v>
      </c>
    </row>
    <row r="696" spans="1:4" x14ac:dyDescent="0.25">
      <c r="A696" t="s">
        <v>3021</v>
      </c>
      <c r="B696" t="s">
        <v>38</v>
      </c>
      <c r="C696" s="1">
        <v>45847.480555555558</v>
      </c>
      <c r="D696" t="s">
        <v>5146</v>
      </c>
    </row>
    <row r="697" spans="1:4" x14ac:dyDescent="0.25">
      <c r="A697" t="s">
        <v>3022</v>
      </c>
      <c r="B697" t="s">
        <v>38</v>
      </c>
      <c r="C697" s="1">
        <v>46029.554861111108</v>
      </c>
      <c r="D697" t="s">
        <v>5146</v>
      </c>
    </row>
    <row r="698" spans="1:4" x14ac:dyDescent="0.25">
      <c r="A698" t="s">
        <v>3023</v>
      </c>
      <c r="B698" t="s">
        <v>38</v>
      </c>
      <c r="C698" s="1">
        <v>45855.775694444441</v>
      </c>
      <c r="D698" t="s">
        <v>5146</v>
      </c>
    </row>
    <row r="699" spans="1:4" x14ac:dyDescent="0.25">
      <c r="A699" t="s">
        <v>3024</v>
      </c>
      <c r="B699" t="s">
        <v>38</v>
      </c>
      <c r="C699" s="1">
        <v>45836.563888888886</v>
      </c>
      <c r="D699" t="s">
        <v>5146</v>
      </c>
    </row>
    <row r="700" spans="1:4" x14ac:dyDescent="0.25">
      <c r="A700" t="s">
        <v>3025</v>
      </c>
      <c r="B700" t="s">
        <v>39</v>
      </c>
      <c r="C700" s="1">
        <v>45841.023611111108</v>
      </c>
      <c r="D700" t="s">
        <v>5146</v>
      </c>
    </row>
    <row r="701" spans="1:4" x14ac:dyDescent="0.25">
      <c r="A701" t="s">
        <v>3026</v>
      </c>
      <c r="B701" t="s">
        <v>38</v>
      </c>
      <c r="C701" s="1">
        <v>45955.703472222223</v>
      </c>
      <c r="D701" t="s">
        <v>5146</v>
      </c>
    </row>
    <row r="702" spans="1:4" x14ac:dyDescent="0.25">
      <c r="A702" t="s">
        <v>3027</v>
      </c>
      <c r="B702" t="s">
        <v>38</v>
      </c>
      <c r="C702" s="1">
        <v>45855.77847222222</v>
      </c>
      <c r="D702" t="s">
        <v>5146</v>
      </c>
    </row>
    <row r="703" spans="1:4" x14ac:dyDescent="0.25">
      <c r="A703" t="s">
        <v>3028</v>
      </c>
      <c r="B703" t="s">
        <v>38</v>
      </c>
      <c r="C703" s="1">
        <v>45855.782638888886</v>
      </c>
      <c r="D703" t="s">
        <v>5146</v>
      </c>
    </row>
    <row r="704" spans="1:4" x14ac:dyDescent="0.25">
      <c r="A704" t="s">
        <v>3029</v>
      </c>
      <c r="B704" t="s">
        <v>38</v>
      </c>
      <c r="C704" s="1">
        <v>45855.782638888886</v>
      </c>
      <c r="D704" t="s">
        <v>5146</v>
      </c>
    </row>
    <row r="705" spans="1:4" x14ac:dyDescent="0.25">
      <c r="A705" t="s">
        <v>3030</v>
      </c>
      <c r="B705" t="s">
        <v>38</v>
      </c>
      <c r="C705" s="1">
        <v>45855.78402777778</v>
      </c>
      <c r="D705" t="s">
        <v>5146</v>
      </c>
    </row>
    <row r="706" spans="1:4" x14ac:dyDescent="0.25">
      <c r="A706" t="s">
        <v>3031</v>
      </c>
      <c r="B706" t="s">
        <v>38</v>
      </c>
      <c r="C706" s="1">
        <v>45855.785416666666</v>
      </c>
      <c r="D706" t="s">
        <v>5146</v>
      </c>
    </row>
    <row r="707" spans="1:4" x14ac:dyDescent="0.25">
      <c r="A707" t="s">
        <v>3032</v>
      </c>
      <c r="B707" t="s">
        <v>38</v>
      </c>
      <c r="C707" s="1">
        <v>45855.80972222222</v>
      </c>
      <c r="D707" t="s">
        <v>5146</v>
      </c>
    </row>
    <row r="708" spans="1:4" x14ac:dyDescent="0.25">
      <c r="A708" t="s">
        <v>3033</v>
      </c>
      <c r="B708" t="s">
        <v>38</v>
      </c>
      <c r="C708" s="1">
        <v>45855.73541666667</v>
      </c>
      <c r="D708" t="s">
        <v>5146</v>
      </c>
    </row>
    <row r="709" spans="1:4" x14ac:dyDescent="0.25">
      <c r="A709" t="s">
        <v>3034</v>
      </c>
      <c r="B709" t="s">
        <v>38</v>
      </c>
      <c r="C709" s="1">
        <v>45855.736805555556</v>
      </c>
      <c r="D709" t="s">
        <v>5146</v>
      </c>
    </row>
    <row r="710" spans="1:4" x14ac:dyDescent="0.25">
      <c r="A710" t="s">
        <v>3035</v>
      </c>
      <c r="B710" t="s">
        <v>38</v>
      </c>
      <c r="C710" s="1">
        <v>45806.645833333336</v>
      </c>
      <c r="D710" t="s">
        <v>5146</v>
      </c>
    </row>
    <row r="711" spans="1:4" x14ac:dyDescent="0.25">
      <c r="A711" t="s">
        <v>3036</v>
      </c>
      <c r="B711" t="s">
        <v>38</v>
      </c>
      <c r="C711" s="1">
        <v>45855.746527777781</v>
      </c>
      <c r="D711" t="s">
        <v>5146</v>
      </c>
    </row>
    <row r="712" spans="1:4" x14ac:dyDescent="0.25">
      <c r="A712" t="s">
        <v>3037</v>
      </c>
      <c r="B712" t="s">
        <v>38</v>
      </c>
      <c r="C712" s="1">
        <v>45855.747916666667</v>
      </c>
      <c r="D712" t="s">
        <v>5146</v>
      </c>
    </row>
    <row r="713" spans="1:4" x14ac:dyDescent="0.25">
      <c r="A713" t="s">
        <v>3038</v>
      </c>
      <c r="B713" t="s">
        <v>38</v>
      </c>
      <c r="C713" s="1">
        <v>45856.432638888888</v>
      </c>
      <c r="D713" t="s">
        <v>5146</v>
      </c>
    </row>
    <row r="714" spans="1:4" x14ac:dyDescent="0.25">
      <c r="A714" t="s">
        <v>3039</v>
      </c>
      <c r="B714" t="s">
        <v>38</v>
      </c>
      <c r="C714" s="1">
        <v>45856.434027777781</v>
      </c>
      <c r="D714" t="s">
        <v>5146</v>
      </c>
    </row>
    <row r="715" spans="1:4" x14ac:dyDescent="0.25">
      <c r="A715" t="s">
        <v>3040</v>
      </c>
      <c r="B715" t="s">
        <v>38</v>
      </c>
      <c r="C715" s="1">
        <v>45856.43472222222</v>
      </c>
      <c r="D715" t="s">
        <v>5146</v>
      </c>
    </row>
    <row r="716" spans="1:4" x14ac:dyDescent="0.25">
      <c r="A716" t="s">
        <v>3041</v>
      </c>
      <c r="B716" t="s">
        <v>38</v>
      </c>
      <c r="C716" s="1">
        <v>45856.435416666667</v>
      </c>
      <c r="D716" t="s">
        <v>5146</v>
      </c>
    </row>
    <row r="717" spans="1:4" x14ac:dyDescent="0.25">
      <c r="A717" t="s">
        <v>3042</v>
      </c>
      <c r="B717" t="s">
        <v>38</v>
      </c>
      <c r="C717" s="1">
        <v>45856.44027777778</v>
      </c>
      <c r="D717" t="s">
        <v>5146</v>
      </c>
    </row>
    <row r="718" spans="1:4" x14ac:dyDescent="0.25">
      <c r="A718" t="s">
        <v>3043</v>
      </c>
      <c r="B718" t="s">
        <v>38</v>
      </c>
      <c r="C718" s="1">
        <v>45856.443055555559</v>
      </c>
      <c r="D718" t="s">
        <v>5146</v>
      </c>
    </row>
    <row r="719" spans="1:4" x14ac:dyDescent="0.25">
      <c r="A719" t="s">
        <v>3044</v>
      </c>
      <c r="B719" t="s">
        <v>38</v>
      </c>
      <c r="C719" s="1">
        <v>45856.447916666664</v>
      </c>
      <c r="D719" t="s">
        <v>5146</v>
      </c>
    </row>
    <row r="720" spans="1:4" x14ac:dyDescent="0.25">
      <c r="A720" t="s">
        <v>3045</v>
      </c>
      <c r="B720" t="s">
        <v>38</v>
      </c>
      <c r="C720" s="1">
        <v>45856.45208333333</v>
      </c>
      <c r="D720" t="s">
        <v>5146</v>
      </c>
    </row>
    <row r="721" spans="1:4" x14ac:dyDescent="0.25">
      <c r="A721" t="s">
        <v>3046</v>
      </c>
      <c r="B721" t="s">
        <v>38</v>
      </c>
      <c r="C721" s="1">
        <v>45856.454861111109</v>
      </c>
      <c r="D721" t="s">
        <v>5146</v>
      </c>
    </row>
    <row r="722" spans="1:4" x14ac:dyDescent="0.25">
      <c r="A722" t="s">
        <v>3047</v>
      </c>
      <c r="B722" t="s">
        <v>38</v>
      </c>
      <c r="C722" s="1">
        <v>45856.457638888889</v>
      </c>
      <c r="D722" t="s">
        <v>5146</v>
      </c>
    </row>
    <row r="723" spans="1:4" x14ac:dyDescent="0.25">
      <c r="A723" t="s">
        <v>3048</v>
      </c>
      <c r="B723" t="s">
        <v>38</v>
      </c>
      <c r="C723" s="1">
        <v>45856.463888888888</v>
      </c>
      <c r="D723" t="s">
        <v>5146</v>
      </c>
    </row>
    <row r="724" spans="1:4" x14ac:dyDescent="0.25">
      <c r="A724" t="s">
        <v>3049</v>
      </c>
      <c r="B724" t="s">
        <v>38</v>
      </c>
      <c r="C724" s="1">
        <v>45856.466666666667</v>
      </c>
      <c r="D724" t="s">
        <v>5146</v>
      </c>
    </row>
    <row r="725" spans="1:4" x14ac:dyDescent="0.25">
      <c r="A725" t="s">
        <v>3050</v>
      </c>
      <c r="B725" t="s">
        <v>38</v>
      </c>
      <c r="C725" s="1">
        <v>45856.469444444447</v>
      </c>
      <c r="D725" t="s">
        <v>5146</v>
      </c>
    </row>
    <row r="726" spans="1:4" x14ac:dyDescent="0.25">
      <c r="A726" t="s">
        <v>3051</v>
      </c>
      <c r="B726" t="s">
        <v>39</v>
      </c>
      <c r="C726" s="1">
        <v>45819.561111111114</v>
      </c>
      <c r="D726" t="s">
        <v>5146</v>
      </c>
    </row>
    <row r="727" spans="1:4" x14ac:dyDescent="0.25">
      <c r="A727" t="s">
        <v>3052</v>
      </c>
      <c r="B727" t="s">
        <v>38</v>
      </c>
      <c r="C727" s="1">
        <v>45856.571527777778</v>
      </c>
      <c r="D727" t="s">
        <v>5146</v>
      </c>
    </row>
    <row r="728" spans="1:4" x14ac:dyDescent="0.25">
      <c r="A728" t="s">
        <v>3053</v>
      </c>
      <c r="B728" t="s">
        <v>38</v>
      </c>
      <c r="C728" s="1">
        <v>45856.660416666666</v>
      </c>
      <c r="D728" t="s">
        <v>5146</v>
      </c>
    </row>
    <row r="729" spans="1:4" x14ac:dyDescent="0.25">
      <c r="A729" t="s">
        <v>3054</v>
      </c>
      <c r="B729" t="s">
        <v>38</v>
      </c>
      <c r="C729" s="1">
        <v>45853.912499999999</v>
      </c>
      <c r="D729" t="s">
        <v>5146</v>
      </c>
    </row>
    <row r="730" spans="1:4" x14ac:dyDescent="0.25">
      <c r="A730" t="s">
        <v>3055</v>
      </c>
      <c r="B730" t="s">
        <v>38</v>
      </c>
      <c r="C730" s="1">
        <v>45846.845833333333</v>
      </c>
      <c r="D730" t="s">
        <v>5146</v>
      </c>
    </row>
    <row r="731" spans="1:4" x14ac:dyDescent="0.25">
      <c r="A731" t="s">
        <v>3056</v>
      </c>
      <c r="B731" t="s">
        <v>38</v>
      </c>
      <c r="C731" s="1">
        <v>45856.688194444447</v>
      </c>
      <c r="D731" t="s">
        <v>5146</v>
      </c>
    </row>
    <row r="732" spans="1:4" x14ac:dyDescent="0.25">
      <c r="A732" t="s">
        <v>3057</v>
      </c>
      <c r="B732" t="s">
        <v>38</v>
      </c>
      <c r="C732" s="1">
        <v>45856.689583333333</v>
      </c>
      <c r="D732" t="s">
        <v>5146</v>
      </c>
    </row>
    <row r="733" spans="1:4" x14ac:dyDescent="0.25">
      <c r="A733" t="s">
        <v>3058</v>
      </c>
      <c r="B733" t="s">
        <v>39</v>
      </c>
      <c r="C733" s="1">
        <v>45848.913194444445</v>
      </c>
      <c r="D733" t="s">
        <v>5146</v>
      </c>
    </row>
    <row r="734" spans="1:4" x14ac:dyDescent="0.25">
      <c r="A734" t="s">
        <v>3059</v>
      </c>
      <c r="B734" t="s">
        <v>38</v>
      </c>
      <c r="C734" s="1">
        <v>45860.717361111114</v>
      </c>
      <c r="D734" t="s">
        <v>5146</v>
      </c>
    </row>
    <row r="735" spans="1:4" x14ac:dyDescent="0.25">
      <c r="A735" t="s">
        <v>3060</v>
      </c>
      <c r="B735" t="s">
        <v>38</v>
      </c>
      <c r="C735" s="1">
        <v>45856.486805555556</v>
      </c>
      <c r="D735" t="s">
        <v>5146</v>
      </c>
    </row>
    <row r="736" spans="1:4" x14ac:dyDescent="0.25">
      <c r="A736" t="s">
        <v>3061</v>
      </c>
      <c r="B736" t="s">
        <v>38</v>
      </c>
      <c r="C736" s="1">
        <v>45856.497916666667</v>
      </c>
      <c r="D736" t="s">
        <v>5146</v>
      </c>
    </row>
    <row r="737" spans="1:4" x14ac:dyDescent="0.25">
      <c r="A737" t="s">
        <v>3062</v>
      </c>
      <c r="B737" t="s">
        <v>38</v>
      </c>
      <c r="C737" s="1">
        <v>45856.498611111114</v>
      </c>
      <c r="D737" t="s">
        <v>5146</v>
      </c>
    </row>
    <row r="738" spans="1:4" x14ac:dyDescent="0.25">
      <c r="A738" t="s">
        <v>3063</v>
      </c>
      <c r="B738" t="s">
        <v>38</v>
      </c>
      <c r="C738" s="1">
        <v>45875.59097222222</v>
      </c>
      <c r="D738" t="s">
        <v>5146</v>
      </c>
    </row>
    <row r="739" spans="1:4" x14ac:dyDescent="0.25">
      <c r="A739" t="s">
        <v>3064</v>
      </c>
      <c r="B739" t="s">
        <v>38</v>
      </c>
      <c r="C739" s="1">
        <v>45880.568055555559</v>
      </c>
      <c r="D739" t="s">
        <v>5146</v>
      </c>
    </row>
    <row r="740" spans="1:4" x14ac:dyDescent="0.25">
      <c r="A740" t="s">
        <v>3065</v>
      </c>
      <c r="B740" t="s">
        <v>38</v>
      </c>
      <c r="C740" s="1">
        <v>45892.38958333333</v>
      </c>
      <c r="D740" t="s">
        <v>5146</v>
      </c>
    </row>
    <row r="741" spans="1:4" x14ac:dyDescent="0.25">
      <c r="A741" t="s">
        <v>3066</v>
      </c>
      <c r="B741" t="s">
        <v>38</v>
      </c>
      <c r="C741" s="1">
        <v>45896.488194444442</v>
      </c>
      <c r="D741" t="s">
        <v>5146</v>
      </c>
    </row>
    <row r="742" spans="1:4" x14ac:dyDescent="0.25">
      <c r="A742" t="s">
        <v>3067</v>
      </c>
      <c r="B742" t="s">
        <v>38</v>
      </c>
      <c r="C742" s="1">
        <v>45909.570138888892</v>
      </c>
      <c r="D742" t="s">
        <v>5146</v>
      </c>
    </row>
    <row r="743" spans="1:4" x14ac:dyDescent="0.25">
      <c r="A743" t="s">
        <v>3068</v>
      </c>
      <c r="B743" t="s">
        <v>38</v>
      </c>
      <c r="C743" s="1">
        <v>45943.824999999997</v>
      </c>
      <c r="D743" t="s">
        <v>5146</v>
      </c>
    </row>
    <row r="744" spans="1:4" x14ac:dyDescent="0.25">
      <c r="A744" t="s">
        <v>3069</v>
      </c>
      <c r="B744" t="s">
        <v>38</v>
      </c>
      <c r="C744" s="1">
        <v>45943.826388888891</v>
      </c>
      <c r="D744" t="s">
        <v>5146</v>
      </c>
    </row>
    <row r="745" spans="1:4" x14ac:dyDescent="0.25">
      <c r="A745" t="s">
        <v>3070</v>
      </c>
      <c r="B745" t="s">
        <v>38</v>
      </c>
      <c r="C745" s="1">
        <v>45943.82708333333</v>
      </c>
      <c r="D745" t="s">
        <v>5146</v>
      </c>
    </row>
    <row r="746" spans="1:4" x14ac:dyDescent="0.25">
      <c r="A746" t="s">
        <v>3071</v>
      </c>
      <c r="B746" t="s">
        <v>38</v>
      </c>
      <c r="C746" s="1">
        <v>45943.828472222223</v>
      </c>
      <c r="D746" t="s">
        <v>5146</v>
      </c>
    </row>
    <row r="747" spans="1:4" x14ac:dyDescent="0.25">
      <c r="A747" t="s">
        <v>3072</v>
      </c>
      <c r="B747" t="s">
        <v>38</v>
      </c>
      <c r="C747" s="1">
        <v>45943.838888888888</v>
      </c>
      <c r="D747" t="s">
        <v>5146</v>
      </c>
    </row>
    <row r="748" spans="1:4" x14ac:dyDescent="0.25">
      <c r="A748" t="s">
        <v>3073</v>
      </c>
      <c r="B748" t="s">
        <v>38</v>
      </c>
      <c r="C748" s="1">
        <v>45943.830555555556</v>
      </c>
      <c r="D748" t="s">
        <v>5146</v>
      </c>
    </row>
    <row r="749" spans="1:4" x14ac:dyDescent="0.25">
      <c r="A749" t="s">
        <v>3074</v>
      </c>
      <c r="B749" t="s">
        <v>38</v>
      </c>
      <c r="C749" s="1">
        <v>45968.504166666666</v>
      </c>
      <c r="D749" t="s">
        <v>5146</v>
      </c>
    </row>
    <row r="750" spans="1:4" x14ac:dyDescent="0.25">
      <c r="A750" t="s">
        <v>3075</v>
      </c>
      <c r="B750" t="s">
        <v>38</v>
      </c>
      <c r="C750" s="1">
        <v>45943.823611111111</v>
      </c>
      <c r="D750" t="s">
        <v>5146</v>
      </c>
    </row>
    <row r="751" spans="1:4" x14ac:dyDescent="0.25">
      <c r="A751" t="s">
        <v>3076</v>
      </c>
      <c r="B751" t="s">
        <v>38</v>
      </c>
      <c r="C751" s="1">
        <v>46003.970138888886</v>
      </c>
      <c r="D751" t="s">
        <v>5146</v>
      </c>
    </row>
    <row r="752" spans="1:4" x14ac:dyDescent="0.25">
      <c r="A752" t="s">
        <v>97</v>
      </c>
      <c r="B752" t="s">
        <v>38</v>
      </c>
      <c r="C752" s="1">
        <v>46003.604861111111</v>
      </c>
      <c r="D752" t="s">
        <v>5146</v>
      </c>
    </row>
    <row r="753" spans="1:4" x14ac:dyDescent="0.25">
      <c r="A753" t="s">
        <v>98</v>
      </c>
      <c r="B753" t="s">
        <v>38</v>
      </c>
      <c r="C753" s="1">
        <v>46024.77847222222</v>
      </c>
      <c r="D753" t="s">
        <v>5146</v>
      </c>
    </row>
    <row r="754" spans="1:4" x14ac:dyDescent="0.25">
      <c r="A754" t="s">
        <v>3077</v>
      </c>
      <c r="B754" t="s">
        <v>38</v>
      </c>
      <c r="C754" s="1">
        <v>45969.654166666667</v>
      </c>
      <c r="D754" t="s">
        <v>5146</v>
      </c>
    </row>
    <row r="755" spans="1:4" x14ac:dyDescent="0.25">
      <c r="A755" t="s">
        <v>71</v>
      </c>
      <c r="B755" t="s">
        <v>38</v>
      </c>
      <c r="C755" s="1">
        <v>46036.652777777781</v>
      </c>
      <c r="D755" t="s">
        <v>5146</v>
      </c>
    </row>
    <row r="756" spans="1:4" x14ac:dyDescent="0.25">
      <c r="A756" t="s">
        <v>3078</v>
      </c>
      <c r="B756" t="s">
        <v>38</v>
      </c>
      <c r="C756" s="1">
        <v>45978.500694444447</v>
      </c>
      <c r="D756" t="s">
        <v>5146</v>
      </c>
    </row>
    <row r="757" spans="1:4" x14ac:dyDescent="0.25">
      <c r="A757" t="s">
        <v>3079</v>
      </c>
      <c r="B757" t="s">
        <v>38</v>
      </c>
      <c r="C757" s="1">
        <v>45967.6</v>
      </c>
      <c r="D757" t="s">
        <v>5146</v>
      </c>
    </row>
    <row r="758" spans="1:4" x14ac:dyDescent="0.25">
      <c r="A758" t="s">
        <v>3080</v>
      </c>
      <c r="B758" t="s">
        <v>38</v>
      </c>
      <c r="C758" s="1">
        <v>45989.634722222225</v>
      </c>
      <c r="D758" t="s">
        <v>5146</v>
      </c>
    </row>
    <row r="759" spans="1:4" x14ac:dyDescent="0.25">
      <c r="A759" t="s">
        <v>3081</v>
      </c>
      <c r="B759" t="s">
        <v>39</v>
      </c>
      <c r="C759" s="1">
        <v>46043.503472222219</v>
      </c>
      <c r="D759" t="s">
        <v>5146</v>
      </c>
    </row>
    <row r="760" spans="1:4" x14ac:dyDescent="0.25">
      <c r="A760" t="s">
        <v>3082</v>
      </c>
      <c r="B760" t="s">
        <v>39</v>
      </c>
      <c r="C760" s="1">
        <v>46043.503472222219</v>
      </c>
      <c r="D760" t="s">
        <v>5146</v>
      </c>
    </row>
    <row r="761" spans="1:4" x14ac:dyDescent="0.25">
      <c r="A761" t="s">
        <v>3083</v>
      </c>
      <c r="B761" t="s">
        <v>38</v>
      </c>
      <c r="C761" s="1">
        <v>45771.703472222223</v>
      </c>
      <c r="D761" t="s">
        <v>5146</v>
      </c>
    </row>
    <row r="762" spans="1:4" x14ac:dyDescent="0.25">
      <c r="A762" t="s">
        <v>3084</v>
      </c>
      <c r="B762" t="s">
        <v>38</v>
      </c>
      <c r="C762" s="1">
        <v>45768.789583333331</v>
      </c>
      <c r="D762" t="s">
        <v>5146</v>
      </c>
    </row>
    <row r="763" spans="1:4" x14ac:dyDescent="0.25">
      <c r="A763" t="s">
        <v>3085</v>
      </c>
      <c r="B763" t="s">
        <v>38</v>
      </c>
      <c r="C763" s="1">
        <v>45878.560416666667</v>
      </c>
      <c r="D763" t="s">
        <v>5146</v>
      </c>
    </row>
    <row r="764" spans="1:4" x14ac:dyDescent="0.25">
      <c r="A764" t="s">
        <v>3086</v>
      </c>
      <c r="B764" t="s">
        <v>38</v>
      </c>
      <c r="C764" s="1">
        <v>45772.831250000003</v>
      </c>
      <c r="D764" t="s">
        <v>5146</v>
      </c>
    </row>
    <row r="765" spans="1:4" x14ac:dyDescent="0.25">
      <c r="A765" t="s">
        <v>3087</v>
      </c>
      <c r="B765" t="s">
        <v>38</v>
      </c>
      <c r="C765" s="1">
        <v>45952.638888888891</v>
      </c>
      <c r="D765" t="s">
        <v>5146</v>
      </c>
    </row>
    <row r="766" spans="1:4" x14ac:dyDescent="0.25">
      <c r="A766" t="s">
        <v>563</v>
      </c>
      <c r="B766" t="s">
        <v>1239</v>
      </c>
      <c r="C766" s="1">
        <v>46047.704861111109</v>
      </c>
      <c r="D766" t="s">
        <v>5146</v>
      </c>
    </row>
    <row r="767" spans="1:4" x14ac:dyDescent="0.25">
      <c r="A767" t="s">
        <v>564</v>
      </c>
      <c r="B767" t="s">
        <v>38</v>
      </c>
      <c r="C767" s="1">
        <v>46051.705555555556</v>
      </c>
      <c r="D767" t="s">
        <v>5146</v>
      </c>
    </row>
    <row r="768" spans="1:4" x14ac:dyDescent="0.25">
      <c r="A768" t="s">
        <v>3088</v>
      </c>
      <c r="B768" t="s">
        <v>38</v>
      </c>
      <c r="C768" s="1">
        <v>45806.556250000001</v>
      </c>
      <c r="D768" t="s">
        <v>5146</v>
      </c>
    </row>
    <row r="769" spans="1:4" x14ac:dyDescent="0.25">
      <c r="A769" t="s">
        <v>3089</v>
      </c>
      <c r="B769" t="s">
        <v>38</v>
      </c>
      <c r="C769" s="1">
        <v>45843.643750000003</v>
      </c>
      <c r="D769" t="s">
        <v>5146</v>
      </c>
    </row>
    <row r="770" spans="1:4" x14ac:dyDescent="0.25">
      <c r="A770" t="s">
        <v>3090</v>
      </c>
      <c r="B770" t="s">
        <v>38</v>
      </c>
      <c r="C770" s="1">
        <v>45952.676388888889</v>
      </c>
      <c r="D770" t="s">
        <v>5146</v>
      </c>
    </row>
    <row r="771" spans="1:4" x14ac:dyDescent="0.25">
      <c r="A771" t="s">
        <v>3091</v>
      </c>
      <c r="B771" t="s">
        <v>38</v>
      </c>
      <c r="C771" s="1">
        <v>45840.757638888892</v>
      </c>
      <c r="D771" t="s">
        <v>5146</v>
      </c>
    </row>
    <row r="772" spans="1:4" x14ac:dyDescent="0.25">
      <c r="A772" t="s">
        <v>552</v>
      </c>
      <c r="B772" t="s">
        <v>1239</v>
      </c>
      <c r="C772" s="1">
        <v>46043.642361111109</v>
      </c>
      <c r="D772" t="s">
        <v>5146</v>
      </c>
    </row>
    <row r="773" spans="1:4" x14ac:dyDescent="0.25">
      <c r="A773" t="s">
        <v>535</v>
      </c>
      <c r="B773" t="s">
        <v>39</v>
      </c>
      <c r="C773" s="1">
        <v>46050.755555555559</v>
      </c>
      <c r="D773" t="s">
        <v>5146</v>
      </c>
    </row>
    <row r="774" spans="1:4" x14ac:dyDescent="0.25">
      <c r="A774" t="s">
        <v>519</v>
      </c>
      <c r="B774" t="s">
        <v>38</v>
      </c>
      <c r="C774" s="1">
        <v>46043.77847222222</v>
      </c>
      <c r="D774" t="s">
        <v>5146</v>
      </c>
    </row>
    <row r="775" spans="1:4" x14ac:dyDescent="0.25">
      <c r="A775" t="s">
        <v>3092</v>
      </c>
      <c r="B775" t="s">
        <v>38</v>
      </c>
      <c r="C775" s="1">
        <v>45892.767361111109</v>
      </c>
      <c r="D775" t="s">
        <v>5146</v>
      </c>
    </row>
    <row r="776" spans="1:4" x14ac:dyDescent="0.25">
      <c r="A776" t="s">
        <v>3093</v>
      </c>
      <c r="B776" t="s">
        <v>38</v>
      </c>
      <c r="C776" s="1">
        <v>45849.121527777781</v>
      </c>
      <c r="D776" t="s">
        <v>5146</v>
      </c>
    </row>
    <row r="777" spans="1:4" x14ac:dyDescent="0.25">
      <c r="A777" t="s">
        <v>3094</v>
      </c>
      <c r="B777" t="s">
        <v>38</v>
      </c>
      <c r="C777" s="1">
        <v>45849.103472222225</v>
      </c>
      <c r="D777" t="s">
        <v>5146</v>
      </c>
    </row>
    <row r="778" spans="1:4" x14ac:dyDescent="0.25">
      <c r="A778" t="s">
        <v>3095</v>
      </c>
      <c r="B778" t="s">
        <v>39</v>
      </c>
      <c r="C778" s="1">
        <v>45832.713888888888</v>
      </c>
      <c r="D778" t="s">
        <v>5146</v>
      </c>
    </row>
    <row r="779" spans="1:4" x14ac:dyDescent="0.25">
      <c r="A779" t="s">
        <v>493</v>
      </c>
      <c r="B779" t="s">
        <v>39</v>
      </c>
      <c r="C779" s="1">
        <v>46050.683333333334</v>
      </c>
      <c r="D779" t="s">
        <v>5146</v>
      </c>
    </row>
    <row r="780" spans="1:4" x14ac:dyDescent="0.25">
      <c r="A780" t="s">
        <v>3096</v>
      </c>
      <c r="B780" t="s">
        <v>38</v>
      </c>
      <c r="C780" s="1">
        <v>45888.738194444442</v>
      </c>
      <c r="D780" t="s">
        <v>5146</v>
      </c>
    </row>
    <row r="781" spans="1:4" x14ac:dyDescent="0.25">
      <c r="A781" t="s">
        <v>3097</v>
      </c>
      <c r="B781" t="s">
        <v>38</v>
      </c>
      <c r="C781" s="1">
        <v>45856.46597222222</v>
      </c>
      <c r="D781" t="s">
        <v>5146</v>
      </c>
    </row>
    <row r="782" spans="1:4" x14ac:dyDescent="0.25">
      <c r="A782" t="s">
        <v>3098</v>
      </c>
      <c r="B782" t="s">
        <v>38</v>
      </c>
      <c r="C782" s="1">
        <v>45855.793055555558</v>
      </c>
      <c r="D782" t="s">
        <v>5146</v>
      </c>
    </row>
    <row r="783" spans="1:4" x14ac:dyDescent="0.25">
      <c r="A783" t="s">
        <v>508</v>
      </c>
      <c r="B783" t="s">
        <v>38</v>
      </c>
      <c r="C783" s="1">
        <v>46042.552777777775</v>
      </c>
      <c r="D783" t="s">
        <v>5146</v>
      </c>
    </row>
    <row r="784" spans="1:4" x14ac:dyDescent="0.25">
      <c r="A784" t="s">
        <v>510</v>
      </c>
      <c r="B784" t="s">
        <v>38</v>
      </c>
      <c r="C784" s="1">
        <v>46041.881944444445</v>
      </c>
      <c r="D784" t="s">
        <v>5146</v>
      </c>
    </row>
    <row r="785" spans="1:4" x14ac:dyDescent="0.25">
      <c r="A785" t="s">
        <v>3099</v>
      </c>
      <c r="B785" t="s">
        <v>38</v>
      </c>
      <c r="C785" s="1">
        <v>45820.540277777778</v>
      </c>
      <c r="D785" t="s">
        <v>5146</v>
      </c>
    </row>
    <row r="786" spans="1:4" x14ac:dyDescent="0.25">
      <c r="A786" t="s">
        <v>3100</v>
      </c>
      <c r="B786" t="s">
        <v>38</v>
      </c>
      <c r="C786" s="1">
        <v>45836.667361111111</v>
      </c>
      <c r="D786" t="s">
        <v>5146</v>
      </c>
    </row>
    <row r="787" spans="1:4" x14ac:dyDescent="0.25">
      <c r="A787" t="s">
        <v>3101</v>
      </c>
      <c r="B787" t="s">
        <v>38</v>
      </c>
      <c r="C787" s="1">
        <v>45904.518750000003</v>
      </c>
      <c r="D787" t="s">
        <v>5146</v>
      </c>
    </row>
    <row r="788" spans="1:4" x14ac:dyDescent="0.25">
      <c r="A788" t="s">
        <v>3102</v>
      </c>
      <c r="B788" t="s">
        <v>38</v>
      </c>
      <c r="C788" s="1">
        <v>45834.535416666666</v>
      </c>
      <c r="D788" t="s">
        <v>5146</v>
      </c>
    </row>
    <row r="789" spans="1:4" x14ac:dyDescent="0.25">
      <c r="A789" t="s">
        <v>3103</v>
      </c>
      <c r="B789" t="s">
        <v>38</v>
      </c>
      <c r="C789" s="1">
        <v>45855.712500000001</v>
      </c>
      <c r="D789" t="s">
        <v>5146</v>
      </c>
    </row>
    <row r="790" spans="1:4" x14ac:dyDescent="0.25">
      <c r="A790" t="s">
        <v>3104</v>
      </c>
      <c r="B790" t="s">
        <v>38</v>
      </c>
      <c r="C790" s="1">
        <v>45855.745833333334</v>
      </c>
      <c r="D790" t="s">
        <v>5146</v>
      </c>
    </row>
    <row r="791" spans="1:4" x14ac:dyDescent="0.25">
      <c r="A791" t="s">
        <v>3105</v>
      </c>
      <c r="B791" t="s">
        <v>38</v>
      </c>
      <c r="C791" s="1">
        <v>45821.595138888886</v>
      </c>
      <c r="D791" t="s">
        <v>5146</v>
      </c>
    </row>
    <row r="792" spans="1:4" x14ac:dyDescent="0.25">
      <c r="A792" t="s">
        <v>3106</v>
      </c>
      <c r="B792" t="s">
        <v>38</v>
      </c>
      <c r="C792" s="1">
        <v>45855.78402777778</v>
      </c>
      <c r="D792" t="s">
        <v>5146</v>
      </c>
    </row>
    <row r="793" spans="1:4" x14ac:dyDescent="0.25">
      <c r="A793" t="s">
        <v>3107</v>
      </c>
      <c r="B793" t="s">
        <v>38</v>
      </c>
      <c r="C793" s="1">
        <v>45855.784722222219</v>
      </c>
      <c r="D793" t="s">
        <v>5146</v>
      </c>
    </row>
    <row r="794" spans="1:4" x14ac:dyDescent="0.25">
      <c r="A794" t="s">
        <v>3108</v>
      </c>
      <c r="B794" t="s">
        <v>38</v>
      </c>
      <c r="C794" s="1">
        <v>45856.422222222223</v>
      </c>
      <c r="D794" t="s">
        <v>5146</v>
      </c>
    </row>
    <row r="795" spans="1:4" x14ac:dyDescent="0.25">
      <c r="A795" t="s">
        <v>3109</v>
      </c>
      <c r="B795" t="s">
        <v>38</v>
      </c>
      <c r="C795" s="1">
        <v>45849.109722222223</v>
      </c>
      <c r="D795" t="s">
        <v>5146</v>
      </c>
    </row>
    <row r="796" spans="1:4" x14ac:dyDescent="0.25">
      <c r="A796" t="s">
        <v>3110</v>
      </c>
      <c r="B796" t="s">
        <v>38</v>
      </c>
      <c r="C796" s="1">
        <v>45901.961111111108</v>
      </c>
      <c r="D796" t="s">
        <v>5146</v>
      </c>
    </row>
    <row r="797" spans="1:4" x14ac:dyDescent="0.25">
      <c r="A797" t="s">
        <v>3111</v>
      </c>
      <c r="B797" t="s">
        <v>38</v>
      </c>
      <c r="C797" s="1">
        <v>45878.743750000001</v>
      </c>
      <c r="D797" t="s">
        <v>5146</v>
      </c>
    </row>
    <row r="798" spans="1:4" x14ac:dyDescent="0.25">
      <c r="A798" t="s">
        <v>3112</v>
      </c>
      <c r="B798" t="s">
        <v>38</v>
      </c>
      <c r="C798" s="1">
        <v>45856.479166666664</v>
      </c>
      <c r="D798" t="s">
        <v>5146</v>
      </c>
    </row>
    <row r="799" spans="1:4" x14ac:dyDescent="0.25">
      <c r="A799" t="s">
        <v>3113</v>
      </c>
      <c r="B799" t="s">
        <v>38</v>
      </c>
      <c r="C799" s="1">
        <v>45856.484027777777</v>
      </c>
      <c r="D799" t="s">
        <v>5146</v>
      </c>
    </row>
    <row r="800" spans="1:4" x14ac:dyDescent="0.25">
      <c r="A800" t="s">
        <v>3114</v>
      </c>
      <c r="B800" t="s">
        <v>38</v>
      </c>
      <c r="C800" s="1">
        <v>45856.484722222223</v>
      </c>
      <c r="D800" t="s">
        <v>5146</v>
      </c>
    </row>
    <row r="801" spans="1:4" x14ac:dyDescent="0.25">
      <c r="A801" t="s">
        <v>3115</v>
      </c>
      <c r="B801" t="s">
        <v>38</v>
      </c>
      <c r="C801" s="1">
        <v>45856.48541666667</v>
      </c>
      <c r="D801" t="s">
        <v>5146</v>
      </c>
    </row>
    <row r="802" spans="1:4" x14ac:dyDescent="0.25">
      <c r="A802" t="s">
        <v>3116</v>
      </c>
      <c r="B802" t="s">
        <v>38</v>
      </c>
      <c r="C802" s="1">
        <v>45815.792361111111</v>
      </c>
      <c r="D802" t="s">
        <v>5146</v>
      </c>
    </row>
    <row r="803" spans="1:4" x14ac:dyDescent="0.25">
      <c r="A803" t="s">
        <v>3117</v>
      </c>
      <c r="B803" t="s">
        <v>38</v>
      </c>
      <c r="C803" s="1">
        <v>45836.647916666669</v>
      </c>
      <c r="D803" t="s">
        <v>5146</v>
      </c>
    </row>
    <row r="804" spans="1:4" x14ac:dyDescent="0.25">
      <c r="A804" t="s">
        <v>3118</v>
      </c>
      <c r="B804" t="s">
        <v>38</v>
      </c>
      <c r="C804" s="1">
        <v>45857.563888888886</v>
      </c>
      <c r="D804" t="s">
        <v>5146</v>
      </c>
    </row>
    <row r="805" spans="1:4" x14ac:dyDescent="0.25">
      <c r="A805" t="s">
        <v>3119</v>
      </c>
      <c r="B805" t="s">
        <v>38</v>
      </c>
      <c r="C805" s="1">
        <v>45860.709027777775</v>
      </c>
      <c r="D805" t="s">
        <v>5146</v>
      </c>
    </row>
    <row r="806" spans="1:4" x14ac:dyDescent="0.25">
      <c r="A806" t="s">
        <v>3120</v>
      </c>
      <c r="B806" t="s">
        <v>38</v>
      </c>
      <c r="C806" s="1">
        <v>45849.135416666664</v>
      </c>
      <c r="D806" t="s">
        <v>5146</v>
      </c>
    </row>
    <row r="807" spans="1:4" x14ac:dyDescent="0.25">
      <c r="A807" t="s">
        <v>3121</v>
      </c>
      <c r="B807" t="s">
        <v>38</v>
      </c>
      <c r="C807" s="1">
        <v>45856.669444444444</v>
      </c>
      <c r="D807" t="s">
        <v>5146</v>
      </c>
    </row>
    <row r="808" spans="1:4" x14ac:dyDescent="0.25">
      <c r="A808" t="s">
        <v>3122</v>
      </c>
      <c r="B808" t="s">
        <v>38</v>
      </c>
      <c r="C808" s="1">
        <v>45834.539583333331</v>
      </c>
      <c r="D808" t="s">
        <v>5146</v>
      </c>
    </row>
    <row r="809" spans="1:4" x14ac:dyDescent="0.25">
      <c r="A809" t="s">
        <v>3123</v>
      </c>
      <c r="B809" t="s">
        <v>38</v>
      </c>
      <c r="C809" s="1">
        <v>45856.736805555556</v>
      </c>
      <c r="D809" t="s">
        <v>5146</v>
      </c>
    </row>
    <row r="810" spans="1:4" x14ac:dyDescent="0.25">
      <c r="A810" t="s">
        <v>3124</v>
      </c>
      <c r="B810" t="s">
        <v>38</v>
      </c>
      <c r="C810" s="1">
        <v>45856.742361111108</v>
      </c>
      <c r="D810" t="s">
        <v>5146</v>
      </c>
    </row>
    <row r="811" spans="1:4" x14ac:dyDescent="0.25">
      <c r="A811" t="s">
        <v>3125</v>
      </c>
      <c r="B811" t="s">
        <v>38</v>
      </c>
      <c r="C811" s="1">
        <v>45855.70208333333</v>
      </c>
      <c r="D811" t="s">
        <v>5146</v>
      </c>
    </row>
    <row r="812" spans="1:4" x14ac:dyDescent="0.25">
      <c r="A812" t="s">
        <v>3126</v>
      </c>
      <c r="B812" t="s">
        <v>38</v>
      </c>
      <c r="C812" s="1">
        <v>45855.705555555556</v>
      </c>
      <c r="D812" t="s">
        <v>5146</v>
      </c>
    </row>
    <row r="813" spans="1:4" x14ac:dyDescent="0.25">
      <c r="A813" t="s">
        <v>3127</v>
      </c>
      <c r="B813" t="s">
        <v>38</v>
      </c>
      <c r="C813" s="1">
        <v>46004.484027777777</v>
      </c>
      <c r="D813" t="s">
        <v>5146</v>
      </c>
    </row>
    <row r="814" spans="1:4" x14ac:dyDescent="0.25">
      <c r="A814" t="s">
        <v>3128</v>
      </c>
      <c r="B814" t="s">
        <v>38</v>
      </c>
      <c r="C814" s="1">
        <v>45912.581250000003</v>
      </c>
      <c r="D814" t="s">
        <v>5146</v>
      </c>
    </row>
    <row r="815" spans="1:4" x14ac:dyDescent="0.25">
      <c r="A815" t="s">
        <v>3129</v>
      </c>
      <c r="B815" t="s">
        <v>38</v>
      </c>
      <c r="C815" s="1">
        <v>45849.09375</v>
      </c>
      <c r="D815" t="s">
        <v>5146</v>
      </c>
    </row>
    <row r="816" spans="1:4" x14ac:dyDescent="0.25">
      <c r="A816" t="s">
        <v>3130</v>
      </c>
      <c r="B816" t="s">
        <v>38</v>
      </c>
      <c r="C816" s="1">
        <v>45855.756249999999</v>
      </c>
      <c r="D816" t="s">
        <v>5146</v>
      </c>
    </row>
    <row r="817" spans="1:4" x14ac:dyDescent="0.25">
      <c r="A817" t="s">
        <v>3131</v>
      </c>
      <c r="B817" t="s">
        <v>38</v>
      </c>
      <c r="C817" s="1">
        <v>45856.560416666667</v>
      </c>
      <c r="D817" t="s">
        <v>5146</v>
      </c>
    </row>
    <row r="818" spans="1:4" x14ac:dyDescent="0.25">
      <c r="A818" t="s">
        <v>3132</v>
      </c>
      <c r="B818" t="s">
        <v>38</v>
      </c>
      <c r="C818" s="1">
        <v>45860.745833333334</v>
      </c>
      <c r="D818" t="s">
        <v>5146</v>
      </c>
    </row>
    <row r="819" spans="1:4" x14ac:dyDescent="0.25">
      <c r="A819" t="s">
        <v>3133</v>
      </c>
      <c r="B819" t="s">
        <v>38</v>
      </c>
      <c r="C819" s="1">
        <v>45960.568749999999</v>
      </c>
      <c r="D819" t="s">
        <v>5146</v>
      </c>
    </row>
    <row r="820" spans="1:4" x14ac:dyDescent="0.25">
      <c r="A820" t="s">
        <v>3134</v>
      </c>
      <c r="B820" t="s">
        <v>38</v>
      </c>
      <c r="C820" s="1">
        <v>45859.964583333334</v>
      </c>
      <c r="D820" t="s">
        <v>5146</v>
      </c>
    </row>
    <row r="821" spans="1:4" x14ac:dyDescent="0.25">
      <c r="A821" t="s">
        <v>378</v>
      </c>
      <c r="B821" t="s">
        <v>38</v>
      </c>
      <c r="C821" s="1">
        <v>46032.65625</v>
      </c>
      <c r="D821" t="s">
        <v>5146</v>
      </c>
    </row>
    <row r="822" spans="1:4" x14ac:dyDescent="0.25">
      <c r="A822" t="s">
        <v>3135</v>
      </c>
      <c r="B822" t="s">
        <v>38</v>
      </c>
      <c r="C822" s="1">
        <v>45856.613194444442</v>
      </c>
      <c r="D822" t="s">
        <v>5146</v>
      </c>
    </row>
    <row r="823" spans="1:4" x14ac:dyDescent="0.25">
      <c r="A823" t="s">
        <v>3136</v>
      </c>
      <c r="B823" t="s">
        <v>38</v>
      </c>
      <c r="C823" s="1">
        <v>45885.490972222222</v>
      </c>
      <c r="D823" t="s">
        <v>5146</v>
      </c>
    </row>
    <row r="824" spans="1:4" x14ac:dyDescent="0.25">
      <c r="A824" t="s">
        <v>3137</v>
      </c>
      <c r="B824" t="s">
        <v>38</v>
      </c>
      <c r="C824" s="1">
        <v>45857.72152777778</v>
      </c>
      <c r="D824" t="s">
        <v>5146</v>
      </c>
    </row>
    <row r="825" spans="1:4" x14ac:dyDescent="0.25">
      <c r="A825" t="s">
        <v>3138</v>
      </c>
      <c r="B825" t="s">
        <v>38</v>
      </c>
      <c r="C825" s="1">
        <v>45856.629166666666</v>
      </c>
      <c r="D825" t="s">
        <v>5146</v>
      </c>
    </row>
    <row r="826" spans="1:4" x14ac:dyDescent="0.25">
      <c r="A826" t="s">
        <v>3139</v>
      </c>
      <c r="B826" t="s">
        <v>38</v>
      </c>
      <c r="C826" s="1">
        <v>45891.76666666667</v>
      </c>
      <c r="D826" t="s">
        <v>5146</v>
      </c>
    </row>
    <row r="827" spans="1:4" x14ac:dyDescent="0.25">
      <c r="A827" t="s">
        <v>361</v>
      </c>
      <c r="B827" t="s">
        <v>38</v>
      </c>
      <c r="C827" s="1">
        <v>46030.655555555553</v>
      </c>
      <c r="D827" t="s">
        <v>5146</v>
      </c>
    </row>
    <row r="828" spans="1:4" x14ac:dyDescent="0.25">
      <c r="A828" t="s">
        <v>3140</v>
      </c>
      <c r="B828" t="s">
        <v>38</v>
      </c>
      <c r="C828" s="1">
        <v>45877.754861111112</v>
      </c>
      <c r="D828" t="s">
        <v>5146</v>
      </c>
    </row>
    <row r="829" spans="1:4" x14ac:dyDescent="0.25">
      <c r="A829" t="s">
        <v>3141</v>
      </c>
      <c r="B829" t="s">
        <v>38</v>
      </c>
      <c r="C829" s="1">
        <v>45899.779166666667</v>
      </c>
      <c r="D829" t="s">
        <v>5146</v>
      </c>
    </row>
    <row r="830" spans="1:4" x14ac:dyDescent="0.25">
      <c r="A830" t="s">
        <v>3142</v>
      </c>
      <c r="B830" t="s">
        <v>38</v>
      </c>
      <c r="C830" s="1">
        <v>45897.664583333331</v>
      </c>
      <c r="D830" t="s">
        <v>5146</v>
      </c>
    </row>
    <row r="831" spans="1:4" x14ac:dyDescent="0.25">
      <c r="A831" t="s">
        <v>3143</v>
      </c>
      <c r="B831" t="s">
        <v>38</v>
      </c>
      <c r="C831" s="1">
        <v>45877.745138888888</v>
      </c>
      <c r="D831" t="s">
        <v>5146</v>
      </c>
    </row>
    <row r="832" spans="1:4" x14ac:dyDescent="0.25">
      <c r="A832" t="s">
        <v>3144</v>
      </c>
      <c r="B832" t="s">
        <v>38</v>
      </c>
      <c r="C832" s="1">
        <v>46003.904166666667</v>
      </c>
      <c r="D832" t="s">
        <v>5146</v>
      </c>
    </row>
    <row r="833" spans="1:4" x14ac:dyDescent="0.25">
      <c r="A833" t="s">
        <v>3145</v>
      </c>
      <c r="B833" t="s">
        <v>38</v>
      </c>
      <c r="C833" s="1">
        <v>46003.906944444447</v>
      </c>
      <c r="D833" t="s">
        <v>5146</v>
      </c>
    </row>
    <row r="834" spans="1:4" x14ac:dyDescent="0.25">
      <c r="A834" t="s">
        <v>3146</v>
      </c>
      <c r="B834" t="s">
        <v>38</v>
      </c>
      <c r="C834" s="1">
        <v>45880.640972222223</v>
      </c>
      <c r="D834" t="s">
        <v>5146</v>
      </c>
    </row>
    <row r="835" spans="1:4" x14ac:dyDescent="0.25">
      <c r="A835" t="s">
        <v>3147</v>
      </c>
      <c r="B835" t="s">
        <v>38</v>
      </c>
      <c r="C835" s="1">
        <v>45885.835416666669</v>
      </c>
      <c r="D835" t="s">
        <v>5146</v>
      </c>
    </row>
    <row r="836" spans="1:4" x14ac:dyDescent="0.25">
      <c r="A836" t="s">
        <v>3148</v>
      </c>
      <c r="B836" t="s">
        <v>38</v>
      </c>
      <c r="C836" s="1">
        <v>45897.669444444444</v>
      </c>
      <c r="D836" t="s">
        <v>5146</v>
      </c>
    </row>
    <row r="837" spans="1:4" x14ac:dyDescent="0.25">
      <c r="A837" t="s">
        <v>3149</v>
      </c>
      <c r="B837" t="s">
        <v>38</v>
      </c>
      <c r="C837" s="1">
        <v>45897.708333333336</v>
      </c>
      <c r="D837" t="s">
        <v>5146</v>
      </c>
    </row>
    <row r="838" spans="1:4" x14ac:dyDescent="0.25">
      <c r="A838" t="s">
        <v>3150</v>
      </c>
      <c r="B838" t="s">
        <v>38</v>
      </c>
      <c r="C838" s="1">
        <v>45901.681944444441</v>
      </c>
      <c r="D838" t="s">
        <v>5146</v>
      </c>
    </row>
    <row r="839" spans="1:4" x14ac:dyDescent="0.25">
      <c r="A839" t="s">
        <v>317</v>
      </c>
      <c r="B839" t="s">
        <v>38</v>
      </c>
      <c r="C839" s="1">
        <v>46039.668749999997</v>
      </c>
      <c r="D839" t="s">
        <v>5146</v>
      </c>
    </row>
    <row r="840" spans="1:4" x14ac:dyDescent="0.25">
      <c r="A840" t="s">
        <v>3151</v>
      </c>
      <c r="B840" t="s">
        <v>38</v>
      </c>
      <c r="C840" s="1">
        <v>45895.025000000001</v>
      </c>
      <c r="D840" t="s">
        <v>5146</v>
      </c>
    </row>
    <row r="841" spans="1:4" x14ac:dyDescent="0.25">
      <c r="A841" t="s">
        <v>3152</v>
      </c>
      <c r="B841" t="s">
        <v>38</v>
      </c>
      <c r="C841" s="1">
        <v>45909.8</v>
      </c>
      <c r="D841" t="s">
        <v>5146</v>
      </c>
    </row>
    <row r="842" spans="1:4" x14ac:dyDescent="0.25">
      <c r="A842" t="s">
        <v>3153</v>
      </c>
      <c r="B842" t="s">
        <v>38</v>
      </c>
      <c r="C842" s="1">
        <v>45888.785416666666</v>
      </c>
      <c r="D842" t="s">
        <v>5146</v>
      </c>
    </row>
    <row r="843" spans="1:4" x14ac:dyDescent="0.25">
      <c r="A843" t="s">
        <v>3154</v>
      </c>
      <c r="B843" t="s">
        <v>38</v>
      </c>
      <c r="C843" s="1">
        <v>45897.456944444442</v>
      </c>
      <c r="D843" t="s">
        <v>5146</v>
      </c>
    </row>
    <row r="844" spans="1:4" x14ac:dyDescent="0.25">
      <c r="A844" t="s">
        <v>3155</v>
      </c>
      <c r="B844" t="s">
        <v>38</v>
      </c>
      <c r="C844" s="1">
        <v>45973.444444444445</v>
      </c>
      <c r="D844" t="s">
        <v>5146</v>
      </c>
    </row>
    <row r="845" spans="1:4" x14ac:dyDescent="0.25">
      <c r="A845" t="s">
        <v>3156</v>
      </c>
      <c r="B845" t="s">
        <v>38</v>
      </c>
      <c r="C845" s="1">
        <v>45969.5</v>
      </c>
      <c r="D845" t="s">
        <v>5146</v>
      </c>
    </row>
    <row r="846" spans="1:4" x14ac:dyDescent="0.25">
      <c r="A846" t="s">
        <v>3157</v>
      </c>
      <c r="B846" t="s">
        <v>38</v>
      </c>
      <c r="C846" s="1">
        <v>45897.647916666669</v>
      </c>
      <c r="D846" t="s">
        <v>5146</v>
      </c>
    </row>
    <row r="847" spans="1:4" x14ac:dyDescent="0.25">
      <c r="A847" t="s">
        <v>3158</v>
      </c>
      <c r="B847" t="s">
        <v>38</v>
      </c>
      <c r="C847" s="1">
        <v>45892.502083333333</v>
      </c>
      <c r="D847" t="s">
        <v>5146</v>
      </c>
    </row>
    <row r="848" spans="1:4" x14ac:dyDescent="0.25">
      <c r="A848" t="s">
        <v>3159</v>
      </c>
      <c r="B848" t="s">
        <v>38</v>
      </c>
      <c r="C848" s="1">
        <v>45897.79583333333</v>
      </c>
      <c r="D848" t="s">
        <v>5146</v>
      </c>
    </row>
    <row r="849" spans="1:4" x14ac:dyDescent="0.25">
      <c r="A849" t="s">
        <v>279</v>
      </c>
      <c r="B849" t="s">
        <v>38</v>
      </c>
      <c r="C849" s="1">
        <v>46036.678472222222</v>
      </c>
      <c r="D849" t="s">
        <v>5146</v>
      </c>
    </row>
    <row r="850" spans="1:4" x14ac:dyDescent="0.25">
      <c r="A850" t="s">
        <v>3160</v>
      </c>
      <c r="B850" t="s">
        <v>38</v>
      </c>
      <c r="C850" s="1">
        <v>45895.795138888891</v>
      </c>
      <c r="D850" t="s">
        <v>5146</v>
      </c>
    </row>
    <row r="851" spans="1:4" x14ac:dyDescent="0.25">
      <c r="A851" t="s">
        <v>3161</v>
      </c>
      <c r="B851" t="s">
        <v>38</v>
      </c>
      <c r="C851" s="1">
        <v>45971.430555555555</v>
      </c>
      <c r="D851" t="s">
        <v>5146</v>
      </c>
    </row>
    <row r="852" spans="1:4" x14ac:dyDescent="0.25">
      <c r="A852" t="s">
        <v>3162</v>
      </c>
      <c r="B852" t="s">
        <v>38</v>
      </c>
      <c r="C852" s="1">
        <v>46004.484722222223</v>
      </c>
      <c r="D852" t="s">
        <v>5146</v>
      </c>
    </row>
    <row r="853" spans="1:4" x14ac:dyDescent="0.25">
      <c r="A853" t="s">
        <v>3163</v>
      </c>
      <c r="B853" t="s">
        <v>38</v>
      </c>
      <c r="C853" s="1">
        <v>46003.856944444444</v>
      </c>
      <c r="D853" t="s">
        <v>5146</v>
      </c>
    </row>
    <row r="854" spans="1:4" x14ac:dyDescent="0.25">
      <c r="A854" t="s">
        <v>3164</v>
      </c>
      <c r="B854" t="s">
        <v>38</v>
      </c>
      <c r="C854" s="1">
        <v>45913.529861111114</v>
      </c>
      <c r="D854" t="s">
        <v>5146</v>
      </c>
    </row>
    <row r="855" spans="1:4" x14ac:dyDescent="0.25">
      <c r="A855" t="s">
        <v>3165</v>
      </c>
      <c r="B855" t="s">
        <v>38</v>
      </c>
      <c r="C855" s="1">
        <v>46003.936111111114</v>
      </c>
      <c r="D855" t="s">
        <v>5146</v>
      </c>
    </row>
    <row r="856" spans="1:4" x14ac:dyDescent="0.25">
      <c r="A856" t="s">
        <v>3166</v>
      </c>
      <c r="B856" t="s">
        <v>38</v>
      </c>
      <c r="C856" s="1">
        <v>46003.855555555558</v>
      </c>
      <c r="D856" t="s">
        <v>5146</v>
      </c>
    </row>
    <row r="857" spans="1:4" x14ac:dyDescent="0.25">
      <c r="A857" t="s">
        <v>3167</v>
      </c>
      <c r="B857" t="s">
        <v>38</v>
      </c>
      <c r="C857" s="1">
        <v>45904.945138888892</v>
      </c>
      <c r="D857" t="s">
        <v>5146</v>
      </c>
    </row>
    <row r="858" spans="1:4" x14ac:dyDescent="0.25">
      <c r="A858" t="s">
        <v>3168</v>
      </c>
      <c r="B858" t="s">
        <v>38</v>
      </c>
      <c r="C858" s="1">
        <v>46003.854166666664</v>
      </c>
      <c r="D858" t="s">
        <v>5146</v>
      </c>
    </row>
    <row r="859" spans="1:4" x14ac:dyDescent="0.25">
      <c r="A859" t="s">
        <v>3169</v>
      </c>
      <c r="B859" t="s">
        <v>38</v>
      </c>
      <c r="C859" s="1">
        <v>45943.823611111111</v>
      </c>
      <c r="D859" t="s">
        <v>5146</v>
      </c>
    </row>
    <row r="860" spans="1:4" x14ac:dyDescent="0.25">
      <c r="A860" t="s">
        <v>3170</v>
      </c>
      <c r="B860" t="s">
        <v>39</v>
      </c>
      <c r="C860" s="1">
        <v>45943.848611111112</v>
      </c>
      <c r="D860" t="s">
        <v>5146</v>
      </c>
    </row>
    <row r="861" spans="1:4" x14ac:dyDescent="0.25">
      <c r="A861" t="s">
        <v>3171</v>
      </c>
      <c r="B861" t="s">
        <v>39</v>
      </c>
      <c r="C861" s="1">
        <v>45943.84375</v>
      </c>
      <c r="D861" t="s">
        <v>5146</v>
      </c>
    </row>
    <row r="862" spans="1:4" x14ac:dyDescent="0.25">
      <c r="A862" t="s">
        <v>3172</v>
      </c>
      <c r="B862" t="s">
        <v>39</v>
      </c>
      <c r="C862" s="1">
        <v>45972.711805555555</v>
      </c>
      <c r="D862" t="s">
        <v>5146</v>
      </c>
    </row>
    <row r="863" spans="1:4" x14ac:dyDescent="0.25">
      <c r="A863" t="s">
        <v>3173</v>
      </c>
      <c r="B863" t="s">
        <v>38</v>
      </c>
      <c r="C863" s="1">
        <v>45943.82916666667</v>
      </c>
      <c r="D863" t="s">
        <v>5146</v>
      </c>
    </row>
    <row r="864" spans="1:4" x14ac:dyDescent="0.25">
      <c r="A864" t="s">
        <v>3174</v>
      </c>
      <c r="B864" t="s">
        <v>38</v>
      </c>
      <c r="C864" s="1">
        <v>45943.829861111109</v>
      </c>
      <c r="D864" t="s">
        <v>5146</v>
      </c>
    </row>
    <row r="865" spans="1:4" x14ac:dyDescent="0.25">
      <c r="A865" t="s">
        <v>3175</v>
      </c>
      <c r="B865" t="s">
        <v>38</v>
      </c>
      <c r="C865" s="1">
        <v>45943.831944444442</v>
      </c>
      <c r="D865" t="s">
        <v>5146</v>
      </c>
    </row>
    <row r="866" spans="1:4" x14ac:dyDescent="0.25">
      <c r="A866" t="s">
        <v>3176</v>
      </c>
      <c r="B866" t="s">
        <v>38</v>
      </c>
      <c r="C866" s="1">
        <v>45943.833333333336</v>
      </c>
      <c r="D866" t="s">
        <v>5146</v>
      </c>
    </row>
    <row r="867" spans="1:4" x14ac:dyDescent="0.25">
      <c r="A867" t="s">
        <v>3177</v>
      </c>
      <c r="B867" t="s">
        <v>38</v>
      </c>
      <c r="C867" s="1">
        <v>45943.834722222222</v>
      </c>
      <c r="D867" t="s">
        <v>5146</v>
      </c>
    </row>
    <row r="868" spans="1:4" x14ac:dyDescent="0.25">
      <c r="A868" t="s">
        <v>3178</v>
      </c>
      <c r="B868" t="s">
        <v>38</v>
      </c>
      <c r="C868" s="1">
        <v>45943.835416666669</v>
      </c>
      <c r="D868" t="s">
        <v>5146</v>
      </c>
    </row>
    <row r="869" spans="1:4" x14ac:dyDescent="0.25">
      <c r="A869" t="s">
        <v>3179</v>
      </c>
      <c r="B869" t="s">
        <v>38</v>
      </c>
      <c r="C869" s="1">
        <v>45982.470138888886</v>
      </c>
      <c r="D869" t="s">
        <v>5146</v>
      </c>
    </row>
    <row r="870" spans="1:4" x14ac:dyDescent="0.25">
      <c r="A870" t="s">
        <v>3180</v>
      </c>
      <c r="B870" t="s">
        <v>38</v>
      </c>
      <c r="C870" s="1">
        <v>45943.84097222222</v>
      </c>
      <c r="D870" t="s">
        <v>5146</v>
      </c>
    </row>
    <row r="871" spans="1:4" x14ac:dyDescent="0.25">
      <c r="A871" t="s">
        <v>3181</v>
      </c>
      <c r="B871" t="s">
        <v>38</v>
      </c>
      <c r="C871" s="1">
        <v>45943.838194444441</v>
      </c>
      <c r="D871" t="s">
        <v>5146</v>
      </c>
    </row>
    <row r="872" spans="1:4" x14ac:dyDescent="0.25">
      <c r="A872" t="s">
        <v>3182</v>
      </c>
      <c r="B872" t="s">
        <v>38</v>
      </c>
      <c r="C872" s="1">
        <v>45943.837500000001</v>
      </c>
      <c r="D872" t="s">
        <v>5146</v>
      </c>
    </row>
    <row r="873" spans="1:4" x14ac:dyDescent="0.25">
      <c r="A873" t="s">
        <v>3183</v>
      </c>
      <c r="B873" t="s">
        <v>38</v>
      </c>
      <c r="C873" s="1">
        <v>45943.836111111108</v>
      </c>
      <c r="D873" t="s">
        <v>5146</v>
      </c>
    </row>
    <row r="874" spans="1:4" x14ac:dyDescent="0.25">
      <c r="A874" t="s">
        <v>3184</v>
      </c>
      <c r="B874" t="s">
        <v>38</v>
      </c>
      <c r="C874" s="1">
        <v>45943.836805555555</v>
      </c>
      <c r="D874" t="s">
        <v>5146</v>
      </c>
    </row>
    <row r="875" spans="1:4" x14ac:dyDescent="0.25">
      <c r="A875" t="s">
        <v>3185</v>
      </c>
      <c r="B875" t="s">
        <v>38</v>
      </c>
      <c r="C875" s="1">
        <v>45943.835416666669</v>
      </c>
      <c r="D875" t="s">
        <v>5146</v>
      </c>
    </row>
    <row r="876" spans="1:4" x14ac:dyDescent="0.25">
      <c r="A876" t="s">
        <v>3186</v>
      </c>
      <c r="B876" t="s">
        <v>38</v>
      </c>
      <c r="C876" s="1">
        <v>45943.831944444442</v>
      </c>
      <c r="D876" t="s">
        <v>5146</v>
      </c>
    </row>
    <row r="877" spans="1:4" x14ac:dyDescent="0.25">
      <c r="A877" t="s">
        <v>3187</v>
      </c>
      <c r="B877" t="s">
        <v>38</v>
      </c>
      <c r="C877" s="1">
        <v>45943.831250000003</v>
      </c>
      <c r="D877" t="s">
        <v>5146</v>
      </c>
    </row>
    <row r="878" spans="1:4" x14ac:dyDescent="0.25">
      <c r="A878" t="s">
        <v>3188</v>
      </c>
      <c r="B878" t="s">
        <v>38</v>
      </c>
      <c r="C878" s="1">
        <v>45943.82708333333</v>
      </c>
      <c r="D878" t="s">
        <v>5146</v>
      </c>
    </row>
    <row r="879" spans="1:4" x14ac:dyDescent="0.25">
      <c r="A879" t="s">
        <v>189</v>
      </c>
      <c r="B879" t="s">
        <v>38</v>
      </c>
      <c r="C879" s="1">
        <v>46007.679166666669</v>
      </c>
      <c r="D879" t="s">
        <v>5146</v>
      </c>
    </row>
    <row r="880" spans="1:4" x14ac:dyDescent="0.25">
      <c r="A880" t="s">
        <v>192</v>
      </c>
      <c r="B880" t="s">
        <v>38</v>
      </c>
      <c r="C880" s="1">
        <v>46025.505555555559</v>
      </c>
      <c r="D880" t="s">
        <v>5146</v>
      </c>
    </row>
    <row r="881" spans="1:4" x14ac:dyDescent="0.25">
      <c r="A881" t="s">
        <v>3189</v>
      </c>
      <c r="B881" t="s">
        <v>38</v>
      </c>
      <c r="C881" s="1">
        <v>45943.832638888889</v>
      </c>
      <c r="D881" t="s">
        <v>5146</v>
      </c>
    </row>
    <row r="882" spans="1:4" x14ac:dyDescent="0.25">
      <c r="A882" t="s">
        <v>3190</v>
      </c>
      <c r="B882" t="s">
        <v>38</v>
      </c>
      <c r="C882" s="1">
        <v>45943.826388888891</v>
      </c>
      <c r="D882" t="s">
        <v>5146</v>
      </c>
    </row>
    <row r="883" spans="1:4" x14ac:dyDescent="0.25">
      <c r="A883" t="s">
        <v>3191</v>
      </c>
      <c r="B883" t="s">
        <v>38</v>
      </c>
      <c r="C883" s="1">
        <v>45943.824999999997</v>
      </c>
      <c r="D883" t="s">
        <v>5146</v>
      </c>
    </row>
    <row r="884" spans="1:4" x14ac:dyDescent="0.25">
      <c r="A884" t="s">
        <v>3192</v>
      </c>
      <c r="B884" t="s">
        <v>38</v>
      </c>
      <c r="C884" s="1">
        <v>45943.825694444444</v>
      </c>
      <c r="D884" t="s">
        <v>5146</v>
      </c>
    </row>
    <row r="885" spans="1:4" x14ac:dyDescent="0.25">
      <c r="A885" t="s">
        <v>167</v>
      </c>
      <c r="B885" t="s">
        <v>38</v>
      </c>
      <c r="C885" s="1">
        <v>46008.693055555559</v>
      </c>
      <c r="D885" t="s">
        <v>5146</v>
      </c>
    </row>
    <row r="886" spans="1:4" x14ac:dyDescent="0.25">
      <c r="A886" t="s">
        <v>168</v>
      </c>
      <c r="B886" t="s">
        <v>38</v>
      </c>
      <c r="C886" s="1">
        <v>46024.802777777775</v>
      </c>
      <c r="D886" t="s">
        <v>5146</v>
      </c>
    </row>
    <row r="887" spans="1:4" x14ac:dyDescent="0.25">
      <c r="A887" t="s">
        <v>3193</v>
      </c>
      <c r="B887" t="s">
        <v>38</v>
      </c>
      <c r="C887" s="1">
        <v>45943.824999999997</v>
      </c>
      <c r="D887" t="s">
        <v>5146</v>
      </c>
    </row>
    <row r="888" spans="1:4" x14ac:dyDescent="0.25">
      <c r="A888" t="s">
        <v>136</v>
      </c>
      <c r="B888" t="s">
        <v>38</v>
      </c>
      <c r="C888" s="1">
        <v>46000.558333333334</v>
      </c>
      <c r="D888" t="s">
        <v>5146</v>
      </c>
    </row>
    <row r="889" spans="1:4" x14ac:dyDescent="0.25">
      <c r="A889" t="s">
        <v>3194</v>
      </c>
      <c r="B889" t="s">
        <v>38</v>
      </c>
      <c r="C889" s="1">
        <v>45947.506944444445</v>
      </c>
      <c r="D889" t="s">
        <v>5146</v>
      </c>
    </row>
    <row r="890" spans="1:4" x14ac:dyDescent="0.25">
      <c r="A890" t="s">
        <v>3195</v>
      </c>
      <c r="B890" t="s">
        <v>38</v>
      </c>
      <c r="C890" s="1">
        <v>45969.73333333333</v>
      </c>
      <c r="D890" t="s">
        <v>5146</v>
      </c>
    </row>
    <row r="891" spans="1:4" x14ac:dyDescent="0.25">
      <c r="A891" t="s">
        <v>3196</v>
      </c>
      <c r="B891" t="s">
        <v>38</v>
      </c>
      <c r="C891" s="1">
        <v>45969.734027777777</v>
      </c>
      <c r="D891" t="s">
        <v>5146</v>
      </c>
    </row>
    <row r="892" spans="1:4" x14ac:dyDescent="0.25">
      <c r="A892" t="s">
        <v>113</v>
      </c>
      <c r="B892" t="s">
        <v>38</v>
      </c>
      <c r="C892" s="1">
        <v>46024.80972222222</v>
      </c>
      <c r="D892" t="s">
        <v>5146</v>
      </c>
    </row>
    <row r="893" spans="1:4" x14ac:dyDescent="0.25">
      <c r="A893" t="s">
        <v>108</v>
      </c>
      <c r="B893" t="s">
        <v>38</v>
      </c>
      <c r="C893" s="1">
        <v>46024.809027777781</v>
      </c>
      <c r="D893" t="s">
        <v>5146</v>
      </c>
    </row>
    <row r="894" spans="1:4" x14ac:dyDescent="0.25">
      <c r="A894" t="s">
        <v>3197</v>
      </c>
      <c r="B894" t="s">
        <v>38</v>
      </c>
      <c r="C894" s="1">
        <v>46009.787499999999</v>
      </c>
      <c r="D894" t="s">
        <v>5146</v>
      </c>
    </row>
    <row r="895" spans="1:4" x14ac:dyDescent="0.25">
      <c r="A895" t="s">
        <v>3198</v>
      </c>
      <c r="B895" t="s">
        <v>38</v>
      </c>
      <c r="C895" s="1">
        <v>45969.738194444442</v>
      </c>
      <c r="D895" t="s">
        <v>5146</v>
      </c>
    </row>
    <row r="896" spans="1:4" x14ac:dyDescent="0.25">
      <c r="A896" t="s">
        <v>3199</v>
      </c>
      <c r="B896" t="s">
        <v>38</v>
      </c>
      <c r="C896" s="1">
        <v>45969.738888888889</v>
      </c>
      <c r="D896" t="s">
        <v>5146</v>
      </c>
    </row>
    <row r="897" spans="1:4" x14ac:dyDescent="0.25">
      <c r="A897" t="s">
        <v>3200</v>
      </c>
      <c r="B897" t="s">
        <v>38</v>
      </c>
      <c r="C897" s="1">
        <v>45969.559027777781</v>
      </c>
      <c r="D897" t="s">
        <v>5146</v>
      </c>
    </row>
    <row r="898" spans="1:4" x14ac:dyDescent="0.25">
      <c r="A898" t="s">
        <v>3201</v>
      </c>
      <c r="B898" t="s">
        <v>38</v>
      </c>
      <c r="C898" s="1">
        <v>45973.6875</v>
      </c>
      <c r="D898" t="s">
        <v>5146</v>
      </c>
    </row>
    <row r="899" spans="1:4" x14ac:dyDescent="0.25">
      <c r="A899" t="s">
        <v>3202</v>
      </c>
      <c r="B899" t="s">
        <v>38</v>
      </c>
      <c r="C899" s="1">
        <v>45973.690972222219</v>
      </c>
      <c r="D899" t="s">
        <v>5146</v>
      </c>
    </row>
    <row r="900" spans="1:4" x14ac:dyDescent="0.25">
      <c r="A900" t="s">
        <v>3203</v>
      </c>
      <c r="B900" t="s">
        <v>39</v>
      </c>
      <c r="C900" s="1">
        <v>45969.629166666666</v>
      </c>
      <c r="D900" t="s">
        <v>5146</v>
      </c>
    </row>
    <row r="901" spans="1:4" x14ac:dyDescent="0.25">
      <c r="A901" t="s">
        <v>3204</v>
      </c>
      <c r="B901" t="s">
        <v>38</v>
      </c>
      <c r="C901" s="1">
        <v>45973.693749999999</v>
      </c>
      <c r="D901" t="s">
        <v>5146</v>
      </c>
    </row>
    <row r="902" spans="1:4" x14ac:dyDescent="0.25">
      <c r="A902" t="s">
        <v>3205</v>
      </c>
      <c r="B902" t="s">
        <v>38</v>
      </c>
      <c r="C902" s="1">
        <v>45973.693749999999</v>
      </c>
      <c r="D902" t="s">
        <v>5146</v>
      </c>
    </row>
    <row r="903" spans="1:4" x14ac:dyDescent="0.25">
      <c r="A903" t="s">
        <v>3206</v>
      </c>
      <c r="B903" t="s">
        <v>38</v>
      </c>
      <c r="C903" s="1">
        <v>46003.976388888892</v>
      </c>
      <c r="D903" t="s">
        <v>5146</v>
      </c>
    </row>
    <row r="904" spans="1:4" x14ac:dyDescent="0.25">
      <c r="A904" t="s">
        <v>3207</v>
      </c>
      <c r="B904" t="s">
        <v>38</v>
      </c>
      <c r="C904" s="1">
        <v>45971.426388888889</v>
      </c>
      <c r="D904" t="s">
        <v>5146</v>
      </c>
    </row>
    <row r="905" spans="1:4" x14ac:dyDescent="0.25">
      <c r="A905" t="s">
        <v>3208</v>
      </c>
      <c r="B905" t="s">
        <v>38</v>
      </c>
      <c r="C905" s="1">
        <v>46003.977777777778</v>
      </c>
      <c r="D905" t="s">
        <v>5146</v>
      </c>
    </row>
    <row r="906" spans="1:4" x14ac:dyDescent="0.25">
      <c r="A906" t="s">
        <v>3209</v>
      </c>
      <c r="B906" t="s">
        <v>38</v>
      </c>
      <c r="C906" s="1">
        <v>45971.423611111109</v>
      </c>
      <c r="D906" t="s">
        <v>5146</v>
      </c>
    </row>
    <row r="907" spans="1:4" x14ac:dyDescent="0.25">
      <c r="A907" t="s">
        <v>67</v>
      </c>
      <c r="B907" t="s">
        <v>38</v>
      </c>
      <c r="C907" s="1">
        <v>46001.613888888889</v>
      </c>
      <c r="D907" t="s">
        <v>5146</v>
      </c>
    </row>
    <row r="908" spans="1:4" x14ac:dyDescent="0.25">
      <c r="A908" t="s">
        <v>46</v>
      </c>
      <c r="B908" t="s">
        <v>38</v>
      </c>
      <c r="C908" s="1">
        <v>45996.633333333331</v>
      </c>
      <c r="D908" t="s">
        <v>5146</v>
      </c>
    </row>
    <row r="909" spans="1:4" x14ac:dyDescent="0.25">
      <c r="A909" t="s">
        <v>3210</v>
      </c>
      <c r="B909" t="s">
        <v>39</v>
      </c>
      <c r="C909" s="1">
        <v>45979.37777777778</v>
      </c>
      <c r="D909" t="s">
        <v>5146</v>
      </c>
    </row>
    <row r="910" spans="1:4" x14ac:dyDescent="0.25">
      <c r="A910" t="s">
        <v>3211</v>
      </c>
      <c r="B910" t="s">
        <v>38</v>
      </c>
      <c r="C910" s="1">
        <v>45969.615972222222</v>
      </c>
      <c r="D910" t="s">
        <v>5146</v>
      </c>
    </row>
    <row r="911" spans="1:4" x14ac:dyDescent="0.25">
      <c r="A911" t="s">
        <v>3212</v>
      </c>
      <c r="B911" t="s">
        <v>38</v>
      </c>
      <c r="C911" s="1">
        <v>45969.615277777775</v>
      </c>
      <c r="D911" t="s">
        <v>5146</v>
      </c>
    </row>
    <row r="912" spans="1:4" x14ac:dyDescent="0.25">
      <c r="A912" t="s">
        <v>3213</v>
      </c>
      <c r="B912" t="s">
        <v>38</v>
      </c>
      <c r="C912" s="1">
        <v>45969.615277777775</v>
      </c>
      <c r="D912" t="s">
        <v>5146</v>
      </c>
    </row>
    <row r="913" spans="1:4" x14ac:dyDescent="0.25">
      <c r="A913" t="s">
        <v>3214</v>
      </c>
      <c r="B913" t="s">
        <v>38</v>
      </c>
      <c r="C913" s="1">
        <v>45980.456250000003</v>
      </c>
      <c r="D913" t="s">
        <v>5146</v>
      </c>
    </row>
    <row r="914" spans="1:4" x14ac:dyDescent="0.25">
      <c r="A914" t="s">
        <v>3215</v>
      </c>
      <c r="B914" t="s">
        <v>38</v>
      </c>
      <c r="C914" s="1">
        <v>45961.563888888886</v>
      </c>
      <c r="D914" t="s">
        <v>5146</v>
      </c>
    </row>
    <row r="915" spans="1:4" x14ac:dyDescent="0.25">
      <c r="A915" t="s">
        <v>3216</v>
      </c>
      <c r="B915" t="s">
        <v>38</v>
      </c>
      <c r="C915" s="1">
        <v>45969.738194444442</v>
      </c>
      <c r="D915" t="s">
        <v>5146</v>
      </c>
    </row>
    <row r="916" spans="1:4" x14ac:dyDescent="0.25">
      <c r="A916" t="s">
        <v>3217</v>
      </c>
      <c r="B916" t="s">
        <v>38</v>
      </c>
      <c r="C916" s="1">
        <v>46008.4375</v>
      </c>
      <c r="D916" t="s">
        <v>5146</v>
      </c>
    </row>
    <row r="917" spans="1:4" x14ac:dyDescent="0.25">
      <c r="A917" t="s">
        <v>3218</v>
      </c>
      <c r="B917" t="s">
        <v>38</v>
      </c>
      <c r="C917" s="1">
        <v>45973.518055555556</v>
      </c>
      <c r="D917" t="s">
        <v>5146</v>
      </c>
    </row>
    <row r="918" spans="1:4" x14ac:dyDescent="0.25">
      <c r="A918" t="s">
        <v>3219</v>
      </c>
      <c r="B918" t="s">
        <v>39</v>
      </c>
      <c r="C918" s="1">
        <v>45961.497916666667</v>
      </c>
      <c r="D918" t="s">
        <v>5146</v>
      </c>
    </row>
    <row r="919" spans="1:4" x14ac:dyDescent="0.25">
      <c r="A919" t="s">
        <v>3220</v>
      </c>
      <c r="B919" t="s">
        <v>38</v>
      </c>
      <c r="C919" s="1">
        <v>45973.708333333336</v>
      </c>
      <c r="D919" t="s">
        <v>5146</v>
      </c>
    </row>
    <row r="920" spans="1:4" x14ac:dyDescent="0.25">
      <c r="A920" t="s">
        <v>3221</v>
      </c>
      <c r="B920" t="s">
        <v>38</v>
      </c>
      <c r="C920" s="1">
        <v>45990.611805555556</v>
      </c>
      <c r="D920" t="s">
        <v>5146</v>
      </c>
    </row>
    <row r="921" spans="1:4" x14ac:dyDescent="0.25">
      <c r="A921" t="s">
        <v>3222</v>
      </c>
      <c r="B921" t="s">
        <v>38</v>
      </c>
      <c r="C921" s="1">
        <v>45971.709027777775</v>
      </c>
      <c r="D921" t="s">
        <v>5146</v>
      </c>
    </row>
    <row r="922" spans="1:4" x14ac:dyDescent="0.25">
      <c r="A922" t="s">
        <v>3223</v>
      </c>
      <c r="B922" t="s">
        <v>38</v>
      </c>
      <c r="C922" s="1">
        <v>45968.479166666664</v>
      </c>
      <c r="D922" t="s">
        <v>5146</v>
      </c>
    </row>
    <row r="923" spans="1:4" x14ac:dyDescent="0.25">
      <c r="A923" t="s">
        <v>3224</v>
      </c>
      <c r="B923" t="s">
        <v>39</v>
      </c>
      <c r="C923" s="1">
        <v>45978.447222222225</v>
      </c>
      <c r="D923" t="s">
        <v>5146</v>
      </c>
    </row>
    <row r="924" spans="1:4" x14ac:dyDescent="0.25">
      <c r="A924" t="s">
        <v>3225</v>
      </c>
      <c r="B924" t="s">
        <v>39</v>
      </c>
      <c r="C924" s="1">
        <v>45973.484722222223</v>
      </c>
      <c r="D924" t="s">
        <v>5146</v>
      </c>
    </row>
    <row r="925" spans="1:4" x14ac:dyDescent="0.25">
      <c r="A925" t="s">
        <v>3226</v>
      </c>
      <c r="B925" t="s">
        <v>38</v>
      </c>
      <c r="C925" s="1">
        <v>45975.540972222225</v>
      </c>
      <c r="D925" t="s">
        <v>5146</v>
      </c>
    </row>
    <row r="926" spans="1:4" x14ac:dyDescent="0.25">
      <c r="A926" t="s">
        <v>3227</v>
      </c>
      <c r="B926" t="s">
        <v>38</v>
      </c>
      <c r="C926" s="1">
        <v>45983.713888888888</v>
      </c>
      <c r="D926" t="s">
        <v>5146</v>
      </c>
    </row>
    <row r="927" spans="1:4" x14ac:dyDescent="0.25">
      <c r="A927" t="s">
        <v>3228</v>
      </c>
      <c r="B927" t="s">
        <v>38</v>
      </c>
      <c r="C927" s="1">
        <v>45985.533333333333</v>
      </c>
      <c r="D927" t="s">
        <v>5146</v>
      </c>
    </row>
    <row r="928" spans="1:4" x14ac:dyDescent="0.25">
      <c r="A928" t="s">
        <v>3229</v>
      </c>
      <c r="B928" t="s">
        <v>38</v>
      </c>
      <c r="C928" s="1">
        <v>45982.674305555556</v>
      </c>
      <c r="D928" t="s">
        <v>5146</v>
      </c>
    </row>
    <row r="929" spans="1:4" x14ac:dyDescent="0.25">
      <c r="A929" t="s">
        <v>3230</v>
      </c>
      <c r="B929" t="s">
        <v>39</v>
      </c>
      <c r="C929" s="1">
        <v>45979.438194444447</v>
      </c>
      <c r="D929" t="s">
        <v>5146</v>
      </c>
    </row>
    <row r="930" spans="1:4" x14ac:dyDescent="0.25">
      <c r="A930" t="s">
        <v>3231</v>
      </c>
      <c r="B930" t="s">
        <v>38</v>
      </c>
      <c r="C930" s="1">
        <v>45986.689583333333</v>
      </c>
      <c r="D930" t="s">
        <v>5146</v>
      </c>
    </row>
    <row r="931" spans="1:4" x14ac:dyDescent="0.25">
      <c r="A931" t="s">
        <v>3232</v>
      </c>
      <c r="B931" t="s">
        <v>38</v>
      </c>
      <c r="C931" s="1">
        <v>45982.62222222222</v>
      </c>
      <c r="D931" t="s">
        <v>5146</v>
      </c>
    </row>
    <row r="932" spans="1:4" x14ac:dyDescent="0.25">
      <c r="A932" t="s">
        <v>3233</v>
      </c>
      <c r="B932" t="s">
        <v>38</v>
      </c>
      <c r="C932" s="1">
        <v>45987.5</v>
      </c>
      <c r="D932" t="s">
        <v>5146</v>
      </c>
    </row>
    <row r="933" spans="1:4" x14ac:dyDescent="0.25">
      <c r="A933" t="s">
        <v>3234</v>
      </c>
      <c r="B933" t="s">
        <v>38</v>
      </c>
      <c r="C933" s="1">
        <v>45756.5625</v>
      </c>
      <c r="D933" t="s">
        <v>5146</v>
      </c>
    </row>
    <row r="934" spans="1:4" x14ac:dyDescent="0.25">
      <c r="A934" t="s">
        <v>3235</v>
      </c>
      <c r="B934" t="s">
        <v>38</v>
      </c>
      <c r="C934" s="1">
        <v>45750.546527777777</v>
      </c>
      <c r="D934" t="s">
        <v>5146</v>
      </c>
    </row>
    <row r="935" spans="1:4" x14ac:dyDescent="0.25">
      <c r="A935" t="s">
        <v>3236</v>
      </c>
      <c r="B935" t="s">
        <v>38</v>
      </c>
      <c r="C935" s="1">
        <v>45958.737500000003</v>
      </c>
      <c r="D935" t="s">
        <v>5146</v>
      </c>
    </row>
    <row r="936" spans="1:4" x14ac:dyDescent="0.25">
      <c r="A936" t="s">
        <v>630</v>
      </c>
      <c r="B936" t="s">
        <v>1073</v>
      </c>
      <c r="C936" s="1">
        <v>46052.422222222223</v>
      </c>
      <c r="D936" t="s">
        <v>5146</v>
      </c>
    </row>
    <row r="937" spans="1:4" x14ac:dyDescent="0.25">
      <c r="A937" t="s">
        <v>631</v>
      </c>
      <c r="B937" t="s">
        <v>1239</v>
      </c>
      <c r="C937" s="1">
        <v>46051.809027777781</v>
      </c>
      <c r="D937" t="s">
        <v>5146</v>
      </c>
    </row>
    <row r="938" spans="1:4" x14ac:dyDescent="0.25">
      <c r="A938" t="s">
        <v>3237</v>
      </c>
      <c r="B938" t="s">
        <v>38</v>
      </c>
      <c r="C938" s="1">
        <v>45841.551388888889</v>
      </c>
      <c r="D938" t="s">
        <v>5146</v>
      </c>
    </row>
    <row r="939" spans="1:4" x14ac:dyDescent="0.25">
      <c r="A939" t="s">
        <v>3238</v>
      </c>
      <c r="B939" t="s">
        <v>38</v>
      </c>
      <c r="C939" s="1">
        <v>45855.78125</v>
      </c>
      <c r="D939" t="s">
        <v>5146</v>
      </c>
    </row>
    <row r="940" spans="1:4" x14ac:dyDescent="0.25">
      <c r="A940" t="s">
        <v>3239</v>
      </c>
      <c r="B940" t="s">
        <v>38</v>
      </c>
      <c r="C940" s="1">
        <v>45805.569444444445</v>
      </c>
      <c r="D940" t="s">
        <v>5146</v>
      </c>
    </row>
    <row r="941" spans="1:4" x14ac:dyDescent="0.25">
      <c r="A941" t="s">
        <v>3240</v>
      </c>
      <c r="B941" t="s">
        <v>38</v>
      </c>
      <c r="C941" s="1">
        <v>45805.568749999999</v>
      </c>
      <c r="D941" t="s">
        <v>5146</v>
      </c>
    </row>
    <row r="942" spans="1:4" x14ac:dyDescent="0.25">
      <c r="A942" t="s">
        <v>632</v>
      </c>
      <c r="B942" t="s">
        <v>1239</v>
      </c>
      <c r="C942" s="1">
        <v>46051.783333333333</v>
      </c>
      <c r="D942" t="s">
        <v>5146</v>
      </c>
    </row>
    <row r="943" spans="1:4" x14ac:dyDescent="0.25">
      <c r="A943" t="s">
        <v>3241</v>
      </c>
      <c r="B943" t="s">
        <v>38</v>
      </c>
      <c r="C943" s="1">
        <v>45805.567361111112</v>
      </c>
      <c r="D943" t="s">
        <v>5146</v>
      </c>
    </row>
    <row r="944" spans="1:4" x14ac:dyDescent="0.25">
      <c r="A944" t="s">
        <v>3242</v>
      </c>
      <c r="B944" t="s">
        <v>38</v>
      </c>
      <c r="C944" s="1">
        <v>45805.567361111112</v>
      </c>
      <c r="D944" t="s">
        <v>5146</v>
      </c>
    </row>
    <row r="945" spans="1:4" x14ac:dyDescent="0.25">
      <c r="A945" t="s">
        <v>3243</v>
      </c>
      <c r="B945" t="s">
        <v>38</v>
      </c>
      <c r="C945" s="1">
        <v>45816.577777777777</v>
      </c>
      <c r="D945" t="s">
        <v>5146</v>
      </c>
    </row>
    <row r="946" spans="1:4" x14ac:dyDescent="0.25">
      <c r="A946" t="s">
        <v>3244</v>
      </c>
      <c r="B946" t="s">
        <v>38</v>
      </c>
      <c r="C946" s="1">
        <v>45840.984027777777</v>
      </c>
      <c r="D946" t="s">
        <v>5146</v>
      </c>
    </row>
    <row r="947" spans="1:4" x14ac:dyDescent="0.25">
      <c r="A947" t="s">
        <v>3245</v>
      </c>
      <c r="B947" t="s">
        <v>38</v>
      </c>
      <c r="C947" s="1">
        <v>45805.590277777781</v>
      </c>
      <c r="D947" t="s">
        <v>5146</v>
      </c>
    </row>
    <row r="948" spans="1:4" x14ac:dyDescent="0.25">
      <c r="A948" t="s">
        <v>3246</v>
      </c>
      <c r="B948" t="s">
        <v>38</v>
      </c>
      <c r="C948" s="1">
        <v>45805.588194444441</v>
      </c>
      <c r="D948" t="s">
        <v>5146</v>
      </c>
    </row>
    <row r="949" spans="1:4" x14ac:dyDescent="0.25">
      <c r="A949" t="s">
        <v>3247</v>
      </c>
      <c r="B949" t="s">
        <v>38</v>
      </c>
      <c r="C949" s="1">
        <v>45805.588194444441</v>
      </c>
      <c r="D949" t="s">
        <v>5146</v>
      </c>
    </row>
    <row r="950" spans="1:4" x14ac:dyDescent="0.25">
      <c r="A950" t="s">
        <v>3248</v>
      </c>
      <c r="B950" t="s">
        <v>38</v>
      </c>
      <c r="C950" s="1">
        <v>45754.556944444441</v>
      </c>
      <c r="D950" t="s">
        <v>5146</v>
      </c>
    </row>
    <row r="951" spans="1:4" x14ac:dyDescent="0.25">
      <c r="A951" t="s">
        <v>3249</v>
      </c>
      <c r="B951" t="s">
        <v>38</v>
      </c>
      <c r="C951" s="1">
        <v>45958.551388888889</v>
      </c>
      <c r="D951" t="s">
        <v>5146</v>
      </c>
    </row>
    <row r="952" spans="1:4" x14ac:dyDescent="0.25">
      <c r="A952" t="s">
        <v>3250</v>
      </c>
      <c r="B952" t="s">
        <v>38</v>
      </c>
      <c r="C952" s="1">
        <v>45855.78402777778</v>
      </c>
      <c r="D952" t="s">
        <v>5146</v>
      </c>
    </row>
    <row r="953" spans="1:4" x14ac:dyDescent="0.25">
      <c r="A953" t="s">
        <v>3251</v>
      </c>
      <c r="B953" t="s">
        <v>38</v>
      </c>
      <c r="C953" s="1">
        <v>45805.59375</v>
      </c>
      <c r="D953" t="s">
        <v>5146</v>
      </c>
    </row>
    <row r="954" spans="1:4" x14ac:dyDescent="0.25">
      <c r="A954" t="s">
        <v>3252</v>
      </c>
      <c r="B954" t="s">
        <v>38</v>
      </c>
      <c r="C954" s="1">
        <v>45758.782638888886</v>
      </c>
      <c r="D954" t="s">
        <v>5146</v>
      </c>
    </row>
    <row r="955" spans="1:4" x14ac:dyDescent="0.25">
      <c r="A955" t="s">
        <v>633</v>
      </c>
      <c r="B955" t="s">
        <v>1239</v>
      </c>
      <c r="C955" s="1">
        <v>46051.719444444447</v>
      </c>
      <c r="D955" t="s">
        <v>5146</v>
      </c>
    </row>
    <row r="956" spans="1:4" x14ac:dyDescent="0.25">
      <c r="A956" t="s">
        <v>634</v>
      </c>
      <c r="B956" t="s">
        <v>1239</v>
      </c>
      <c r="C956" s="1">
        <v>46051.690972222219</v>
      </c>
      <c r="D956" t="s">
        <v>5146</v>
      </c>
    </row>
    <row r="957" spans="1:4" x14ac:dyDescent="0.25">
      <c r="A957" t="s">
        <v>3253</v>
      </c>
      <c r="B957" t="s">
        <v>38</v>
      </c>
      <c r="C957" s="1">
        <v>45805.593055555553</v>
      </c>
      <c r="D957" t="s">
        <v>5146</v>
      </c>
    </row>
    <row r="958" spans="1:4" x14ac:dyDescent="0.25">
      <c r="A958" t="s">
        <v>3254</v>
      </c>
      <c r="B958" t="s">
        <v>38</v>
      </c>
      <c r="C958" s="1">
        <v>45805.591666666667</v>
      </c>
      <c r="D958" t="s">
        <v>5146</v>
      </c>
    </row>
    <row r="959" spans="1:4" x14ac:dyDescent="0.25">
      <c r="A959" t="s">
        <v>636</v>
      </c>
      <c r="B959" t="s">
        <v>1239</v>
      </c>
      <c r="C959" s="1">
        <v>46051.682638888888</v>
      </c>
      <c r="D959" t="s">
        <v>5146</v>
      </c>
    </row>
    <row r="960" spans="1:4" x14ac:dyDescent="0.25">
      <c r="A960" t="s">
        <v>3255</v>
      </c>
      <c r="B960" t="s">
        <v>39</v>
      </c>
      <c r="C960" s="1">
        <v>45792.771527777775</v>
      </c>
      <c r="D960" t="s">
        <v>5146</v>
      </c>
    </row>
    <row r="961" spans="1:4" x14ac:dyDescent="0.25">
      <c r="A961" t="s">
        <v>3256</v>
      </c>
      <c r="B961" t="s">
        <v>38</v>
      </c>
      <c r="C961" s="1">
        <v>46006.511111111111</v>
      </c>
      <c r="D961" t="s">
        <v>5146</v>
      </c>
    </row>
    <row r="962" spans="1:4" x14ac:dyDescent="0.25">
      <c r="A962" t="s">
        <v>637</v>
      </c>
      <c r="B962" t="s">
        <v>1239</v>
      </c>
      <c r="C962" s="1">
        <v>46051.675694444442</v>
      </c>
      <c r="D962" t="s">
        <v>5146</v>
      </c>
    </row>
    <row r="963" spans="1:4" x14ac:dyDescent="0.25">
      <c r="A963" t="s">
        <v>3257</v>
      </c>
      <c r="B963" t="s">
        <v>38</v>
      </c>
      <c r="C963" s="1">
        <v>45805.59652777778</v>
      </c>
      <c r="D963" t="s">
        <v>5146</v>
      </c>
    </row>
    <row r="964" spans="1:4" x14ac:dyDescent="0.25">
      <c r="A964" t="s">
        <v>638</v>
      </c>
      <c r="B964" t="s">
        <v>1239</v>
      </c>
      <c r="C964" s="1">
        <v>46051.665972222225</v>
      </c>
      <c r="D964" t="s">
        <v>5146</v>
      </c>
    </row>
    <row r="965" spans="1:4" x14ac:dyDescent="0.25">
      <c r="A965" t="s">
        <v>639</v>
      </c>
      <c r="B965" t="s">
        <v>1239</v>
      </c>
      <c r="C965" s="1">
        <v>46051.659722222219</v>
      </c>
      <c r="D965" t="s">
        <v>5146</v>
      </c>
    </row>
    <row r="966" spans="1:4" x14ac:dyDescent="0.25">
      <c r="A966" t="s">
        <v>3258</v>
      </c>
      <c r="B966" t="s">
        <v>38</v>
      </c>
      <c r="C966" s="1">
        <v>45805.594444444447</v>
      </c>
      <c r="D966" t="s">
        <v>5146</v>
      </c>
    </row>
    <row r="967" spans="1:4" x14ac:dyDescent="0.25">
      <c r="A967" t="s">
        <v>3259</v>
      </c>
      <c r="B967" t="s">
        <v>38</v>
      </c>
      <c r="C967" s="1">
        <v>45805.595138888886</v>
      </c>
      <c r="D967" t="s">
        <v>5146</v>
      </c>
    </row>
    <row r="968" spans="1:4" x14ac:dyDescent="0.25">
      <c r="A968" t="s">
        <v>619</v>
      </c>
      <c r="B968" t="s">
        <v>1073</v>
      </c>
      <c r="C968" s="1">
        <v>46051.604166666664</v>
      </c>
      <c r="D968" t="s">
        <v>5146</v>
      </c>
    </row>
    <row r="969" spans="1:4" x14ac:dyDescent="0.25">
      <c r="A969" t="s">
        <v>620</v>
      </c>
      <c r="B969" t="s">
        <v>1239</v>
      </c>
      <c r="C969" s="1">
        <v>46051.581250000003</v>
      </c>
      <c r="D969" t="s">
        <v>5146</v>
      </c>
    </row>
    <row r="970" spans="1:4" x14ac:dyDescent="0.25">
      <c r="A970" t="s">
        <v>3260</v>
      </c>
      <c r="B970" t="s">
        <v>38</v>
      </c>
      <c r="C970" s="1">
        <v>45805.597916666666</v>
      </c>
      <c r="D970" t="s">
        <v>5146</v>
      </c>
    </row>
    <row r="971" spans="1:4" x14ac:dyDescent="0.25">
      <c r="A971" t="s">
        <v>3261</v>
      </c>
      <c r="B971" t="s">
        <v>38</v>
      </c>
      <c r="C971" s="1">
        <v>45805.59097222222</v>
      </c>
      <c r="D971" t="s">
        <v>5146</v>
      </c>
    </row>
    <row r="972" spans="1:4" x14ac:dyDescent="0.25">
      <c r="A972" t="s">
        <v>3262</v>
      </c>
      <c r="B972" t="s">
        <v>38</v>
      </c>
      <c r="C972" s="1">
        <v>45852.513194444444</v>
      </c>
      <c r="D972" t="s">
        <v>5146</v>
      </c>
    </row>
    <row r="973" spans="1:4" x14ac:dyDescent="0.25">
      <c r="A973" t="s">
        <v>3263</v>
      </c>
      <c r="B973" t="s">
        <v>38</v>
      </c>
      <c r="C973" s="1">
        <v>45806</v>
      </c>
      <c r="D973" t="s">
        <v>5146</v>
      </c>
    </row>
    <row r="974" spans="1:4" x14ac:dyDescent="0.25">
      <c r="A974" t="s">
        <v>3264</v>
      </c>
      <c r="B974" t="s">
        <v>38</v>
      </c>
      <c r="C974" s="1">
        <v>45805.998611111114</v>
      </c>
      <c r="D974" t="s">
        <v>5146</v>
      </c>
    </row>
    <row r="975" spans="1:4" x14ac:dyDescent="0.25">
      <c r="A975" t="s">
        <v>3265</v>
      </c>
      <c r="B975" t="s">
        <v>38</v>
      </c>
      <c r="C975" s="1">
        <v>45805.997916666667</v>
      </c>
      <c r="D975" t="s">
        <v>5146</v>
      </c>
    </row>
    <row r="976" spans="1:4" x14ac:dyDescent="0.25">
      <c r="A976" t="s">
        <v>3266</v>
      </c>
      <c r="B976" t="s">
        <v>38</v>
      </c>
      <c r="C976" s="1">
        <v>45805.997916666667</v>
      </c>
      <c r="D976" t="s">
        <v>5146</v>
      </c>
    </row>
    <row r="977" spans="1:4" x14ac:dyDescent="0.25">
      <c r="A977" t="s">
        <v>3267</v>
      </c>
      <c r="B977" t="s">
        <v>38</v>
      </c>
      <c r="C977" s="1">
        <v>45805.99722222222</v>
      </c>
      <c r="D977" t="s">
        <v>5146</v>
      </c>
    </row>
    <row r="978" spans="1:4" x14ac:dyDescent="0.25">
      <c r="A978" t="s">
        <v>3268</v>
      </c>
      <c r="B978" t="s">
        <v>38</v>
      </c>
      <c r="C978" s="1">
        <v>45805.995138888888</v>
      </c>
      <c r="D978" t="s">
        <v>5146</v>
      </c>
    </row>
    <row r="979" spans="1:4" x14ac:dyDescent="0.25">
      <c r="A979" t="s">
        <v>3269</v>
      </c>
      <c r="B979" t="s">
        <v>39</v>
      </c>
      <c r="C979" s="1">
        <v>45815.354861111111</v>
      </c>
      <c r="D979" t="s">
        <v>5146</v>
      </c>
    </row>
    <row r="980" spans="1:4" x14ac:dyDescent="0.25">
      <c r="A980" t="s">
        <v>3270</v>
      </c>
      <c r="B980" t="s">
        <v>38</v>
      </c>
      <c r="C980" s="1">
        <v>45855.792361111111</v>
      </c>
      <c r="D980" t="s">
        <v>5146</v>
      </c>
    </row>
    <row r="981" spans="1:4" x14ac:dyDescent="0.25">
      <c r="A981" t="s">
        <v>3271</v>
      </c>
      <c r="B981" t="s">
        <v>38</v>
      </c>
      <c r="C981" s="1">
        <v>45805.974999999999</v>
      </c>
      <c r="D981" t="s">
        <v>5146</v>
      </c>
    </row>
    <row r="982" spans="1:4" x14ac:dyDescent="0.25">
      <c r="A982" t="s">
        <v>3272</v>
      </c>
      <c r="B982" t="s">
        <v>38</v>
      </c>
      <c r="C982" s="1">
        <v>45805.974305555559</v>
      </c>
      <c r="D982" t="s">
        <v>5146</v>
      </c>
    </row>
    <row r="983" spans="1:4" x14ac:dyDescent="0.25">
      <c r="A983" t="s">
        <v>3273</v>
      </c>
      <c r="B983" t="s">
        <v>39</v>
      </c>
      <c r="C983" s="1">
        <v>45797.466666666667</v>
      </c>
      <c r="D983" t="s">
        <v>5146</v>
      </c>
    </row>
    <row r="984" spans="1:4" x14ac:dyDescent="0.25">
      <c r="A984" t="s">
        <v>3274</v>
      </c>
      <c r="B984" t="s">
        <v>38</v>
      </c>
      <c r="C984" s="1">
        <v>45805.974305555559</v>
      </c>
      <c r="D984" t="s">
        <v>5146</v>
      </c>
    </row>
    <row r="985" spans="1:4" x14ac:dyDescent="0.25">
      <c r="A985" t="s">
        <v>3275</v>
      </c>
      <c r="B985" t="s">
        <v>38</v>
      </c>
      <c r="C985" s="1">
        <v>45764.00277777778</v>
      </c>
      <c r="D985" t="s">
        <v>5146</v>
      </c>
    </row>
    <row r="986" spans="1:4" x14ac:dyDescent="0.25">
      <c r="A986" t="s">
        <v>3276</v>
      </c>
      <c r="B986" t="s">
        <v>38</v>
      </c>
      <c r="C986" s="1">
        <v>45805.602083333331</v>
      </c>
      <c r="D986" t="s">
        <v>5146</v>
      </c>
    </row>
    <row r="987" spans="1:4" x14ac:dyDescent="0.25">
      <c r="A987" t="s">
        <v>3277</v>
      </c>
      <c r="B987" t="s">
        <v>38</v>
      </c>
      <c r="C987" s="1">
        <v>45850.418749999997</v>
      </c>
      <c r="D987" t="s">
        <v>5146</v>
      </c>
    </row>
    <row r="988" spans="1:4" x14ac:dyDescent="0.25">
      <c r="A988" t="s">
        <v>3278</v>
      </c>
      <c r="B988" t="s">
        <v>38</v>
      </c>
      <c r="C988" s="1">
        <v>45805.601388888892</v>
      </c>
      <c r="D988" t="s">
        <v>5146</v>
      </c>
    </row>
    <row r="989" spans="1:4" x14ac:dyDescent="0.25">
      <c r="A989" t="s">
        <v>3279</v>
      </c>
      <c r="B989" t="s">
        <v>38</v>
      </c>
      <c r="C989" s="1">
        <v>45805.600694444445</v>
      </c>
      <c r="D989" t="s">
        <v>5146</v>
      </c>
    </row>
    <row r="990" spans="1:4" x14ac:dyDescent="0.25">
      <c r="A990" t="s">
        <v>3280</v>
      </c>
      <c r="B990" t="s">
        <v>38</v>
      </c>
      <c r="C990" s="1">
        <v>45805.599999999999</v>
      </c>
      <c r="D990" t="s">
        <v>5146</v>
      </c>
    </row>
    <row r="991" spans="1:4" x14ac:dyDescent="0.25">
      <c r="A991" t="s">
        <v>3281</v>
      </c>
      <c r="B991" t="s">
        <v>38</v>
      </c>
      <c r="C991" s="1">
        <v>45805.599305555559</v>
      </c>
      <c r="D991" t="s">
        <v>5146</v>
      </c>
    </row>
    <row r="992" spans="1:4" x14ac:dyDescent="0.25">
      <c r="A992" t="s">
        <v>3282</v>
      </c>
      <c r="B992" t="s">
        <v>38</v>
      </c>
      <c r="C992" s="1">
        <v>45757.011111111111</v>
      </c>
      <c r="D992" t="s">
        <v>5146</v>
      </c>
    </row>
    <row r="993" spans="1:4" x14ac:dyDescent="0.25">
      <c r="A993" t="s">
        <v>3283</v>
      </c>
      <c r="B993" t="s">
        <v>38</v>
      </c>
      <c r="C993" s="1">
        <v>45805.598611111112</v>
      </c>
      <c r="D993" t="s">
        <v>5146</v>
      </c>
    </row>
    <row r="994" spans="1:4" x14ac:dyDescent="0.25">
      <c r="A994" t="s">
        <v>3284</v>
      </c>
      <c r="B994" t="s">
        <v>38</v>
      </c>
      <c r="C994" s="1">
        <v>45805.602777777778</v>
      </c>
      <c r="D994" t="s">
        <v>5146</v>
      </c>
    </row>
    <row r="995" spans="1:4" x14ac:dyDescent="0.25">
      <c r="A995" t="s">
        <v>3285</v>
      </c>
      <c r="B995" t="s">
        <v>38</v>
      </c>
      <c r="C995" s="1">
        <v>45806.534722222219</v>
      </c>
      <c r="D995" t="s">
        <v>5146</v>
      </c>
    </row>
    <row r="996" spans="1:4" x14ac:dyDescent="0.25">
      <c r="A996" t="s">
        <v>3286</v>
      </c>
      <c r="B996" t="s">
        <v>38</v>
      </c>
      <c r="C996" s="1">
        <v>45806.53402777778</v>
      </c>
      <c r="D996" t="s">
        <v>5146</v>
      </c>
    </row>
    <row r="997" spans="1:4" x14ac:dyDescent="0.25">
      <c r="A997" t="s">
        <v>3287</v>
      </c>
      <c r="B997" t="s">
        <v>38</v>
      </c>
      <c r="C997" s="1">
        <v>45806.53402777778</v>
      </c>
      <c r="D997" t="s">
        <v>5146</v>
      </c>
    </row>
    <row r="998" spans="1:4" x14ac:dyDescent="0.25">
      <c r="A998" t="s">
        <v>3288</v>
      </c>
      <c r="B998" t="s">
        <v>38</v>
      </c>
      <c r="C998" s="1">
        <v>45806.533333333333</v>
      </c>
      <c r="D998" t="s">
        <v>5146</v>
      </c>
    </row>
    <row r="999" spans="1:4" x14ac:dyDescent="0.25">
      <c r="A999" t="s">
        <v>3289</v>
      </c>
      <c r="B999" t="s">
        <v>38</v>
      </c>
      <c r="C999" s="1">
        <v>45806.533333333333</v>
      </c>
      <c r="D999" t="s">
        <v>5146</v>
      </c>
    </row>
    <row r="1000" spans="1:4" x14ac:dyDescent="0.25">
      <c r="A1000" t="s">
        <v>3290</v>
      </c>
      <c r="B1000" t="s">
        <v>38</v>
      </c>
      <c r="C1000" s="1">
        <v>45806.00277777778</v>
      </c>
      <c r="D1000" t="s">
        <v>5146</v>
      </c>
    </row>
    <row r="1001" spans="1:4" x14ac:dyDescent="0.25">
      <c r="A1001" t="s">
        <v>3291</v>
      </c>
      <c r="B1001" t="s">
        <v>38</v>
      </c>
      <c r="C1001" s="1">
        <v>45806.532638888886</v>
      </c>
      <c r="D1001" t="s">
        <v>5146</v>
      </c>
    </row>
    <row r="1002" spans="1:4" x14ac:dyDescent="0.25">
      <c r="A1002" t="s">
        <v>3292</v>
      </c>
      <c r="B1002" t="s">
        <v>38</v>
      </c>
      <c r="C1002" s="1">
        <v>45806.532638888886</v>
      </c>
      <c r="D1002" t="s">
        <v>5146</v>
      </c>
    </row>
    <row r="1003" spans="1:4" x14ac:dyDescent="0.25">
      <c r="A1003" t="s">
        <v>3293</v>
      </c>
      <c r="B1003" t="s">
        <v>38</v>
      </c>
      <c r="C1003" s="1">
        <v>45806.532638888886</v>
      </c>
      <c r="D1003" t="s">
        <v>5146</v>
      </c>
    </row>
    <row r="1004" spans="1:4" x14ac:dyDescent="0.25">
      <c r="A1004" t="s">
        <v>3294</v>
      </c>
      <c r="B1004" t="s">
        <v>39</v>
      </c>
      <c r="C1004" s="1">
        <v>45764.518055555556</v>
      </c>
      <c r="D1004" t="s">
        <v>5146</v>
      </c>
    </row>
    <row r="1005" spans="1:4" x14ac:dyDescent="0.25">
      <c r="A1005" t="s">
        <v>3295</v>
      </c>
      <c r="B1005" t="s">
        <v>38</v>
      </c>
      <c r="C1005" s="1">
        <v>45856.463194444441</v>
      </c>
      <c r="D1005" t="s">
        <v>5146</v>
      </c>
    </row>
    <row r="1006" spans="1:4" x14ac:dyDescent="0.25">
      <c r="A1006" t="s">
        <v>3296</v>
      </c>
      <c r="B1006" t="s">
        <v>38</v>
      </c>
      <c r="C1006" s="1">
        <v>45856.525000000001</v>
      </c>
      <c r="D1006" t="s">
        <v>5146</v>
      </c>
    </row>
    <row r="1007" spans="1:4" x14ac:dyDescent="0.25">
      <c r="A1007" t="s">
        <v>3297</v>
      </c>
      <c r="B1007" t="s">
        <v>38</v>
      </c>
      <c r="C1007" s="1">
        <v>45806.003472222219</v>
      </c>
      <c r="D1007" t="s">
        <v>5146</v>
      </c>
    </row>
    <row r="1008" spans="1:4" x14ac:dyDescent="0.25">
      <c r="A1008" t="s">
        <v>3298</v>
      </c>
      <c r="B1008" t="s">
        <v>38</v>
      </c>
      <c r="C1008" s="1">
        <v>45806.003472222219</v>
      </c>
      <c r="D1008" t="s">
        <v>5146</v>
      </c>
    </row>
    <row r="1009" spans="1:4" x14ac:dyDescent="0.25">
      <c r="A1009" t="s">
        <v>3299</v>
      </c>
      <c r="B1009" t="s">
        <v>38</v>
      </c>
      <c r="C1009" s="1">
        <v>45806.00277777778</v>
      </c>
      <c r="D1009" t="s">
        <v>5146</v>
      </c>
    </row>
    <row r="1010" spans="1:4" x14ac:dyDescent="0.25">
      <c r="A1010" t="s">
        <v>3300</v>
      </c>
      <c r="B1010" t="s">
        <v>38</v>
      </c>
      <c r="C1010" s="1">
        <v>45805.663194444445</v>
      </c>
      <c r="D1010" t="s">
        <v>5146</v>
      </c>
    </row>
    <row r="1011" spans="1:4" x14ac:dyDescent="0.25">
      <c r="A1011" t="s">
        <v>3301</v>
      </c>
      <c r="B1011" t="s">
        <v>38</v>
      </c>
      <c r="C1011" s="1">
        <v>45952.606249999997</v>
      </c>
      <c r="D1011" t="s">
        <v>5146</v>
      </c>
    </row>
    <row r="1012" spans="1:4" x14ac:dyDescent="0.25">
      <c r="A1012" t="s">
        <v>603</v>
      </c>
      <c r="B1012" t="s">
        <v>1239</v>
      </c>
      <c r="C1012" s="1">
        <v>46050.643750000003</v>
      </c>
      <c r="D1012" t="s">
        <v>5146</v>
      </c>
    </row>
    <row r="1013" spans="1:4" x14ac:dyDescent="0.25">
      <c r="A1013" t="s">
        <v>3302</v>
      </c>
      <c r="B1013" t="s">
        <v>38</v>
      </c>
      <c r="C1013" s="1">
        <v>45805.661111111112</v>
      </c>
      <c r="D1013" t="s">
        <v>5146</v>
      </c>
    </row>
    <row r="1014" spans="1:4" x14ac:dyDescent="0.25">
      <c r="A1014" t="s">
        <v>3303</v>
      </c>
      <c r="B1014" t="s">
        <v>38</v>
      </c>
      <c r="C1014" s="1">
        <v>45856.526388888888</v>
      </c>
      <c r="D1014" t="s">
        <v>5146</v>
      </c>
    </row>
    <row r="1015" spans="1:4" x14ac:dyDescent="0.25">
      <c r="A1015" t="s">
        <v>3304</v>
      </c>
      <c r="B1015" t="s">
        <v>38</v>
      </c>
      <c r="C1015" s="1">
        <v>45805.657638888886</v>
      </c>
      <c r="D1015" t="s">
        <v>5146</v>
      </c>
    </row>
    <row r="1016" spans="1:4" x14ac:dyDescent="0.25">
      <c r="A1016" t="s">
        <v>3305</v>
      </c>
      <c r="B1016" t="s">
        <v>38</v>
      </c>
      <c r="C1016" s="1">
        <v>45805.65625</v>
      </c>
      <c r="D1016" t="s">
        <v>5146</v>
      </c>
    </row>
    <row r="1017" spans="1:4" x14ac:dyDescent="0.25">
      <c r="A1017" t="s">
        <v>3306</v>
      </c>
      <c r="B1017" t="s">
        <v>38</v>
      </c>
      <c r="C1017" s="1">
        <v>45805.65625</v>
      </c>
      <c r="D1017" t="s">
        <v>5146</v>
      </c>
    </row>
    <row r="1018" spans="1:4" x14ac:dyDescent="0.25">
      <c r="A1018" t="s">
        <v>3307</v>
      </c>
      <c r="B1018" t="s">
        <v>38</v>
      </c>
      <c r="C1018" s="1">
        <v>45805.655555555553</v>
      </c>
      <c r="D1018" t="s">
        <v>5146</v>
      </c>
    </row>
    <row r="1019" spans="1:4" x14ac:dyDescent="0.25">
      <c r="A1019" t="s">
        <v>3308</v>
      </c>
      <c r="B1019" t="s">
        <v>38</v>
      </c>
      <c r="C1019" s="1">
        <v>45856.531944444447</v>
      </c>
      <c r="D1019" t="s">
        <v>5146</v>
      </c>
    </row>
    <row r="1020" spans="1:4" x14ac:dyDescent="0.25">
      <c r="A1020" t="s">
        <v>3309</v>
      </c>
      <c r="B1020" t="s">
        <v>38</v>
      </c>
      <c r="C1020" s="1">
        <v>45824.444444444445</v>
      </c>
      <c r="D1020" t="s">
        <v>5146</v>
      </c>
    </row>
    <row r="1021" spans="1:4" x14ac:dyDescent="0.25">
      <c r="A1021" t="s">
        <v>3310</v>
      </c>
      <c r="B1021" t="s">
        <v>38</v>
      </c>
      <c r="C1021" s="1">
        <v>45805.654166666667</v>
      </c>
      <c r="D1021" t="s">
        <v>5146</v>
      </c>
    </row>
    <row r="1022" spans="1:4" x14ac:dyDescent="0.25">
      <c r="A1022" t="s">
        <v>3311</v>
      </c>
      <c r="B1022" t="s">
        <v>38</v>
      </c>
      <c r="C1022" s="1">
        <v>45840.98541666667</v>
      </c>
      <c r="D1022" t="s">
        <v>5146</v>
      </c>
    </row>
    <row r="1023" spans="1:4" x14ac:dyDescent="0.25">
      <c r="A1023" t="s">
        <v>3312</v>
      </c>
      <c r="B1023" t="s">
        <v>38</v>
      </c>
      <c r="C1023" s="1">
        <v>45805.615277777775</v>
      </c>
      <c r="D1023" t="s">
        <v>5146</v>
      </c>
    </row>
    <row r="1024" spans="1:4" x14ac:dyDescent="0.25">
      <c r="A1024" t="s">
        <v>3313</v>
      </c>
      <c r="B1024" t="s">
        <v>38</v>
      </c>
      <c r="C1024" s="1">
        <v>45832.788888888892</v>
      </c>
      <c r="D1024" t="s">
        <v>5146</v>
      </c>
    </row>
    <row r="1025" spans="1:4" x14ac:dyDescent="0.25">
      <c r="A1025" t="s">
        <v>3314</v>
      </c>
      <c r="B1025" t="s">
        <v>38</v>
      </c>
      <c r="C1025" s="1">
        <v>45955.665972222225</v>
      </c>
      <c r="D1025" t="s">
        <v>5146</v>
      </c>
    </row>
    <row r="1026" spans="1:4" x14ac:dyDescent="0.25">
      <c r="A1026" t="s">
        <v>3315</v>
      </c>
      <c r="B1026" t="s">
        <v>38</v>
      </c>
      <c r="C1026" s="1">
        <v>45805.60833333333</v>
      </c>
      <c r="D1026" t="s">
        <v>5146</v>
      </c>
    </row>
    <row r="1027" spans="1:4" x14ac:dyDescent="0.25">
      <c r="A1027" t="s">
        <v>3316</v>
      </c>
      <c r="B1027" t="s">
        <v>38</v>
      </c>
      <c r="C1027" s="1">
        <v>45805.607638888891</v>
      </c>
      <c r="D1027" t="s">
        <v>5146</v>
      </c>
    </row>
    <row r="1028" spans="1:4" x14ac:dyDescent="0.25">
      <c r="A1028" t="s">
        <v>3317</v>
      </c>
      <c r="B1028" t="s">
        <v>38</v>
      </c>
      <c r="C1028" s="1">
        <v>45805.605555555558</v>
      </c>
      <c r="D1028" t="s">
        <v>5146</v>
      </c>
    </row>
    <row r="1029" spans="1:4" x14ac:dyDescent="0.25">
      <c r="A1029" t="s">
        <v>3318</v>
      </c>
      <c r="B1029" t="s">
        <v>38</v>
      </c>
      <c r="C1029" s="1">
        <v>45805.604861111111</v>
      </c>
      <c r="D1029" t="s">
        <v>5146</v>
      </c>
    </row>
    <row r="1030" spans="1:4" x14ac:dyDescent="0.25">
      <c r="A1030" t="s">
        <v>3319</v>
      </c>
      <c r="B1030" t="s">
        <v>38</v>
      </c>
      <c r="C1030" s="1">
        <v>45769.786805555559</v>
      </c>
      <c r="D1030" t="s">
        <v>5146</v>
      </c>
    </row>
    <row r="1031" spans="1:4" x14ac:dyDescent="0.25">
      <c r="A1031" t="s">
        <v>3320</v>
      </c>
      <c r="B1031" t="s">
        <v>38</v>
      </c>
      <c r="C1031" s="1">
        <v>45805.604861111111</v>
      </c>
      <c r="D1031" t="s">
        <v>5146</v>
      </c>
    </row>
    <row r="1032" spans="1:4" x14ac:dyDescent="0.25">
      <c r="A1032" t="s">
        <v>606</v>
      </c>
      <c r="B1032" t="s">
        <v>1239</v>
      </c>
      <c r="C1032" s="1">
        <v>46050.498611111114</v>
      </c>
      <c r="D1032" t="s">
        <v>5146</v>
      </c>
    </row>
    <row r="1033" spans="1:4" x14ac:dyDescent="0.25">
      <c r="A1033" t="s">
        <v>3321</v>
      </c>
      <c r="B1033" t="s">
        <v>38</v>
      </c>
      <c r="C1033" s="1">
        <v>45856.543055555558</v>
      </c>
      <c r="D1033" t="s">
        <v>5146</v>
      </c>
    </row>
    <row r="1034" spans="1:4" x14ac:dyDescent="0.25">
      <c r="A1034" t="s">
        <v>3322</v>
      </c>
      <c r="B1034" t="s">
        <v>38</v>
      </c>
      <c r="C1034" s="1">
        <v>45944.743055555555</v>
      </c>
      <c r="D1034" t="s">
        <v>5146</v>
      </c>
    </row>
    <row r="1035" spans="1:4" x14ac:dyDescent="0.25">
      <c r="A1035" t="s">
        <v>607</v>
      </c>
      <c r="B1035" t="s">
        <v>30</v>
      </c>
      <c r="C1035" s="1">
        <v>46051.512499999997</v>
      </c>
      <c r="D1035" t="s">
        <v>5146</v>
      </c>
    </row>
    <row r="1036" spans="1:4" x14ac:dyDescent="0.25">
      <c r="A1036" t="s">
        <v>3323</v>
      </c>
      <c r="B1036" t="s">
        <v>38</v>
      </c>
      <c r="C1036" s="1">
        <v>45805.665277777778</v>
      </c>
      <c r="D1036" t="s">
        <v>5146</v>
      </c>
    </row>
    <row r="1037" spans="1:4" x14ac:dyDescent="0.25">
      <c r="A1037" t="s">
        <v>3324</v>
      </c>
      <c r="B1037" t="s">
        <v>38</v>
      </c>
      <c r="C1037" s="1">
        <v>45805.676388888889</v>
      </c>
      <c r="D1037" t="s">
        <v>5146</v>
      </c>
    </row>
    <row r="1038" spans="1:4" x14ac:dyDescent="0.25">
      <c r="A1038" t="s">
        <v>3325</v>
      </c>
      <c r="B1038" t="s">
        <v>38</v>
      </c>
      <c r="C1038" s="1">
        <v>45883.75277777778</v>
      </c>
      <c r="D1038" t="s">
        <v>5146</v>
      </c>
    </row>
    <row r="1039" spans="1:4" x14ac:dyDescent="0.25">
      <c r="A1039" t="s">
        <v>3326</v>
      </c>
      <c r="B1039" t="s">
        <v>38</v>
      </c>
      <c r="C1039" s="1">
        <v>45805.675000000003</v>
      </c>
      <c r="D1039" t="s">
        <v>5146</v>
      </c>
    </row>
    <row r="1040" spans="1:4" x14ac:dyDescent="0.25">
      <c r="A1040" t="s">
        <v>608</v>
      </c>
      <c r="B1040" t="s">
        <v>1129</v>
      </c>
      <c r="C1040" s="1">
        <v>46051.757638888892</v>
      </c>
      <c r="D1040" t="s">
        <v>5146</v>
      </c>
    </row>
    <row r="1041" spans="1:4" x14ac:dyDescent="0.25">
      <c r="A1041" t="s">
        <v>609</v>
      </c>
      <c r="B1041" t="s">
        <v>1239</v>
      </c>
      <c r="C1041" s="1">
        <v>46050.472222222219</v>
      </c>
      <c r="D1041" t="s">
        <v>5146</v>
      </c>
    </row>
    <row r="1042" spans="1:4" x14ac:dyDescent="0.25">
      <c r="A1042" t="s">
        <v>3327</v>
      </c>
      <c r="B1042" t="s">
        <v>38</v>
      </c>
      <c r="C1042" s="1">
        <v>45805.674305555556</v>
      </c>
      <c r="D1042" t="s">
        <v>5146</v>
      </c>
    </row>
    <row r="1043" spans="1:4" x14ac:dyDescent="0.25">
      <c r="A1043" t="s">
        <v>3328</v>
      </c>
      <c r="B1043" t="s">
        <v>38</v>
      </c>
      <c r="C1043" s="1">
        <v>45895.022222222222</v>
      </c>
      <c r="D1043" t="s">
        <v>5146</v>
      </c>
    </row>
    <row r="1044" spans="1:4" x14ac:dyDescent="0.25">
      <c r="A1044" t="s">
        <v>3329</v>
      </c>
      <c r="B1044" t="s">
        <v>38</v>
      </c>
      <c r="C1044" s="1">
        <v>45805.74722222222</v>
      </c>
      <c r="D1044" t="s">
        <v>5146</v>
      </c>
    </row>
    <row r="1045" spans="1:4" x14ac:dyDescent="0.25">
      <c r="A1045" t="s">
        <v>3330</v>
      </c>
      <c r="B1045" t="s">
        <v>38</v>
      </c>
      <c r="C1045" s="1">
        <v>45805.67291666667</v>
      </c>
      <c r="D1045" t="s">
        <v>5146</v>
      </c>
    </row>
    <row r="1046" spans="1:4" x14ac:dyDescent="0.25">
      <c r="A1046" t="s">
        <v>3331</v>
      </c>
      <c r="B1046" t="s">
        <v>38</v>
      </c>
      <c r="C1046" s="1">
        <v>45805.686111111114</v>
      </c>
      <c r="D1046" t="s">
        <v>5146</v>
      </c>
    </row>
    <row r="1047" spans="1:4" x14ac:dyDescent="0.25">
      <c r="A1047" t="s">
        <v>3332</v>
      </c>
      <c r="B1047" t="s">
        <v>38</v>
      </c>
      <c r="C1047" s="1">
        <v>45805.689583333333</v>
      </c>
      <c r="D1047" t="s">
        <v>5146</v>
      </c>
    </row>
    <row r="1048" spans="1:4" x14ac:dyDescent="0.25">
      <c r="A1048" t="s">
        <v>3333</v>
      </c>
      <c r="B1048" t="s">
        <v>38</v>
      </c>
      <c r="C1048" s="1">
        <v>45805.688888888886</v>
      </c>
      <c r="D1048" t="s">
        <v>5146</v>
      </c>
    </row>
    <row r="1049" spans="1:4" x14ac:dyDescent="0.25">
      <c r="A1049" t="s">
        <v>3334</v>
      </c>
      <c r="B1049" t="s">
        <v>38</v>
      </c>
      <c r="C1049" s="1">
        <v>45805.686805555553</v>
      </c>
      <c r="D1049" t="s">
        <v>5146</v>
      </c>
    </row>
    <row r="1050" spans="1:4" x14ac:dyDescent="0.25">
      <c r="A1050" t="s">
        <v>3335</v>
      </c>
      <c r="B1050" t="s">
        <v>38</v>
      </c>
      <c r="C1050" s="1">
        <v>45860.68472222222</v>
      </c>
      <c r="D1050" t="s">
        <v>5146</v>
      </c>
    </row>
    <row r="1051" spans="1:4" x14ac:dyDescent="0.25">
      <c r="A1051" t="s">
        <v>3336</v>
      </c>
      <c r="B1051" t="s">
        <v>38</v>
      </c>
      <c r="C1051" s="1">
        <v>45805.689583333333</v>
      </c>
      <c r="D1051" t="s">
        <v>5146</v>
      </c>
    </row>
    <row r="1052" spans="1:4" x14ac:dyDescent="0.25">
      <c r="A1052" t="s">
        <v>3337</v>
      </c>
      <c r="B1052" t="s">
        <v>38</v>
      </c>
      <c r="C1052" s="1">
        <v>45759.88958333333</v>
      </c>
      <c r="D1052" t="s">
        <v>5146</v>
      </c>
    </row>
    <row r="1053" spans="1:4" x14ac:dyDescent="0.25">
      <c r="A1053" t="s">
        <v>3338</v>
      </c>
      <c r="B1053" t="s">
        <v>38</v>
      </c>
      <c r="C1053" s="1">
        <v>45805.695138888892</v>
      </c>
      <c r="D1053" t="s">
        <v>5146</v>
      </c>
    </row>
    <row r="1054" spans="1:4" x14ac:dyDescent="0.25">
      <c r="A1054" t="s">
        <v>3339</v>
      </c>
      <c r="B1054" t="s">
        <v>38</v>
      </c>
      <c r="C1054" s="1">
        <v>45805.695138888892</v>
      </c>
      <c r="D1054" t="s">
        <v>5146</v>
      </c>
    </row>
    <row r="1055" spans="1:4" x14ac:dyDescent="0.25">
      <c r="A1055" t="s">
        <v>3340</v>
      </c>
      <c r="B1055" t="s">
        <v>38</v>
      </c>
      <c r="C1055" s="1">
        <v>45856.573611111111</v>
      </c>
      <c r="D1055" t="s">
        <v>5146</v>
      </c>
    </row>
    <row r="1056" spans="1:4" x14ac:dyDescent="0.25">
      <c r="A1056" t="s">
        <v>616</v>
      </c>
      <c r="B1056" t="s">
        <v>1239</v>
      </c>
      <c r="C1056" s="1">
        <v>46049.813888888886</v>
      </c>
      <c r="D1056" t="s">
        <v>5146</v>
      </c>
    </row>
    <row r="1057" spans="1:4" x14ac:dyDescent="0.25">
      <c r="A1057" t="s">
        <v>3341</v>
      </c>
      <c r="B1057" t="s">
        <v>38</v>
      </c>
      <c r="C1057" s="1">
        <v>45805.690972222219</v>
      </c>
      <c r="D1057" t="s">
        <v>5146</v>
      </c>
    </row>
    <row r="1058" spans="1:4" x14ac:dyDescent="0.25">
      <c r="A1058" t="s">
        <v>3342</v>
      </c>
      <c r="B1058" t="s">
        <v>38</v>
      </c>
      <c r="C1058" s="1">
        <v>45805.690972222219</v>
      </c>
      <c r="D1058" t="s">
        <v>5146</v>
      </c>
    </row>
    <row r="1059" spans="1:4" x14ac:dyDescent="0.25">
      <c r="A1059" t="s">
        <v>3343</v>
      </c>
      <c r="B1059" t="s">
        <v>38</v>
      </c>
      <c r="C1059" s="1">
        <v>45805.700694444444</v>
      </c>
      <c r="D1059" t="s">
        <v>5146</v>
      </c>
    </row>
    <row r="1060" spans="1:4" x14ac:dyDescent="0.25">
      <c r="A1060" t="s">
        <v>3344</v>
      </c>
      <c r="B1060" t="s">
        <v>38</v>
      </c>
      <c r="C1060" s="1">
        <v>45805.697222222225</v>
      </c>
      <c r="D1060" t="s">
        <v>5146</v>
      </c>
    </row>
    <row r="1061" spans="1:4" x14ac:dyDescent="0.25">
      <c r="A1061" t="s">
        <v>3345</v>
      </c>
      <c r="B1061" t="s">
        <v>38</v>
      </c>
      <c r="C1061" s="1">
        <v>45805.700694444444</v>
      </c>
      <c r="D1061" t="s">
        <v>5146</v>
      </c>
    </row>
    <row r="1062" spans="1:4" x14ac:dyDescent="0.25">
      <c r="A1062" t="s">
        <v>3346</v>
      </c>
      <c r="B1062" t="s">
        <v>38</v>
      </c>
      <c r="C1062" s="1">
        <v>45952.628472222219</v>
      </c>
      <c r="D1062" t="s">
        <v>5146</v>
      </c>
    </row>
    <row r="1063" spans="1:4" x14ac:dyDescent="0.25">
      <c r="A1063" t="s">
        <v>3347</v>
      </c>
      <c r="B1063" t="s">
        <v>38</v>
      </c>
      <c r="C1063" s="1">
        <v>45805.699305555558</v>
      </c>
      <c r="D1063" t="s">
        <v>5146</v>
      </c>
    </row>
    <row r="1064" spans="1:4" x14ac:dyDescent="0.25">
      <c r="A1064" t="s">
        <v>3348</v>
      </c>
      <c r="B1064" t="s">
        <v>38</v>
      </c>
      <c r="C1064" s="1">
        <v>45883.722222222219</v>
      </c>
      <c r="D1064" t="s">
        <v>5146</v>
      </c>
    </row>
    <row r="1065" spans="1:4" x14ac:dyDescent="0.25">
      <c r="A1065" t="s">
        <v>3349</v>
      </c>
      <c r="B1065" t="s">
        <v>38</v>
      </c>
      <c r="C1065" s="1">
        <v>45805.696527777778</v>
      </c>
      <c r="D1065" t="s">
        <v>5146</v>
      </c>
    </row>
    <row r="1066" spans="1:4" x14ac:dyDescent="0.25">
      <c r="A1066" t="s">
        <v>3350</v>
      </c>
      <c r="B1066" t="s">
        <v>38</v>
      </c>
      <c r="C1066" s="1">
        <v>45856.55972222222</v>
      </c>
      <c r="D1066" t="s">
        <v>5146</v>
      </c>
    </row>
    <row r="1067" spans="1:4" x14ac:dyDescent="0.25">
      <c r="A1067" t="s">
        <v>3351</v>
      </c>
      <c r="B1067" t="s">
        <v>38</v>
      </c>
      <c r="C1067" s="1">
        <v>45761.763194444444</v>
      </c>
      <c r="D1067" t="s">
        <v>5146</v>
      </c>
    </row>
    <row r="1068" spans="1:4" x14ac:dyDescent="0.25">
      <c r="A1068" t="s">
        <v>3352</v>
      </c>
      <c r="B1068" t="s">
        <v>38</v>
      </c>
      <c r="C1068" s="1">
        <v>45761.760416666664</v>
      </c>
      <c r="D1068" t="s">
        <v>5146</v>
      </c>
    </row>
    <row r="1069" spans="1:4" x14ac:dyDescent="0.25">
      <c r="A1069" t="s">
        <v>3353</v>
      </c>
      <c r="B1069" t="s">
        <v>38</v>
      </c>
      <c r="C1069" s="1">
        <v>45805.697916666664</v>
      </c>
      <c r="D1069" t="s">
        <v>5146</v>
      </c>
    </row>
    <row r="1070" spans="1:4" x14ac:dyDescent="0.25">
      <c r="A1070" t="s">
        <v>3354</v>
      </c>
      <c r="B1070" t="s">
        <v>38</v>
      </c>
      <c r="C1070" s="1">
        <v>45805.707638888889</v>
      </c>
      <c r="D1070" t="s">
        <v>5146</v>
      </c>
    </row>
    <row r="1071" spans="1:4" x14ac:dyDescent="0.25">
      <c r="A1071" t="s">
        <v>3355</v>
      </c>
      <c r="B1071" t="s">
        <v>38</v>
      </c>
      <c r="C1071" s="1">
        <v>45805.706250000003</v>
      </c>
      <c r="D1071" t="s">
        <v>5146</v>
      </c>
    </row>
    <row r="1072" spans="1:4" x14ac:dyDescent="0.25">
      <c r="A1072" t="s">
        <v>3356</v>
      </c>
      <c r="B1072" t="s">
        <v>38</v>
      </c>
      <c r="C1072" s="1">
        <v>45805.705555555556</v>
      </c>
      <c r="D1072" t="s">
        <v>5146</v>
      </c>
    </row>
    <row r="1073" spans="1:4" x14ac:dyDescent="0.25">
      <c r="A1073" t="s">
        <v>596</v>
      </c>
      <c r="B1073" t="s">
        <v>1129</v>
      </c>
      <c r="C1073" s="1">
        <v>46051.726388888892</v>
      </c>
      <c r="D1073" t="s">
        <v>5146</v>
      </c>
    </row>
    <row r="1074" spans="1:4" x14ac:dyDescent="0.25">
      <c r="A1074" t="s">
        <v>3357</v>
      </c>
      <c r="B1074" t="s">
        <v>38</v>
      </c>
      <c r="C1074" s="1">
        <v>45805.70416666667</v>
      </c>
      <c r="D1074" t="s">
        <v>5146</v>
      </c>
    </row>
    <row r="1075" spans="1:4" x14ac:dyDescent="0.25">
      <c r="A1075" t="s">
        <v>3358</v>
      </c>
      <c r="B1075" t="s">
        <v>38</v>
      </c>
      <c r="C1075" s="1">
        <v>45805.703472222223</v>
      </c>
      <c r="D1075" t="s">
        <v>5146</v>
      </c>
    </row>
    <row r="1076" spans="1:4" x14ac:dyDescent="0.25">
      <c r="A1076" t="s">
        <v>3359</v>
      </c>
      <c r="B1076" t="s">
        <v>38</v>
      </c>
      <c r="C1076" s="1">
        <v>45818.660416666666</v>
      </c>
      <c r="D1076" t="s">
        <v>5146</v>
      </c>
    </row>
    <row r="1077" spans="1:4" x14ac:dyDescent="0.25">
      <c r="A1077" t="s">
        <v>3360</v>
      </c>
      <c r="B1077" t="s">
        <v>38</v>
      </c>
      <c r="C1077" s="1">
        <v>45762.56527777778</v>
      </c>
      <c r="D1077" t="s">
        <v>5146</v>
      </c>
    </row>
    <row r="1078" spans="1:4" x14ac:dyDescent="0.25">
      <c r="A1078" t="s">
        <v>3361</v>
      </c>
      <c r="B1078" t="s">
        <v>38</v>
      </c>
      <c r="C1078" s="1">
        <v>45805.702777777777</v>
      </c>
      <c r="D1078" t="s">
        <v>5146</v>
      </c>
    </row>
    <row r="1079" spans="1:4" x14ac:dyDescent="0.25">
      <c r="A1079" t="s">
        <v>3362</v>
      </c>
      <c r="B1079" t="s">
        <v>38</v>
      </c>
      <c r="C1079" s="1">
        <v>45836.571527777778</v>
      </c>
      <c r="D1079" t="s">
        <v>5146</v>
      </c>
    </row>
    <row r="1080" spans="1:4" x14ac:dyDescent="0.25">
      <c r="A1080" t="s">
        <v>3363</v>
      </c>
      <c r="B1080" t="s">
        <v>38</v>
      </c>
      <c r="C1080" s="1">
        <v>45805.701388888891</v>
      </c>
      <c r="D1080" t="s">
        <v>5146</v>
      </c>
    </row>
    <row r="1081" spans="1:4" x14ac:dyDescent="0.25">
      <c r="A1081" t="s">
        <v>3364</v>
      </c>
      <c r="B1081" t="s">
        <v>38</v>
      </c>
      <c r="C1081" s="1">
        <v>45805.700694444444</v>
      </c>
      <c r="D1081" t="s">
        <v>5146</v>
      </c>
    </row>
    <row r="1082" spans="1:4" x14ac:dyDescent="0.25">
      <c r="A1082" t="s">
        <v>3365</v>
      </c>
      <c r="B1082" t="s">
        <v>38</v>
      </c>
      <c r="C1082" s="1">
        <v>45764.952777777777</v>
      </c>
      <c r="D1082" t="s">
        <v>5146</v>
      </c>
    </row>
    <row r="1083" spans="1:4" x14ac:dyDescent="0.25">
      <c r="A1083" t="s">
        <v>3366</v>
      </c>
      <c r="B1083" t="s">
        <v>38</v>
      </c>
      <c r="C1083" s="1">
        <v>45805.71597222222</v>
      </c>
      <c r="D1083" t="s">
        <v>5146</v>
      </c>
    </row>
    <row r="1084" spans="1:4" x14ac:dyDescent="0.25">
      <c r="A1084" t="s">
        <v>3367</v>
      </c>
      <c r="B1084" t="s">
        <v>38</v>
      </c>
      <c r="C1084" s="1">
        <v>45805.715277777781</v>
      </c>
      <c r="D1084" t="s">
        <v>5146</v>
      </c>
    </row>
    <row r="1085" spans="1:4" x14ac:dyDescent="0.25">
      <c r="A1085" t="s">
        <v>3368</v>
      </c>
      <c r="B1085" t="s">
        <v>38</v>
      </c>
      <c r="C1085" s="1">
        <v>45805.708333333336</v>
      </c>
      <c r="D1085" t="s">
        <v>5146</v>
      </c>
    </row>
    <row r="1086" spans="1:4" x14ac:dyDescent="0.25">
      <c r="A1086" t="s">
        <v>3369</v>
      </c>
      <c r="B1086" t="s">
        <v>38</v>
      </c>
      <c r="C1086" s="1">
        <v>45805.726388888892</v>
      </c>
      <c r="D1086" t="s">
        <v>5146</v>
      </c>
    </row>
    <row r="1087" spans="1:4" x14ac:dyDescent="0.25">
      <c r="A1087" t="s">
        <v>3370</v>
      </c>
      <c r="B1087" t="s">
        <v>38</v>
      </c>
      <c r="C1087" s="1">
        <v>45805.725694444445</v>
      </c>
      <c r="D1087" t="s">
        <v>5146</v>
      </c>
    </row>
    <row r="1088" spans="1:4" x14ac:dyDescent="0.25">
      <c r="A1088" t="s">
        <v>3371</v>
      </c>
      <c r="B1088" t="s">
        <v>38</v>
      </c>
      <c r="C1088" s="1">
        <v>45805.724999999999</v>
      </c>
      <c r="D1088" t="s">
        <v>5146</v>
      </c>
    </row>
    <row r="1089" spans="1:4" x14ac:dyDescent="0.25">
      <c r="A1089" t="s">
        <v>3372</v>
      </c>
      <c r="B1089" t="s">
        <v>38</v>
      </c>
      <c r="C1089" s="1">
        <v>45805.724305555559</v>
      </c>
      <c r="D1089" t="s">
        <v>5146</v>
      </c>
    </row>
    <row r="1090" spans="1:4" x14ac:dyDescent="0.25">
      <c r="A1090" t="s">
        <v>3373</v>
      </c>
      <c r="B1090" t="s">
        <v>38</v>
      </c>
      <c r="C1090" s="1">
        <v>45805.723611111112</v>
      </c>
      <c r="D1090" t="s">
        <v>5146</v>
      </c>
    </row>
    <row r="1091" spans="1:4" x14ac:dyDescent="0.25">
      <c r="A1091" t="s">
        <v>3374</v>
      </c>
      <c r="B1091" t="s">
        <v>38</v>
      </c>
      <c r="C1091" s="1">
        <v>45805.722222222219</v>
      </c>
      <c r="D1091" t="s">
        <v>5146</v>
      </c>
    </row>
    <row r="1092" spans="1:4" x14ac:dyDescent="0.25">
      <c r="A1092" t="s">
        <v>3375</v>
      </c>
      <c r="B1092" t="s">
        <v>38</v>
      </c>
      <c r="C1092" s="1">
        <v>45805.745833333334</v>
      </c>
      <c r="D1092" t="s">
        <v>5146</v>
      </c>
    </row>
    <row r="1093" spans="1:4" x14ac:dyDescent="0.25">
      <c r="A1093" t="s">
        <v>3376</v>
      </c>
      <c r="B1093" t="s">
        <v>38</v>
      </c>
      <c r="C1093" s="1">
        <v>45805.727083333331</v>
      </c>
      <c r="D1093" t="s">
        <v>5146</v>
      </c>
    </row>
    <row r="1094" spans="1:4" x14ac:dyDescent="0.25">
      <c r="A1094" t="s">
        <v>3377</v>
      </c>
      <c r="B1094" t="s">
        <v>38</v>
      </c>
      <c r="C1094" s="1">
        <v>45824.499305555553</v>
      </c>
      <c r="D1094" t="s">
        <v>5146</v>
      </c>
    </row>
    <row r="1095" spans="1:4" x14ac:dyDescent="0.25">
      <c r="A1095" t="s">
        <v>3378</v>
      </c>
      <c r="B1095" t="s">
        <v>38</v>
      </c>
      <c r="C1095" s="1">
        <v>45805.747916666667</v>
      </c>
      <c r="D1095" t="s">
        <v>5146</v>
      </c>
    </row>
    <row r="1096" spans="1:4" x14ac:dyDescent="0.25">
      <c r="A1096" t="s">
        <v>3379</v>
      </c>
      <c r="B1096" t="s">
        <v>38</v>
      </c>
      <c r="C1096" s="1">
        <v>45805.752083333333</v>
      </c>
      <c r="D1096" t="s">
        <v>5146</v>
      </c>
    </row>
    <row r="1097" spans="1:4" x14ac:dyDescent="0.25">
      <c r="A1097" t="s">
        <v>557</v>
      </c>
      <c r="B1097" t="s">
        <v>1073</v>
      </c>
      <c r="C1097" s="1">
        <v>46050.467361111114</v>
      </c>
      <c r="D1097" t="s">
        <v>5146</v>
      </c>
    </row>
    <row r="1098" spans="1:4" x14ac:dyDescent="0.25">
      <c r="A1098" t="s">
        <v>3380</v>
      </c>
      <c r="B1098" t="s">
        <v>38</v>
      </c>
      <c r="C1098" s="1">
        <v>45868.65</v>
      </c>
      <c r="D1098" t="s">
        <v>5146</v>
      </c>
    </row>
    <row r="1099" spans="1:4" x14ac:dyDescent="0.25">
      <c r="A1099" t="s">
        <v>3381</v>
      </c>
      <c r="B1099" t="s">
        <v>38</v>
      </c>
      <c r="C1099" s="1">
        <v>45805.750694444447</v>
      </c>
      <c r="D1099" t="s">
        <v>5146</v>
      </c>
    </row>
    <row r="1100" spans="1:4" x14ac:dyDescent="0.25">
      <c r="A1100" t="s">
        <v>3382</v>
      </c>
      <c r="B1100" t="s">
        <v>38</v>
      </c>
      <c r="C1100" s="1">
        <v>45805.748611111114</v>
      </c>
      <c r="D1100" t="s">
        <v>5146</v>
      </c>
    </row>
    <row r="1101" spans="1:4" x14ac:dyDescent="0.25">
      <c r="A1101" t="s">
        <v>3383</v>
      </c>
      <c r="B1101" t="s">
        <v>38</v>
      </c>
      <c r="C1101" s="1">
        <v>45805.749305555553</v>
      </c>
      <c r="D1101" t="s">
        <v>5146</v>
      </c>
    </row>
    <row r="1102" spans="1:4" x14ac:dyDescent="0.25">
      <c r="A1102" t="s">
        <v>3384</v>
      </c>
      <c r="B1102" t="s">
        <v>38</v>
      </c>
      <c r="C1102" s="1">
        <v>45805.748611111114</v>
      </c>
      <c r="D1102" t="s">
        <v>5146</v>
      </c>
    </row>
    <row r="1103" spans="1:4" x14ac:dyDescent="0.25">
      <c r="A1103" t="s">
        <v>3385</v>
      </c>
      <c r="B1103" t="s">
        <v>38</v>
      </c>
      <c r="C1103" s="1">
        <v>45805.754166666666</v>
      </c>
      <c r="D1103" t="s">
        <v>5146</v>
      </c>
    </row>
    <row r="1104" spans="1:4" x14ac:dyDescent="0.25">
      <c r="A1104" t="s">
        <v>558</v>
      </c>
      <c r="B1104" t="s">
        <v>38</v>
      </c>
      <c r="C1104" s="1">
        <v>46050.763194444444</v>
      </c>
      <c r="D1104" t="s">
        <v>5146</v>
      </c>
    </row>
    <row r="1105" spans="1:4" x14ac:dyDescent="0.25">
      <c r="A1105" t="s">
        <v>3386</v>
      </c>
      <c r="B1105" t="s">
        <v>38</v>
      </c>
      <c r="C1105" s="1">
        <v>45806.525694444441</v>
      </c>
      <c r="D1105" t="s">
        <v>5146</v>
      </c>
    </row>
    <row r="1106" spans="1:4" x14ac:dyDescent="0.25">
      <c r="A1106" t="s">
        <v>3387</v>
      </c>
      <c r="B1106" t="s">
        <v>38</v>
      </c>
      <c r="C1106" s="1">
        <v>45806.525000000001</v>
      </c>
      <c r="D1106" t="s">
        <v>5146</v>
      </c>
    </row>
    <row r="1107" spans="1:4" x14ac:dyDescent="0.25">
      <c r="A1107" t="s">
        <v>3388</v>
      </c>
      <c r="B1107" t="s">
        <v>38</v>
      </c>
      <c r="C1107" s="1">
        <v>45869.619444444441</v>
      </c>
      <c r="D1107" t="s">
        <v>5146</v>
      </c>
    </row>
    <row r="1108" spans="1:4" x14ac:dyDescent="0.25">
      <c r="A1108" t="s">
        <v>3389</v>
      </c>
      <c r="B1108" t="s">
        <v>38</v>
      </c>
      <c r="C1108" s="1">
        <v>45806.523611111108</v>
      </c>
      <c r="D1108" t="s">
        <v>5146</v>
      </c>
    </row>
    <row r="1109" spans="1:4" x14ac:dyDescent="0.25">
      <c r="A1109" t="s">
        <v>3390</v>
      </c>
      <c r="B1109" t="s">
        <v>39</v>
      </c>
      <c r="C1109" s="1">
        <v>45840.98541666667</v>
      </c>
      <c r="D1109" t="s">
        <v>5146</v>
      </c>
    </row>
    <row r="1110" spans="1:4" x14ac:dyDescent="0.25">
      <c r="A1110" t="s">
        <v>561</v>
      </c>
      <c r="B1110" t="s">
        <v>1073</v>
      </c>
      <c r="C1110" s="1">
        <v>46049.852777777778</v>
      </c>
      <c r="D1110" t="s">
        <v>5146</v>
      </c>
    </row>
    <row r="1111" spans="1:4" x14ac:dyDescent="0.25">
      <c r="A1111" t="s">
        <v>3391</v>
      </c>
      <c r="B1111" t="s">
        <v>38</v>
      </c>
      <c r="C1111" s="1">
        <v>45806.522916666669</v>
      </c>
      <c r="D1111" t="s">
        <v>5146</v>
      </c>
    </row>
    <row r="1112" spans="1:4" x14ac:dyDescent="0.25">
      <c r="A1112" t="s">
        <v>3392</v>
      </c>
      <c r="B1112" t="s">
        <v>38</v>
      </c>
      <c r="C1112" s="1">
        <v>45806.520833333336</v>
      </c>
      <c r="D1112" t="s">
        <v>5146</v>
      </c>
    </row>
    <row r="1113" spans="1:4" x14ac:dyDescent="0.25">
      <c r="A1113" t="s">
        <v>3393</v>
      </c>
      <c r="B1113" t="s">
        <v>38</v>
      </c>
      <c r="C1113" s="1">
        <v>45806.520138888889</v>
      </c>
      <c r="D1113" t="s">
        <v>5146</v>
      </c>
    </row>
    <row r="1114" spans="1:4" x14ac:dyDescent="0.25">
      <c r="A1114" t="s">
        <v>3394</v>
      </c>
      <c r="B1114" t="s">
        <v>38</v>
      </c>
      <c r="C1114" s="1">
        <v>45806.520138888889</v>
      </c>
      <c r="D1114" t="s">
        <v>5146</v>
      </c>
    </row>
    <row r="1115" spans="1:4" x14ac:dyDescent="0.25">
      <c r="A1115" t="s">
        <v>3395</v>
      </c>
      <c r="B1115" t="s">
        <v>38</v>
      </c>
      <c r="C1115" s="1">
        <v>45806.518055555556</v>
      </c>
      <c r="D1115" t="s">
        <v>5146</v>
      </c>
    </row>
    <row r="1116" spans="1:4" x14ac:dyDescent="0.25">
      <c r="A1116" t="s">
        <v>3396</v>
      </c>
      <c r="B1116" t="s">
        <v>38</v>
      </c>
      <c r="C1116" s="1">
        <v>45806.515972222223</v>
      </c>
      <c r="D1116" t="s">
        <v>5146</v>
      </c>
    </row>
    <row r="1117" spans="1:4" x14ac:dyDescent="0.25">
      <c r="A1117" t="s">
        <v>3397</v>
      </c>
      <c r="B1117" t="s">
        <v>38</v>
      </c>
      <c r="C1117" s="1">
        <v>45806.526388888888</v>
      </c>
      <c r="D1117" t="s">
        <v>5146</v>
      </c>
    </row>
    <row r="1118" spans="1:4" x14ac:dyDescent="0.25">
      <c r="A1118" t="s">
        <v>3398</v>
      </c>
      <c r="B1118" t="s">
        <v>38</v>
      </c>
      <c r="C1118" s="1">
        <v>45806.529861111114</v>
      </c>
      <c r="D1118" t="s">
        <v>5146</v>
      </c>
    </row>
    <row r="1119" spans="1:4" x14ac:dyDescent="0.25">
      <c r="A1119" t="s">
        <v>3399</v>
      </c>
      <c r="B1119" t="s">
        <v>38</v>
      </c>
      <c r="C1119" s="1">
        <v>45806.527777777781</v>
      </c>
      <c r="D1119" t="s">
        <v>5146</v>
      </c>
    </row>
    <row r="1120" spans="1:4" x14ac:dyDescent="0.25">
      <c r="A1120" t="s">
        <v>3400</v>
      </c>
      <c r="B1120" t="s">
        <v>38</v>
      </c>
      <c r="C1120" s="1">
        <v>45840.986111111109</v>
      </c>
      <c r="D1120" t="s">
        <v>5146</v>
      </c>
    </row>
    <row r="1121" spans="1:4" x14ac:dyDescent="0.25">
      <c r="A1121" t="s">
        <v>3401</v>
      </c>
      <c r="B1121" t="s">
        <v>38</v>
      </c>
      <c r="C1121" s="1">
        <v>45806.529861111114</v>
      </c>
      <c r="D1121" t="s">
        <v>5146</v>
      </c>
    </row>
    <row r="1122" spans="1:4" x14ac:dyDescent="0.25">
      <c r="A1122" t="s">
        <v>3402</v>
      </c>
      <c r="B1122" t="s">
        <v>38</v>
      </c>
      <c r="C1122" s="1">
        <v>45849.741666666669</v>
      </c>
      <c r="D1122" t="s">
        <v>5146</v>
      </c>
    </row>
    <row r="1123" spans="1:4" x14ac:dyDescent="0.25">
      <c r="A1123" t="s">
        <v>3403</v>
      </c>
      <c r="B1123" t="s">
        <v>38</v>
      </c>
      <c r="C1123" s="1">
        <v>45855.699305555558</v>
      </c>
      <c r="D1123" t="s">
        <v>5146</v>
      </c>
    </row>
    <row r="1124" spans="1:4" x14ac:dyDescent="0.25">
      <c r="A1124" t="s">
        <v>3404</v>
      </c>
      <c r="B1124" t="s">
        <v>39</v>
      </c>
      <c r="C1124" s="1">
        <v>45833.545138888891</v>
      </c>
      <c r="D1124" t="s">
        <v>5146</v>
      </c>
    </row>
    <row r="1125" spans="1:4" x14ac:dyDescent="0.25">
      <c r="A1125" t="s">
        <v>566</v>
      </c>
      <c r="B1125" t="s">
        <v>38</v>
      </c>
      <c r="C1125" s="1">
        <v>46051.840277777781</v>
      </c>
      <c r="D1125" t="s">
        <v>5146</v>
      </c>
    </row>
    <row r="1126" spans="1:4" x14ac:dyDescent="0.25">
      <c r="A1126" t="s">
        <v>3405</v>
      </c>
      <c r="B1126" t="s">
        <v>38</v>
      </c>
      <c r="C1126" s="1">
        <v>45806.540972222225</v>
      </c>
      <c r="D1126" t="s">
        <v>5146</v>
      </c>
    </row>
    <row r="1127" spans="1:4" x14ac:dyDescent="0.25">
      <c r="A1127" t="s">
        <v>3406</v>
      </c>
      <c r="B1127" t="s">
        <v>38</v>
      </c>
      <c r="C1127" s="1">
        <v>45806.554166666669</v>
      </c>
      <c r="D1127" t="s">
        <v>5146</v>
      </c>
    </row>
    <row r="1128" spans="1:4" x14ac:dyDescent="0.25">
      <c r="A1128" t="s">
        <v>3407</v>
      </c>
      <c r="B1128" t="s">
        <v>38</v>
      </c>
      <c r="C1128" s="1">
        <v>45806.544444444444</v>
      </c>
      <c r="D1128" t="s">
        <v>5146</v>
      </c>
    </row>
    <row r="1129" spans="1:4" x14ac:dyDescent="0.25">
      <c r="A1129" t="s">
        <v>3408</v>
      </c>
      <c r="B1129" t="s">
        <v>38</v>
      </c>
      <c r="C1129" s="1">
        <v>45843.543055555558</v>
      </c>
      <c r="D1129" t="s">
        <v>5146</v>
      </c>
    </row>
    <row r="1130" spans="1:4" x14ac:dyDescent="0.25">
      <c r="A1130" t="s">
        <v>3409</v>
      </c>
      <c r="B1130" t="s">
        <v>39</v>
      </c>
      <c r="C1130" s="1">
        <v>45781.107638888891</v>
      </c>
      <c r="D1130" t="s">
        <v>5146</v>
      </c>
    </row>
    <row r="1131" spans="1:4" x14ac:dyDescent="0.25">
      <c r="A1131" t="s">
        <v>3410</v>
      </c>
      <c r="B1131" t="s">
        <v>38</v>
      </c>
      <c r="C1131" s="1">
        <v>45868.495833333334</v>
      </c>
      <c r="D1131" t="s">
        <v>5146</v>
      </c>
    </row>
    <row r="1132" spans="1:4" x14ac:dyDescent="0.25">
      <c r="A1132" t="s">
        <v>3411</v>
      </c>
      <c r="B1132" t="s">
        <v>38</v>
      </c>
      <c r="C1132" s="1">
        <v>45806.57916666667</v>
      </c>
      <c r="D1132" t="s">
        <v>5146</v>
      </c>
    </row>
    <row r="1133" spans="1:4" x14ac:dyDescent="0.25">
      <c r="A1133" t="s">
        <v>3412</v>
      </c>
      <c r="B1133" t="s">
        <v>38</v>
      </c>
      <c r="C1133" s="1">
        <v>45868.501388888886</v>
      </c>
      <c r="D1133" t="s">
        <v>5146</v>
      </c>
    </row>
    <row r="1134" spans="1:4" x14ac:dyDescent="0.25">
      <c r="A1134" t="s">
        <v>567</v>
      </c>
      <c r="B1134" t="s">
        <v>38</v>
      </c>
      <c r="C1134" s="1">
        <v>46050.558333333334</v>
      </c>
      <c r="D1134" t="s">
        <v>5146</v>
      </c>
    </row>
    <row r="1135" spans="1:4" x14ac:dyDescent="0.25">
      <c r="A1135" t="s">
        <v>3413</v>
      </c>
      <c r="B1135" t="s">
        <v>38</v>
      </c>
      <c r="C1135" s="1">
        <v>45843.549305555556</v>
      </c>
      <c r="D1135" t="s">
        <v>5146</v>
      </c>
    </row>
    <row r="1136" spans="1:4" x14ac:dyDescent="0.25">
      <c r="A1136" t="s">
        <v>3414</v>
      </c>
      <c r="B1136" t="s">
        <v>38</v>
      </c>
      <c r="C1136" s="1">
        <v>45855.702777777777</v>
      </c>
      <c r="D1136" t="s">
        <v>5146</v>
      </c>
    </row>
    <row r="1137" spans="1:4" x14ac:dyDescent="0.25">
      <c r="A1137" t="s">
        <v>3415</v>
      </c>
      <c r="B1137" t="s">
        <v>38</v>
      </c>
      <c r="C1137" s="1">
        <v>45806.581250000003</v>
      </c>
      <c r="D1137" t="s">
        <v>5146</v>
      </c>
    </row>
    <row r="1138" spans="1:4" x14ac:dyDescent="0.25">
      <c r="A1138" t="s">
        <v>3416</v>
      </c>
      <c r="B1138" t="s">
        <v>38</v>
      </c>
      <c r="C1138" s="1">
        <v>45806.580555555556</v>
      </c>
      <c r="D1138" t="s">
        <v>5146</v>
      </c>
    </row>
    <row r="1139" spans="1:4" x14ac:dyDescent="0.25">
      <c r="A1139" t="s">
        <v>569</v>
      </c>
      <c r="B1139" t="s">
        <v>1239</v>
      </c>
      <c r="C1139" s="1">
        <v>46045.794444444444</v>
      </c>
      <c r="D1139" t="s">
        <v>5146</v>
      </c>
    </row>
    <row r="1140" spans="1:4" x14ac:dyDescent="0.25">
      <c r="A1140" t="s">
        <v>3417</v>
      </c>
      <c r="B1140" t="s">
        <v>1239</v>
      </c>
      <c r="C1140" s="1">
        <v>46045.788888888892</v>
      </c>
      <c r="D1140" t="s">
        <v>5146</v>
      </c>
    </row>
    <row r="1141" spans="1:4" x14ac:dyDescent="0.25">
      <c r="A1141" t="s">
        <v>3418</v>
      </c>
      <c r="B1141" t="s">
        <v>38</v>
      </c>
      <c r="C1141" s="1">
        <v>45806.582638888889</v>
      </c>
      <c r="D1141" t="s">
        <v>5146</v>
      </c>
    </row>
    <row r="1142" spans="1:4" x14ac:dyDescent="0.25">
      <c r="A1142" t="s">
        <v>3419</v>
      </c>
      <c r="B1142" t="s">
        <v>1239</v>
      </c>
      <c r="C1142" s="1">
        <v>46045.78125</v>
      </c>
      <c r="D1142" t="s">
        <v>5146</v>
      </c>
    </row>
    <row r="1143" spans="1:4" x14ac:dyDescent="0.25">
      <c r="A1143" t="s">
        <v>570</v>
      </c>
      <c r="B1143" t="s">
        <v>38</v>
      </c>
      <c r="C1143" s="1">
        <v>46051.59375</v>
      </c>
      <c r="D1143" t="s">
        <v>5146</v>
      </c>
    </row>
    <row r="1144" spans="1:4" x14ac:dyDescent="0.25">
      <c r="A1144" t="s">
        <v>3420</v>
      </c>
      <c r="B1144" t="s">
        <v>38</v>
      </c>
      <c r="C1144" s="1">
        <v>45855.70416666667</v>
      </c>
      <c r="D1144" t="s">
        <v>5146</v>
      </c>
    </row>
    <row r="1145" spans="1:4" x14ac:dyDescent="0.25">
      <c r="A1145" t="s">
        <v>3421</v>
      </c>
      <c r="B1145" t="s">
        <v>38</v>
      </c>
      <c r="C1145" s="1">
        <v>45806.586805555555</v>
      </c>
      <c r="D1145" t="s">
        <v>5146</v>
      </c>
    </row>
    <row r="1146" spans="1:4" x14ac:dyDescent="0.25">
      <c r="A1146" t="s">
        <v>571</v>
      </c>
      <c r="B1146" t="s">
        <v>30</v>
      </c>
      <c r="C1146" s="1">
        <v>46050.59375</v>
      </c>
      <c r="D1146" t="s">
        <v>5146</v>
      </c>
    </row>
    <row r="1147" spans="1:4" x14ac:dyDescent="0.25">
      <c r="A1147" t="s">
        <v>3422</v>
      </c>
      <c r="B1147" t="s">
        <v>38</v>
      </c>
      <c r="C1147" s="1">
        <v>45806.586111111108</v>
      </c>
      <c r="D1147" t="s">
        <v>5146</v>
      </c>
    </row>
    <row r="1148" spans="1:4" x14ac:dyDescent="0.25">
      <c r="A1148" t="s">
        <v>3423</v>
      </c>
      <c r="B1148" t="s">
        <v>38</v>
      </c>
      <c r="C1148" s="1">
        <v>45806.584722222222</v>
      </c>
      <c r="D1148" t="s">
        <v>5146</v>
      </c>
    </row>
    <row r="1149" spans="1:4" x14ac:dyDescent="0.25">
      <c r="A1149" t="s">
        <v>3424</v>
      </c>
      <c r="B1149" t="s">
        <v>38</v>
      </c>
      <c r="C1149" s="1">
        <v>45880.767361111109</v>
      </c>
      <c r="D1149" t="s">
        <v>5146</v>
      </c>
    </row>
    <row r="1150" spans="1:4" x14ac:dyDescent="0.25">
      <c r="A1150" t="s">
        <v>574</v>
      </c>
      <c r="B1150" t="s">
        <v>1129</v>
      </c>
      <c r="C1150" s="1">
        <v>46051.902777777781</v>
      </c>
      <c r="D1150" t="s">
        <v>5146</v>
      </c>
    </row>
    <row r="1151" spans="1:4" x14ac:dyDescent="0.25">
      <c r="A1151" t="s">
        <v>575</v>
      </c>
      <c r="B1151" t="s">
        <v>38</v>
      </c>
      <c r="C1151" s="1">
        <v>46051.568749999999</v>
      </c>
      <c r="D1151" t="s">
        <v>5146</v>
      </c>
    </row>
    <row r="1152" spans="1:4" x14ac:dyDescent="0.25">
      <c r="A1152" t="s">
        <v>3425</v>
      </c>
      <c r="B1152" t="s">
        <v>38</v>
      </c>
      <c r="C1152" s="1">
        <v>45855.705555555556</v>
      </c>
      <c r="D1152" t="s">
        <v>5146</v>
      </c>
    </row>
    <row r="1153" spans="1:4" x14ac:dyDescent="0.25">
      <c r="A1153" t="s">
        <v>3426</v>
      </c>
      <c r="B1153" t="s">
        <v>38</v>
      </c>
      <c r="C1153" s="1">
        <v>45855.706250000003</v>
      </c>
      <c r="D1153" t="s">
        <v>5146</v>
      </c>
    </row>
    <row r="1154" spans="1:4" x14ac:dyDescent="0.25">
      <c r="A1154" t="s">
        <v>3427</v>
      </c>
      <c r="B1154" t="s">
        <v>39</v>
      </c>
      <c r="C1154" s="1">
        <v>45782.433333333334</v>
      </c>
      <c r="D1154" t="s">
        <v>5146</v>
      </c>
    </row>
    <row r="1155" spans="1:4" x14ac:dyDescent="0.25">
      <c r="A1155" t="s">
        <v>3428</v>
      </c>
      <c r="B1155" t="s">
        <v>38</v>
      </c>
      <c r="C1155" s="1">
        <v>45855.706944444442</v>
      </c>
      <c r="D1155" t="s">
        <v>5146</v>
      </c>
    </row>
    <row r="1156" spans="1:4" x14ac:dyDescent="0.25">
      <c r="A1156" t="s">
        <v>576</v>
      </c>
      <c r="B1156" t="s">
        <v>30</v>
      </c>
      <c r="C1156" s="1">
        <v>46051.716666666667</v>
      </c>
      <c r="D1156" t="s">
        <v>5146</v>
      </c>
    </row>
    <row r="1157" spans="1:4" x14ac:dyDescent="0.25">
      <c r="A1157" t="s">
        <v>3429</v>
      </c>
      <c r="B1157" t="s">
        <v>38</v>
      </c>
      <c r="C1157" s="1">
        <v>45855.707638888889</v>
      </c>
      <c r="D1157" t="s">
        <v>5146</v>
      </c>
    </row>
    <row r="1158" spans="1:4" x14ac:dyDescent="0.25">
      <c r="A1158" t="s">
        <v>3430</v>
      </c>
      <c r="B1158" t="s">
        <v>38</v>
      </c>
      <c r="C1158" s="1">
        <v>45855.707638888889</v>
      </c>
      <c r="D1158" t="s">
        <v>5146</v>
      </c>
    </row>
    <row r="1159" spans="1:4" x14ac:dyDescent="0.25">
      <c r="A1159" t="s">
        <v>3431</v>
      </c>
      <c r="B1159" t="s">
        <v>38</v>
      </c>
      <c r="C1159" s="1">
        <v>45845.497916666667</v>
      </c>
      <c r="D1159" t="s">
        <v>5146</v>
      </c>
    </row>
    <row r="1160" spans="1:4" x14ac:dyDescent="0.25">
      <c r="A1160" t="s">
        <v>3432</v>
      </c>
      <c r="B1160" t="s">
        <v>38</v>
      </c>
      <c r="C1160" s="1">
        <v>45855.708333333336</v>
      </c>
      <c r="D1160" t="s">
        <v>5146</v>
      </c>
    </row>
    <row r="1161" spans="1:4" x14ac:dyDescent="0.25">
      <c r="A1161" t="s">
        <v>3433</v>
      </c>
      <c r="B1161" t="s">
        <v>38</v>
      </c>
      <c r="C1161" s="1">
        <v>45855.709722222222</v>
      </c>
      <c r="D1161" t="s">
        <v>5146</v>
      </c>
    </row>
    <row r="1162" spans="1:4" x14ac:dyDescent="0.25">
      <c r="A1162" t="s">
        <v>3434</v>
      </c>
      <c r="B1162" t="s">
        <v>38</v>
      </c>
      <c r="C1162" s="1">
        <v>45855.709722222222</v>
      </c>
      <c r="D1162" t="s">
        <v>5146</v>
      </c>
    </row>
    <row r="1163" spans="1:4" x14ac:dyDescent="0.25">
      <c r="A1163" t="s">
        <v>582</v>
      </c>
      <c r="B1163" t="s">
        <v>30</v>
      </c>
      <c r="C1163" s="1">
        <v>46051.688888888886</v>
      </c>
      <c r="D1163" t="s">
        <v>5146</v>
      </c>
    </row>
    <row r="1164" spans="1:4" x14ac:dyDescent="0.25">
      <c r="A1164" t="s">
        <v>3435</v>
      </c>
      <c r="B1164" t="s">
        <v>38</v>
      </c>
      <c r="C1164" s="1">
        <v>45855.710416666669</v>
      </c>
      <c r="D1164" t="s">
        <v>5146</v>
      </c>
    </row>
    <row r="1165" spans="1:4" x14ac:dyDescent="0.25">
      <c r="A1165" t="s">
        <v>583</v>
      </c>
      <c r="B1165" t="s">
        <v>39</v>
      </c>
      <c r="C1165" s="1">
        <v>46049.565972222219</v>
      </c>
      <c r="D1165" t="s">
        <v>5146</v>
      </c>
    </row>
    <row r="1166" spans="1:4" x14ac:dyDescent="0.25">
      <c r="A1166" t="s">
        <v>3436</v>
      </c>
      <c r="B1166" t="s">
        <v>38</v>
      </c>
      <c r="C1166" s="1">
        <v>45866.690972222219</v>
      </c>
      <c r="D1166" t="s">
        <v>5146</v>
      </c>
    </row>
    <row r="1167" spans="1:4" x14ac:dyDescent="0.25">
      <c r="A1167" t="s">
        <v>585</v>
      </c>
      <c r="B1167" t="s">
        <v>38</v>
      </c>
      <c r="C1167" s="1">
        <v>46051.82708333333</v>
      </c>
      <c r="D1167" t="s">
        <v>5146</v>
      </c>
    </row>
    <row r="1168" spans="1:4" x14ac:dyDescent="0.25">
      <c r="A1168" t="s">
        <v>3437</v>
      </c>
      <c r="B1168" t="s">
        <v>38</v>
      </c>
      <c r="C1168" s="1">
        <v>45855.712500000001</v>
      </c>
      <c r="D1168" t="s">
        <v>5146</v>
      </c>
    </row>
    <row r="1169" spans="1:4" x14ac:dyDescent="0.25">
      <c r="A1169" t="s">
        <v>3438</v>
      </c>
      <c r="B1169" t="s">
        <v>38</v>
      </c>
      <c r="C1169" s="1">
        <v>45855.712500000001</v>
      </c>
      <c r="D1169" t="s">
        <v>5146</v>
      </c>
    </row>
    <row r="1170" spans="1:4" x14ac:dyDescent="0.25">
      <c r="A1170" t="s">
        <v>3439</v>
      </c>
      <c r="B1170" t="s">
        <v>38</v>
      </c>
      <c r="C1170" s="1">
        <v>45855.713194444441</v>
      </c>
      <c r="D1170" t="s">
        <v>5146</v>
      </c>
    </row>
    <row r="1171" spans="1:4" x14ac:dyDescent="0.25">
      <c r="A1171" t="s">
        <v>3440</v>
      </c>
      <c r="B1171" t="s">
        <v>38</v>
      </c>
      <c r="C1171" s="1">
        <v>45855.713194444441</v>
      </c>
      <c r="D1171" t="s">
        <v>5146</v>
      </c>
    </row>
    <row r="1172" spans="1:4" x14ac:dyDescent="0.25">
      <c r="A1172" t="s">
        <v>3441</v>
      </c>
      <c r="B1172" t="s">
        <v>38</v>
      </c>
      <c r="C1172" s="1">
        <v>45952.695833333331</v>
      </c>
      <c r="D1172" t="s">
        <v>5146</v>
      </c>
    </row>
    <row r="1173" spans="1:4" x14ac:dyDescent="0.25">
      <c r="A1173" t="s">
        <v>3442</v>
      </c>
      <c r="B1173" t="s">
        <v>38</v>
      </c>
      <c r="C1173" s="1">
        <v>45848.449305555558</v>
      </c>
      <c r="D1173" t="s">
        <v>5146</v>
      </c>
    </row>
    <row r="1174" spans="1:4" x14ac:dyDescent="0.25">
      <c r="A1174" t="s">
        <v>3443</v>
      </c>
      <c r="B1174" t="s">
        <v>39</v>
      </c>
      <c r="C1174" s="1">
        <v>45776.539583333331</v>
      </c>
      <c r="D1174" t="s">
        <v>5146</v>
      </c>
    </row>
    <row r="1175" spans="1:4" x14ac:dyDescent="0.25">
      <c r="A1175" t="s">
        <v>3444</v>
      </c>
      <c r="B1175" t="s">
        <v>38</v>
      </c>
      <c r="C1175" s="1">
        <v>45855.713888888888</v>
      </c>
      <c r="D1175" t="s">
        <v>5146</v>
      </c>
    </row>
    <row r="1176" spans="1:4" x14ac:dyDescent="0.25">
      <c r="A1176" t="s">
        <v>587</v>
      </c>
      <c r="B1176" t="s">
        <v>1239</v>
      </c>
      <c r="C1176" s="1">
        <v>46044.813888888886</v>
      </c>
      <c r="D1176" t="s">
        <v>5146</v>
      </c>
    </row>
    <row r="1177" spans="1:4" x14ac:dyDescent="0.25">
      <c r="A1177" t="s">
        <v>3445</v>
      </c>
      <c r="B1177" t="s">
        <v>38</v>
      </c>
      <c r="C1177" s="1">
        <v>45855.713888888888</v>
      </c>
      <c r="D1177" t="s">
        <v>5146</v>
      </c>
    </row>
    <row r="1178" spans="1:4" x14ac:dyDescent="0.25">
      <c r="A1178" t="s">
        <v>589</v>
      </c>
      <c r="B1178" t="s">
        <v>38</v>
      </c>
      <c r="C1178" s="1">
        <v>46050.738194444442</v>
      </c>
      <c r="D1178" t="s">
        <v>5146</v>
      </c>
    </row>
    <row r="1179" spans="1:4" x14ac:dyDescent="0.25">
      <c r="A1179" t="s">
        <v>3446</v>
      </c>
      <c r="B1179" t="s">
        <v>38</v>
      </c>
      <c r="C1179" s="1">
        <v>45855.713888888888</v>
      </c>
      <c r="D1179" t="s">
        <v>5146</v>
      </c>
    </row>
    <row r="1180" spans="1:4" x14ac:dyDescent="0.25">
      <c r="A1180" t="s">
        <v>3447</v>
      </c>
      <c r="B1180" t="s">
        <v>38</v>
      </c>
      <c r="C1180" s="1">
        <v>45855.714583333334</v>
      </c>
      <c r="D1180" t="s">
        <v>5146</v>
      </c>
    </row>
    <row r="1181" spans="1:4" x14ac:dyDescent="0.25">
      <c r="A1181" t="s">
        <v>3448</v>
      </c>
      <c r="B1181" t="s">
        <v>39</v>
      </c>
      <c r="C1181" s="1">
        <v>45840.988888888889</v>
      </c>
      <c r="D1181" t="s">
        <v>5146</v>
      </c>
    </row>
    <row r="1182" spans="1:4" x14ac:dyDescent="0.25">
      <c r="A1182" t="s">
        <v>3449</v>
      </c>
      <c r="B1182" t="s">
        <v>38</v>
      </c>
      <c r="C1182" s="1">
        <v>45855.714583333334</v>
      </c>
      <c r="D1182" t="s">
        <v>5146</v>
      </c>
    </row>
    <row r="1183" spans="1:4" x14ac:dyDescent="0.25">
      <c r="A1183" t="s">
        <v>3450</v>
      </c>
      <c r="B1183" t="s">
        <v>38</v>
      </c>
      <c r="C1183" s="1">
        <v>45855.715277777781</v>
      </c>
      <c r="D1183" t="s">
        <v>5146</v>
      </c>
    </row>
    <row r="1184" spans="1:4" x14ac:dyDescent="0.25">
      <c r="A1184" t="s">
        <v>3451</v>
      </c>
      <c r="B1184" t="s">
        <v>38</v>
      </c>
      <c r="C1184" s="1">
        <v>45855.71597222222</v>
      </c>
      <c r="D1184" t="s">
        <v>5146</v>
      </c>
    </row>
    <row r="1185" spans="1:4" x14ac:dyDescent="0.25">
      <c r="A1185" t="s">
        <v>3452</v>
      </c>
      <c r="B1185" t="s">
        <v>38</v>
      </c>
      <c r="C1185" s="1">
        <v>45855.716666666667</v>
      </c>
      <c r="D1185" t="s">
        <v>5146</v>
      </c>
    </row>
    <row r="1186" spans="1:4" x14ac:dyDescent="0.25">
      <c r="A1186" t="s">
        <v>3453</v>
      </c>
      <c r="B1186" t="s">
        <v>38</v>
      </c>
      <c r="C1186" s="1">
        <v>45855.716666666667</v>
      </c>
      <c r="D1186" t="s">
        <v>5146</v>
      </c>
    </row>
    <row r="1187" spans="1:4" x14ac:dyDescent="0.25">
      <c r="A1187" t="s">
        <v>3454</v>
      </c>
      <c r="B1187" t="s">
        <v>38</v>
      </c>
      <c r="C1187" s="1">
        <v>45840.995138888888</v>
      </c>
      <c r="D1187" t="s">
        <v>5146</v>
      </c>
    </row>
    <row r="1188" spans="1:4" x14ac:dyDescent="0.25">
      <c r="A1188" t="s">
        <v>3455</v>
      </c>
      <c r="B1188" t="s">
        <v>38</v>
      </c>
      <c r="C1188" s="1">
        <v>45855.717361111114</v>
      </c>
      <c r="D1188" t="s">
        <v>5146</v>
      </c>
    </row>
    <row r="1189" spans="1:4" x14ac:dyDescent="0.25">
      <c r="A1189" t="s">
        <v>3456</v>
      </c>
      <c r="B1189" t="s">
        <v>38</v>
      </c>
      <c r="C1189" s="1">
        <v>45855.717361111114</v>
      </c>
      <c r="D1189" t="s">
        <v>5146</v>
      </c>
    </row>
    <row r="1190" spans="1:4" x14ac:dyDescent="0.25">
      <c r="A1190" t="s">
        <v>592</v>
      </c>
      <c r="B1190" t="s">
        <v>1129</v>
      </c>
      <c r="C1190" s="1">
        <v>46051.493055555555</v>
      </c>
      <c r="D1190" t="s">
        <v>5146</v>
      </c>
    </row>
    <row r="1191" spans="1:4" x14ac:dyDescent="0.25">
      <c r="A1191" t="s">
        <v>3457</v>
      </c>
      <c r="B1191" t="s">
        <v>38</v>
      </c>
      <c r="C1191" s="1">
        <v>45855.718055555553</v>
      </c>
      <c r="D1191" t="s">
        <v>5146</v>
      </c>
    </row>
    <row r="1192" spans="1:4" x14ac:dyDescent="0.25">
      <c r="A1192" t="s">
        <v>3458</v>
      </c>
      <c r="B1192" t="s">
        <v>38</v>
      </c>
      <c r="C1192" s="1">
        <v>45855.718055555553</v>
      </c>
      <c r="D1192" t="s">
        <v>5146</v>
      </c>
    </row>
    <row r="1193" spans="1:4" x14ac:dyDescent="0.25">
      <c r="A1193" t="s">
        <v>3459</v>
      </c>
      <c r="B1193" t="s">
        <v>39</v>
      </c>
      <c r="C1193" s="1">
        <v>45840.995833333334</v>
      </c>
      <c r="D1193" t="s">
        <v>5146</v>
      </c>
    </row>
    <row r="1194" spans="1:4" x14ac:dyDescent="0.25">
      <c r="A1194" t="s">
        <v>3460</v>
      </c>
      <c r="B1194" t="s">
        <v>38</v>
      </c>
      <c r="C1194" s="1">
        <v>45855.722916666666</v>
      </c>
      <c r="D1194" t="s">
        <v>5146</v>
      </c>
    </row>
    <row r="1195" spans="1:4" x14ac:dyDescent="0.25">
      <c r="A1195" t="s">
        <v>3461</v>
      </c>
      <c r="B1195" t="s">
        <v>38</v>
      </c>
      <c r="C1195" s="1">
        <v>45843.615972222222</v>
      </c>
      <c r="D1195" t="s">
        <v>5146</v>
      </c>
    </row>
    <row r="1196" spans="1:4" x14ac:dyDescent="0.25">
      <c r="A1196" t="s">
        <v>3462</v>
      </c>
      <c r="B1196" t="s">
        <v>38</v>
      </c>
      <c r="C1196" s="1">
        <v>45855.722916666666</v>
      </c>
      <c r="D1196" t="s">
        <v>5146</v>
      </c>
    </row>
    <row r="1197" spans="1:4" x14ac:dyDescent="0.25">
      <c r="A1197" t="s">
        <v>3463</v>
      </c>
      <c r="B1197" t="s">
        <v>38</v>
      </c>
      <c r="C1197" s="1">
        <v>45855.724999999999</v>
      </c>
      <c r="D1197" t="s">
        <v>5146</v>
      </c>
    </row>
    <row r="1198" spans="1:4" x14ac:dyDescent="0.25">
      <c r="A1198" t="s">
        <v>555</v>
      </c>
      <c r="B1198" t="s">
        <v>38</v>
      </c>
      <c r="C1198" s="1">
        <v>46051.713888888888</v>
      </c>
      <c r="D1198" t="s">
        <v>5146</v>
      </c>
    </row>
    <row r="1199" spans="1:4" x14ac:dyDescent="0.25">
      <c r="A1199" t="s">
        <v>3464</v>
      </c>
      <c r="B1199" t="s">
        <v>38</v>
      </c>
      <c r="C1199" s="1">
        <v>45855.724999999999</v>
      </c>
      <c r="D1199" t="s">
        <v>5146</v>
      </c>
    </row>
    <row r="1200" spans="1:4" x14ac:dyDescent="0.25">
      <c r="A1200" t="s">
        <v>3465</v>
      </c>
      <c r="B1200" t="s">
        <v>39</v>
      </c>
      <c r="C1200" s="1">
        <v>45784.451388888891</v>
      </c>
      <c r="D1200" t="s">
        <v>5146</v>
      </c>
    </row>
    <row r="1201" spans="1:4" x14ac:dyDescent="0.25">
      <c r="A1201" t="s">
        <v>3466</v>
      </c>
      <c r="B1201" t="s">
        <v>38</v>
      </c>
      <c r="C1201" s="1">
        <v>45855.725694444445</v>
      </c>
      <c r="D1201" t="s">
        <v>5146</v>
      </c>
    </row>
    <row r="1202" spans="1:4" x14ac:dyDescent="0.25">
      <c r="A1202" t="s">
        <v>3467</v>
      </c>
      <c r="B1202" t="s">
        <v>38</v>
      </c>
      <c r="C1202" s="1">
        <v>45855.726388888892</v>
      </c>
      <c r="D1202" t="s">
        <v>5146</v>
      </c>
    </row>
    <row r="1203" spans="1:4" x14ac:dyDescent="0.25">
      <c r="A1203" t="s">
        <v>3468</v>
      </c>
      <c r="B1203" t="s">
        <v>38</v>
      </c>
      <c r="C1203" s="1">
        <v>45855.727083333331</v>
      </c>
      <c r="D1203" t="s">
        <v>5146</v>
      </c>
    </row>
    <row r="1204" spans="1:4" x14ac:dyDescent="0.25">
      <c r="A1204" t="s">
        <v>3469</v>
      </c>
      <c r="B1204" t="s">
        <v>1239</v>
      </c>
      <c r="C1204" s="1">
        <v>46043.793749999997</v>
      </c>
      <c r="D1204" t="s">
        <v>5146</v>
      </c>
    </row>
    <row r="1205" spans="1:4" x14ac:dyDescent="0.25">
      <c r="A1205" t="s">
        <v>3470</v>
      </c>
      <c r="B1205" t="s">
        <v>38</v>
      </c>
      <c r="C1205" s="1">
        <v>45792.44027777778</v>
      </c>
      <c r="D1205" t="s">
        <v>5146</v>
      </c>
    </row>
    <row r="1206" spans="1:4" x14ac:dyDescent="0.25">
      <c r="A1206" t="s">
        <v>3471</v>
      </c>
      <c r="B1206" t="s">
        <v>39</v>
      </c>
      <c r="C1206" s="1">
        <v>45784.479166666664</v>
      </c>
      <c r="D1206" t="s">
        <v>5146</v>
      </c>
    </row>
    <row r="1207" spans="1:4" x14ac:dyDescent="0.25">
      <c r="A1207" t="s">
        <v>3472</v>
      </c>
      <c r="B1207" t="s">
        <v>38</v>
      </c>
      <c r="C1207" s="1">
        <v>45855.727083333331</v>
      </c>
      <c r="D1207" t="s">
        <v>5146</v>
      </c>
    </row>
    <row r="1208" spans="1:4" x14ac:dyDescent="0.25">
      <c r="A1208" t="s">
        <v>543</v>
      </c>
      <c r="B1208" t="s">
        <v>38</v>
      </c>
      <c r="C1208" s="1">
        <v>46046.644444444442</v>
      </c>
      <c r="D1208" t="s">
        <v>5146</v>
      </c>
    </row>
    <row r="1209" spans="1:4" x14ac:dyDescent="0.25">
      <c r="A1209" t="s">
        <v>3473</v>
      </c>
      <c r="B1209" t="s">
        <v>38</v>
      </c>
      <c r="C1209" s="1">
        <v>45855.727777777778</v>
      </c>
      <c r="D1209" t="s">
        <v>5146</v>
      </c>
    </row>
    <row r="1210" spans="1:4" x14ac:dyDescent="0.25">
      <c r="A1210" t="s">
        <v>3474</v>
      </c>
      <c r="B1210" t="s">
        <v>38</v>
      </c>
      <c r="C1210" s="1">
        <v>45855.727777777778</v>
      </c>
      <c r="D1210" t="s">
        <v>5146</v>
      </c>
    </row>
    <row r="1211" spans="1:4" x14ac:dyDescent="0.25">
      <c r="A1211" t="s">
        <v>3475</v>
      </c>
      <c r="B1211" t="s">
        <v>38</v>
      </c>
      <c r="C1211" s="1">
        <v>45855.728472222225</v>
      </c>
      <c r="D1211" t="s">
        <v>5146</v>
      </c>
    </row>
    <row r="1212" spans="1:4" x14ac:dyDescent="0.25">
      <c r="A1212" t="s">
        <v>3476</v>
      </c>
      <c r="B1212" t="s">
        <v>38</v>
      </c>
      <c r="C1212" s="1">
        <v>45841.010416666664</v>
      </c>
      <c r="D1212" t="s">
        <v>5146</v>
      </c>
    </row>
    <row r="1213" spans="1:4" x14ac:dyDescent="0.25">
      <c r="A1213" t="s">
        <v>3477</v>
      </c>
      <c r="B1213" t="s">
        <v>38</v>
      </c>
      <c r="C1213" s="1">
        <v>45855.728472222225</v>
      </c>
      <c r="D1213" t="s">
        <v>5146</v>
      </c>
    </row>
    <row r="1214" spans="1:4" x14ac:dyDescent="0.25">
      <c r="A1214" t="s">
        <v>3478</v>
      </c>
      <c r="B1214" t="s">
        <v>38</v>
      </c>
      <c r="C1214" s="1">
        <v>46001.468055555553</v>
      </c>
      <c r="D1214" t="s">
        <v>5146</v>
      </c>
    </row>
    <row r="1215" spans="1:4" x14ac:dyDescent="0.25">
      <c r="A1215" t="s">
        <v>3479</v>
      </c>
      <c r="B1215" t="s">
        <v>38</v>
      </c>
      <c r="C1215" s="1">
        <v>45855.730555555558</v>
      </c>
      <c r="D1215" t="s">
        <v>5146</v>
      </c>
    </row>
    <row r="1216" spans="1:4" x14ac:dyDescent="0.25">
      <c r="A1216" t="s">
        <v>546</v>
      </c>
      <c r="B1216" t="s">
        <v>1239</v>
      </c>
      <c r="C1216" s="1">
        <v>46043.740972222222</v>
      </c>
      <c r="D1216" t="s">
        <v>5146</v>
      </c>
    </row>
    <row r="1217" spans="1:4" x14ac:dyDescent="0.25">
      <c r="A1217" t="s">
        <v>3480</v>
      </c>
      <c r="B1217" t="s">
        <v>39</v>
      </c>
      <c r="C1217" s="1">
        <v>45841.011805555558</v>
      </c>
      <c r="D1217" t="s">
        <v>5146</v>
      </c>
    </row>
    <row r="1218" spans="1:4" x14ac:dyDescent="0.25">
      <c r="A1218" t="s">
        <v>3481</v>
      </c>
      <c r="B1218" t="s">
        <v>38</v>
      </c>
      <c r="C1218" s="1">
        <v>45898.504861111112</v>
      </c>
      <c r="D1218" t="s">
        <v>5146</v>
      </c>
    </row>
    <row r="1219" spans="1:4" x14ac:dyDescent="0.25">
      <c r="A1219" t="s">
        <v>547</v>
      </c>
      <c r="B1219" t="s">
        <v>1239</v>
      </c>
      <c r="C1219" s="1">
        <v>46043.713888888888</v>
      </c>
      <c r="D1219" t="s">
        <v>5146</v>
      </c>
    </row>
    <row r="1220" spans="1:4" x14ac:dyDescent="0.25">
      <c r="A1220" t="s">
        <v>3482</v>
      </c>
      <c r="B1220" t="s">
        <v>38</v>
      </c>
      <c r="C1220" s="1">
        <v>45855.73333333333</v>
      </c>
      <c r="D1220" t="s">
        <v>5146</v>
      </c>
    </row>
    <row r="1221" spans="1:4" x14ac:dyDescent="0.25">
      <c r="A1221" t="s">
        <v>3483</v>
      </c>
      <c r="B1221" t="s">
        <v>38</v>
      </c>
      <c r="C1221" s="1">
        <v>45855.734027777777</v>
      </c>
      <c r="D1221" t="s">
        <v>5146</v>
      </c>
    </row>
    <row r="1222" spans="1:4" x14ac:dyDescent="0.25">
      <c r="A1222" t="s">
        <v>3484</v>
      </c>
      <c r="B1222" t="s">
        <v>38</v>
      </c>
      <c r="C1222" s="1">
        <v>45888.699305555558</v>
      </c>
      <c r="D1222" t="s">
        <v>5146</v>
      </c>
    </row>
    <row r="1223" spans="1:4" x14ac:dyDescent="0.25">
      <c r="A1223" t="s">
        <v>3485</v>
      </c>
      <c r="B1223" t="s">
        <v>38</v>
      </c>
      <c r="C1223" s="1">
        <v>45855.736805555556</v>
      </c>
      <c r="D1223" t="s">
        <v>5146</v>
      </c>
    </row>
    <row r="1224" spans="1:4" x14ac:dyDescent="0.25">
      <c r="A1224" t="s">
        <v>3486</v>
      </c>
      <c r="B1224" t="s">
        <v>38</v>
      </c>
      <c r="C1224" s="1">
        <v>45860.696527777778</v>
      </c>
      <c r="D1224" t="s">
        <v>5146</v>
      </c>
    </row>
    <row r="1225" spans="1:4" x14ac:dyDescent="0.25">
      <c r="A1225" t="s">
        <v>3487</v>
      </c>
      <c r="B1225" t="s">
        <v>38</v>
      </c>
      <c r="C1225" s="1">
        <v>45783.490972222222</v>
      </c>
      <c r="D1225" t="s">
        <v>5146</v>
      </c>
    </row>
    <row r="1226" spans="1:4" x14ac:dyDescent="0.25">
      <c r="A1226" t="s">
        <v>3488</v>
      </c>
      <c r="B1226" t="s">
        <v>38</v>
      </c>
      <c r="C1226" s="1">
        <v>45855.738194444442</v>
      </c>
      <c r="D1226" t="s">
        <v>5146</v>
      </c>
    </row>
    <row r="1227" spans="1:4" x14ac:dyDescent="0.25">
      <c r="A1227" t="s">
        <v>3489</v>
      </c>
      <c r="B1227" t="s">
        <v>38</v>
      </c>
      <c r="C1227" s="1">
        <v>45855.738194444442</v>
      </c>
      <c r="D1227" t="s">
        <v>5146</v>
      </c>
    </row>
    <row r="1228" spans="1:4" x14ac:dyDescent="0.25">
      <c r="A1228" t="s">
        <v>3490</v>
      </c>
      <c r="B1228" t="s">
        <v>38</v>
      </c>
      <c r="C1228" s="1">
        <v>45843.652777777781</v>
      </c>
      <c r="D1228" t="s">
        <v>5146</v>
      </c>
    </row>
    <row r="1229" spans="1:4" x14ac:dyDescent="0.25">
      <c r="A1229" t="s">
        <v>549</v>
      </c>
      <c r="B1229" t="s">
        <v>39</v>
      </c>
      <c r="C1229" s="1">
        <v>46050.681250000001</v>
      </c>
      <c r="D1229" t="s">
        <v>5146</v>
      </c>
    </row>
    <row r="1230" spans="1:4" x14ac:dyDescent="0.25">
      <c r="A1230" t="s">
        <v>3491</v>
      </c>
      <c r="B1230" t="s">
        <v>38</v>
      </c>
      <c r="C1230" s="1">
        <v>45855.738888888889</v>
      </c>
      <c r="D1230" t="s">
        <v>5146</v>
      </c>
    </row>
    <row r="1231" spans="1:4" x14ac:dyDescent="0.25">
      <c r="A1231" t="s">
        <v>3492</v>
      </c>
      <c r="B1231" t="s">
        <v>38</v>
      </c>
      <c r="C1231" s="1">
        <v>45853.861805555556</v>
      </c>
      <c r="D1231" t="s">
        <v>5146</v>
      </c>
    </row>
    <row r="1232" spans="1:4" x14ac:dyDescent="0.25">
      <c r="A1232" t="s">
        <v>3493</v>
      </c>
      <c r="B1232" t="s">
        <v>38</v>
      </c>
      <c r="C1232" s="1">
        <v>45853.86041666667</v>
      </c>
      <c r="D1232" t="s">
        <v>5146</v>
      </c>
    </row>
    <row r="1233" spans="1:4" x14ac:dyDescent="0.25">
      <c r="A1233" t="s">
        <v>3494</v>
      </c>
      <c r="B1233" t="s">
        <v>38</v>
      </c>
      <c r="C1233" s="1">
        <v>45853.859722222223</v>
      </c>
      <c r="D1233" t="s">
        <v>5146</v>
      </c>
    </row>
    <row r="1234" spans="1:4" x14ac:dyDescent="0.25">
      <c r="A1234" t="s">
        <v>3495</v>
      </c>
      <c r="B1234" t="s">
        <v>38</v>
      </c>
      <c r="C1234" s="1">
        <v>45853.859722222223</v>
      </c>
      <c r="D1234" t="s">
        <v>5146</v>
      </c>
    </row>
    <row r="1235" spans="1:4" x14ac:dyDescent="0.25">
      <c r="A1235" t="s">
        <v>3496</v>
      </c>
      <c r="B1235" t="s">
        <v>38</v>
      </c>
      <c r="C1235" s="1">
        <v>45952.70416666667</v>
      </c>
      <c r="D1235" t="s">
        <v>5146</v>
      </c>
    </row>
    <row r="1236" spans="1:4" x14ac:dyDescent="0.25">
      <c r="A1236" t="s">
        <v>3497</v>
      </c>
      <c r="B1236" t="s">
        <v>38</v>
      </c>
      <c r="C1236" s="1">
        <v>45855.742361111108</v>
      </c>
      <c r="D1236" t="s">
        <v>5146</v>
      </c>
    </row>
    <row r="1237" spans="1:4" x14ac:dyDescent="0.25">
      <c r="A1237" t="s">
        <v>3498</v>
      </c>
      <c r="B1237" t="s">
        <v>38</v>
      </c>
      <c r="C1237" s="1">
        <v>45855.743055555555</v>
      </c>
      <c r="D1237" t="s">
        <v>5146</v>
      </c>
    </row>
    <row r="1238" spans="1:4" x14ac:dyDescent="0.25">
      <c r="A1238" t="s">
        <v>553</v>
      </c>
      <c r="B1238" t="s">
        <v>38</v>
      </c>
      <c r="C1238" s="1">
        <v>46049.706944444442</v>
      </c>
      <c r="D1238" t="s">
        <v>5146</v>
      </c>
    </row>
    <row r="1239" spans="1:4" x14ac:dyDescent="0.25">
      <c r="A1239" t="s">
        <v>3499</v>
      </c>
      <c r="B1239" t="s">
        <v>38</v>
      </c>
      <c r="C1239" s="1">
        <v>45855.743750000001</v>
      </c>
      <c r="D1239" t="s">
        <v>5146</v>
      </c>
    </row>
    <row r="1240" spans="1:4" x14ac:dyDescent="0.25">
      <c r="A1240" t="s">
        <v>3500</v>
      </c>
      <c r="B1240" t="s">
        <v>38</v>
      </c>
      <c r="C1240" s="1">
        <v>45855.743750000001</v>
      </c>
      <c r="D1240" t="s">
        <v>5146</v>
      </c>
    </row>
    <row r="1241" spans="1:4" x14ac:dyDescent="0.25">
      <c r="A1241" t="s">
        <v>3501</v>
      </c>
      <c r="B1241" t="s">
        <v>38</v>
      </c>
      <c r="C1241" s="1">
        <v>45855.744444444441</v>
      </c>
      <c r="D1241" t="s">
        <v>5146</v>
      </c>
    </row>
    <row r="1242" spans="1:4" x14ac:dyDescent="0.25">
      <c r="A1242" t="s">
        <v>3502</v>
      </c>
      <c r="B1242" t="s">
        <v>38</v>
      </c>
      <c r="C1242" s="1">
        <v>45895.022916666669</v>
      </c>
      <c r="D1242" t="s">
        <v>5146</v>
      </c>
    </row>
    <row r="1243" spans="1:4" x14ac:dyDescent="0.25">
      <c r="A1243" t="s">
        <v>3503</v>
      </c>
      <c r="B1243" t="s">
        <v>38</v>
      </c>
      <c r="C1243" s="1">
        <v>45913.650694444441</v>
      </c>
      <c r="D1243" t="s">
        <v>5146</v>
      </c>
    </row>
    <row r="1244" spans="1:4" x14ac:dyDescent="0.25">
      <c r="A1244" t="s">
        <v>3504</v>
      </c>
      <c r="B1244" t="s">
        <v>38</v>
      </c>
      <c r="C1244" s="1">
        <v>45855.745138888888</v>
      </c>
      <c r="D1244" t="s">
        <v>5146</v>
      </c>
    </row>
    <row r="1245" spans="1:4" x14ac:dyDescent="0.25">
      <c r="A1245" t="s">
        <v>3505</v>
      </c>
      <c r="B1245" t="s">
        <v>38</v>
      </c>
      <c r="C1245" s="1">
        <v>45855.745138888888</v>
      </c>
      <c r="D1245" t="s">
        <v>5146</v>
      </c>
    </row>
    <row r="1246" spans="1:4" x14ac:dyDescent="0.25">
      <c r="A1246" t="s">
        <v>3506</v>
      </c>
      <c r="B1246" t="s">
        <v>38</v>
      </c>
      <c r="C1246" s="1">
        <v>45855.745833333334</v>
      </c>
      <c r="D1246" t="s">
        <v>5146</v>
      </c>
    </row>
    <row r="1247" spans="1:4" x14ac:dyDescent="0.25">
      <c r="A1247" t="s">
        <v>3507</v>
      </c>
      <c r="B1247" t="s">
        <v>38</v>
      </c>
      <c r="C1247" s="1">
        <v>45877.615277777775</v>
      </c>
      <c r="D1247" t="s">
        <v>5146</v>
      </c>
    </row>
    <row r="1248" spans="1:4" x14ac:dyDescent="0.25">
      <c r="A1248" t="s">
        <v>3508</v>
      </c>
      <c r="B1248" t="s">
        <v>38</v>
      </c>
      <c r="C1248" s="1">
        <v>45855.745833333334</v>
      </c>
      <c r="D1248" t="s">
        <v>5146</v>
      </c>
    </row>
    <row r="1249" spans="1:4" x14ac:dyDescent="0.25">
      <c r="A1249" t="s">
        <v>3509</v>
      </c>
      <c r="B1249" t="s">
        <v>38</v>
      </c>
      <c r="C1249" s="1">
        <v>45855.746527777781</v>
      </c>
      <c r="D1249" t="s">
        <v>5146</v>
      </c>
    </row>
    <row r="1250" spans="1:4" x14ac:dyDescent="0.25">
      <c r="A1250" t="s">
        <v>3510</v>
      </c>
      <c r="B1250" t="s">
        <v>38</v>
      </c>
      <c r="C1250" s="1">
        <v>45855.746527777781</v>
      </c>
      <c r="D1250" t="s">
        <v>5146</v>
      </c>
    </row>
    <row r="1251" spans="1:4" x14ac:dyDescent="0.25">
      <c r="A1251" t="s">
        <v>3511</v>
      </c>
      <c r="B1251" t="s">
        <v>38</v>
      </c>
      <c r="C1251" s="1">
        <v>45855.74722222222</v>
      </c>
      <c r="D1251" t="s">
        <v>5146</v>
      </c>
    </row>
    <row r="1252" spans="1:4" x14ac:dyDescent="0.25">
      <c r="A1252" t="s">
        <v>3512</v>
      </c>
      <c r="B1252" t="s">
        <v>38</v>
      </c>
      <c r="C1252" s="1">
        <v>45855.747916666667</v>
      </c>
      <c r="D1252" t="s">
        <v>5146</v>
      </c>
    </row>
    <row r="1253" spans="1:4" x14ac:dyDescent="0.25">
      <c r="A1253" t="s">
        <v>3513</v>
      </c>
      <c r="B1253" t="s">
        <v>38</v>
      </c>
      <c r="C1253" s="1">
        <v>45855.748611111114</v>
      </c>
      <c r="D1253" t="s">
        <v>5146</v>
      </c>
    </row>
    <row r="1254" spans="1:4" x14ac:dyDescent="0.25">
      <c r="A1254" t="s">
        <v>3514</v>
      </c>
      <c r="B1254" t="s">
        <v>38</v>
      </c>
      <c r="C1254" s="1">
        <v>45855.748611111114</v>
      </c>
      <c r="D1254" t="s">
        <v>5146</v>
      </c>
    </row>
    <row r="1255" spans="1:4" x14ac:dyDescent="0.25">
      <c r="A1255" t="s">
        <v>3515</v>
      </c>
      <c r="B1255" t="s">
        <v>38</v>
      </c>
      <c r="C1255" s="1">
        <v>45855.749305555553</v>
      </c>
      <c r="D1255" t="s">
        <v>5146</v>
      </c>
    </row>
    <row r="1256" spans="1:4" x14ac:dyDescent="0.25">
      <c r="A1256" t="s">
        <v>3516</v>
      </c>
      <c r="B1256" t="s">
        <v>38</v>
      </c>
      <c r="C1256" s="1">
        <v>45855.749305555553</v>
      </c>
      <c r="D1256" t="s">
        <v>5146</v>
      </c>
    </row>
    <row r="1257" spans="1:4" x14ac:dyDescent="0.25">
      <c r="A1257" t="s">
        <v>3517</v>
      </c>
      <c r="B1257" t="s">
        <v>38</v>
      </c>
      <c r="C1257" s="1">
        <v>45855.75</v>
      </c>
      <c r="D1257" t="s">
        <v>5146</v>
      </c>
    </row>
    <row r="1258" spans="1:4" x14ac:dyDescent="0.25">
      <c r="A1258" t="s">
        <v>3518</v>
      </c>
      <c r="B1258" t="s">
        <v>38</v>
      </c>
      <c r="C1258" s="1">
        <v>45855.75</v>
      </c>
      <c r="D1258" t="s">
        <v>5146</v>
      </c>
    </row>
    <row r="1259" spans="1:4" x14ac:dyDescent="0.25">
      <c r="A1259" t="s">
        <v>3519</v>
      </c>
      <c r="B1259" t="s">
        <v>38</v>
      </c>
      <c r="C1259" s="1">
        <v>45855.751388888886</v>
      </c>
      <c r="D1259" t="s">
        <v>5146</v>
      </c>
    </row>
    <row r="1260" spans="1:4" x14ac:dyDescent="0.25">
      <c r="A1260" t="s">
        <v>3520</v>
      </c>
      <c r="B1260" t="s">
        <v>38</v>
      </c>
      <c r="C1260" s="1">
        <v>45855.752083333333</v>
      </c>
      <c r="D1260" t="s">
        <v>5146</v>
      </c>
    </row>
    <row r="1261" spans="1:4" x14ac:dyDescent="0.25">
      <c r="A1261" t="s">
        <v>3521</v>
      </c>
      <c r="B1261" t="s">
        <v>38</v>
      </c>
      <c r="C1261" s="1">
        <v>45855.75277777778</v>
      </c>
      <c r="D1261" t="s">
        <v>5146</v>
      </c>
    </row>
    <row r="1262" spans="1:4" x14ac:dyDescent="0.25">
      <c r="A1262" t="s">
        <v>3522</v>
      </c>
      <c r="B1262" t="s">
        <v>38</v>
      </c>
      <c r="C1262" s="1">
        <v>45855.75277777778</v>
      </c>
      <c r="D1262" t="s">
        <v>5146</v>
      </c>
    </row>
    <row r="1263" spans="1:4" x14ac:dyDescent="0.25">
      <c r="A1263" t="s">
        <v>3523</v>
      </c>
      <c r="B1263" t="s">
        <v>38</v>
      </c>
      <c r="C1263" s="1">
        <v>45855.753472222219</v>
      </c>
      <c r="D1263" t="s">
        <v>5146</v>
      </c>
    </row>
    <row r="1264" spans="1:4" x14ac:dyDescent="0.25">
      <c r="A1264" t="s">
        <v>3524</v>
      </c>
      <c r="B1264" t="s">
        <v>38</v>
      </c>
      <c r="C1264" s="1">
        <v>45871.742361111108</v>
      </c>
      <c r="D1264" t="s">
        <v>5146</v>
      </c>
    </row>
    <row r="1265" spans="1:4" x14ac:dyDescent="0.25">
      <c r="A1265" t="s">
        <v>3525</v>
      </c>
      <c r="B1265" t="s">
        <v>38</v>
      </c>
      <c r="C1265" s="1">
        <v>45855.753472222219</v>
      </c>
      <c r="D1265" t="s">
        <v>5146</v>
      </c>
    </row>
    <row r="1266" spans="1:4" x14ac:dyDescent="0.25">
      <c r="A1266" t="s">
        <v>3526</v>
      </c>
      <c r="B1266" t="s">
        <v>38</v>
      </c>
      <c r="C1266" s="1">
        <v>45806.538888888892</v>
      </c>
      <c r="D1266" t="s">
        <v>5146</v>
      </c>
    </row>
    <row r="1267" spans="1:4" x14ac:dyDescent="0.25">
      <c r="A1267" t="s">
        <v>3527</v>
      </c>
      <c r="B1267" t="s">
        <v>38</v>
      </c>
      <c r="C1267" s="1">
        <v>45806.538194444445</v>
      </c>
      <c r="D1267" t="s">
        <v>5146</v>
      </c>
    </row>
    <row r="1268" spans="1:4" x14ac:dyDescent="0.25">
      <c r="A1268" t="s">
        <v>3528</v>
      </c>
      <c r="B1268" t="s">
        <v>38</v>
      </c>
      <c r="C1268" s="1">
        <v>45806.538194444445</v>
      </c>
      <c r="D1268" t="s">
        <v>5146</v>
      </c>
    </row>
    <row r="1269" spans="1:4" x14ac:dyDescent="0.25">
      <c r="A1269" t="s">
        <v>3529</v>
      </c>
      <c r="B1269" t="s">
        <v>38</v>
      </c>
      <c r="C1269" s="1">
        <v>45806.538194444445</v>
      </c>
      <c r="D1269" t="s">
        <v>5146</v>
      </c>
    </row>
    <row r="1270" spans="1:4" x14ac:dyDescent="0.25">
      <c r="A1270" t="s">
        <v>3530</v>
      </c>
      <c r="B1270" t="s">
        <v>38</v>
      </c>
      <c r="C1270" s="1">
        <v>45806.538194444445</v>
      </c>
      <c r="D1270" t="s">
        <v>5146</v>
      </c>
    </row>
    <row r="1271" spans="1:4" x14ac:dyDescent="0.25">
      <c r="A1271" t="s">
        <v>3531</v>
      </c>
      <c r="B1271" t="s">
        <v>38</v>
      </c>
      <c r="C1271" s="1">
        <v>45845.561111111114</v>
      </c>
      <c r="D1271" t="s">
        <v>5146</v>
      </c>
    </row>
    <row r="1272" spans="1:4" x14ac:dyDescent="0.25">
      <c r="A1272" t="s">
        <v>3532</v>
      </c>
      <c r="B1272" t="s">
        <v>38</v>
      </c>
      <c r="C1272" s="1">
        <v>45806.538888888892</v>
      </c>
      <c r="D1272" t="s">
        <v>5146</v>
      </c>
    </row>
    <row r="1273" spans="1:4" x14ac:dyDescent="0.25">
      <c r="A1273" t="s">
        <v>542</v>
      </c>
      <c r="B1273" t="s">
        <v>38</v>
      </c>
      <c r="C1273" s="1">
        <v>46044.70416666667</v>
      </c>
      <c r="D1273" t="s">
        <v>5146</v>
      </c>
    </row>
    <row r="1274" spans="1:4" x14ac:dyDescent="0.25">
      <c r="A1274" t="s">
        <v>3533</v>
      </c>
      <c r="B1274" t="s">
        <v>38</v>
      </c>
      <c r="C1274" s="1">
        <v>45806.541666666664</v>
      </c>
      <c r="D1274" t="s">
        <v>5146</v>
      </c>
    </row>
    <row r="1275" spans="1:4" x14ac:dyDescent="0.25">
      <c r="A1275" t="s">
        <v>3534</v>
      </c>
      <c r="B1275" t="s">
        <v>38</v>
      </c>
      <c r="C1275" s="1">
        <v>45806.540972222225</v>
      </c>
      <c r="D1275" t="s">
        <v>5146</v>
      </c>
    </row>
    <row r="1276" spans="1:4" x14ac:dyDescent="0.25">
      <c r="A1276" t="s">
        <v>3535</v>
      </c>
      <c r="B1276" t="s">
        <v>38</v>
      </c>
      <c r="C1276" s="1">
        <v>45806.540972222225</v>
      </c>
      <c r="D1276" t="s">
        <v>5146</v>
      </c>
    </row>
    <row r="1277" spans="1:4" x14ac:dyDescent="0.25">
      <c r="A1277" t="s">
        <v>3536</v>
      </c>
      <c r="B1277" t="s">
        <v>38</v>
      </c>
      <c r="C1277" s="1">
        <v>45841.022222222222</v>
      </c>
      <c r="D1277" t="s">
        <v>5146</v>
      </c>
    </row>
    <row r="1278" spans="1:4" x14ac:dyDescent="0.25">
      <c r="A1278" t="s">
        <v>3537</v>
      </c>
      <c r="B1278" t="s">
        <v>38</v>
      </c>
      <c r="C1278" s="1">
        <v>45845.564583333333</v>
      </c>
      <c r="D1278" t="s">
        <v>5146</v>
      </c>
    </row>
    <row r="1279" spans="1:4" x14ac:dyDescent="0.25">
      <c r="A1279" t="s">
        <v>3538</v>
      </c>
      <c r="B1279" t="s">
        <v>39</v>
      </c>
      <c r="C1279" s="1">
        <v>45784.506249999999</v>
      </c>
      <c r="D1279" t="s">
        <v>5146</v>
      </c>
    </row>
    <row r="1280" spans="1:4" x14ac:dyDescent="0.25">
      <c r="A1280" t="s">
        <v>3539</v>
      </c>
      <c r="B1280" t="s">
        <v>38</v>
      </c>
      <c r="C1280" s="1">
        <v>45845.568749999999</v>
      </c>
      <c r="D1280" t="s">
        <v>5146</v>
      </c>
    </row>
    <row r="1281" spans="1:4" x14ac:dyDescent="0.25">
      <c r="A1281" t="s">
        <v>3540</v>
      </c>
      <c r="B1281" t="s">
        <v>38</v>
      </c>
      <c r="C1281" s="1">
        <v>45806.543749999997</v>
      </c>
      <c r="D1281" t="s">
        <v>5146</v>
      </c>
    </row>
    <row r="1282" spans="1:4" x14ac:dyDescent="0.25">
      <c r="A1282" t="s">
        <v>3541</v>
      </c>
      <c r="B1282" t="s">
        <v>38</v>
      </c>
      <c r="C1282" s="1">
        <v>45791.688888888886</v>
      </c>
      <c r="D1282" t="s">
        <v>5146</v>
      </c>
    </row>
    <row r="1283" spans="1:4" x14ac:dyDescent="0.25">
      <c r="A1283" t="s">
        <v>3542</v>
      </c>
      <c r="B1283" t="s">
        <v>38</v>
      </c>
      <c r="C1283" s="1">
        <v>45806.543749999997</v>
      </c>
      <c r="D1283" t="s">
        <v>5146</v>
      </c>
    </row>
    <row r="1284" spans="1:4" x14ac:dyDescent="0.25">
      <c r="A1284" t="s">
        <v>3543</v>
      </c>
      <c r="B1284" t="s">
        <v>38</v>
      </c>
      <c r="C1284" s="1">
        <v>45806.543055555558</v>
      </c>
      <c r="D1284" t="s">
        <v>5146</v>
      </c>
    </row>
    <row r="1285" spans="1:4" x14ac:dyDescent="0.25">
      <c r="A1285" t="s">
        <v>3544</v>
      </c>
      <c r="B1285" t="s">
        <v>38</v>
      </c>
      <c r="C1285" s="1">
        <v>45855.756944444445</v>
      </c>
      <c r="D1285" t="s">
        <v>5146</v>
      </c>
    </row>
    <row r="1286" spans="1:4" x14ac:dyDescent="0.25">
      <c r="A1286" t="s">
        <v>3545</v>
      </c>
      <c r="B1286" t="s">
        <v>39</v>
      </c>
      <c r="C1286" s="1">
        <v>45798.990277777775</v>
      </c>
      <c r="D1286" t="s">
        <v>5146</v>
      </c>
    </row>
    <row r="1287" spans="1:4" x14ac:dyDescent="0.25">
      <c r="A1287" t="s">
        <v>530</v>
      </c>
      <c r="B1287" t="s">
        <v>38</v>
      </c>
      <c r="C1287" s="1">
        <v>46049.724999999999</v>
      </c>
      <c r="D1287" t="s">
        <v>5146</v>
      </c>
    </row>
    <row r="1288" spans="1:4" x14ac:dyDescent="0.25">
      <c r="A1288" t="s">
        <v>3546</v>
      </c>
      <c r="B1288" t="s">
        <v>38</v>
      </c>
      <c r="C1288" s="1">
        <v>45806.542361111111</v>
      </c>
      <c r="D1288" t="s">
        <v>5146</v>
      </c>
    </row>
    <row r="1289" spans="1:4" x14ac:dyDescent="0.25">
      <c r="A1289" t="s">
        <v>3547</v>
      </c>
      <c r="B1289" t="s">
        <v>38</v>
      </c>
      <c r="C1289" s="1">
        <v>45806.541666666664</v>
      </c>
      <c r="D1289" t="s">
        <v>5146</v>
      </c>
    </row>
    <row r="1290" spans="1:4" x14ac:dyDescent="0.25">
      <c r="A1290" t="s">
        <v>3548</v>
      </c>
      <c r="B1290" t="s">
        <v>38</v>
      </c>
      <c r="C1290" s="1">
        <v>45806.54583333333</v>
      </c>
      <c r="D1290" t="s">
        <v>5146</v>
      </c>
    </row>
    <row r="1291" spans="1:4" x14ac:dyDescent="0.25">
      <c r="A1291" t="s">
        <v>3549</v>
      </c>
      <c r="B1291" t="s">
        <v>38</v>
      </c>
      <c r="C1291" s="1">
        <v>45845.572222222225</v>
      </c>
      <c r="D1291" t="s">
        <v>5146</v>
      </c>
    </row>
    <row r="1292" spans="1:4" x14ac:dyDescent="0.25">
      <c r="A1292" t="s">
        <v>3550</v>
      </c>
      <c r="B1292" t="s">
        <v>38</v>
      </c>
      <c r="C1292" s="1">
        <v>45888.707638888889</v>
      </c>
      <c r="D1292" t="s">
        <v>5146</v>
      </c>
    </row>
    <row r="1293" spans="1:4" x14ac:dyDescent="0.25">
      <c r="A1293" t="s">
        <v>3551</v>
      </c>
      <c r="B1293" t="s">
        <v>38</v>
      </c>
      <c r="C1293" s="1">
        <v>45806.576388888891</v>
      </c>
      <c r="D1293" t="s">
        <v>5146</v>
      </c>
    </row>
    <row r="1294" spans="1:4" x14ac:dyDescent="0.25">
      <c r="A1294" t="s">
        <v>3552</v>
      </c>
      <c r="B1294" t="s">
        <v>38</v>
      </c>
      <c r="C1294" s="1">
        <v>45845.575694444444</v>
      </c>
      <c r="D1294" t="s">
        <v>5146</v>
      </c>
    </row>
    <row r="1295" spans="1:4" x14ac:dyDescent="0.25">
      <c r="A1295" t="s">
        <v>3553</v>
      </c>
      <c r="B1295" t="s">
        <v>38</v>
      </c>
      <c r="C1295" s="1">
        <v>45894.798611111109</v>
      </c>
      <c r="D1295" t="s">
        <v>5146</v>
      </c>
    </row>
    <row r="1296" spans="1:4" x14ac:dyDescent="0.25">
      <c r="A1296" t="s">
        <v>3554</v>
      </c>
      <c r="B1296" t="s">
        <v>38</v>
      </c>
      <c r="C1296" s="1">
        <v>45967.713888888888</v>
      </c>
      <c r="D1296" t="s">
        <v>5146</v>
      </c>
    </row>
    <row r="1297" spans="1:4" x14ac:dyDescent="0.25">
      <c r="A1297" t="s">
        <v>3555</v>
      </c>
      <c r="B1297" t="s">
        <v>38</v>
      </c>
      <c r="C1297" s="1">
        <v>45855.761111111111</v>
      </c>
      <c r="D1297" t="s">
        <v>5146</v>
      </c>
    </row>
    <row r="1298" spans="1:4" x14ac:dyDescent="0.25">
      <c r="A1298" t="s">
        <v>526</v>
      </c>
      <c r="B1298" t="s">
        <v>39</v>
      </c>
      <c r="C1298" s="1">
        <v>46050.69027777778</v>
      </c>
      <c r="D1298" t="s">
        <v>5146</v>
      </c>
    </row>
    <row r="1299" spans="1:4" x14ac:dyDescent="0.25">
      <c r="A1299" t="s">
        <v>3556</v>
      </c>
      <c r="B1299" t="s">
        <v>38</v>
      </c>
      <c r="C1299" s="1">
        <v>45845.578472222223</v>
      </c>
      <c r="D1299" t="s">
        <v>5146</v>
      </c>
    </row>
    <row r="1300" spans="1:4" x14ac:dyDescent="0.25">
      <c r="A1300" t="s">
        <v>3557</v>
      </c>
      <c r="B1300" t="s">
        <v>39</v>
      </c>
      <c r="C1300" s="1">
        <v>45829.531944444447</v>
      </c>
      <c r="D1300" t="s">
        <v>5146</v>
      </c>
    </row>
    <row r="1301" spans="1:4" x14ac:dyDescent="0.25">
      <c r="A1301" t="s">
        <v>3558</v>
      </c>
      <c r="B1301" t="s">
        <v>38</v>
      </c>
      <c r="C1301" s="1">
        <v>45806.548611111109</v>
      </c>
      <c r="D1301" t="s">
        <v>5146</v>
      </c>
    </row>
    <row r="1302" spans="1:4" x14ac:dyDescent="0.25">
      <c r="A1302" t="s">
        <v>3559</v>
      </c>
      <c r="B1302" t="s">
        <v>38</v>
      </c>
      <c r="C1302" s="1">
        <v>45806.548611111109</v>
      </c>
      <c r="D1302" t="s">
        <v>5146</v>
      </c>
    </row>
    <row r="1303" spans="1:4" x14ac:dyDescent="0.25">
      <c r="A1303" t="s">
        <v>3560</v>
      </c>
      <c r="B1303" t="s">
        <v>38</v>
      </c>
      <c r="C1303" s="1">
        <v>45817.749305555553</v>
      </c>
      <c r="D1303" t="s">
        <v>5146</v>
      </c>
    </row>
    <row r="1304" spans="1:4" x14ac:dyDescent="0.25">
      <c r="A1304" t="s">
        <v>3561</v>
      </c>
      <c r="B1304" t="s">
        <v>38</v>
      </c>
      <c r="C1304" s="1">
        <v>45845.581250000003</v>
      </c>
      <c r="D1304" t="s">
        <v>5146</v>
      </c>
    </row>
    <row r="1305" spans="1:4" x14ac:dyDescent="0.25">
      <c r="A1305" t="s">
        <v>3562</v>
      </c>
      <c r="B1305" t="s">
        <v>38</v>
      </c>
      <c r="C1305" s="1">
        <v>45883.782638888886</v>
      </c>
      <c r="D1305" t="s">
        <v>5146</v>
      </c>
    </row>
    <row r="1306" spans="1:4" x14ac:dyDescent="0.25">
      <c r="A1306" t="s">
        <v>516</v>
      </c>
      <c r="B1306" t="s">
        <v>38</v>
      </c>
      <c r="C1306" s="1">
        <v>46051.577777777777</v>
      </c>
      <c r="D1306" t="s">
        <v>5146</v>
      </c>
    </row>
    <row r="1307" spans="1:4" x14ac:dyDescent="0.25">
      <c r="A1307" t="s">
        <v>3563</v>
      </c>
      <c r="B1307" t="s">
        <v>38</v>
      </c>
      <c r="C1307" s="1">
        <v>45806.551388888889</v>
      </c>
      <c r="D1307" t="s">
        <v>5146</v>
      </c>
    </row>
    <row r="1308" spans="1:4" x14ac:dyDescent="0.25">
      <c r="A1308" t="s">
        <v>3564</v>
      </c>
      <c r="B1308" t="s">
        <v>39</v>
      </c>
      <c r="C1308" s="1">
        <v>45810.45208333333</v>
      </c>
      <c r="D1308" t="s">
        <v>5146</v>
      </c>
    </row>
    <row r="1309" spans="1:4" x14ac:dyDescent="0.25">
      <c r="A1309" t="s">
        <v>518</v>
      </c>
      <c r="B1309" t="s">
        <v>38</v>
      </c>
      <c r="C1309" s="1">
        <v>46044.65347222222</v>
      </c>
      <c r="D1309" t="s">
        <v>5146</v>
      </c>
    </row>
    <row r="1310" spans="1:4" x14ac:dyDescent="0.25">
      <c r="A1310" t="s">
        <v>3565</v>
      </c>
      <c r="B1310" t="s">
        <v>38</v>
      </c>
      <c r="C1310" s="1">
        <v>45961.727083333331</v>
      </c>
      <c r="D1310" t="s">
        <v>5146</v>
      </c>
    </row>
    <row r="1311" spans="1:4" x14ac:dyDescent="0.25">
      <c r="A1311" t="s">
        <v>593</v>
      </c>
      <c r="B1311" t="s">
        <v>30</v>
      </c>
      <c r="C1311" s="1">
        <v>46051.595138888886</v>
      </c>
      <c r="D1311" t="s">
        <v>5146</v>
      </c>
    </row>
    <row r="1312" spans="1:4" x14ac:dyDescent="0.25">
      <c r="A1312" t="s">
        <v>3566</v>
      </c>
      <c r="B1312" t="s">
        <v>38</v>
      </c>
      <c r="C1312" s="1">
        <v>45806.552083333336</v>
      </c>
      <c r="D1312" t="s">
        <v>5146</v>
      </c>
    </row>
    <row r="1313" spans="1:4" x14ac:dyDescent="0.25">
      <c r="A1313" t="s">
        <v>3567</v>
      </c>
      <c r="B1313" t="s">
        <v>38</v>
      </c>
      <c r="C1313" s="1">
        <v>45806.566666666666</v>
      </c>
      <c r="D1313" t="s">
        <v>5146</v>
      </c>
    </row>
    <row r="1314" spans="1:4" x14ac:dyDescent="0.25">
      <c r="A1314" t="s">
        <v>3568</v>
      </c>
      <c r="B1314" t="s">
        <v>38</v>
      </c>
      <c r="C1314" s="1">
        <v>45845.59097222222</v>
      </c>
      <c r="D1314" t="s">
        <v>5146</v>
      </c>
    </row>
    <row r="1315" spans="1:4" x14ac:dyDescent="0.25">
      <c r="A1315" t="s">
        <v>520</v>
      </c>
      <c r="B1315" t="s">
        <v>1129</v>
      </c>
      <c r="C1315" s="1">
        <v>46051.82708333333</v>
      </c>
      <c r="D1315" t="s">
        <v>5146</v>
      </c>
    </row>
    <row r="1316" spans="1:4" x14ac:dyDescent="0.25">
      <c r="A1316" t="s">
        <v>3569</v>
      </c>
      <c r="B1316" t="s">
        <v>38</v>
      </c>
      <c r="C1316" s="1">
        <v>45806.558333333334</v>
      </c>
      <c r="D1316" t="s">
        <v>5146</v>
      </c>
    </row>
    <row r="1317" spans="1:4" x14ac:dyDescent="0.25">
      <c r="A1317" t="s">
        <v>521</v>
      </c>
      <c r="B1317" t="s">
        <v>38</v>
      </c>
      <c r="C1317" s="1">
        <v>46042.571527777778</v>
      </c>
      <c r="D1317" t="s">
        <v>5146</v>
      </c>
    </row>
    <row r="1318" spans="1:4" x14ac:dyDescent="0.25">
      <c r="A1318" t="s">
        <v>3570</v>
      </c>
      <c r="B1318" t="s">
        <v>38</v>
      </c>
      <c r="C1318" s="1">
        <v>45806.568055555559</v>
      </c>
      <c r="D1318" t="s">
        <v>5146</v>
      </c>
    </row>
    <row r="1319" spans="1:4" x14ac:dyDescent="0.25">
      <c r="A1319" t="s">
        <v>3571</v>
      </c>
      <c r="B1319" t="s">
        <v>38</v>
      </c>
      <c r="C1319" s="1">
        <v>45855.767361111109</v>
      </c>
      <c r="D1319" t="s">
        <v>5146</v>
      </c>
    </row>
    <row r="1320" spans="1:4" x14ac:dyDescent="0.25">
      <c r="A1320" t="s">
        <v>523</v>
      </c>
      <c r="B1320" t="s">
        <v>39</v>
      </c>
      <c r="C1320" s="1">
        <v>46042.759722222225</v>
      </c>
      <c r="D1320" t="s">
        <v>5146</v>
      </c>
    </row>
    <row r="1321" spans="1:4" x14ac:dyDescent="0.25">
      <c r="A1321" t="s">
        <v>3572</v>
      </c>
      <c r="B1321" t="s">
        <v>38</v>
      </c>
      <c r="C1321" s="1">
        <v>45806.567361111112</v>
      </c>
      <c r="D1321" t="s">
        <v>5146</v>
      </c>
    </row>
    <row r="1322" spans="1:4" x14ac:dyDescent="0.25">
      <c r="A1322" t="s">
        <v>3573</v>
      </c>
      <c r="B1322" t="s">
        <v>38</v>
      </c>
      <c r="C1322" s="1">
        <v>45806.571527777778</v>
      </c>
      <c r="D1322" t="s">
        <v>5146</v>
      </c>
    </row>
    <row r="1323" spans="1:4" x14ac:dyDescent="0.25">
      <c r="A1323" t="s">
        <v>511</v>
      </c>
      <c r="B1323" t="s">
        <v>39</v>
      </c>
      <c r="C1323" s="1">
        <v>46051.65902777778</v>
      </c>
      <c r="D1323" t="s">
        <v>5146</v>
      </c>
    </row>
    <row r="1324" spans="1:4" x14ac:dyDescent="0.25">
      <c r="A1324" t="s">
        <v>3574</v>
      </c>
      <c r="B1324" t="s">
        <v>38</v>
      </c>
      <c r="C1324" s="1">
        <v>45891.448611111111</v>
      </c>
      <c r="D1324" t="s">
        <v>5146</v>
      </c>
    </row>
    <row r="1325" spans="1:4" x14ac:dyDescent="0.25">
      <c r="A1325" t="s">
        <v>3575</v>
      </c>
      <c r="B1325" t="s">
        <v>38</v>
      </c>
      <c r="C1325" s="1">
        <v>45855.768055555556</v>
      </c>
      <c r="D1325" t="s">
        <v>5146</v>
      </c>
    </row>
    <row r="1326" spans="1:4" x14ac:dyDescent="0.25">
      <c r="A1326" t="s">
        <v>512</v>
      </c>
      <c r="B1326" t="s">
        <v>38</v>
      </c>
      <c r="C1326" s="1">
        <v>46044.529166666667</v>
      </c>
      <c r="D1326" t="s">
        <v>5146</v>
      </c>
    </row>
    <row r="1327" spans="1:4" x14ac:dyDescent="0.25">
      <c r="A1327" t="s">
        <v>3576</v>
      </c>
      <c r="B1327" t="s">
        <v>38</v>
      </c>
      <c r="C1327" s="1">
        <v>45806.572222222225</v>
      </c>
      <c r="D1327" t="s">
        <v>5146</v>
      </c>
    </row>
    <row r="1328" spans="1:4" x14ac:dyDescent="0.25">
      <c r="A1328" t="s">
        <v>3577</v>
      </c>
      <c r="B1328" t="s">
        <v>38</v>
      </c>
      <c r="C1328" s="1">
        <v>45806.572916666664</v>
      </c>
      <c r="D1328" t="s">
        <v>5146</v>
      </c>
    </row>
    <row r="1329" spans="1:4" x14ac:dyDescent="0.25">
      <c r="A1329" t="s">
        <v>3578</v>
      </c>
      <c r="B1329" t="s">
        <v>38</v>
      </c>
      <c r="C1329" s="1">
        <v>45806.578472222223</v>
      </c>
      <c r="D1329" t="s">
        <v>5146</v>
      </c>
    </row>
    <row r="1330" spans="1:4" x14ac:dyDescent="0.25">
      <c r="A1330" t="s">
        <v>3579</v>
      </c>
      <c r="B1330" t="s">
        <v>38</v>
      </c>
      <c r="C1330" s="1">
        <v>45845.603472222225</v>
      </c>
      <c r="D1330" t="s">
        <v>5146</v>
      </c>
    </row>
    <row r="1331" spans="1:4" x14ac:dyDescent="0.25">
      <c r="A1331" t="s">
        <v>3580</v>
      </c>
      <c r="B1331" t="s">
        <v>38</v>
      </c>
      <c r="C1331" s="1">
        <v>45845.611111111109</v>
      </c>
      <c r="D1331" t="s">
        <v>5146</v>
      </c>
    </row>
    <row r="1332" spans="1:4" x14ac:dyDescent="0.25">
      <c r="A1332" t="s">
        <v>3581</v>
      </c>
      <c r="B1332" t="s">
        <v>38</v>
      </c>
      <c r="C1332" s="1">
        <v>45806.581250000003</v>
      </c>
      <c r="D1332" t="s">
        <v>5146</v>
      </c>
    </row>
    <row r="1333" spans="1:4" x14ac:dyDescent="0.25">
      <c r="A1333" t="s">
        <v>3582</v>
      </c>
      <c r="B1333" t="s">
        <v>38</v>
      </c>
      <c r="C1333" s="1">
        <v>45855.769444444442</v>
      </c>
      <c r="D1333" t="s">
        <v>5146</v>
      </c>
    </row>
    <row r="1334" spans="1:4" x14ac:dyDescent="0.25">
      <c r="A1334" t="s">
        <v>3583</v>
      </c>
      <c r="B1334" t="s">
        <v>38</v>
      </c>
      <c r="C1334" s="1">
        <v>45806.581250000003</v>
      </c>
      <c r="D1334" t="s">
        <v>5146</v>
      </c>
    </row>
    <row r="1335" spans="1:4" x14ac:dyDescent="0.25">
      <c r="A1335" t="s">
        <v>3584</v>
      </c>
      <c r="B1335" t="s">
        <v>38</v>
      </c>
      <c r="C1335" s="1">
        <v>45855.770138888889</v>
      </c>
      <c r="D1335" t="s">
        <v>5146</v>
      </c>
    </row>
    <row r="1336" spans="1:4" x14ac:dyDescent="0.25">
      <c r="A1336" t="s">
        <v>3585</v>
      </c>
      <c r="B1336" t="s">
        <v>38</v>
      </c>
      <c r="C1336" s="1">
        <v>45855.770833333336</v>
      </c>
      <c r="D1336" t="s">
        <v>5146</v>
      </c>
    </row>
    <row r="1337" spans="1:4" x14ac:dyDescent="0.25">
      <c r="A1337" t="s">
        <v>3586</v>
      </c>
      <c r="B1337" t="s">
        <v>38</v>
      </c>
      <c r="C1337" s="1">
        <v>45952.746527777781</v>
      </c>
      <c r="D1337" t="s">
        <v>5146</v>
      </c>
    </row>
    <row r="1338" spans="1:4" x14ac:dyDescent="0.25">
      <c r="A1338" t="s">
        <v>3587</v>
      </c>
      <c r="B1338" t="s">
        <v>38</v>
      </c>
      <c r="C1338" s="1">
        <v>45806.585416666669</v>
      </c>
      <c r="D1338" t="s">
        <v>5146</v>
      </c>
    </row>
    <row r="1339" spans="1:4" x14ac:dyDescent="0.25">
      <c r="A1339" t="s">
        <v>3588</v>
      </c>
      <c r="B1339" t="s">
        <v>38</v>
      </c>
      <c r="C1339" s="1">
        <v>45855.771527777775</v>
      </c>
      <c r="D1339" t="s">
        <v>5146</v>
      </c>
    </row>
    <row r="1340" spans="1:4" x14ac:dyDescent="0.25">
      <c r="A1340" t="s">
        <v>3589</v>
      </c>
      <c r="B1340" t="s">
        <v>38</v>
      </c>
      <c r="C1340" s="1">
        <v>45806.584722222222</v>
      </c>
      <c r="D1340" t="s">
        <v>5146</v>
      </c>
    </row>
    <row r="1341" spans="1:4" x14ac:dyDescent="0.25">
      <c r="A1341" t="s">
        <v>3590</v>
      </c>
      <c r="B1341" t="s">
        <v>38</v>
      </c>
      <c r="C1341" s="1">
        <v>45835.988194444442</v>
      </c>
      <c r="D1341" t="s">
        <v>5146</v>
      </c>
    </row>
    <row r="1342" spans="1:4" x14ac:dyDescent="0.25">
      <c r="A1342" t="s">
        <v>490</v>
      </c>
      <c r="B1342" t="s">
        <v>38</v>
      </c>
      <c r="C1342" s="1">
        <v>46046.536805555559</v>
      </c>
      <c r="D1342" t="s">
        <v>5146</v>
      </c>
    </row>
    <row r="1343" spans="1:4" x14ac:dyDescent="0.25">
      <c r="A1343" t="s">
        <v>3591</v>
      </c>
      <c r="B1343" t="s">
        <v>38</v>
      </c>
      <c r="C1343" s="1">
        <v>45967.719444444447</v>
      </c>
      <c r="D1343" t="s">
        <v>5146</v>
      </c>
    </row>
    <row r="1344" spans="1:4" x14ac:dyDescent="0.25">
      <c r="A1344" t="s">
        <v>3592</v>
      </c>
      <c r="B1344" t="s">
        <v>38</v>
      </c>
      <c r="C1344" s="1">
        <v>45855.771527777775</v>
      </c>
      <c r="D1344" t="s">
        <v>5146</v>
      </c>
    </row>
    <row r="1345" spans="1:4" x14ac:dyDescent="0.25">
      <c r="A1345" t="s">
        <v>3593</v>
      </c>
      <c r="B1345" t="s">
        <v>38</v>
      </c>
      <c r="C1345" s="1">
        <v>45806.584027777775</v>
      </c>
      <c r="D1345" t="s">
        <v>5146</v>
      </c>
    </row>
    <row r="1346" spans="1:4" x14ac:dyDescent="0.25">
      <c r="A1346" t="s">
        <v>3594</v>
      </c>
      <c r="B1346" t="s">
        <v>38</v>
      </c>
      <c r="C1346" s="1">
        <v>45888.711111111108</v>
      </c>
      <c r="D1346" t="s">
        <v>5146</v>
      </c>
    </row>
    <row r="1347" spans="1:4" x14ac:dyDescent="0.25">
      <c r="A1347" t="s">
        <v>3595</v>
      </c>
      <c r="B1347" t="s">
        <v>38</v>
      </c>
      <c r="C1347" s="1">
        <v>45855.772916666669</v>
      </c>
      <c r="D1347" t="s">
        <v>5146</v>
      </c>
    </row>
    <row r="1348" spans="1:4" x14ac:dyDescent="0.25">
      <c r="A1348" t="s">
        <v>3596</v>
      </c>
      <c r="B1348" t="s">
        <v>38</v>
      </c>
      <c r="C1348" s="1">
        <v>45806.583333333336</v>
      </c>
      <c r="D1348" t="s">
        <v>5146</v>
      </c>
    </row>
    <row r="1349" spans="1:4" x14ac:dyDescent="0.25">
      <c r="A1349" t="s">
        <v>3597</v>
      </c>
      <c r="B1349" t="s">
        <v>38</v>
      </c>
      <c r="C1349" s="1">
        <v>45855.772916666669</v>
      </c>
      <c r="D1349" t="s">
        <v>5146</v>
      </c>
    </row>
    <row r="1350" spans="1:4" x14ac:dyDescent="0.25">
      <c r="A1350" t="s">
        <v>492</v>
      </c>
      <c r="B1350" t="s">
        <v>1129</v>
      </c>
      <c r="C1350" s="1">
        <v>46051.580555555556</v>
      </c>
      <c r="D1350" t="s">
        <v>5146</v>
      </c>
    </row>
    <row r="1351" spans="1:4" x14ac:dyDescent="0.25">
      <c r="A1351" t="s">
        <v>3598</v>
      </c>
      <c r="B1351" t="s">
        <v>38</v>
      </c>
      <c r="C1351" s="1">
        <v>45806.582638888889</v>
      </c>
      <c r="D1351" t="s">
        <v>5146</v>
      </c>
    </row>
    <row r="1352" spans="1:4" x14ac:dyDescent="0.25">
      <c r="A1352" t="s">
        <v>3599</v>
      </c>
      <c r="B1352" t="s">
        <v>38</v>
      </c>
      <c r="C1352" s="1">
        <v>45806.586805555555</v>
      </c>
      <c r="D1352" t="s">
        <v>5146</v>
      </c>
    </row>
    <row r="1353" spans="1:4" x14ac:dyDescent="0.25">
      <c r="A1353" t="s">
        <v>3600</v>
      </c>
      <c r="B1353" t="s">
        <v>38</v>
      </c>
      <c r="C1353" s="1">
        <v>45806.586805555555</v>
      </c>
      <c r="D1353" t="s">
        <v>5146</v>
      </c>
    </row>
    <row r="1354" spans="1:4" x14ac:dyDescent="0.25">
      <c r="A1354" t="s">
        <v>494</v>
      </c>
      <c r="B1354" t="s">
        <v>39</v>
      </c>
      <c r="C1354" s="1">
        <v>46049.509722222225</v>
      </c>
      <c r="D1354" t="s">
        <v>5146</v>
      </c>
    </row>
    <row r="1355" spans="1:4" x14ac:dyDescent="0.25">
      <c r="A1355" t="s">
        <v>495</v>
      </c>
      <c r="B1355" t="s">
        <v>38</v>
      </c>
      <c r="C1355" s="1">
        <v>46046.605555555558</v>
      </c>
      <c r="D1355" t="s">
        <v>5146</v>
      </c>
    </row>
    <row r="1356" spans="1:4" x14ac:dyDescent="0.25">
      <c r="A1356" t="s">
        <v>3601</v>
      </c>
      <c r="B1356" t="s">
        <v>38</v>
      </c>
      <c r="C1356" s="1">
        <v>45871.683333333334</v>
      </c>
      <c r="D1356" t="s">
        <v>5146</v>
      </c>
    </row>
    <row r="1357" spans="1:4" x14ac:dyDescent="0.25">
      <c r="A1357" t="s">
        <v>3602</v>
      </c>
      <c r="B1357" t="s">
        <v>38</v>
      </c>
      <c r="C1357" s="1">
        <v>45855.774305555555</v>
      </c>
      <c r="D1357" t="s">
        <v>5146</v>
      </c>
    </row>
    <row r="1358" spans="1:4" x14ac:dyDescent="0.25">
      <c r="A1358" t="s">
        <v>497</v>
      </c>
      <c r="B1358" t="s">
        <v>38</v>
      </c>
      <c r="C1358" s="1">
        <v>46044.697916666664</v>
      </c>
      <c r="D1358" t="s">
        <v>5146</v>
      </c>
    </row>
    <row r="1359" spans="1:4" x14ac:dyDescent="0.25">
      <c r="A1359" t="s">
        <v>498</v>
      </c>
      <c r="B1359" t="s">
        <v>38</v>
      </c>
      <c r="C1359" s="1">
        <v>46051.497916666667</v>
      </c>
      <c r="D1359" t="s">
        <v>5146</v>
      </c>
    </row>
    <row r="1360" spans="1:4" x14ac:dyDescent="0.25">
      <c r="A1360" t="s">
        <v>3603</v>
      </c>
      <c r="B1360" t="s">
        <v>38</v>
      </c>
      <c r="C1360" s="1">
        <v>45806.587500000001</v>
      </c>
      <c r="D1360" t="s">
        <v>5146</v>
      </c>
    </row>
    <row r="1361" spans="1:4" x14ac:dyDescent="0.25">
      <c r="A1361" t="s">
        <v>3604</v>
      </c>
      <c r="B1361" t="s">
        <v>38</v>
      </c>
      <c r="C1361" s="1">
        <v>45955.695138888892</v>
      </c>
      <c r="D1361" t="s">
        <v>5146</v>
      </c>
    </row>
    <row r="1362" spans="1:4" x14ac:dyDescent="0.25">
      <c r="A1362" t="s">
        <v>499</v>
      </c>
      <c r="B1362" t="s">
        <v>38</v>
      </c>
      <c r="C1362" s="1">
        <v>46050.876388888886</v>
      </c>
      <c r="D1362" t="s">
        <v>5146</v>
      </c>
    </row>
    <row r="1363" spans="1:4" x14ac:dyDescent="0.25">
      <c r="A1363" t="s">
        <v>500</v>
      </c>
      <c r="B1363" t="s">
        <v>38</v>
      </c>
      <c r="C1363" s="1">
        <v>46044.693055555559</v>
      </c>
      <c r="D1363" t="s">
        <v>5146</v>
      </c>
    </row>
    <row r="1364" spans="1:4" x14ac:dyDescent="0.25">
      <c r="A1364" t="s">
        <v>3605</v>
      </c>
      <c r="B1364" t="s">
        <v>38</v>
      </c>
      <c r="C1364" s="1">
        <v>45806.588194444441</v>
      </c>
      <c r="D1364" t="s">
        <v>5146</v>
      </c>
    </row>
    <row r="1365" spans="1:4" x14ac:dyDescent="0.25">
      <c r="A1365" t="s">
        <v>3606</v>
      </c>
      <c r="B1365" t="s">
        <v>38</v>
      </c>
      <c r="C1365" s="1">
        <v>45806.588888888888</v>
      </c>
      <c r="D1365" t="s">
        <v>5146</v>
      </c>
    </row>
    <row r="1366" spans="1:4" x14ac:dyDescent="0.25">
      <c r="A1366" t="s">
        <v>514</v>
      </c>
      <c r="B1366" t="s">
        <v>39</v>
      </c>
      <c r="C1366" s="1">
        <v>46050.695138888892</v>
      </c>
      <c r="D1366" t="s">
        <v>5146</v>
      </c>
    </row>
    <row r="1367" spans="1:4" x14ac:dyDescent="0.25">
      <c r="A1367" t="s">
        <v>501</v>
      </c>
      <c r="B1367" t="s">
        <v>38</v>
      </c>
      <c r="C1367" s="1">
        <v>46044.595833333333</v>
      </c>
      <c r="D1367" t="s">
        <v>5146</v>
      </c>
    </row>
    <row r="1368" spans="1:4" x14ac:dyDescent="0.25">
      <c r="A1368" t="s">
        <v>503</v>
      </c>
      <c r="B1368" t="s">
        <v>38</v>
      </c>
      <c r="C1368" s="1">
        <v>46046.758333333331</v>
      </c>
      <c r="D1368" t="s">
        <v>5146</v>
      </c>
    </row>
    <row r="1369" spans="1:4" x14ac:dyDescent="0.25">
      <c r="A1369" t="s">
        <v>504</v>
      </c>
      <c r="B1369" t="s">
        <v>38</v>
      </c>
      <c r="C1369" s="1">
        <v>46049.551388888889</v>
      </c>
      <c r="D1369" t="s">
        <v>5146</v>
      </c>
    </row>
    <row r="1370" spans="1:4" x14ac:dyDescent="0.25">
      <c r="A1370" t="s">
        <v>3607</v>
      </c>
      <c r="B1370" t="s">
        <v>38</v>
      </c>
      <c r="C1370" s="1">
        <v>45812.655555555553</v>
      </c>
      <c r="D1370" t="s">
        <v>5146</v>
      </c>
    </row>
    <row r="1371" spans="1:4" x14ac:dyDescent="0.25">
      <c r="A1371" t="s">
        <v>3608</v>
      </c>
      <c r="B1371" t="s">
        <v>38</v>
      </c>
      <c r="C1371" s="1">
        <v>45806.589583333334</v>
      </c>
      <c r="D1371" t="s">
        <v>5146</v>
      </c>
    </row>
    <row r="1372" spans="1:4" x14ac:dyDescent="0.25">
      <c r="A1372" t="s">
        <v>505</v>
      </c>
      <c r="B1372" t="s">
        <v>38</v>
      </c>
      <c r="C1372" s="1">
        <v>46042.724999999999</v>
      </c>
      <c r="D1372" t="s">
        <v>5146</v>
      </c>
    </row>
    <row r="1373" spans="1:4" x14ac:dyDescent="0.25">
      <c r="A1373" t="s">
        <v>3609</v>
      </c>
      <c r="B1373" t="s">
        <v>38</v>
      </c>
      <c r="C1373" s="1">
        <v>45845.661805555559</v>
      </c>
      <c r="D1373" t="s">
        <v>5146</v>
      </c>
    </row>
    <row r="1374" spans="1:4" x14ac:dyDescent="0.25">
      <c r="A1374" t="s">
        <v>3610</v>
      </c>
      <c r="B1374" t="s">
        <v>38</v>
      </c>
      <c r="C1374" s="1">
        <v>45806.59375</v>
      </c>
      <c r="D1374" t="s">
        <v>5146</v>
      </c>
    </row>
    <row r="1375" spans="1:4" x14ac:dyDescent="0.25">
      <c r="A1375" t="s">
        <v>3611</v>
      </c>
      <c r="B1375" t="s">
        <v>38</v>
      </c>
      <c r="C1375" s="1">
        <v>45806.593055555553</v>
      </c>
      <c r="D1375" t="s">
        <v>5146</v>
      </c>
    </row>
    <row r="1376" spans="1:4" x14ac:dyDescent="0.25">
      <c r="A1376" t="s">
        <v>3612</v>
      </c>
      <c r="B1376" t="s">
        <v>38</v>
      </c>
      <c r="C1376" s="1">
        <v>45855.780555555553</v>
      </c>
      <c r="D1376" t="s">
        <v>5146</v>
      </c>
    </row>
    <row r="1377" spans="1:4" x14ac:dyDescent="0.25">
      <c r="A1377" t="s">
        <v>3613</v>
      </c>
      <c r="B1377" t="s">
        <v>38</v>
      </c>
      <c r="C1377" s="1">
        <v>45955.75277777778</v>
      </c>
      <c r="D1377" t="s">
        <v>5146</v>
      </c>
    </row>
    <row r="1378" spans="1:4" x14ac:dyDescent="0.25">
      <c r="A1378" t="s">
        <v>3614</v>
      </c>
      <c r="B1378" t="s">
        <v>38</v>
      </c>
      <c r="C1378" s="1">
        <v>45806.592361111114</v>
      </c>
      <c r="D1378" t="s">
        <v>5146</v>
      </c>
    </row>
    <row r="1379" spans="1:4" x14ac:dyDescent="0.25">
      <c r="A1379" t="s">
        <v>3615</v>
      </c>
      <c r="B1379" t="s">
        <v>38</v>
      </c>
      <c r="C1379" s="1">
        <v>45806.592361111114</v>
      </c>
      <c r="D1379" t="s">
        <v>5146</v>
      </c>
    </row>
    <row r="1380" spans="1:4" x14ac:dyDescent="0.25">
      <c r="A1380" t="s">
        <v>3616</v>
      </c>
      <c r="B1380" t="s">
        <v>38</v>
      </c>
      <c r="C1380" s="1">
        <v>45855.781944444447</v>
      </c>
      <c r="D1380" t="s">
        <v>5146</v>
      </c>
    </row>
    <row r="1381" spans="1:4" x14ac:dyDescent="0.25">
      <c r="A1381" t="s">
        <v>3617</v>
      </c>
      <c r="B1381" t="s">
        <v>38</v>
      </c>
      <c r="C1381" s="1">
        <v>45904.791666666664</v>
      </c>
      <c r="D1381" t="s">
        <v>5146</v>
      </c>
    </row>
    <row r="1382" spans="1:4" x14ac:dyDescent="0.25">
      <c r="A1382" t="s">
        <v>3618</v>
      </c>
      <c r="B1382" t="s">
        <v>38</v>
      </c>
      <c r="C1382" s="1">
        <v>45855.78402777778</v>
      </c>
      <c r="D1382" t="s">
        <v>5146</v>
      </c>
    </row>
    <row r="1383" spans="1:4" x14ac:dyDescent="0.25">
      <c r="A1383" t="s">
        <v>3619</v>
      </c>
      <c r="B1383" t="s">
        <v>38</v>
      </c>
      <c r="C1383" s="1">
        <v>45806.599305555559</v>
      </c>
      <c r="D1383" t="s">
        <v>5146</v>
      </c>
    </row>
    <row r="1384" spans="1:4" x14ac:dyDescent="0.25">
      <c r="A1384" t="s">
        <v>3620</v>
      </c>
      <c r="B1384" t="s">
        <v>39</v>
      </c>
      <c r="C1384" s="1">
        <v>45799.469444444447</v>
      </c>
      <c r="D1384" t="s">
        <v>5146</v>
      </c>
    </row>
    <row r="1385" spans="1:4" x14ac:dyDescent="0.25">
      <c r="A1385" t="s">
        <v>3621</v>
      </c>
      <c r="B1385" t="s">
        <v>38</v>
      </c>
      <c r="C1385" s="1">
        <v>45855.784722222219</v>
      </c>
      <c r="D1385" t="s">
        <v>5146</v>
      </c>
    </row>
    <row r="1386" spans="1:4" x14ac:dyDescent="0.25">
      <c r="A1386" t="s">
        <v>3622</v>
      </c>
      <c r="B1386" t="s">
        <v>38</v>
      </c>
      <c r="C1386" s="1">
        <v>45855.786111111112</v>
      </c>
      <c r="D1386" t="s">
        <v>5146</v>
      </c>
    </row>
    <row r="1387" spans="1:4" x14ac:dyDescent="0.25">
      <c r="A1387" t="s">
        <v>3623</v>
      </c>
      <c r="B1387" t="s">
        <v>38</v>
      </c>
      <c r="C1387" s="1">
        <v>45855.788194444445</v>
      </c>
      <c r="D1387" t="s">
        <v>5146</v>
      </c>
    </row>
    <row r="1388" spans="1:4" x14ac:dyDescent="0.25">
      <c r="A1388" t="s">
        <v>3624</v>
      </c>
      <c r="B1388" t="s">
        <v>38</v>
      </c>
      <c r="C1388" s="1">
        <v>45841.022916666669</v>
      </c>
      <c r="D1388" t="s">
        <v>5146</v>
      </c>
    </row>
    <row r="1389" spans="1:4" x14ac:dyDescent="0.25">
      <c r="A1389" t="s">
        <v>3625</v>
      </c>
      <c r="B1389" t="s">
        <v>39</v>
      </c>
      <c r="C1389" s="1">
        <v>45804.442361111112</v>
      </c>
      <c r="D1389" t="s">
        <v>5146</v>
      </c>
    </row>
    <row r="1390" spans="1:4" x14ac:dyDescent="0.25">
      <c r="A1390" t="s">
        <v>3626</v>
      </c>
      <c r="B1390" t="s">
        <v>38</v>
      </c>
      <c r="C1390" s="1">
        <v>45855.789583333331</v>
      </c>
      <c r="D1390" t="s">
        <v>5146</v>
      </c>
    </row>
    <row r="1391" spans="1:4" x14ac:dyDescent="0.25">
      <c r="A1391" t="s">
        <v>3627</v>
      </c>
      <c r="B1391" t="s">
        <v>38</v>
      </c>
      <c r="C1391" s="1">
        <v>45855.790277777778</v>
      </c>
      <c r="D1391" t="s">
        <v>5146</v>
      </c>
    </row>
    <row r="1392" spans="1:4" x14ac:dyDescent="0.25">
      <c r="A1392" t="s">
        <v>3628</v>
      </c>
      <c r="B1392" t="s">
        <v>38</v>
      </c>
      <c r="C1392" s="1">
        <v>45806.602083333331</v>
      </c>
      <c r="D1392" t="s">
        <v>5146</v>
      </c>
    </row>
    <row r="1393" spans="1:4" x14ac:dyDescent="0.25">
      <c r="A1393" t="s">
        <v>3629</v>
      </c>
      <c r="B1393" t="s">
        <v>38</v>
      </c>
      <c r="C1393" s="1">
        <v>45855.790277777778</v>
      </c>
      <c r="D1393" t="s">
        <v>5146</v>
      </c>
    </row>
    <row r="1394" spans="1:4" x14ac:dyDescent="0.25">
      <c r="A1394" t="s">
        <v>506</v>
      </c>
      <c r="B1394" t="s">
        <v>39</v>
      </c>
      <c r="C1394" s="1">
        <v>46049.511111111111</v>
      </c>
      <c r="D1394" t="s">
        <v>5146</v>
      </c>
    </row>
    <row r="1395" spans="1:4" x14ac:dyDescent="0.25">
      <c r="A1395" t="s">
        <v>3630</v>
      </c>
      <c r="B1395" t="s">
        <v>38</v>
      </c>
      <c r="C1395" s="1">
        <v>45855.790972222225</v>
      </c>
      <c r="D1395" t="s">
        <v>5146</v>
      </c>
    </row>
    <row r="1396" spans="1:4" x14ac:dyDescent="0.25">
      <c r="A1396" t="s">
        <v>507</v>
      </c>
      <c r="B1396" t="s">
        <v>38</v>
      </c>
      <c r="C1396" s="1">
        <v>46042.704861111109</v>
      </c>
      <c r="D1396" t="s">
        <v>5146</v>
      </c>
    </row>
    <row r="1397" spans="1:4" x14ac:dyDescent="0.25">
      <c r="A1397" t="s">
        <v>3631</v>
      </c>
      <c r="B1397" t="s">
        <v>38</v>
      </c>
      <c r="C1397" s="1">
        <v>45806.601388888892</v>
      </c>
      <c r="D1397" t="s">
        <v>5146</v>
      </c>
    </row>
    <row r="1398" spans="1:4" x14ac:dyDescent="0.25">
      <c r="A1398" t="s">
        <v>3632</v>
      </c>
      <c r="B1398" t="s">
        <v>38</v>
      </c>
      <c r="C1398" s="1">
        <v>45855.791666666664</v>
      </c>
      <c r="D1398" t="s">
        <v>5146</v>
      </c>
    </row>
    <row r="1399" spans="1:4" x14ac:dyDescent="0.25">
      <c r="A1399" t="s">
        <v>3633</v>
      </c>
      <c r="B1399" t="s">
        <v>38</v>
      </c>
      <c r="C1399" s="1">
        <v>45967.724305555559</v>
      </c>
      <c r="D1399" t="s">
        <v>5146</v>
      </c>
    </row>
    <row r="1400" spans="1:4" x14ac:dyDescent="0.25">
      <c r="A1400" t="s">
        <v>3634</v>
      </c>
      <c r="B1400" t="s">
        <v>38</v>
      </c>
      <c r="C1400" s="1">
        <v>45855.793055555558</v>
      </c>
      <c r="D1400" t="s">
        <v>5146</v>
      </c>
    </row>
    <row r="1401" spans="1:4" x14ac:dyDescent="0.25">
      <c r="A1401" t="s">
        <v>3635</v>
      </c>
      <c r="B1401" t="s">
        <v>38</v>
      </c>
      <c r="C1401" s="1">
        <v>45815.773611111108</v>
      </c>
      <c r="D1401" t="s">
        <v>5146</v>
      </c>
    </row>
    <row r="1402" spans="1:4" x14ac:dyDescent="0.25">
      <c r="A1402" t="s">
        <v>3636</v>
      </c>
      <c r="B1402" t="s">
        <v>38</v>
      </c>
      <c r="C1402" s="1">
        <v>45849.512499999997</v>
      </c>
      <c r="D1402" t="s">
        <v>5146</v>
      </c>
    </row>
    <row r="1403" spans="1:4" x14ac:dyDescent="0.25">
      <c r="A1403" t="s">
        <v>3637</v>
      </c>
      <c r="B1403" t="s">
        <v>38</v>
      </c>
      <c r="C1403" s="1">
        <v>45806.602083333331</v>
      </c>
      <c r="D1403" t="s">
        <v>5146</v>
      </c>
    </row>
    <row r="1404" spans="1:4" x14ac:dyDescent="0.25">
      <c r="A1404" t="s">
        <v>3638</v>
      </c>
      <c r="B1404" t="s">
        <v>38</v>
      </c>
      <c r="C1404" s="1">
        <v>45855.808333333334</v>
      </c>
      <c r="D1404" t="s">
        <v>5146</v>
      </c>
    </row>
    <row r="1405" spans="1:4" x14ac:dyDescent="0.25">
      <c r="A1405" t="s">
        <v>3639</v>
      </c>
      <c r="B1405" t="s">
        <v>38</v>
      </c>
      <c r="C1405" s="1">
        <v>45855.809027777781</v>
      </c>
      <c r="D1405" t="s">
        <v>5146</v>
      </c>
    </row>
    <row r="1406" spans="1:4" x14ac:dyDescent="0.25">
      <c r="A1406" t="s">
        <v>3640</v>
      </c>
      <c r="B1406" t="s">
        <v>38</v>
      </c>
      <c r="C1406" s="1">
        <v>45855.809027777781</v>
      </c>
      <c r="D1406" t="s">
        <v>5146</v>
      </c>
    </row>
    <row r="1407" spans="1:4" x14ac:dyDescent="0.25">
      <c r="A1407" t="s">
        <v>3641</v>
      </c>
      <c r="B1407" t="s">
        <v>38</v>
      </c>
      <c r="C1407" s="1">
        <v>45855.80972222222</v>
      </c>
      <c r="D1407" t="s">
        <v>5146</v>
      </c>
    </row>
    <row r="1408" spans="1:4" x14ac:dyDescent="0.25">
      <c r="A1408" t="s">
        <v>3642</v>
      </c>
      <c r="B1408" t="s">
        <v>38</v>
      </c>
      <c r="C1408" s="1">
        <v>45806.602777777778</v>
      </c>
      <c r="D1408" t="s">
        <v>5146</v>
      </c>
    </row>
    <row r="1409" spans="1:4" x14ac:dyDescent="0.25">
      <c r="A1409" t="s">
        <v>3643</v>
      </c>
      <c r="B1409" t="s">
        <v>38</v>
      </c>
      <c r="C1409" s="1">
        <v>45806.602777777778</v>
      </c>
      <c r="D1409" t="s">
        <v>5146</v>
      </c>
    </row>
    <row r="1410" spans="1:4" x14ac:dyDescent="0.25">
      <c r="A1410" t="s">
        <v>3644</v>
      </c>
      <c r="B1410" t="s">
        <v>38</v>
      </c>
      <c r="C1410" s="1">
        <v>45799.644444444442</v>
      </c>
      <c r="D1410" t="s">
        <v>5146</v>
      </c>
    </row>
    <row r="1411" spans="1:4" x14ac:dyDescent="0.25">
      <c r="A1411" t="s">
        <v>3645</v>
      </c>
      <c r="B1411" t="s">
        <v>38</v>
      </c>
      <c r="C1411" s="1">
        <v>45806.603472222225</v>
      </c>
      <c r="D1411" t="s">
        <v>5146</v>
      </c>
    </row>
    <row r="1412" spans="1:4" x14ac:dyDescent="0.25">
      <c r="A1412" t="s">
        <v>3646</v>
      </c>
      <c r="B1412" t="s">
        <v>38</v>
      </c>
      <c r="C1412" s="1">
        <v>45910.770138888889</v>
      </c>
      <c r="D1412" t="s">
        <v>5146</v>
      </c>
    </row>
    <row r="1413" spans="1:4" x14ac:dyDescent="0.25">
      <c r="A1413" t="s">
        <v>3647</v>
      </c>
      <c r="B1413" t="s">
        <v>38</v>
      </c>
      <c r="C1413" s="1">
        <v>45799.8</v>
      </c>
      <c r="D1413" t="s">
        <v>5146</v>
      </c>
    </row>
    <row r="1414" spans="1:4" x14ac:dyDescent="0.25">
      <c r="A1414" t="s">
        <v>3648</v>
      </c>
      <c r="B1414" t="s">
        <v>38</v>
      </c>
      <c r="C1414" s="1">
        <v>45855.703472222223</v>
      </c>
      <c r="D1414" t="s">
        <v>5146</v>
      </c>
    </row>
    <row r="1415" spans="1:4" x14ac:dyDescent="0.25">
      <c r="A1415" t="s">
        <v>3649</v>
      </c>
      <c r="B1415" t="s">
        <v>38</v>
      </c>
      <c r="C1415" s="1">
        <v>45806.604166666664</v>
      </c>
      <c r="D1415" t="s">
        <v>5146</v>
      </c>
    </row>
    <row r="1416" spans="1:4" x14ac:dyDescent="0.25">
      <c r="A1416" t="s">
        <v>486</v>
      </c>
      <c r="B1416" t="s">
        <v>38</v>
      </c>
      <c r="C1416" s="1">
        <v>46042.686805555553</v>
      </c>
      <c r="D1416" t="s">
        <v>5146</v>
      </c>
    </row>
    <row r="1417" spans="1:4" x14ac:dyDescent="0.25">
      <c r="A1417" t="s">
        <v>3650</v>
      </c>
      <c r="B1417" t="s">
        <v>38</v>
      </c>
      <c r="C1417" s="1">
        <v>45855.713888888888</v>
      </c>
      <c r="D1417" t="s">
        <v>5146</v>
      </c>
    </row>
    <row r="1418" spans="1:4" x14ac:dyDescent="0.25">
      <c r="A1418" t="s">
        <v>487</v>
      </c>
      <c r="B1418" t="s">
        <v>38</v>
      </c>
      <c r="C1418" s="1">
        <v>46044.800694444442</v>
      </c>
      <c r="D1418" t="s">
        <v>5146</v>
      </c>
    </row>
    <row r="1419" spans="1:4" x14ac:dyDescent="0.25">
      <c r="A1419" t="s">
        <v>3651</v>
      </c>
      <c r="B1419" t="s">
        <v>38</v>
      </c>
      <c r="C1419" s="1">
        <v>45855.714583333334</v>
      </c>
      <c r="D1419" t="s">
        <v>5146</v>
      </c>
    </row>
    <row r="1420" spans="1:4" x14ac:dyDescent="0.25">
      <c r="A1420" t="s">
        <v>3652</v>
      </c>
      <c r="B1420" t="s">
        <v>38</v>
      </c>
      <c r="C1420" s="1">
        <v>45855.715277777781</v>
      </c>
      <c r="D1420" t="s">
        <v>5146</v>
      </c>
    </row>
    <row r="1421" spans="1:4" x14ac:dyDescent="0.25">
      <c r="A1421" t="s">
        <v>3653</v>
      </c>
      <c r="B1421" t="s">
        <v>38</v>
      </c>
      <c r="C1421" s="1">
        <v>45814.435416666667</v>
      </c>
      <c r="D1421" t="s">
        <v>5146</v>
      </c>
    </row>
    <row r="1422" spans="1:4" x14ac:dyDescent="0.25">
      <c r="A1422" t="s">
        <v>3654</v>
      </c>
      <c r="B1422" t="s">
        <v>38</v>
      </c>
      <c r="C1422" s="1">
        <v>45915.619444444441</v>
      </c>
      <c r="D1422" t="s">
        <v>5146</v>
      </c>
    </row>
    <row r="1423" spans="1:4" x14ac:dyDescent="0.25">
      <c r="A1423" t="s">
        <v>470</v>
      </c>
      <c r="B1423" t="s">
        <v>38</v>
      </c>
      <c r="C1423" s="1">
        <v>46043.640972222223</v>
      </c>
      <c r="D1423" t="s">
        <v>5146</v>
      </c>
    </row>
    <row r="1424" spans="1:4" x14ac:dyDescent="0.25">
      <c r="A1424" t="s">
        <v>3655</v>
      </c>
      <c r="B1424" t="s">
        <v>38</v>
      </c>
      <c r="C1424" s="1">
        <v>45806.60833333333</v>
      </c>
      <c r="D1424" t="s">
        <v>5146</v>
      </c>
    </row>
    <row r="1425" spans="1:4" x14ac:dyDescent="0.25">
      <c r="A1425" t="s">
        <v>3656</v>
      </c>
      <c r="B1425" t="s">
        <v>38</v>
      </c>
      <c r="C1425" s="1">
        <v>45855.719444444447</v>
      </c>
      <c r="D1425" t="s">
        <v>5146</v>
      </c>
    </row>
    <row r="1426" spans="1:4" x14ac:dyDescent="0.25">
      <c r="A1426" t="s">
        <v>3657</v>
      </c>
      <c r="B1426" t="s">
        <v>38</v>
      </c>
      <c r="C1426" s="1">
        <v>45855.720138888886</v>
      </c>
      <c r="D1426" t="s">
        <v>5146</v>
      </c>
    </row>
    <row r="1427" spans="1:4" x14ac:dyDescent="0.25">
      <c r="A1427" t="s">
        <v>3658</v>
      </c>
      <c r="B1427" t="s">
        <v>38</v>
      </c>
      <c r="C1427" s="1">
        <v>45855.72152777778</v>
      </c>
      <c r="D1427" t="s">
        <v>5146</v>
      </c>
    </row>
    <row r="1428" spans="1:4" x14ac:dyDescent="0.25">
      <c r="A1428" t="s">
        <v>472</v>
      </c>
      <c r="B1428" t="s">
        <v>38</v>
      </c>
      <c r="C1428" s="1">
        <v>46046.587500000001</v>
      </c>
      <c r="D1428" t="s">
        <v>5146</v>
      </c>
    </row>
    <row r="1429" spans="1:4" x14ac:dyDescent="0.25">
      <c r="A1429" t="s">
        <v>3659</v>
      </c>
      <c r="B1429" t="s">
        <v>38</v>
      </c>
      <c r="C1429" s="1">
        <v>45855.722916666666</v>
      </c>
      <c r="D1429" t="s">
        <v>5146</v>
      </c>
    </row>
    <row r="1430" spans="1:4" x14ac:dyDescent="0.25">
      <c r="A1430" t="s">
        <v>3660</v>
      </c>
      <c r="B1430" t="s">
        <v>38</v>
      </c>
      <c r="C1430" s="1">
        <v>45806.606249999997</v>
      </c>
      <c r="D1430" t="s">
        <v>5146</v>
      </c>
    </row>
    <row r="1431" spans="1:4" x14ac:dyDescent="0.25">
      <c r="A1431" t="s">
        <v>3661</v>
      </c>
      <c r="B1431" t="s">
        <v>38</v>
      </c>
      <c r="C1431" s="1">
        <v>45855.723611111112</v>
      </c>
      <c r="D1431" t="s">
        <v>5146</v>
      </c>
    </row>
    <row r="1432" spans="1:4" x14ac:dyDescent="0.25">
      <c r="A1432" t="s">
        <v>3662</v>
      </c>
      <c r="B1432" t="s">
        <v>38</v>
      </c>
      <c r="C1432" s="1">
        <v>45895.512499999997</v>
      </c>
      <c r="D1432" t="s">
        <v>5146</v>
      </c>
    </row>
    <row r="1433" spans="1:4" x14ac:dyDescent="0.25">
      <c r="A1433" t="s">
        <v>3663</v>
      </c>
      <c r="B1433" t="s">
        <v>38</v>
      </c>
      <c r="C1433" s="1">
        <v>45806.61041666667</v>
      </c>
      <c r="D1433" t="s">
        <v>5146</v>
      </c>
    </row>
    <row r="1434" spans="1:4" x14ac:dyDescent="0.25">
      <c r="A1434" t="s">
        <v>3664</v>
      </c>
      <c r="B1434" t="s">
        <v>38</v>
      </c>
      <c r="C1434" s="1">
        <v>45855.724999999999</v>
      </c>
      <c r="D1434" t="s">
        <v>5146</v>
      </c>
    </row>
    <row r="1435" spans="1:4" x14ac:dyDescent="0.25">
      <c r="A1435" t="s">
        <v>3665</v>
      </c>
      <c r="B1435" t="s">
        <v>39</v>
      </c>
      <c r="C1435" s="1">
        <v>45802.696527777778</v>
      </c>
      <c r="D1435" t="s">
        <v>5146</v>
      </c>
    </row>
    <row r="1436" spans="1:4" x14ac:dyDescent="0.25">
      <c r="A1436" t="s">
        <v>3666</v>
      </c>
      <c r="B1436" t="s">
        <v>38</v>
      </c>
      <c r="C1436" s="1">
        <v>45855.728472222225</v>
      </c>
      <c r="D1436" t="s">
        <v>5146</v>
      </c>
    </row>
    <row r="1437" spans="1:4" x14ac:dyDescent="0.25">
      <c r="A1437" t="s">
        <v>477</v>
      </c>
      <c r="B1437" t="s">
        <v>38</v>
      </c>
      <c r="C1437" s="1">
        <v>46049.773611111108</v>
      </c>
      <c r="D1437" t="s">
        <v>5146</v>
      </c>
    </row>
    <row r="1438" spans="1:4" x14ac:dyDescent="0.25">
      <c r="A1438" t="s">
        <v>478</v>
      </c>
      <c r="B1438" t="s">
        <v>38</v>
      </c>
      <c r="C1438" s="1">
        <v>46042.677083333336</v>
      </c>
      <c r="D1438" t="s">
        <v>5146</v>
      </c>
    </row>
    <row r="1439" spans="1:4" x14ac:dyDescent="0.25">
      <c r="A1439" t="s">
        <v>3667</v>
      </c>
      <c r="B1439" t="s">
        <v>38</v>
      </c>
      <c r="C1439" s="1">
        <v>45806.611805555556</v>
      </c>
      <c r="D1439" t="s">
        <v>5146</v>
      </c>
    </row>
    <row r="1440" spans="1:4" x14ac:dyDescent="0.25">
      <c r="A1440" t="s">
        <v>480</v>
      </c>
      <c r="B1440" t="s">
        <v>38</v>
      </c>
      <c r="C1440" s="1">
        <v>46046.597222222219</v>
      </c>
      <c r="D1440" t="s">
        <v>5146</v>
      </c>
    </row>
    <row r="1441" spans="1:4" x14ac:dyDescent="0.25">
      <c r="A1441" t="s">
        <v>3668</v>
      </c>
      <c r="B1441" t="s">
        <v>38</v>
      </c>
      <c r="C1441" s="1">
        <v>45915.629861111112</v>
      </c>
      <c r="D1441" t="s">
        <v>5146</v>
      </c>
    </row>
    <row r="1442" spans="1:4" x14ac:dyDescent="0.25">
      <c r="A1442" t="s">
        <v>3669</v>
      </c>
      <c r="B1442" t="s">
        <v>38</v>
      </c>
      <c r="C1442" s="1">
        <v>45855.736111111109</v>
      </c>
      <c r="D1442" t="s">
        <v>5146</v>
      </c>
    </row>
    <row r="1443" spans="1:4" x14ac:dyDescent="0.25">
      <c r="A1443" t="s">
        <v>484</v>
      </c>
      <c r="B1443" t="s">
        <v>38</v>
      </c>
      <c r="C1443" s="1">
        <v>46046.492361111108</v>
      </c>
      <c r="D1443" t="s">
        <v>5146</v>
      </c>
    </row>
    <row r="1444" spans="1:4" x14ac:dyDescent="0.25">
      <c r="A1444" t="s">
        <v>3670</v>
      </c>
      <c r="B1444" t="s">
        <v>38</v>
      </c>
      <c r="C1444" s="1">
        <v>45806.612500000003</v>
      </c>
      <c r="D1444" t="s">
        <v>5146</v>
      </c>
    </row>
    <row r="1445" spans="1:4" x14ac:dyDescent="0.25">
      <c r="A1445" t="s">
        <v>485</v>
      </c>
      <c r="B1445" t="s">
        <v>38</v>
      </c>
      <c r="C1445" s="1">
        <v>46049.511805555558</v>
      </c>
      <c r="D1445" t="s">
        <v>5146</v>
      </c>
    </row>
    <row r="1446" spans="1:4" x14ac:dyDescent="0.25">
      <c r="A1446" t="s">
        <v>3671</v>
      </c>
      <c r="B1446" t="s">
        <v>38</v>
      </c>
      <c r="C1446" s="1">
        <v>45855.738194444442</v>
      </c>
      <c r="D1446" t="s">
        <v>5146</v>
      </c>
    </row>
    <row r="1447" spans="1:4" x14ac:dyDescent="0.25">
      <c r="A1447" t="s">
        <v>3672</v>
      </c>
      <c r="B1447" t="s">
        <v>38</v>
      </c>
      <c r="C1447" s="1">
        <v>45855.741666666669</v>
      </c>
      <c r="D1447" t="s">
        <v>5146</v>
      </c>
    </row>
    <row r="1448" spans="1:4" x14ac:dyDescent="0.25">
      <c r="A1448" t="s">
        <v>3673</v>
      </c>
      <c r="B1448" t="s">
        <v>38</v>
      </c>
      <c r="C1448" s="1">
        <v>45806.645138888889</v>
      </c>
      <c r="D1448" t="s">
        <v>5146</v>
      </c>
    </row>
    <row r="1449" spans="1:4" x14ac:dyDescent="0.25">
      <c r="A1449" t="s">
        <v>3674</v>
      </c>
      <c r="B1449" t="s">
        <v>38</v>
      </c>
      <c r="C1449" s="1">
        <v>45806.645138888889</v>
      </c>
      <c r="D1449" t="s">
        <v>5146</v>
      </c>
    </row>
    <row r="1450" spans="1:4" x14ac:dyDescent="0.25">
      <c r="A1450" t="s">
        <v>3675</v>
      </c>
      <c r="B1450" t="s">
        <v>38</v>
      </c>
      <c r="C1450" s="1">
        <v>45806.646527777775</v>
      </c>
      <c r="D1450" t="s">
        <v>5146</v>
      </c>
    </row>
    <row r="1451" spans="1:4" x14ac:dyDescent="0.25">
      <c r="A1451" t="s">
        <v>3676</v>
      </c>
      <c r="B1451" t="s">
        <v>38</v>
      </c>
      <c r="C1451" s="1">
        <v>45855.75277777778</v>
      </c>
      <c r="D1451" t="s">
        <v>5146</v>
      </c>
    </row>
    <row r="1452" spans="1:4" x14ac:dyDescent="0.25">
      <c r="A1452" t="s">
        <v>3677</v>
      </c>
      <c r="B1452" t="s">
        <v>38</v>
      </c>
      <c r="C1452" s="1">
        <v>45806.646527777775</v>
      </c>
      <c r="D1452" t="s">
        <v>5146</v>
      </c>
    </row>
    <row r="1453" spans="1:4" x14ac:dyDescent="0.25">
      <c r="A1453" t="s">
        <v>3678</v>
      </c>
      <c r="B1453" t="s">
        <v>38</v>
      </c>
      <c r="C1453" s="1">
        <v>45855.756249999999</v>
      </c>
      <c r="D1453" t="s">
        <v>5146</v>
      </c>
    </row>
    <row r="1454" spans="1:4" x14ac:dyDescent="0.25">
      <c r="A1454" t="s">
        <v>3679</v>
      </c>
      <c r="B1454" t="s">
        <v>38</v>
      </c>
      <c r="C1454" s="1">
        <v>45855.786111111112</v>
      </c>
      <c r="D1454" t="s">
        <v>5146</v>
      </c>
    </row>
    <row r="1455" spans="1:4" x14ac:dyDescent="0.25">
      <c r="A1455" t="s">
        <v>3680</v>
      </c>
      <c r="B1455" t="s">
        <v>38</v>
      </c>
      <c r="C1455" s="1">
        <v>45855.790277777778</v>
      </c>
      <c r="D1455" t="s">
        <v>5146</v>
      </c>
    </row>
    <row r="1456" spans="1:4" x14ac:dyDescent="0.25">
      <c r="A1456" t="s">
        <v>3681</v>
      </c>
      <c r="B1456" t="s">
        <v>38</v>
      </c>
      <c r="C1456" s="1">
        <v>45899.789583333331</v>
      </c>
      <c r="D1456" t="s">
        <v>5146</v>
      </c>
    </row>
    <row r="1457" spans="1:4" x14ac:dyDescent="0.25">
      <c r="A1457" t="s">
        <v>3682</v>
      </c>
      <c r="B1457" t="s">
        <v>38</v>
      </c>
      <c r="C1457" s="1">
        <v>45856.423611111109</v>
      </c>
      <c r="D1457" t="s">
        <v>5146</v>
      </c>
    </row>
    <row r="1458" spans="1:4" x14ac:dyDescent="0.25">
      <c r="A1458" t="s">
        <v>3683</v>
      </c>
      <c r="B1458" t="s">
        <v>38</v>
      </c>
      <c r="C1458" s="1">
        <v>45841.022222222222</v>
      </c>
      <c r="D1458" t="s">
        <v>5146</v>
      </c>
    </row>
    <row r="1459" spans="1:4" x14ac:dyDescent="0.25">
      <c r="A1459" t="s">
        <v>3684</v>
      </c>
      <c r="B1459" t="s">
        <v>38</v>
      </c>
      <c r="C1459" s="1">
        <v>45856.427083333336</v>
      </c>
      <c r="D1459" t="s">
        <v>5146</v>
      </c>
    </row>
    <row r="1460" spans="1:4" x14ac:dyDescent="0.25">
      <c r="A1460" t="s">
        <v>3685</v>
      </c>
      <c r="B1460" t="s">
        <v>38</v>
      </c>
      <c r="C1460" s="1">
        <v>45856.427777777775</v>
      </c>
      <c r="D1460" t="s">
        <v>5146</v>
      </c>
    </row>
    <row r="1461" spans="1:4" x14ac:dyDescent="0.25">
      <c r="A1461" t="s">
        <v>3686</v>
      </c>
      <c r="B1461" t="s">
        <v>38</v>
      </c>
      <c r="C1461" s="1">
        <v>45856.428472222222</v>
      </c>
      <c r="D1461" t="s">
        <v>5146</v>
      </c>
    </row>
    <row r="1462" spans="1:4" x14ac:dyDescent="0.25">
      <c r="A1462" t="s">
        <v>3687</v>
      </c>
      <c r="B1462" t="s">
        <v>38</v>
      </c>
      <c r="C1462" s="1">
        <v>45856.429166666669</v>
      </c>
      <c r="D1462" t="s">
        <v>5146</v>
      </c>
    </row>
    <row r="1463" spans="1:4" x14ac:dyDescent="0.25">
      <c r="A1463" t="s">
        <v>3688</v>
      </c>
      <c r="B1463" t="s">
        <v>38</v>
      </c>
      <c r="C1463" s="1">
        <v>45828.582638888889</v>
      </c>
      <c r="D1463" t="s">
        <v>5146</v>
      </c>
    </row>
    <row r="1464" spans="1:4" x14ac:dyDescent="0.25">
      <c r="A1464" t="s">
        <v>3689</v>
      </c>
      <c r="B1464" t="s">
        <v>38</v>
      </c>
      <c r="C1464" s="1">
        <v>45856.429861111108</v>
      </c>
      <c r="D1464" t="s">
        <v>5146</v>
      </c>
    </row>
    <row r="1465" spans="1:4" x14ac:dyDescent="0.25">
      <c r="A1465" t="s">
        <v>3690</v>
      </c>
      <c r="B1465" t="s">
        <v>38</v>
      </c>
      <c r="C1465" s="1">
        <v>45841.021527777775</v>
      </c>
      <c r="D1465" t="s">
        <v>5146</v>
      </c>
    </row>
    <row r="1466" spans="1:4" x14ac:dyDescent="0.25">
      <c r="A1466" t="s">
        <v>3691</v>
      </c>
      <c r="B1466" t="s">
        <v>38</v>
      </c>
      <c r="C1466" s="1">
        <v>45915.689583333333</v>
      </c>
      <c r="D1466" t="s">
        <v>5146</v>
      </c>
    </row>
    <row r="1467" spans="1:4" x14ac:dyDescent="0.25">
      <c r="A1467" t="s">
        <v>460</v>
      </c>
      <c r="B1467" t="s">
        <v>39</v>
      </c>
      <c r="C1467" s="1">
        <v>46041.756944444445</v>
      </c>
      <c r="D1467" t="s">
        <v>5146</v>
      </c>
    </row>
    <row r="1468" spans="1:4" x14ac:dyDescent="0.25">
      <c r="A1468" t="s">
        <v>3692</v>
      </c>
      <c r="B1468" t="s">
        <v>38</v>
      </c>
      <c r="C1468" s="1">
        <v>45806.65</v>
      </c>
      <c r="D1468" t="s">
        <v>5146</v>
      </c>
    </row>
    <row r="1469" spans="1:4" x14ac:dyDescent="0.25">
      <c r="A1469" t="s">
        <v>3693</v>
      </c>
      <c r="B1469" t="s">
        <v>38</v>
      </c>
      <c r="C1469" s="1">
        <v>45856.446527777778</v>
      </c>
      <c r="D1469" t="s">
        <v>5146</v>
      </c>
    </row>
    <row r="1470" spans="1:4" x14ac:dyDescent="0.25">
      <c r="A1470" t="s">
        <v>525</v>
      </c>
      <c r="B1470" t="s">
        <v>38</v>
      </c>
      <c r="C1470" s="1">
        <v>46043.51458333333</v>
      </c>
      <c r="D1470" t="s">
        <v>5146</v>
      </c>
    </row>
    <row r="1471" spans="1:4" x14ac:dyDescent="0.25">
      <c r="A1471" t="s">
        <v>3694</v>
      </c>
      <c r="B1471" t="s">
        <v>38</v>
      </c>
      <c r="C1471" s="1">
        <v>45822.518055555556</v>
      </c>
      <c r="D1471" t="s">
        <v>5146</v>
      </c>
    </row>
    <row r="1472" spans="1:4" x14ac:dyDescent="0.25">
      <c r="A1472" t="s">
        <v>3695</v>
      </c>
      <c r="B1472" t="s">
        <v>38</v>
      </c>
      <c r="C1472" s="1">
        <v>45824.5625</v>
      </c>
      <c r="D1472" t="s">
        <v>5146</v>
      </c>
    </row>
    <row r="1473" spans="1:4" x14ac:dyDescent="0.25">
      <c r="A1473" t="s">
        <v>3696</v>
      </c>
      <c r="B1473" t="s">
        <v>38</v>
      </c>
      <c r="C1473" s="1">
        <v>45856.450694444444</v>
      </c>
      <c r="D1473" t="s">
        <v>5146</v>
      </c>
    </row>
    <row r="1474" spans="1:4" x14ac:dyDescent="0.25">
      <c r="A1474" t="s">
        <v>3697</v>
      </c>
      <c r="B1474" t="s">
        <v>38</v>
      </c>
      <c r="C1474" s="1">
        <v>45820.470138888886</v>
      </c>
      <c r="D1474" t="s">
        <v>5146</v>
      </c>
    </row>
    <row r="1475" spans="1:4" x14ac:dyDescent="0.25">
      <c r="A1475" t="s">
        <v>3698</v>
      </c>
      <c r="B1475" t="s">
        <v>39</v>
      </c>
      <c r="C1475" s="1">
        <v>45841.020833333336</v>
      </c>
      <c r="D1475" t="s">
        <v>5146</v>
      </c>
    </row>
    <row r="1476" spans="1:4" x14ac:dyDescent="0.25">
      <c r="A1476" t="s">
        <v>3699</v>
      </c>
      <c r="B1476" t="s">
        <v>38</v>
      </c>
      <c r="C1476" s="1">
        <v>45856.455555555556</v>
      </c>
      <c r="D1476" t="s">
        <v>5146</v>
      </c>
    </row>
    <row r="1477" spans="1:4" x14ac:dyDescent="0.25">
      <c r="A1477" t="s">
        <v>3700</v>
      </c>
      <c r="B1477" t="s">
        <v>38</v>
      </c>
      <c r="C1477" s="1">
        <v>45856.456250000003</v>
      </c>
      <c r="D1477" t="s">
        <v>5146</v>
      </c>
    </row>
    <row r="1478" spans="1:4" x14ac:dyDescent="0.25">
      <c r="A1478" t="s">
        <v>3701</v>
      </c>
      <c r="B1478" t="s">
        <v>38</v>
      </c>
      <c r="C1478" s="1">
        <v>45845.78125</v>
      </c>
      <c r="D1478" t="s">
        <v>5146</v>
      </c>
    </row>
    <row r="1479" spans="1:4" x14ac:dyDescent="0.25">
      <c r="A1479" t="s">
        <v>3702</v>
      </c>
      <c r="B1479" t="s">
        <v>38</v>
      </c>
      <c r="C1479" s="1">
        <v>45856.462500000001</v>
      </c>
      <c r="D1479" t="s">
        <v>5146</v>
      </c>
    </row>
    <row r="1480" spans="1:4" x14ac:dyDescent="0.25">
      <c r="A1480" t="s">
        <v>3703</v>
      </c>
      <c r="B1480" t="s">
        <v>38</v>
      </c>
      <c r="C1480" s="1">
        <v>45856.464583333334</v>
      </c>
      <c r="D1480" t="s">
        <v>5146</v>
      </c>
    </row>
    <row r="1481" spans="1:4" x14ac:dyDescent="0.25">
      <c r="A1481" t="s">
        <v>3704</v>
      </c>
      <c r="B1481" t="s">
        <v>38</v>
      </c>
      <c r="C1481" s="1">
        <v>45845.790972222225</v>
      </c>
      <c r="D1481" t="s">
        <v>5146</v>
      </c>
    </row>
    <row r="1482" spans="1:4" x14ac:dyDescent="0.25">
      <c r="A1482" t="s">
        <v>3705</v>
      </c>
      <c r="B1482" t="s">
        <v>38</v>
      </c>
      <c r="C1482" s="1">
        <v>45856.467361111114</v>
      </c>
      <c r="D1482" t="s">
        <v>5146</v>
      </c>
    </row>
    <row r="1483" spans="1:4" x14ac:dyDescent="0.25">
      <c r="A1483" t="s">
        <v>3706</v>
      </c>
      <c r="B1483" t="s">
        <v>38</v>
      </c>
      <c r="C1483" s="1">
        <v>45856.470833333333</v>
      </c>
      <c r="D1483" t="s">
        <v>5146</v>
      </c>
    </row>
    <row r="1484" spans="1:4" x14ac:dyDescent="0.25">
      <c r="A1484" t="s">
        <v>3707</v>
      </c>
      <c r="B1484" t="s">
        <v>38</v>
      </c>
      <c r="C1484" s="1">
        <v>45856.474305555559</v>
      </c>
      <c r="D1484" t="s">
        <v>5146</v>
      </c>
    </row>
    <row r="1485" spans="1:4" x14ac:dyDescent="0.25">
      <c r="A1485" t="s">
        <v>3708</v>
      </c>
      <c r="B1485" t="s">
        <v>38</v>
      </c>
      <c r="C1485" s="1">
        <v>45856.478472222225</v>
      </c>
      <c r="D1485" t="s">
        <v>5146</v>
      </c>
    </row>
    <row r="1486" spans="1:4" x14ac:dyDescent="0.25">
      <c r="A1486" t="s">
        <v>3709</v>
      </c>
      <c r="B1486" t="s">
        <v>38</v>
      </c>
      <c r="C1486" s="1">
        <v>45856.479861111111</v>
      </c>
      <c r="D1486" t="s">
        <v>5146</v>
      </c>
    </row>
    <row r="1487" spans="1:4" x14ac:dyDescent="0.25">
      <c r="A1487" t="s">
        <v>3710</v>
      </c>
      <c r="B1487" t="s">
        <v>38</v>
      </c>
      <c r="C1487" s="1">
        <v>45899.956250000003</v>
      </c>
      <c r="D1487" t="s">
        <v>5146</v>
      </c>
    </row>
    <row r="1488" spans="1:4" x14ac:dyDescent="0.25">
      <c r="A1488" t="s">
        <v>3711</v>
      </c>
      <c r="B1488" t="s">
        <v>38</v>
      </c>
      <c r="C1488" s="1">
        <v>45856.487500000003</v>
      </c>
      <c r="D1488" t="s">
        <v>5146</v>
      </c>
    </row>
    <row r="1489" spans="1:4" x14ac:dyDescent="0.25">
      <c r="A1489" t="s">
        <v>3712</v>
      </c>
      <c r="B1489" t="s">
        <v>38</v>
      </c>
      <c r="C1489" s="1">
        <v>45915.697916666664</v>
      </c>
      <c r="D1489" t="s">
        <v>5146</v>
      </c>
    </row>
    <row r="1490" spans="1:4" x14ac:dyDescent="0.25">
      <c r="A1490" t="s">
        <v>3713</v>
      </c>
      <c r="B1490" t="s">
        <v>38</v>
      </c>
      <c r="C1490" s="1">
        <v>45856.491666666669</v>
      </c>
      <c r="D1490" t="s">
        <v>5146</v>
      </c>
    </row>
    <row r="1491" spans="1:4" x14ac:dyDescent="0.25">
      <c r="A1491" t="s">
        <v>3714</v>
      </c>
      <c r="B1491" t="s">
        <v>38</v>
      </c>
      <c r="C1491" s="1">
        <v>45856.497916666667</v>
      </c>
      <c r="D1491" t="s">
        <v>5146</v>
      </c>
    </row>
    <row r="1492" spans="1:4" x14ac:dyDescent="0.25">
      <c r="A1492" t="s">
        <v>3715</v>
      </c>
      <c r="B1492" t="s">
        <v>38</v>
      </c>
      <c r="C1492" s="1">
        <v>45917.538194444445</v>
      </c>
      <c r="D1492" t="s">
        <v>5146</v>
      </c>
    </row>
    <row r="1493" spans="1:4" x14ac:dyDescent="0.25">
      <c r="A1493" t="s">
        <v>3716</v>
      </c>
      <c r="B1493" t="s">
        <v>38</v>
      </c>
      <c r="C1493" s="1">
        <v>45856.500694444447</v>
      </c>
      <c r="D1493" t="s">
        <v>5146</v>
      </c>
    </row>
    <row r="1494" spans="1:4" x14ac:dyDescent="0.25">
      <c r="A1494" t="s">
        <v>3717</v>
      </c>
      <c r="B1494" t="s">
        <v>38</v>
      </c>
      <c r="C1494" s="1">
        <v>45856.502083333333</v>
      </c>
      <c r="D1494" t="s">
        <v>5146</v>
      </c>
    </row>
    <row r="1495" spans="1:4" x14ac:dyDescent="0.25">
      <c r="A1495" t="s">
        <v>3718</v>
      </c>
      <c r="B1495" t="s">
        <v>38</v>
      </c>
      <c r="C1495" s="1">
        <v>45841.017361111109</v>
      </c>
      <c r="D1495" t="s">
        <v>5146</v>
      </c>
    </row>
    <row r="1496" spans="1:4" x14ac:dyDescent="0.25">
      <c r="A1496" t="s">
        <v>458</v>
      </c>
      <c r="B1496" t="s">
        <v>38</v>
      </c>
      <c r="C1496" s="1">
        <v>46037.599999999999</v>
      </c>
      <c r="D1496" t="s">
        <v>5146</v>
      </c>
    </row>
    <row r="1497" spans="1:4" x14ac:dyDescent="0.25">
      <c r="A1497" t="s">
        <v>3719</v>
      </c>
      <c r="B1497" t="s">
        <v>38</v>
      </c>
      <c r="C1497" s="1">
        <v>45856.503472222219</v>
      </c>
      <c r="D1497" t="s">
        <v>5146</v>
      </c>
    </row>
    <row r="1498" spans="1:4" x14ac:dyDescent="0.25">
      <c r="A1498" t="s">
        <v>3720</v>
      </c>
      <c r="B1498" t="s">
        <v>38</v>
      </c>
      <c r="C1498" s="1">
        <v>45856.504861111112</v>
      </c>
      <c r="D1498" t="s">
        <v>5146</v>
      </c>
    </row>
    <row r="1499" spans="1:4" x14ac:dyDescent="0.25">
      <c r="A1499" t="s">
        <v>3721</v>
      </c>
      <c r="B1499" t="s">
        <v>38</v>
      </c>
      <c r="C1499" s="1">
        <v>45856.513194444444</v>
      </c>
      <c r="D1499" t="s">
        <v>5146</v>
      </c>
    </row>
    <row r="1500" spans="1:4" x14ac:dyDescent="0.25">
      <c r="A1500" t="s">
        <v>3722</v>
      </c>
      <c r="B1500" t="s">
        <v>38</v>
      </c>
      <c r="C1500" s="1">
        <v>45856.51458333333</v>
      </c>
      <c r="D1500" t="s">
        <v>5146</v>
      </c>
    </row>
    <row r="1501" spans="1:4" x14ac:dyDescent="0.25">
      <c r="A1501" t="s">
        <v>3723</v>
      </c>
      <c r="B1501" t="s">
        <v>38</v>
      </c>
      <c r="C1501" s="1">
        <v>45856.533333333333</v>
      </c>
      <c r="D1501" t="s">
        <v>5146</v>
      </c>
    </row>
    <row r="1502" spans="1:4" x14ac:dyDescent="0.25">
      <c r="A1502" t="s">
        <v>3724</v>
      </c>
      <c r="B1502" t="s">
        <v>38</v>
      </c>
      <c r="C1502" s="1">
        <v>45856.53402777778</v>
      </c>
      <c r="D1502" t="s">
        <v>5146</v>
      </c>
    </row>
    <row r="1503" spans="1:4" x14ac:dyDescent="0.25">
      <c r="A1503" t="s">
        <v>3725</v>
      </c>
      <c r="B1503" t="s">
        <v>38</v>
      </c>
      <c r="C1503" s="1">
        <v>45856.534722222219</v>
      </c>
      <c r="D1503" t="s">
        <v>5146</v>
      </c>
    </row>
    <row r="1504" spans="1:4" x14ac:dyDescent="0.25">
      <c r="A1504" t="s">
        <v>3726</v>
      </c>
      <c r="B1504" t="s">
        <v>38</v>
      </c>
      <c r="C1504" s="1">
        <v>45856.539583333331</v>
      </c>
      <c r="D1504" t="s">
        <v>5146</v>
      </c>
    </row>
    <row r="1505" spans="1:4" x14ac:dyDescent="0.25">
      <c r="A1505" t="s">
        <v>3727</v>
      </c>
      <c r="B1505" t="s">
        <v>38</v>
      </c>
      <c r="C1505" s="1">
        <v>45856.540972222225</v>
      </c>
      <c r="D1505" t="s">
        <v>5146</v>
      </c>
    </row>
    <row r="1506" spans="1:4" x14ac:dyDescent="0.25">
      <c r="A1506" t="s">
        <v>3728</v>
      </c>
      <c r="B1506" t="s">
        <v>38</v>
      </c>
      <c r="C1506" s="1">
        <v>45856.542361111111</v>
      </c>
      <c r="D1506" t="s">
        <v>5146</v>
      </c>
    </row>
    <row r="1507" spans="1:4" x14ac:dyDescent="0.25">
      <c r="A1507" t="s">
        <v>3729</v>
      </c>
      <c r="B1507" t="s">
        <v>38</v>
      </c>
      <c r="C1507" s="1">
        <v>45856.543055555558</v>
      </c>
      <c r="D1507" t="s">
        <v>5146</v>
      </c>
    </row>
    <row r="1508" spans="1:4" x14ac:dyDescent="0.25">
      <c r="A1508" t="s">
        <v>3730</v>
      </c>
      <c r="B1508" t="s">
        <v>38</v>
      </c>
      <c r="C1508" s="1">
        <v>45856.556944444441</v>
      </c>
      <c r="D1508" t="s">
        <v>5146</v>
      </c>
    </row>
    <row r="1509" spans="1:4" x14ac:dyDescent="0.25">
      <c r="A1509" t="s">
        <v>3731</v>
      </c>
      <c r="B1509" t="s">
        <v>38</v>
      </c>
      <c r="C1509" s="1">
        <v>45856.557638888888</v>
      </c>
      <c r="D1509" t="s">
        <v>5146</v>
      </c>
    </row>
    <row r="1510" spans="1:4" x14ac:dyDescent="0.25">
      <c r="A1510" t="s">
        <v>3732</v>
      </c>
      <c r="B1510" t="s">
        <v>38</v>
      </c>
      <c r="C1510" s="1">
        <v>45856.560416666667</v>
      </c>
      <c r="D1510" t="s">
        <v>5146</v>
      </c>
    </row>
    <row r="1511" spans="1:4" x14ac:dyDescent="0.25">
      <c r="A1511" t="s">
        <v>3733</v>
      </c>
      <c r="B1511" t="s">
        <v>39</v>
      </c>
      <c r="C1511" s="1">
        <v>45829.479861111111</v>
      </c>
      <c r="D1511" t="s">
        <v>5146</v>
      </c>
    </row>
    <row r="1512" spans="1:4" x14ac:dyDescent="0.25">
      <c r="A1512" t="s">
        <v>3734</v>
      </c>
      <c r="B1512" t="s">
        <v>38</v>
      </c>
      <c r="C1512" s="1">
        <v>45856.561111111114</v>
      </c>
      <c r="D1512" t="s">
        <v>5146</v>
      </c>
    </row>
    <row r="1513" spans="1:4" x14ac:dyDescent="0.25">
      <c r="A1513" t="s">
        <v>3735</v>
      </c>
      <c r="B1513" t="s">
        <v>38</v>
      </c>
      <c r="C1513" s="1">
        <v>45856.5625</v>
      </c>
      <c r="D1513" t="s">
        <v>5146</v>
      </c>
    </row>
    <row r="1514" spans="1:4" x14ac:dyDescent="0.25">
      <c r="A1514" t="s">
        <v>3736</v>
      </c>
      <c r="B1514" t="s">
        <v>38</v>
      </c>
      <c r="C1514" s="1">
        <v>45856.572222222225</v>
      </c>
      <c r="D1514" t="s">
        <v>5146</v>
      </c>
    </row>
    <row r="1515" spans="1:4" x14ac:dyDescent="0.25">
      <c r="A1515" t="s">
        <v>3737</v>
      </c>
      <c r="B1515" t="s">
        <v>38</v>
      </c>
      <c r="C1515" s="1">
        <v>45856.581250000003</v>
      </c>
      <c r="D1515" t="s">
        <v>5146</v>
      </c>
    </row>
    <row r="1516" spans="1:4" x14ac:dyDescent="0.25">
      <c r="A1516" t="s">
        <v>3738</v>
      </c>
      <c r="B1516" t="s">
        <v>38</v>
      </c>
      <c r="C1516" s="1">
        <v>45860.6875</v>
      </c>
      <c r="D1516" t="s">
        <v>5146</v>
      </c>
    </row>
    <row r="1517" spans="1:4" x14ac:dyDescent="0.25">
      <c r="A1517" t="s">
        <v>3739</v>
      </c>
      <c r="B1517" t="s">
        <v>38</v>
      </c>
      <c r="C1517" s="1">
        <v>45842.586111111108</v>
      </c>
      <c r="D1517" t="s">
        <v>5146</v>
      </c>
    </row>
    <row r="1518" spans="1:4" x14ac:dyDescent="0.25">
      <c r="A1518" t="s">
        <v>3740</v>
      </c>
      <c r="B1518" t="s">
        <v>38</v>
      </c>
      <c r="C1518" s="1">
        <v>45856.62777777778</v>
      </c>
      <c r="D1518" t="s">
        <v>5146</v>
      </c>
    </row>
    <row r="1519" spans="1:4" x14ac:dyDescent="0.25">
      <c r="A1519" t="s">
        <v>3741</v>
      </c>
      <c r="B1519" t="s">
        <v>38</v>
      </c>
      <c r="C1519" s="1">
        <v>45818.793749999997</v>
      </c>
      <c r="D1519" t="s">
        <v>5146</v>
      </c>
    </row>
    <row r="1520" spans="1:4" x14ac:dyDescent="0.25">
      <c r="A1520" t="s">
        <v>3742</v>
      </c>
      <c r="B1520" t="s">
        <v>39</v>
      </c>
      <c r="C1520" s="1">
        <v>45829.480555555558</v>
      </c>
      <c r="D1520" t="s">
        <v>5146</v>
      </c>
    </row>
    <row r="1521" spans="1:4" x14ac:dyDescent="0.25">
      <c r="A1521" t="s">
        <v>3743</v>
      </c>
      <c r="B1521" t="s">
        <v>38</v>
      </c>
      <c r="C1521" s="1">
        <v>45860.689583333333</v>
      </c>
      <c r="D1521" t="s">
        <v>5146</v>
      </c>
    </row>
    <row r="1522" spans="1:4" x14ac:dyDescent="0.25">
      <c r="A1522" t="s">
        <v>3744</v>
      </c>
      <c r="B1522" t="s">
        <v>38</v>
      </c>
      <c r="C1522" s="1">
        <v>45856.631249999999</v>
      </c>
      <c r="D1522" t="s">
        <v>5146</v>
      </c>
    </row>
    <row r="1523" spans="1:4" x14ac:dyDescent="0.25">
      <c r="A1523" t="s">
        <v>3745</v>
      </c>
      <c r="B1523" t="s">
        <v>38</v>
      </c>
      <c r="C1523" s="1">
        <v>45860.69027777778</v>
      </c>
      <c r="D1523" t="s">
        <v>5146</v>
      </c>
    </row>
    <row r="1524" spans="1:4" x14ac:dyDescent="0.25">
      <c r="A1524" t="s">
        <v>3746</v>
      </c>
      <c r="B1524" t="s">
        <v>38</v>
      </c>
      <c r="C1524" s="1">
        <v>45833.577777777777</v>
      </c>
      <c r="D1524" t="s">
        <v>5146</v>
      </c>
    </row>
    <row r="1525" spans="1:4" x14ac:dyDescent="0.25">
      <c r="A1525" t="s">
        <v>3747</v>
      </c>
      <c r="B1525" t="s">
        <v>38</v>
      </c>
      <c r="C1525" s="1">
        <v>45856.633333333331</v>
      </c>
      <c r="D1525" t="s">
        <v>5146</v>
      </c>
    </row>
    <row r="1526" spans="1:4" x14ac:dyDescent="0.25">
      <c r="A1526" t="s">
        <v>3748</v>
      </c>
      <c r="B1526" t="s">
        <v>38</v>
      </c>
      <c r="C1526" s="1">
        <v>45856.634027777778</v>
      </c>
      <c r="D1526" t="s">
        <v>5146</v>
      </c>
    </row>
    <row r="1527" spans="1:4" x14ac:dyDescent="0.25">
      <c r="A1527" t="s">
        <v>3749</v>
      </c>
      <c r="B1527" t="s">
        <v>38</v>
      </c>
      <c r="C1527" s="1">
        <v>45833.572222222225</v>
      </c>
      <c r="D1527" t="s">
        <v>5146</v>
      </c>
    </row>
    <row r="1528" spans="1:4" x14ac:dyDescent="0.25">
      <c r="A1528" t="s">
        <v>3750</v>
      </c>
      <c r="B1528" t="s">
        <v>38</v>
      </c>
      <c r="C1528" s="1">
        <v>45856.635416666664</v>
      </c>
      <c r="D1528" t="s">
        <v>5146</v>
      </c>
    </row>
    <row r="1529" spans="1:4" x14ac:dyDescent="0.25">
      <c r="A1529" t="s">
        <v>3751</v>
      </c>
      <c r="B1529" t="s">
        <v>39</v>
      </c>
      <c r="C1529" s="1">
        <v>45834.481249999997</v>
      </c>
      <c r="D1529" t="s">
        <v>5146</v>
      </c>
    </row>
    <row r="1530" spans="1:4" x14ac:dyDescent="0.25">
      <c r="A1530" t="s">
        <v>3752</v>
      </c>
      <c r="B1530" t="s">
        <v>38</v>
      </c>
      <c r="C1530" s="1">
        <v>45856.636111111111</v>
      </c>
      <c r="D1530" t="s">
        <v>5146</v>
      </c>
    </row>
    <row r="1531" spans="1:4" x14ac:dyDescent="0.25">
      <c r="A1531" t="s">
        <v>3753</v>
      </c>
      <c r="B1531" t="s">
        <v>38</v>
      </c>
      <c r="C1531" s="1">
        <v>45856.646527777775</v>
      </c>
      <c r="D1531" t="s">
        <v>5146</v>
      </c>
    </row>
    <row r="1532" spans="1:4" x14ac:dyDescent="0.25">
      <c r="A1532" t="s">
        <v>3754</v>
      </c>
      <c r="B1532" t="s">
        <v>38</v>
      </c>
      <c r="C1532" s="1">
        <v>45891.767361111109</v>
      </c>
      <c r="D1532" t="s">
        <v>5146</v>
      </c>
    </row>
    <row r="1533" spans="1:4" x14ac:dyDescent="0.25">
      <c r="A1533" t="s">
        <v>3755</v>
      </c>
      <c r="B1533" t="s">
        <v>38</v>
      </c>
      <c r="C1533" s="1">
        <v>45856.646527777775</v>
      </c>
      <c r="D1533" t="s">
        <v>5146</v>
      </c>
    </row>
    <row r="1534" spans="1:4" x14ac:dyDescent="0.25">
      <c r="A1534" t="s">
        <v>3756</v>
      </c>
      <c r="B1534" t="s">
        <v>38</v>
      </c>
      <c r="C1534" s="1">
        <v>45832.431944444441</v>
      </c>
      <c r="D1534" t="s">
        <v>5146</v>
      </c>
    </row>
    <row r="1535" spans="1:4" x14ac:dyDescent="0.25">
      <c r="A1535" t="s">
        <v>3757</v>
      </c>
      <c r="B1535" t="s">
        <v>38</v>
      </c>
      <c r="C1535" s="1">
        <v>45856.647222222222</v>
      </c>
      <c r="D1535" t="s">
        <v>5146</v>
      </c>
    </row>
    <row r="1536" spans="1:4" x14ac:dyDescent="0.25">
      <c r="A1536" t="s">
        <v>3758</v>
      </c>
      <c r="B1536" t="s">
        <v>38</v>
      </c>
      <c r="C1536" s="1">
        <v>45856.647916666669</v>
      </c>
      <c r="D1536" t="s">
        <v>5146</v>
      </c>
    </row>
    <row r="1537" spans="1:4" x14ac:dyDescent="0.25">
      <c r="A1537" t="s">
        <v>3759</v>
      </c>
      <c r="B1537" t="s">
        <v>38</v>
      </c>
      <c r="C1537" s="1">
        <v>45856.647916666669</v>
      </c>
      <c r="D1537" t="s">
        <v>5146</v>
      </c>
    </row>
    <row r="1538" spans="1:4" x14ac:dyDescent="0.25">
      <c r="A1538" t="s">
        <v>3760</v>
      </c>
      <c r="B1538" t="s">
        <v>38</v>
      </c>
      <c r="C1538" s="1">
        <v>45860.697916666664</v>
      </c>
      <c r="D1538" t="s">
        <v>5146</v>
      </c>
    </row>
    <row r="1539" spans="1:4" x14ac:dyDescent="0.25">
      <c r="A1539" t="s">
        <v>3761</v>
      </c>
      <c r="B1539" t="s">
        <v>38</v>
      </c>
      <c r="C1539" s="1">
        <v>45856.654861111114</v>
      </c>
      <c r="D1539" t="s">
        <v>5146</v>
      </c>
    </row>
    <row r="1540" spans="1:4" x14ac:dyDescent="0.25">
      <c r="A1540" t="s">
        <v>3762</v>
      </c>
      <c r="B1540" t="s">
        <v>38</v>
      </c>
      <c r="C1540" s="1">
        <v>45835.723611111112</v>
      </c>
      <c r="D1540" t="s">
        <v>5146</v>
      </c>
    </row>
    <row r="1541" spans="1:4" x14ac:dyDescent="0.25">
      <c r="A1541" t="s">
        <v>3763</v>
      </c>
      <c r="B1541" t="s">
        <v>38</v>
      </c>
      <c r="C1541" s="1">
        <v>45878.781944444447</v>
      </c>
      <c r="D1541" t="s">
        <v>5146</v>
      </c>
    </row>
    <row r="1542" spans="1:4" x14ac:dyDescent="0.25">
      <c r="A1542" t="s">
        <v>3764</v>
      </c>
      <c r="B1542" t="s">
        <v>38</v>
      </c>
      <c r="C1542" s="1">
        <v>45856.655555555553</v>
      </c>
      <c r="D1542" t="s">
        <v>5146</v>
      </c>
    </row>
    <row r="1543" spans="1:4" x14ac:dyDescent="0.25">
      <c r="A1543" t="s">
        <v>3765</v>
      </c>
      <c r="B1543" t="s">
        <v>38</v>
      </c>
      <c r="C1543" s="1">
        <v>45856.655555555553</v>
      </c>
      <c r="D1543" t="s">
        <v>5146</v>
      </c>
    </row>
    <row r="1544" spans="1:4" x14ac:dyDescent="0.25">
      <c r="A1544" t="s">
        <v>3766</v>
      </c>
      <c r="B1544" t="s">
        <v>38</v>
      </c>
      <c r="C1544" s="1">
        <v>45856.65625</v>
      </c>
      <c r="D1544" t="s">
        <v>5146</v>
      </c>
    </row>
    <row r="1545" spans="1:4" x14ac:dyDescent="0.25">
      <c r="A1545" t="s">
        <v>3767</v>
      </c>
      <c r="B1545" t="s">
        <v>39</v>
      </c>
      <c r="C1545" s="1">
        <v>45830.013194444444</v>
      </c>
      <c r="D1545" t="s">
        <v>5146</v>
      </c>
    </row>
    <row r="1546" spans="1:4" x14ac:dyDescent="0.25">
      <c r="A1546" t="s">
        <v>3768</v>
      </c>
      <c r="B1546" t="s">
        <v>38</v>
      </c>
      <c r="C1546" s="1">
        <v>45895.003472222219</v>
      </c>
      <c r="D1546" t="s">
        <v>5146</v>
      </c>
    </row>
    <row r="1547" spans="1:4" x14ac:dyDescent="0.25">
      <c r="A1547" t="s">
        <v>3769</v>
      </c>
      <c r="B1547" t="s">
        <v>38</v>
      </c>
      <c r="C1547" s="1">
        <v>45856.657638888886</v>
      </c>
      <c r="D1547" t="s">
        <v>5146</v>
      </c>
    </row>
    <row r="1548" spans="1:4" x14ac:dyDescent="0.25">
      <c r="A1548" t="s">
        <v>3770</v>
      </c>
      <c r="B1548" t="s">
        <v>38</v>
      </c>
      <c r="C1548" s="1">
        <v>45856.658333333333</v>
      </c>
      <c r="D1548" t="s">
        <v>5146</v>
      </c>
    </row>
    <row r="1549" spans="1:4" x14ac:dyDescent="0.25">
      <c r="A1549" t="s">
        <v>3771</v>
      </c>
      <c r="B1549" t="s">
        <v>38</v>
      </c>
      <c r="C1549" s="1">
        <v>45856.65902777778</v>
      </c>
      <c r="D1549" t="s">
        <v>5146</v>
      </c>
    </row>
    <row r="1550" spans="1:4" x14ac:dyDescent="0.25">
      <c r="A1550" t="s">
        <v>3772</v>
      </c>
      <c r="B1550" t="s">
        <v>38</v>
      </c>
      <c r="C1550" s="1">
        <v>45856.661111111112</v>
      </c>
      <c r="D1550" t="s">
        <v>5146</v>
      </c>
    </row>
    <row r="1551" spans="1:4" x14ac:dyDescent="0.25">
      <c r="A1551" t="s">
        <v>3773</v>
      </c>
      <c r="B1551" t="s">
        <v>38</v>
      </c>
      <c r="C1551" s="1">
        <v>45846.689583333333</v>
      </c>
      <c r="D1551" t="s">
        <v>5146</v>
      </c>
    </row>
    <row r="1552" spans="1:4" x14ac:dyDescent="0.25">
      <c r="A1552" t="s">
        <v>3774</v>
      </c>
      <c r="B1552" t="s">
        <v>38</v>
      </c>
      <c r="C1552" s="1">
        <v>45839.671527777777</v>
      </c>
      <c r="D1552" t="s">
        <v>5146</v>
      </c>
    </row>
    <row r="1553" spans="1:4" x14ac:dyDescent="0.25">
      <c r="A1553" t="s">
        <v>3775</v>
      </c>
      <c r="B1553" t="s">
        <v>38</v>
      </c>
      <c r="C1553" s="1">
        <v>45856.661805555559</v>
      </c>
      <c r="D1553" t="s">
        <v>5146</v>
      </c>
    </row>
    <row r="1554" spans="1:4" x14ac:dyDescent="0.25">
      <c r="A1554" t="s">
        <v>3776</v>
      </c>
      <c r="B1554" t="s">
        <v>38</v>
      </c>
      <c r="C1554" s="1">
        <v>45842.602777777778</v>
      </c>
      <c r="D1554" t="s">
        <v>5146</v>
      </c>
    </row>
    <row r="1555" spans="1:4" x14ac:dyDescent="0.25">
      <c r="A1555" t="s">
        <v>3777</v>
      </c>
      <c r="B1555" t="s">
        <v>38</v>
      </c>
      <c r="C1555" s="1">
        <v>45856.662499999999</v>
      </c>
      <c r="D1555" t="s">
        <v>5146</v>
      </c>
    </row>
    <row r="1556" spans="1:4" x14ac:dyDescent="0.25">
      <c r="A1556" t="s">
        <v>3778</v>
      </c>
      <c r="B1556" t="s">
        <v>39</v>
      </c>
      <c r="C1556" s="1">
        <v>45871.726388888892</v>
      </c>
      <c r="D1556" t="s">
        <v>5146</v>
      </c>
    </row>
    <row r="1557" spans="1:4" x14ac:dyDescent="0.25">
      <c r="A1557" t="s">
        <v>3779</v>
      </c>
      <c r="B1557" t="s">
        <v>38</v>
      </c>
      <c r="C1557" s="1">
        <v>45856.663194444445</v>
      </c>
      <c r="D1557" t="s">
        <v>5146</v>
      </c>
    </row>
    <row r="1558" spans="1:4" x14ac:dyDescent="0.25">
      <c r="A1558" t="s">
        <v>3780</v>
      </c>
      <c r="B1558" t="s">
        <v>38</v>
      </c>
      <c r="C1558" s="1">
        <v>45856.663888888892</v>
      </c>
      <c r="D1558" t="s">
        <v>5146</v>
      </c>
    </row>
    <row r="1559" spans="1:4" x14ac:dyDescent="0.25">
      <c r="A1559" t="s">
        <v>3781</v>
      </c>
      <c r="B1559" t="s">
        <v>38</v>
      </c>
      <c r="C1559" s="1">
        <v>45829.443749999999</v>
      </c>
      <c r="D1559" t="s">
        <v>5146</v>
      </c>
    </row>
    <row r="1560" spans="1:4" x14ac:dyDescent="0.25">
      <c r="A1560" t="s">
        <v>3782</v>
      </c>
      <c r="B1560" t="s">
        <v>38</v>
      </c>
      <c r="C1560" s="1">
        <v>45894.730555555558</v>
      </c>
      <c r="D1560" t="s">
        <v>5146</v>
      </c>
    </row>
    <row r="1561" spans="1:4" x14ac:dyDescent="0.25">
      <c r="A1561" t="s">
        <v>3783</v>
      </c>
      <c r="B1561" t="s">
        <v>38</v>
      </c>
      <c r="C1561" s="1">
        <v>45829.46875</v>
      </c>
      <c r="D1561" t="s">
        <v>5146</v>
      </c>
    </row>
    <row r="1562" spans="1:4" x14ac:dyDescent="0.25">
      <c r="A1562" t="s">
        <v>3784</v>
      </c>
      <c r="B1562" t="s">
        <v>38</v>
      </c>
      <c r="C1562" s="1">
        <v>45856.663888888892</v>
      </c>
      <c r="D1562" t="s">
        <v>5146</v>
      </c>
    </row>
    <row r="1563" spans="1:4" x14ac:dyDescent="0.25">
      <c r="A1563" t="s">
        <v>447</v>
      </c>
      <c r="B1563" t="s">
        <v>38</v>
      </c>
      <c r="C1563" s="1">
        <v>46039.544444444444</v>
      </c>
      <c r="D1563" t="s">
        <v>5146</v>
      </c>
    </row>
    <row r="1564" spans="1:4" x14ac:dyDescent="0.25">
      <c r="A1564" t="s">
        <v>3785</v>
      </c>
      <c r="B1564" t="s">
        <v>38</v>
      </c>
      <c r="C1564" s="1">
        <v>45856.664583333331</v>
      </c>
      <c r="D1564" t="s">
        <v>5146</v>
      </c>
    </row>
    <row r="1565" spans="1:4" x14ac:dyDescent="0.25">
      <c r="A1565" t="s">
        <v>448</v>
      </c>
      <c r="B1565" t="s">
        <v>38</v>
      </c>
      <c r="C1565" s="1">
        <v>46036.61041666667</v>
      </c>
      <c r="D1565" t="s">
        <v>5146</v>
      </c>
    </row>
    <row r="1566" spans="1:4" x14ac:dyDescent="0.25">
      <c r="A1566" t="s">
        <v>3786</v>
      </c>
      <c r="B1566" t="s">
        <v>38</v>
      </c>
      <c r="C1566" s="1">
        <v>45856.664583333331</v>
      </c>
      <c r="D1566" t="s">
        <v>5146</v>
      </c>
    </row>
    <row r="1567" spans="1:4" x14ac:dyDescent="0.25">
      <c r="A1567" t="s">
        <v>3787</v>
      </c>
      <c r="B1567" t="s">
        <v>38</v>
      </c>
      <c r="C1567" s="1">
        <v>45841.013888888891</v>
      </c>
      <c r="D1567" t="s">
        <v>5146</v>
      </c>
    </row>
    <row r="1568" spans="1:4" x14ac:dyDescent="0.25">
      <c r="A1568" t="s">
        <v>449</v>
      </c>
      <c r="B1568" t="s">
        <v>38</v>
      </c>
      <c r="C1568" s="1">
        <v>46039.546527777777</v>
      </c>
      <c r="D1568" t="s">
        <v>5146</v>
      </c>
    </row>
    <row r="1569" spans="1:4" x14ac:dyDescent="0.25">
      <c r="A1569" t="s">
        <v>3788</v>
      </c>
      <c r="B1569" t="s">
        <v>38</v>
      </c>
      <c r="C1569" s="1">
        <v>45856.665277777778</v>
      </c>
      <c r="D1569" t="s">
        <v>5146</v>
      </c>
    </row>
    <row r="1570" spans="1:4" x14ac:dyDescent="0.25">
      <c r="A1570" t="s">
        <v>3789</v>
      </c>
      <c r="B1570" t="s">
        <v>38</v>
      </c>
      <c r="C1570" s="1">
        <v>45856.665972222225</v>
      </c>
      <c r="D1570" t="s">
        <v>5146</v>
      </c>
    </row>
    <row r="1571" spans="1:4" x14ac:dyDescent="0.25">
      <c r="A1571" t="s">
        <v>3790</v>
      </c>
      <c r="B1571" t="s">
        <v>38</v>
      </c>
      <c r="C1571" s="1">
        <v>45856.666666666664</v>
      </c>
      <c r="D1571" t="s">
        <v>5146</v>
      </c>
    </row>
    <row r="1572" spans="1:4" x14ac:dyDescent="0.25">
      <c r="A1572" t="s">
        <v>3791</v>
      </c>
      <c r="B1572" t="s">
        <v>38</v>
      </c>
      <c r="C1572" s="1">
        <v>45856.668055555558</v>
      </c>
      <c r="D1572" t="s">
        <v>5146</v>
      </c>
    </row>
    <row r="1573" spans="1:4" x14ac:dyDescent="0.25">
      <c r="A1573" t="s">
        <v>3792</v>
      </c>
      <c r="B1573" t="s">
        <v>38</v>
      </c>
      <c r="C1573" s="1">
        <v>45856.670138888891</v>
      </c>
      <c r="D1573" t="s">
        <v>5146</v>
      </c>
    </row>
    <row r="1574" spans="1:4" x14ac:dyDescent="0.25">
      <c r="A1574" t="s">
        <v>3793</v>
      </c>
      <c r="B1574" t="s">
        <v>38</v>
      </c>
      <c r="C1574" s="1">
        <v>45856.67083333333</v>
      </c>
      <c r="D1574" t="s">
        <v>5146</v>
      </c>
    </row>
    <row r="1575" spans="1:4" x14ac:dyDescent="0.25">
      <c r="A1575" t="s">
        <v>3794</v>
      </c>
      <c r="B1575" t="s">
        <v>38</v>
      </c>
      <c r="C1575" s="1">
        <v>45856.671527777777</v>
      </c>
      <c r="D1575" t="s">
        <v>5146</v>
      </c>
    </row>
    <row r="1576" spans="1:4" x14ac:dyDescent="0.25">
      <c r="A1576" t="s">
        <v>3795</v>
      </c>
      <c r="B1576" t="s">
        <v>38</v>
      </c>
      <c r="C1576" s="1">
        <v>45856.67291666667</v>
      </c>
      <c r="D1576" t="s">
        <v>5146</v>
      </c>
    </row>
    <row r="1577" spans="1:4" x14ac:dyDescent="0.25">
      <c r="A1577" t="s">
        <v>3796</v>
      </c>
      <c r="B1577" t="s">
        <v>38</v>
      </c>
      <c r="C1577" s="1">
        <v>45856.673611111109</v>
      </c>
      <c r="D1577" t="s">
        <v>5146</v>
      </c>
    </row>
    <row r="1578" spans="1:4" x14ac:dyDescent="0.25">
      <c r="A1578" t="s">
        <v>3797</v>
      </c>
      <c r="B1578" t="s">
        <v>38</v>
      </c>
      <c r="C1578" s="1">
        <v>45856.675694444442</v>
      </c>
      <c r="D1578" t="s">
        <v>5146</v>
      </c>
    </row>
    <row r="1579" spans="1:4" x14ac:dyDescent="0.25">
      <c r="A1579" t="s">
        <v>432</v>
      </c>
      <c r="B1579" t="s">
        <v>38</v>
      </c>
      <c r="C1579" s="1">
        <v>46034.604166666664</v>
      </c>
      <c r="D1579" t="s">
        <v>5146</v>
      </c>
    </row>
    <row r="1580" spans="1:4" x14ac:dyDescent="0.25">
      <c r="A1580" t="s">
        <v>3798</v>
      </c>
      <c r="B1580" t="s">
        <v>38</v>
      </c>
      <c r="C1580" s="1">
        <v>45856.677083333336</v>
      </c>
      <c r="D1580" t="s">
        <v>5146</v>
      </c>
    </row>
    <row r="1581" spans="1:4" x14ac:dyDescent="0.25">
      <c r="A1581" t="s">
        <v>3799</v>
      </c>
      <c r="B1581" t="s">
        <v>38</v>
      </c>
      <c r="C1581" s="1">
        <v>45856.677777777775</v>
      </c>
      <c r="D1581" t="s">
        <v>5146</v>
      </c>
    </row>
    <row r="1582" spans="1:4" x14ac:dyDescent="0.25">
      <c r="A1582" t="s">
        <v>3800</v>
      </c>
      <c r="B1582" t="s">
        <v>38</v>
      </c>
      <c r="C1582" s="1">
        <v>45895.009722222225</v>
      </c>
      <c r="D1582" t="s">
        <v>5146</v>
      </c>
    </row>
    <row r="1583" spans="1:4" x14ac:dyDescent="0.25">
      <c r="A1583" t="s">
        <v>3801</v>
      </c>
      <c r="B1583" t="s">
        <v>38</v>
      </c>
      <c r="C1583" s="1">
        <v>45860.709722222222</v>
      </c>
      <c r="D1583" t="s">
        <v>5146</v>
      </c>
    </row>
    <row r="1584" spans="1:4" x14ac:dyDescent="0.25">
      <c r="A1584" t="s">
        <v>433</v>
      </c>
      <c r="B1584" t="s">
        <v>38</v>
      </c>
      <c r="C1584" s="1">
        <v>46034.579861111109</v>
      </c>
      <c r="D1584" t="s">
        <v>5146</v>
      </c>
    </row>
    <row r="1585" spans="1:4" x14ac:dyDescent="0.25">
      <c r="A1585" t="s">
        <v>3802</v>
      </c>
      <c r="B1585" t="s">
        <v>38</v>
      </c>
      <c r="C1585" s="1">
        <v>45841.006944444445</v>
      </c>
      <c r="D1585" t="s">
        <v>5146</v>
      </c>
    </row>
    <row r="1586" spans="1:4" x14ac:dyDescent="0.25">
      <c r="A1586" t="s">
        <v>3803</v>
      </c>
      <c r="B1586" t="s">
        <v>39</v>
      </c>
      <c r="C1586" s="1">
        <v>45871.597916666666</v>
      </c>
      <c r="D1586" t="s">
        <v>5146</v>
      </c>
    </row>
    <row r="1587" spans="1:4" x14ac:dyDescent="0.25">
      <c r="A1587" t="s">
        <v>3804</v>
      </c>
      <c r="B1587" t="s">
        <v>38</v>
      </c>
      <c r="C1587" s="1">
        <v>45877.571527777778</v>
      </c>
      <c r="D1587" t="s">
        <v>5146</v>
      </c>
    </row>
    <row r="1588" spans="1:4" x14ac:dyDescent="0.25">
      <c r="A1588" t="s">
        <v>3805</v>
      </c>
      <c r="B1588" t="s">
        <v>39</v>
      </c>
      <c r="C1588" s="1">
        <v>45870.74722222222</v>
      </c>
      <c r="D1588" t="s">
        <v>5146</v>
      </c>
    </row>
    <row r="1589" spans="1:4" x14ac:dyDescent="0.25">
      <c r="A1589" t="s">
        <v>3806</v>
      </c>
      <c r="B1589" t="s">
        <v>38</v>
      </c>
      <c r="C1589" s="1">
        <v>45856.68472222222</v>
      </c>
      <c r="D1589" t="s">
        <v>5146</v>
      </c>
    </row>
    <row r="1590" spans="1:4" x14ac:dyDescent="0.25">
      <c r="A1590" t="s">
        <v>3807</v>
      </c>
      <c r="B1590" t="s">
        <v>38</v>
      </c>
      <c r="C1590" s="1">
        <v>45856.68472222222</v>
      </c>
      <c r="D1590" t="s">
        <v>5146</v>
      </c>
    </row>
    <row r="1591" spans="1:4" x14ac:dyDescent="0.25">
      <c r="A1591" t="s">
        <v>3808</v>
      </c>
      <c r="B1591" t="s">
        <v>38</v>
      </c>
      <c r="C1591" s="1">
        <v>45856.6875</v>
      </c>
      <c r="D1591" t="s">
        <v>5146</v>
      </c>
    </row>
    <row r="1592" spans="1:4" x14ac:dyDescent="0.25">
      <c r="A1592" t="s">
        <v>3809</v>
      </c>
      <c r="B1592" t="s">
        <v>38</v>
      </c>
      <c r="C1592" s="1">
        <v>45856.688888888886</v>
      </c>
      <c r="D1592" t="s">
        <v>5146</v>
      </c>
    </row>
    <row r="1593" spans="1:4" x14ac:dyDescent="0.25">
      <c r="A1593" t="s">
        <v>3810</v>
      </c>
      <c r="B1593" t="s">
        <v>38</v>
      </c>
      <c r="C1593" s="1">
        <v>45856.689583333333</v>
      </c>
      <c r="D1593" t="s">
        <v>5146</v>
      </c>
    </row>
    <row r="1594" spans="1:4" x14ac:dyDescent="0.25">
      <c r="A1594" t="s">
        <v>3811</v>
      </c>
      <c r="B1594" t="s">
        <v>38</v>
      </c>
      <c r="C1594" s="1">
        <v>45856.690972222219</v>
      </c>
      <c r="D1594" t="s">
        <v>5146</v>
      </c>
    </row>
    <row r="1595" spans="1:4" x14ac:dyDescent="0.25">
      <c r="A1595" t="s">
        <v>3812</v>
      </c>
      <c r="B1595" t="s">
        <v>38</v>
      </c>
      <c r="C1595" s="1">
        <v>45856.692361111112</v>
      </c>
      <c r="D1595" t="s">
        <v>5146</v>
      </c>
    </row>
    <row r="1596" spans="1:4" x14ac:dyDescent="0.25">
      <c r="A1596" t="s">
        <v>3813</v>
      </c>
      <c r="B1596" t="s">
        <v>38</v>
      </c>
      <c r="C1596" s="1">
        <v>45856.693055555559</v>
      </c>
      <c r="D1596" t="s">
        <v>5146</v>
      </c>
    </row>
    <row r="1597" spans="1:4" x14ac:dyDescent="0.25">
      <c r="A1597" t="s">
        <v>3814</v>
      </c>
      <c r="B1597" t="s">
        <v>38</v>
      </c>
      <c r="C1597" s="1">
        <v>45827.82916666667</v>
      </c>
      <c r="D1597" t="s">
        <v>5146</v>
      </c>
    </row>
    <row r="1598" spans="1:4" x14ac:dyDescent="0.25">
      <c r="A1598" t="s">
        <v>3815</v>
      </c>
      <c r="B1598" t="s">
        <v>38</v>
      </c>
      <c r="C1598" s="1">
        <v>45856.695833333331</v>
      </c>
      <c r="D1598" t="s">
        <v>5146</v>
      </c>
    </row>
    <row r="1599" spans="1:4" x14ac:dyDescent="0.25">
      <c r="A1599" t="s">
        <v>3816</v>
      </c>
      <c r="B1599" t="s">
        <v>38</v>
      </c>
      <c r="C1599" s="1">
        <v>45856.697222222225</v>
      </c>
      <c r="D1599" t="s">
        <v>5146</v>
      </c>
    </row>
    <row r="1600" spans="1:4" x14ac:dyDescent="0.25">
      <c r="A1600" t="s">
        <v>3817</v>
      </c>
      <c r="B1600" t="s">
        <v>38</v>
      </c>
      <c r="C1600" s="1">
        <v>45856.697916666664</v>
      </c>
      <c r="D1600" t="s">
        <v>5146</v>
      </c>
    </row>
    <row r="1601" spans="1:4" x14ac:dyDescent="0.25">
      <c r="A1601" t="s">
        <v>3818</v>
      </c>
      <c r="B1601" t="s">
        <v>38</v>
      </c>
      <c r="C1601" s="1">
        <v>45829.601388888892</v>
      </c>
      <c r="D1601" t="s">
        <v>5146</v>
      </c>
    </row>
    <row r="1602" spans="1:4" x14ac:dyDescent="0.25">
      <c r="A1602" t="s">
        <v>3819</v>
      </c>
      <c r="B1602" t="s">
        <v>38</v>
      </c>
      <c r="C1602" s="1">
        <v>45856.699305555558</v>
      </c>
      <c r="D1602" t="s">
        <v>5146</v>
      </c>
    </row>
    <row r="1603" spans="1:4" x14ac:dyDescent="0.25">
      <c r="A1603" t="s">
        <v>3820</v>
      </c>
      <c r="B1603" t="s">
        <v>38</v>
      </c>
      <c r="C1603" s="1">
        <v>45856.701388888891</v>
      </c>
      <c r="D1603" t="s">
        <v>5146</v>
      </c>
    </row>
    <row r="1604" spans="1:4" x14ac:dyDescent="0.25">
      <c r="A1604" t="s">
        <v>3821</v>
      </c>
      <c r="B1604" t="s">
        <v>38</v>
      </c>
      <c r="C1604" s="1">
        <v>45856.702777777777</v>
      </c>
      <c r="D1604" t="s">
        <v>5146</v>
      </c>
    </row>
    <row r="1605" spans="1:4" x14ac:dyDescent="0.25">
      <c r="A1605" t="s">
        <v>3822</v>
      </c>
      <c r="B1605" t="s">
        <v>38</v>
      </c>
      <c r="C1605" s="1">
        <v>45856.70416666667</v>
      </c>
      <c r="D1605" t="s">
        <v>5146</v>
      </c>
    </row>
    <row r="1606" spans="1:4" x14ac:dyDescent="0.25">
      <c r="A1606" t="s">
        <v>3823</v>
      </c>
      <c r="B1606" t="s">
        <v>38</v>
      </c>
      <c r="C1606" s="1">
        <v>45856.704861111109</v>
      </c>
      <c r="D1606" t="s">
        <v>5146</v>
      </c>
    </row>
    <row r="1607" spans="1:4" x14ac:dyDescent="0.25">
      <c r="A1607" t="s">
        <v>3824</v>
      </c>
      <c r="B1607" t="s">
        <v>38</v>
      </c>
      <c r="C1607" s="1">
        <v>45856.7</v>
      </c>
      <c r="D1607" t="s">
        <v>5146</v>
      </c>
    </row>
    <row r="1608" spans="1:4" x14ac:dyDescent="0.25">
      <c r="A1608" t="s">
        <v>3825</v>
      </c>
      <c r="B1608" t="s">
        <v>38</v>
      </c>
      <c r="C1608" s="1">
        <v>45856.70208333333</v>
      </c>
      <c r="D1608" t="s">
        <v>5146</v>
      </c>
    </row>
    <row r="1609" spans="1:4" x14ac:dyDescent="0.25">
      <c r="A1609" t="s">
        <v>430</v>
      </c>
      <c r="B1609" t="s">
        <v>38</v>
      </c>
      <c r="C1609" s="1">
        <v>46038.57916666667</v>
      </c>
      <c r="D1609" t="s">
        <v>5146</v>
      </c>
    </row>
    <row r="1610" spans="1:4" x14ac:dyDescent="0.25">
      <c r="A1610" t="s">
        <v>3826</v>
      </c>
      <c r="B1610" t="s">
        <v>38</v>
      </c>
      <c r="C1610" s="1">
        <v>45856.70208333333</v>
      </c>
      <c r="D1610" t="s">
        <v>5146</v>
      </c>
    </row>
    <row r="1611" spans="1:4" x14ac:dyDescent="0.25">
      <c r="A1611" t="s">
        <v>3827</v>
      </c>
      <c r="B1611" t="s">
        <v>38</v>
      </c>
      <c r="C1611" s="1">
        <v>45856.703472222223</v>
      </c>
      <c r="D1611" t="s">
        <v>5146</v>
      </c>
    </row>
    <row r="1612" spans="1:4" x14ac:dyDescent="0.25">
      <c r="A1612" t="s">
        <v>3828</v>
      </c>
      <c r="B1612" t="s">
        <v>38</v>
      </c>
      <c r="C1612" s="1">
        <v>45860.710416666669</v>
      </c>
      <c r="D1612" t="s">
        <v>5146</v>
      </c>
    </row>
    <row r="1613" spans="1:4" x14ac:dyDescent="0.25">
      <c r="A1613" t="s">
        <v>3829</v>
      </c>
      <c r="B1613" t="s">
        <v>38</v>
      </c>
      <c r="C1613" s="1">
        <v>45915.738194444442</v>
      </c>
      <c r="D1613" t="s">
        <v>5146</v>
      </c>
    </row>
    <row r="1614" spans="1:4" x14ac:dyDescent="0.25">
      <c r="A1614" t="s">
        <v>3830</v>
      </c>
      <c r="B1614" t="s">
        <v>38</v>
      </c>
      <c r="C1614" s="1">
        <v>45856.70416666667</v>
      </c>
      <c r="D1614" t="s">
        <v>5146</v>
      </c>
    </row>
    <row r="1615" spans="1:4" x14ac:dyDescent="0.25">
      <c r="A1615" t="s">
        <v>3831</v>
      </c>
      <c r="B1615" t="s">
        <v>38</v>
      </c>
      <c r="C1615" s="1">
        <v>45856.705555555556</v>
      </c>
      <c r="D1615" t="s">
        <v>5146</v>
      </c>
    </row>
    <row r="1616" spans="1:4" x14ac:dyDescent="0.25">
      <c r="A1616" t="s">
        <v>3832</v>
      </c>
      <c r="B1616" t="s">
        <v>38</v>
      </c>
      <c r="C1616" s="1">
        <v>45881.48333333333</v>
      </c>
      <c r="D1616" t="s">
        <v>5146</v>
      </c>
    </row>
    <row r="1617" spans="1:4" x14ac:dyDescent="0.25">
      <c r="A1617" t="s">
        <v>3833</v>
      </c>
      <c r="B1617" t="s">
        <v>38</v>
      </c>
      <c r="C1617" s="1">
        <v>45856.711111111108</v>
      </c>
      <c r="D1617" t="s">
        <v>5146</v>
      </c>
    </row>
    <row r="1618" spans="1:4" x14ac:dyDescent="0.25">
      <c r="A1618" t="s">
        <v>3834</v>
      </c>
      <c r="B1618" t="s">
        <v>38</v>
      </c>
      <c r="C1618" s="1">
        <v>45856.713888888888</v>
      </c>
      <c r="D1618" t="s">
        <v>5146</v>
      </c>
    </row>
    <row r="1619" spans="1:4" x14ac:dyDescent="0.25">
      <c r="A1619" t="s">
        <v>3835</v>
      </c>
      <c r="B1619" t="s">
        <v>38</v>
      </c>
      <c r="C1619" s="1">
        <v>45856.714583333334</v>
      </c>
      <c r="D1619" t="s">
        <v>5146</v>
      </c>
    </row>
    <row r="1620" spans="1:4" x14ac:dyDescent="0.25">
      <c r="A1620" t="s">
        <v>3836</v>
      </c>
      <c r="B1620" t="s">
        <v>38</v>
      </c>
      <c r="C1620" s="1">
        <v>45861.791666666664</v>
      </c>
      <c r="D1620" t="s">
        <v>5146</v>
      </c>
    </row>
    <row r="1621" spans="1:4" x14ac:dyDescent="0.25">
      <c r="A1621" t="s">
        <v>3837</v>
      </c>
      <c r="B1621" t="s">
        <v>38</v>
      </c>
      <c r="C1621" s="1">
        <v>45856.71597222222</v>
      </c>
      <c r="D1621" t="s">
        <v>5146</v>
      </c>
    </row>
    <row r="1622" spans="1:4" x14ac:dyDescent="0.25">
      <c r="A1622" t="s">
        <v>3838</v>
      </c>
      <c r="B1622" t="s">
        <v>38</v>
      </c>
      <c r="C1622" s="1">
        <v>45856.718055555553</v>
      </c>
      <c r="D1622" t="s">
        <v>5146</v>
      </c>
    </row>
    <row r="1623" spans="1:4" x14ac:dyDescent="0.25">
      <c r="A1623" t="s">
        <v>424</v>
      </c>
      <c r="B1623" t="s">
        <v>38</v>
      </c>
      <c r="C1623" s="1">
        <v>46035.660416666666</v>
      </c>
      <c r="D1623" t="s">
        <v>5146</v>
      </c>
    </row>
    <row r="1624" spans="1:4" x14ac:dyDescent="0.25">
      <c r="A1624" t="s">
        <v>3839</v>
      </c>
      <c r="B1624" t="s">
        <v>38</v>
      </c>
      <c r="C1624" s="1">
        <v>45856.6875</v>
      </c>
      <c r="D1624" t="s">
        <v>5146</v>
      </c>
    </row>
    <row r="1625" spans="1:4" x14ac:dyDescent="0.25">
      <c r="A1625" t="s">
        <v>3840</v>
      </c>
      <c r="B1625" t="s">
        <v>38</v>
      </c>
      <c r="C1625" s="1">
        <v>45841.004166666666</v>
      </c>
      <c r="D1625" t="s">
        <v>5146</v>
      </c>
    </row>
    <row r="1626" spans="1:4" x14ac:dyDescent="0.25">
      <c r="A1626" t="s">
        <v>426</v>
      </c>
      <c r="B1626" t="s">
        <v>38</v>
      </c>
      <c r="C1626" s="1">
        <v>46050.488194444442</v>
      </c>
      <c r="D1626" t="s">
        <v>5146</v>
      </c>
    </row>
    <row r="1627" spans="1:4" x14ac:dyDescent="0.25">
      <c r="A1627" t="s">
        <v>3841</v>
      </c>
      <c r="B1627" t="s">
        <v>38</v>
      </c>
      <c r="C1627" s="1">
        <v>45888.744444444441</v>
      </c>
      <c r="D1627" t="s">
        <v>5146</v>
      </c>
    </row>
    <row r="1628" spans="1:4" x14ac:dyDescent="0.25">
      <c r="A1628" t="s">
        <v>3842</v>
      </c>
      <c r="B1628" t="s">
        <v>38</v>
      </c>
      <c r="C1628" s="1">
        <v>45856.688194444447</v>
      </c>
      <c r="D1628" t="s">
        <v>5146</v>
      </c>
    </row>
    <row r="1629" spans="1:4" x14ac:dyDescent="0.25">
      <c r="A1629" t="s">
        <v>3843</v>
      </c>
      <c r="B1629" t="s">
        <v>38</v>
      </c>
      <c r="C1629" s="1">
        <v>45856.688888888886</v>
      </c>
      <c r="D1629" t="s">
        <v>5146</v>
      </c>
    </row>
    <row r="1630" spans="1:4" x14ac:dyDescent="0.25">
      <c r="A1630" t="s">
        <v>3844</v>
      </c>
      <c r="B1630" t="s">
        <v>38</v>
      </c>
      <c r="C1630" s="1">
        <v>45856.688888888886</v>
      </c>
      <c r="D1630" t="s">
        <v>5146</v>
      </c>
    </row>
    <row r="1631" spans="1:4" x14ac:dyDescent="0.25">
      <c r="A1631" t="s">
        <v>3845</v>
      </c>
      <c r="B1631" t="s">
        <v>38</v>
      </c>
      <c r="C1631" s="1">
        <v>45845.571527777778</v>
      </c>
      <c r="D1631" t="s">
        <v>5146</v>
      </c>
    </row>
    <row r="1632" spans="1:4" x14ac:dyDescent="0.25">
      <c r="A1632" t="s">
        <v>3846</v>
      </c>
      <c r="B1632" t="s">
        <v>38</v>
      </c>
      <c r="C1632" s="1">
        <v>45847.609722222223</v>
      </c>
      <c r="D1632" t="s">
        <v>5146</v>
      </c>
    </row>
    <row r="1633" spans="1:4" x14ac:dyDescent="0.25">
      <c r="A1633" t="s">
        <v>3847</v>
      </c>
      <c r="B1633" t="s">
        <v>38</v>
      </c>
      <c r="C1633" s="1">
        <v>45856.689583333333</v>
      </c>
      <c r="D1633" t="s">
        <v>5146</v>
      </c>
    </row>
    <row r="1634" spans="1:4" x14ac:dyDescent="0.25">
      <c r="A1634" t="s">
        <v>3848</v>
      </c>
      <c r="B1634" t="s">
        <v>38</v>
      </c>
      <c r="C1634" s="1">
        <v>45860.711111111108</v>
      </c>
      <c r="D1634" t="s">
        <v>5146</v>
      </c>
    </row>
    <row r="1635" spans="1:4" x14ac:dyDescent="0.25">
      <c r="A1635" t="s">
        <v>420</v>
      </c>
      <c r="B1635" t="s">
        <v>38</v>
      </c>
      <c r="C1635" s="1">
        <v>46032.680555555555</v>
      </c>
      <c r="D1635" t="s">
        <v>5146</v>
      </c>
    </row>
    <row r="1636" spans="1:4" x14ac:dyDescent="0.25">
      <c r="A1636" t="s">
        <v>422</v>
      </c>
      <c r="B1636" t="s">
        <v>38</v>
      </c>
      <c r="C1636" s="1">
        <v>46039.695833333331</v>
      </c>
      <c r="D1636" t="s">
        <v>5146</v>
      </c>
    </row>
    <row r="1637" spans="1:4" x14ac:dyDescent="0.25">
      <c r="A1637" t="s">
        <v>3849</v>
      </c>
      <c r="B1637" t="s">
        <v>39</v>
      </c>
      <c r="C1637" s="1">
        <v>45870.747916666667</v>
      </c>
      <c r="D1637" t="s">
        <v>5146</v>
      </c>
    </row>
    <row r="1638" spans="1:4" x14ac:dyDescent="0.25">
      <c r="A1638" t="s">
        <v>3850</v>
      </c>
      <c r="B1638" t="s">
        <v>38</v>
      </c>
      <c r="C1638" s="1">
        <v>45856.694444444445</v>
      </c>
      <c r="D1638" t="s">
        <v>5146</v>
      </c>
    </row>
    <row r="1639" spans="1:4" x14ac:dyDescent="0.25">
      <c r="A1639" t="s">
        <v>3851</v>
      </c>
      <c r="B1639" t="s">
        <v>38</v>
      </c>
      <c r="C1639" s="1">
        <v>45860.711805555555</v>
      </c>
      <c r="D1639" t="s">
        <v>5146</v>
      </c>
    </row>
    <row r="1640" spans="1:4" x14ac:dyDescent="0.25">
      <c r="A1640" t="s">
        <v>3852</v>
      </c>
      <c r="B1640" t="s">
        <v>38</v>
      </c>
      <c r="C1640" s="1">
        <v>45856.708333333336</v>
      </c>
      <c r="D1640" t="s">
        <v>5146</v>
      </c>
    </row>
    <row r="1641" spans="1:4" x14ac:dyDescent="0.25">
      <c r="A1641" t="s">
        <v>3853</v>
      </c>
      <c r="B1641" t="s">
        <v>38</v>
      </c>
      <c r="C1641" s="1">
        <v>45856.709722222222</v>
      </c>
      <c r="D1641" t="s">
        <v>5146</v>
      </c>
    </row>
    <row r="1642" spans="1:4" x14ac:dyDescent="0.25">
      <c r="A1642" t="s">
        <v>401</v>
      </c>
      <c r="B1642" t="s">
        <v>38</v>
      </c>
      <c r="C1642" s="1">
        <v>46032.675000000003</v>
      </c>
      <c r="D1642" t="s">
        <v>5146</v>
      </c>
    </row>
    <row r="1643" spans="1:4" x14ac:dyDescent="0.25">
      <c r="A1643" t="s">
        <v>3854</v>
      </c>
      <c r="B1643" t="s">
        <v>38</v>
      </c>
      <c r="C1643" s="1">
        <v>45856.720833333333</v>
      </c>
      <c r="D1643" t="s">
        <v>5146</v>
      </c>
    </row>
    <row r="1644" spans="1:4" x14ac:dyDescent="0.25">
      <c r="A1644" t="s">
        <v>3855</v>
      </c>
      <c r="B1644" t="s">
        <v>38</v>
      </c>
      <c r="C1644" s="1">
        <v>45856.727083333331</v>
      </c>
      <c r="D1644" t="s">
        <v>5146</v>
      </c>
    </row>
    <row r="1645" spans="1:4" x14ac:dyDescent="0.25">
      <c r="A1645" t="s">
        <v>3856</v>
      </c>
      <c r="B1645" t="s">
        <v>38</v>
      </c>
      <c r="C1645" s="1">
        <v>45856.727777777778</v>
      </c>
      <c r="D1645" t="s">
        <v>5146</v>
      </c>
    </row>
    <row r="1646" spans="1:4" x14ac:dyDescent="0.25">
      <c r="A1646" t="s">
        <v>3857</v>
      </c>
      <c r="B1646" t="s">
        <v>38</v>
      </c>
      <c r="C1646" s="1">
        <v>45856.728472222225</v>
      </c>
      <c r="D1646" t="s">
        <v>5146</v>
      </c>
    </row>
    <row r="1647" spans="1:4" x14ac:dyDescent="0.25">
      <c r="A1647" t="s">
        <v>3858</v>
      </c>
      <c r="B1647" t="s">
        <v>38</v>
      </c>
      <c r="C1647" s="1">
        <v>45856.729861111111</v>
      </c>
      <c r="D1647" t="s">
        <v>5146</v>
      </c>
    </row>
    <row r="1648" spans="1:4" x14ac:dyDescent="0.25">
      <c r="A1648" t="s">
        <v>3859</v>
      </c>
      <c r="B1648" t="s">
        <v>38</v>
      </c>
      <c r="C1648" s="1">
        <v>45856.730555555558</v>
      </c>
      <c r="D1648" t="s">
        <v>5146</v>
      </c>
    </row>
    <row r="1649" spans="1:4" x14ac:dyDescent="0.25">
      <c r="A1649" t="s">
        <v>3860</v>
      </c>
      <c r="B1649" t="s">
        <v>38</v>
      </c>
      <c r="C1649" s="1">
        <v>45856.732638888891</v>
      </c>
      <c r="D1649" t="s">
        <v>5146</v>
      </c>
    </row>
    <row r="1650" spans="1:4" x14ac:dyDescent="0.25">
      <c r="A1650" t="s">
        <v>3861</v>
      </c>
      <c r="B1650" t="s">
        <v>38</v>
      </c>
      <c r="C1650" s="1">
        <v>45856.734027777777</v>
      </c>
      <c r="D1650" t="s">
        <v>5146</v>
      </c>
    </row>
    <row r="1651" spans="1:4" x14ac:dyDescent="0.25">
      <c r="A1651" t="s">
        <v>3862</v>
      </c>
      <c r="B1651" t="s">
        <v>38</v>
      </c>
      <c r="C1651" s="1">
        <v>45877.538888888892</v>
      </c>
      <c r="D1651" t="s">
        <v>5146</v>
      </c>
    </row>
    <row r="1652" spans="1:4" x14ac:dyDescent="0.25">
      <c r="A1652" t="s">
        <v>3863</v>
      </c>
      <c r="B1652" t="s">
        <v>38</v>
      </c>
      <c r="C1652" s="1">
        <v>45841.61041666667</v>
      </c>
      <c r="D1652" t="s">
        <v>5146</v>
      </c>
    </row>
    <row r="1653" spans="1:4" x14ac:dyDescent="0.25">
      <c r="A1653" t="s">
        <v>3864</v>
      </c>
      <c r="B1653" t="s">
        <v>38</v>
      </c>
      <c r="C1653" s="1">
        <v>45842.770833333336</v>
      </c>
      <c r="D1653" t="s">
        <v>5146</v>
      </c>
    </row>
    <row r="1654" spans="1:4" x14ac:dyDescent="0.25">
      <c r="A1654" t="s">
        <v>3865</v>
      </c>
      <c r="B1654" t="s">
        <v>38</v>
      </c>
      <c r="C1654" s="1">
        <v>45856.743055555555</v>
      </c>
      <c r="D1654" t="s">
        <v>5146</v>
      </c>
    </row>
    <row r="1655" spans="1:4" x14ac:dyDescent="0.25">
      <c r="A1655" t="s">
        <v>3866</v>
      </c>
      <c r="B1655" t="s">
        <v>38</v>
      </c>
      <c r="C1655" s="1">
        <v>45891.703472222223</v>
      </c>
      <c r="D1655" t="s">
        <v>5146</v>
      </c>
    </row>
    <row r="1656" spans="1:4" x14ac:dyDescent="0.25">
      <c r="A1656" t="s">
        <v>3867</v>
      </c>
      <c r="B1656" t="s">
        <v>38</v>
      </c>
      <c r="C1656" s="1">
        <v>45856.743750000001</v>
      </c>
      <c r="D1656" t="s">
        <v>5146</v>
      </c>
    </row>
    <row r="1657" spans="1:4" x14ac:dyDescent="0.25">
      <c r="A1657" t="s">
        <v>3868</v>
      </c>
      <c r="B1657" t="s">
        <v>38</v>
      </c>
      <c r="C1657" s="1">
        <v>45852.690972222219</v>
      </c>
      <c r="D1657" t="s">
        <v>5146</v>
      </c>
    </row>
    <row r="1658" spans="1:4" x14ac:dyDescent="0.25">
      <c r="A1658" t="s">
        <v>3869</v>
      </c>
      <c r="B1658" t="s">
        <v>38</v>
      </c>
      <c r="C1658" s="1">
        <v>45856.745833333334</v>
      </c>
      <c r="D1658" t="s">
        <v>5146</v>
      </c>
    </row>
    <row r="1659" spans="1:4" x14ac:dyDescent="0.25">
      <c r="A1659" t="s">
        <v>3870</v>
      </c>
      <c r="B1659" t="s">
        <v>38</v>
      </c>
      <c r="C1659" s="1">
        <v>45856.746527777781</v>
      </c>
      <c r="D1659" t="s">
        <v>5146</v>
      </c>
    </row>
    <row r="1660" spans="1:4" x14ac:dyDescent="0.25">
      <c r="A1660" t="s">
        <v>3871</v>
      </c>
      <c r="B1660" t="s">
        <v>38</v>
      </c>
      <c r="C1660" s="1">
        <v>45856.74722222222</v>
      </c>
      <c r="D1660" t="s">
        <v>5146</v>
      </c>
    </row>
    <row r="1661" spans="1:4" x14ac:dyDescent="0.25">
      <c r="A1661" t="s">
        <v>3872</v>
      </c>
      <c r="B1661" t="s">
        <v>38</v>
      </c>
      <c r="C1661" s="1">
        <v>45856.747916666667</v>
      </c>
      <c r="D1661" t="s">
        <v>5146</v>
      </c>
    </row>
    <row r="1662" spans="1:4" x14ac:dyDescent="0.25">
      <c r="A1662" t="s">
        <v>3873</v>
      </c>
      <c r="B1662" t="s">
        <v>38</v>
      </c>
      <c r="C1662" s="1">
        <v>45856.748611111114</v>
      </c>
      <c r="D1662" t="s">
        <v>5146</v>
      </c>
    </row>
    <row r="1663" spans="1:4" x14ac:dyDescent="0.25">
      <c r="A1663" t="s">
        <v>3874</v>
      </c>
      <c r="B1663" t="s">
        <v>38</v>
      </c>
      <c r="C1663" s="1">
        <v>45856.749305555553</v>
      </c>
      <c r="D1663" t="s">
        <v>5146</v>
      </c>
    </row>
    <row r="1664" spans="1:4" x14ac:dyDescent="0.25">
      <c r="A1664" t="s">
        <v>3875</v>
      </c>
      <c r="B1664" t="s">
        <v>38</v>
      </c>
      <c r="C1664" s="1">
        <v>46028.636111111111</v>
      </c>
      <c r="D1664" t="s">
        <v>5146</v>
      </c>
    </row>
    <row r="1665" spans="1:4" x14ac:dyDescent="0.25">
      <c r="A1665" t="s">
        <v>3876</v>
      </c>
      <c r="B1665" t="s">
        <v>38</v>
      </c>
      <c r="C1665" s="1">
        <v>45856.574305555558</v>
      </c>
      <c r="D1665" t="s">
        <v>5146</v>
      </c>
    </row>
    <row r="1666" spans="1:4" x14ac:dyDescent="0.25">
      <c r="A1666" t="s">
        <v>3877</v>
      </c>
      <c r="B1666" t="s">
        <v>38</v>
      </c>
      <c r="C1666" s="1">
        <v>45856.574305555558</v>
      </c>
      <c r="D1666" t="s">
        <v>5146</v>
      </c>
    </row>
    <row r="1667" spans="1:4" x14ac:dyDescent="0.25">
      <c r="A1667" t="s">
        <v>3878</v>
      </c>
      <c r="B1667" t="s">
        <v>38</v>
      </c>
      <c r="C1667" s="1">
        <v>45856.574305555558</v>
      </c>
      <c r="D1667" t="s">
        <v>5146</v>
      </c>
    </row>
    <row r="1668" spans="1:4" x14ac:dyDescent="0.25">
      <c r="A1668" t="s">
        <v>3879</v>
      </c>
      <c r="B1668" t="s">
        <v>38</v>
      </c>
      <c r="C1668" s="1">
        <v>45878.768750000003</v>
      </c>
      <c r="D1668" t="s">
        <v>5146</v>
      </c>
    </row>
    <row r="1669" spans="1:4" x14ac:dyDescent="0.25">
      <c r="A1669" t="s">
        <v>3880</v>
      </c>
      <c r="B1669" t="s">
        <v>38</v>
      </c>
      <c r="C1669" s="1">
        <v>45856.5625</v>
      </c>
      <c r="D1669" t="s">
        <v>5146</v>
      </c>
    </row>
    <row r="1670" spans="1:4" x14ac:dyDescent="0.25">
      <c r="A1670" t="s">
        <v>3881</v>
      </c>
      <c r="B1670" t="s">
        <v>38</v>
      </c>
      <c r="C1670" s="1">
        <v>45856.564583333333</v>
      </c>
      <c r="D1670" t="s">
        <v>5146</v>
      </c>
    </row>
    <row r="1671" spans="1:4" x14ac:dyDescent="0.25">
      <c r="A1671" t="s">
        <v>3882</v>
      </c>
      <c r="B1671" t="s">
        <v>38</v>
      </c>
      <c r="C1671" s="1">
        <v>45856.564583333333</v>
      </c>
      <c r="D1671" t="s">
        <v>5146</v>
      </c>
    </row>
    <row r="1672" spans="1:4" x14ac:dyDescent="0.25">
      <c r="A1672" t="s">
        <v>3883</v>
      </c>
      <c r="B1672" t="s">
        <v>38</v>
      </c>
      <c r="C1672" s="1">
        <v>45897.793055555558</v>
      </c>
      <c r="D1672" t="s">
        <v>5146</v>
      </c>
    </row>
    <row r="1673" spans="1:4" x14ac:dyDescent="0.25">
      <c r="A1673" t="s">
        <v>3884</v>
      </c>
      <c r="B1673" t="s">
        <v>38</v>
      </c>
      <c r="C1673" s="1">
        <v>45850.65</v>
      </c>
      <c r="D1673" t="s">
        <v>5146</v>
      </c>
    </row>
    <row r="1674" spans="1:4" x14ac:dyDescent="0.25">
      <c r="A1674" t="s">
        <v>3885</v>
      </c>
      <c r="B1674" t="s">
        <v>38</v>
      </c>
      <c r="C1674" s="1">
        <v>45855.6875</v>
      </c>
      <c r="D1674" t="s">
        <v>5146</v>
      </c>
    </row>
    <row r="1675" spans="1:4" x14ac:dyDescent="0.25">
      <c r="A1675" t="s">
        <v>3886</v>
      </c>
      <c r="B1675" t="s">
        <v>38</v>
      </c>
      <c r="C1675" s="1">
        <v>45856.56527777778</v>
      </c>
      <c r="D1675" t="s">
        <v>5146</v>
      </c>
    </row>
    <row r="1676" spans="1:4" x14ac:dyDescent="0.25">
      <c r="A1676" t="s">
        <v>3887</v>
      </c>
      <c r="B1676" t="s">
        <v>38</v>
      </c>
      <c r="C1676" s="1">
        <v>45856.565972222219</v>
      </c>
      <c r="D1676" t="s">
        <v>5146</v>
      </c>
    </row>
    <row r="1677" spans="1:4" x14ac:dyDescent="0.25">
      <c r="A1677" t="s">
        <v>3888</v>
      </c>
      <c r="B1677" t="s">
        <v>38</v>
      </c>
      <c r="C1677" s="1">
        <v>45877.667361111111</v>
      </c>
      <c r="D1677" t="s">
        <v>5146</v>
      </c>
    </row>
    <row r="1678" spans="1:4" x14ac:dyDescent="0.25">
      <c r="A1678" t="s">
        <v>3889</v>
      </c>
      <c r="B1678" t="s">
        <v>38</v>
      </c>
      <c r="C1678" s="1">
        <v>45959.454861111109</v>
      </c>
      <c r="D1678" t="s">
        <v>5146</v>
      </c>
    </row>
    <row r="1679" spans="1:4" x14ac:dyDescent="0.25">
      <c r="A1679" t="s">
        <v>3890</v>
      </c>
      <c r="B1679" t="s">
        <v>38</v>
      </c>
      <c r="C1679" s="1">
        <v>45856.566666666666</v>
      </c>
      <c r="D1679" t="s">
        <v>5146</v>
      </c>
    </row>
    <row r="1680" spans="1:4" x14ac:dyDescent="0.25">
      <c r="A1680" t="s">
        <v>412</v>
      </c>
      <c r="B1680" t="s">
        <v>38</v>
      </c>
      <c r="C1680" s="1">
        <v>46039.563194444447</v>
      </c>
      <c r="D1680" t="s">
        <v>5146</v>
      </c>
    </row>
    <row r="1681" spans="1:4" x14ac:dyDescent="0.25">
      <c r="A1681" t="s">
        <v>3891</v>
      </c>
      <c r="B1681" t="s">
        <v>38</v>
      </c>
      <c r="C1681" s="1">
        <v>45856.575694444444</v>
      </c>
      <c r="D1681" t="s">
        <v>5146</v>
      </c>
    </row>
    <row r="1682" spans="1:4" x14ac:dyDescent="0.25">
      <c r="A1682" t="s">
        <v>413</v>
      </c>
      <c r="B1682" t="s">
        <v>38</v>
      </c>
      <c r="C1682" s="1">
        <v>46043.693055555559</v>
      </c>
      <c r="D1682" t="s">
        <v>5146</v>
      </c>
    </row>
    <row r="1683" spans="1:4" x14ac:dyDescent="0.25">
      <c r="A1683" t="s">
        <v>3892</v>
      </c>
      <c r="B1683" t="s">
        <v>38</v>
      </c>
      <c r="C1683" s="1">
        <v>45856.575694444444</v>
      </c>
      <c r="D1683" t="s">
        <v>5146</v>
      </c>
    </row>
    <row r="1684" spans="1:4" x14ac:dyDescent="0.25">
      <c r="A1684" t="s">
        <v>3893</v>
      </c>
      <c r="B1684" t="s">
        <v>38</v>
      </c>
      <c r="C1684" s="1">
        <v>45856.576388888891</v>
      </c>
      <c r="D1684" t="s">
        <v>5146</v>
      </c>
    </row>
    <row r="1685" spans="1:4" x14ac:dyDescent="0.25">
      <c r="A1685" t="s">
        <v>3894</v>
      </c>
      <c r="B1685" t="s">
        <v>38</v>
      </c>
      <c r="C1685" s="1">
        <v>45860.627083333333</v>
      </c>
      <c r="D1685" t="s">
        <v>5146</v>
      </c>
    </row>
    <row r="1686" spans="1:4" x14ac:dyDescent="0.25">
      <c r="A1686" t="s">
        <v>3895</v>
      </c>
      <c r="B1686" t="s">
        <v>38</v>
      </c>
      <c r="C1686" s="1">
        <v>45855.707638888889</v>
      </c>
      <c r="D1686" t="s">
        <v>5146</v>
      </c>
    </row>
    <row r="1687" spans="1:4" x14ac:dyDescent="0.25">
      <c r="A1687" t="s">
        <v>3896</v>
      </c>
      <c r="B1687" t="s">
        <v>38</v>
      </c>
      <c r="C1687" s="1">
        <v>45855.708333333336</v>
      </c>
      <c r="D1687" t="s">
        <v>5146</v>
      </c>
    </row>
    <row r="1688" spans="1:4" x14ac:dyDescent="0.25">
      <c r="A1688" t="s">
        <v>3897</v>
      </c>
      <c r="B1688" t="s">
        <v>38</v>
      </c>
      <c r="C1688" s="1">
        <v>45855.709027777775</v>
      </c>
      <c r="D1688" t="s">
        <v>5146</v>
      </c>
    </row>
    <row r="1689" spans="1:4" x14ac:dyDescent="0.25">
      <c r="A1689" t="s">
        <v>3898</v>
      </c>
      <c r="B1689" t="s">
        <v>38</v>
      </c>
      <c r="C1689" s="1">
        <v>45855.714583333334</v>
      </c>
      <c r="D1689" t="s">
        <v>5146</v>
      </c>
    </row>
    <row r="1690" spans="1:4" x14ac:dyDescent="0.25">
      <c r="A1690" t="s">
        <v>3899</v>
      </c>
      <c r="B1690" t="s">
        <v>38</v>
      </c>
      <c r="C1690" s="1">
        <v>45855.715277777781</v>
      </c>
      <c r="D1690" t="s">
        <v>5146</v>
      </c>
    </row>
    <row r="1691" spans="1:4" x14ac:dyDescent="0.25">
      <c r="A1691" t="s">
        <v>3900</v>
      </c>
      <c r="B1691" t="s">
        <v>38</v>
      </c>
      <c r="C1691" s="1">
        <v>45855.71597222222</v>
      </c>
      <c r="D1691" t="s">
        <v>5146</v>
      </c>
    </row>
    <row r="1692" spans="1:4" x14ac:dyDescent="0.25">
      <c r="A1692" t="s">
        <v>3901</v>
      </c>
      <c r="B1692" t="s">
        <v>38</v>
      </c>
      <c r="C1692" s="1">
        <v>45855.71875</v>
      </c>
      <c r="D1692" t="s">
        <v>5146</v>
      </c>
    </row>
    <row r="1693" spans="1:4" x14ac:dyDescent="0.25">
      <c r="A1693" t="s">
        <v>3902</v>
      </c>
      <c r="B1693" t="s">
        <v>38</v>
      </c>
      <c r="C1693" s="1">
        <v>45860.71875</v>
      </c>
      <c r="D1693" t="s">
        <v>5146</v>
      </c>
    </row>
    <row r="1694" spans="1:4" x14ac:dyDescent="0.25">
      <c r="A1694" t="s">
        <v>3903</v>
      </c>
      <c r="B1694" t="s">
        <v>39</v>
      </c>
      <c r="C1694" s="1">
        <v>45852.496527777781</v>
      </c>
      <c r="D1694" t="s">
        <v>5146</v>
      </c>
    </row>
    <row r="1695" spans="1:4" x14ac:dyDescent="0.25">
      <c r="A1695" t="s">
        <v>3904</v>
      </c>
      <c r="B1695" t="s">
        <v>38</v>
      </c>
      <c r="C1695" s="1">
        <v>45855.719444444447</v>
      </c>
      <c r="D1695" t="s">
        <v>5146</v>
      </c>
    </row>
    <row r="1696" spans="1:4" x14ac:dyDescent="0.25">
      <c r="A1696" t="s">
        <v>3905</v>
      </c>
      <c r="B1696" t="s">
        <v>38</v>
      </c>
      <c r="C1696" s="1">
        <v>45959.462500000001</v>
      </c>
      <c r="D1696" t="s">
        <v>5146</v>
      </c>
    </row>
    <row r="1697" spans="1:4" x14ac:dyDescent="0.25">
      <c r="A1697" t="s">
        <v>3906</v>
      </c>
      <c r="B1697" t="s">
        <v>38</v>
      </c>
      <c r="C1697" s="1">
        <v>45855.722916666666</v>
      </c>
      <c r="D1697" t="s">
        <v>5146</v>
      </c>
    </row>
    <row r="1698" spans="1:4" x14ac:dyDescent="0.25">
      <c r="A1698" t="s">
        <v>3907</v>
      </c>
      <c r="B1698" t="s">
        <v>38</v>
      </c>
      <c r="C1698" s="1">
        <v>45876.807638888888</v>
      </c>
      <c r="D1698" t="s">
        <v>5146</v>
      </c>
    </row>
    <row r="1699" spans="1:4" x14ac:dyDescent="0.25">
      <c r="A1699" t="s">
        <v>3908</v>
      </c>
      <c r="B1699" t="s">
        <v>38</v>
      </c>
      <c r="C1699" s="1">
        <v>45860.723611111112</v>
      </c>
      <c r="D1699" t="s">
        <v>5146</v>
      </c>
    </row>
    <row r="1700" spans="1:4" x14ac:dyDescent="0.25">
      <c r="A1700" t="s">
        <v>390</v>
      </c>
      <c r="B1700" t="s">
        <v>38</v>
      </c>
      <c r="C1700" s="1">
        <v>46039.556250000001</v>
      </c>
      <c r="D1700" t="s">
        <v>5146</v>
      </c>
    </row>
    <row r="1701" spans="1:4" x14ac:dyDescent="0.25">
      <c r="A1701" t="s">
        <v>3909</v>
      </c>
      <c r="B1701" t="s">
        <v>38</v>
      </c>
      <c r="C1701" s="1">
        <v>45877.574999999997</v>
      </c>
      <c r="D1701" t="s">
        <v>5146</v>
      </c>
    </row>
    <row r="1702" spans="1:4" x14ac:dyDescent="0.25">
      <c r="A1702" t="s">
        <v>3910</v>
      </c>
      <c r="B1702" t="s">
        <v>38</v>
      </c>
      <c r="C1702" s="1">
        <v>45855.731249999997</v>
      </c>
      <c r="D1702" t="s">
        <v>5146</v>
      </c>
    </row>
    <row r="1703" spans="1:4" x14ac:dyDescent="0.25">
      <c r="A1703" t="s">
        <v>391</v>
      </c>
      <c r="B1703" t="s">
        <v>38</v>
      </c>
      <c r="C1703" s="1">
        <v>46032.54583333333</v>
      </c>
      <c r="D1703" t="s">
        <v>5146</v>
      </c>
    </row>
    <row r="1704" spans="1:4" x14ac:dyDescent="0.25">
      <c r="A1704" t="s">
        <v>3911</v>
      </c>
      <c r="B1704" t="s">
        <v>38</v>
      </c>
      <c r="C1704" s="1">
        <v>45850.537499999999</v>
      </c>
      <c r="D1704" t="s">
        <v>5146</v>
      </c>
    </row>
    <row r="1705" spans="1:4" x14ac:dyDescent="0.25">
      <c r="A1705" t="s">
        <v>3912</v>
      </c>
      <c r="B1705" t="s">
        <v>38</v>
      </c>
      <c r="C1705" s="1">
        <v>45855.748611111114</v>
      </c>
      <c r="D1705" t="s">
        <v>5146</v>
      </c>
    </row>
    <row r="1706" spans="1:4" x14ac:dyDescent="0.25">
      <c r="A1706" t="s">
        <v>3913</v>
      </c>
      <c r="B1706" t="s">
        <v>38</v>
      </c>
      <c r="C1706" s="1">
        <v>45848.543055555558</v>
      </c>
      <c r="D1706" t="s">
        <v>5146</v>
      </c>
    </row>
    <row r="1707" spans="1:4" x14ac:dyDescent="0.25">
      <c r="A1707" t="s">
        <v>3914</v>
      </c>
      <c r="B1707" t="s">
        <v>38</v>
      </c>
      <c r="C1707" s="1">
        <v>45867.552083333336</v>
      </c>
      <c r="D1707" t="s">
        <v>5146</v>
      </c>
    </row>
    <row r="1708" spans="1:4" x14ac:dyDescent="0.25">
      <c r="A1708" t="s">
        <v>3915</v>
      </c>
      <c r="B1708" t="s">
        <v>38</v>
      </c>
      <c r="C1708" s="1">
        <v>45860.724305555559</v>
      </c>
      <c r="D1708" t="s">
        <v>5146</v>
      </c>
    </row>
    <row r="1709" spans="1:4" x14ac:dyDescent="0.25">
      <c r="A1709" t="s">
        <v>388</v>
      </c>
      <c r="B1709" t="s">
        <v>38</v>
      </c>
      <c r="C1709" s="1">
        <v>46039.699305555558</v>
      </c>
      <c r="D1709" t="s">
        <v>5146</v>
      </c>
    </row>
    <row r="1710" spans="1:4" x14ac:dyDescent="0.25">
      <c r="A1710" t="s">
        <v>3916</v>
      </c>
      <c r="B1710" t="s">
        <v>38</v>
      </c>
      <c r="C1710" s="1">
        <v>45897.746527777781</v>
      </c>
      <c r="D1710" t="s">
        <v>5146</v>
      </c>
    </row>
    <row r="1711" spans="1:4" x14ac:dyDescent="0.25">
      <c r="A1711" t="s">
        <v>3917</v>
      </c>
      <c r="B1711" t="s">
        <v>38</v>
      </c>
      <c r="C1711" s="1">
        <v>45855.751388888886</v>
      </c>
      <c r="D1711" t="s">
        <v>5146</v>
      </c>
    </row>
    <row r="1712" spans="1:4" x14ac:dyDescent="0.25">
      <c r="A1712" t="s">
        <v>3918</v>
      </c>
      <c r="B1712" t="s">
        <v>38</v>
      </c>
      <c r="C1712" s="1">
        <v>45855.752083333333</v>
      </c>
      <c r="D1712" t="s">
        <v>5146</v>
      </c>
    </row>
    <row r="1713" spans="1:4" x14ac:dyDescent="0.25">
      <c r="A1713" t="s">
        <v>3919</v>
      </c>
      <c r="B1713" t="s">
        <v>38</v>
      </c>
      <c r="C1713" s="1">
        <v>45866.61041666667</v>
      </c>
      <c r="D1713" t="s">
        <v>5146</v>
      </c>
    </row>
    <row r="1714" spans="1:4" x14ac:dyDescent="0.25">
      <c r="A1714" t="s">
        <v>3920</v>
      </c>
      <c r="B1714" t="s">
        <v>38</v>
      </c>
      <c r="C1714" s="1">
        <v>45855.755555555559</v>
      </c>
      <c r="D1714" t="s">
        <v>5146</v>
      </c>
    </row>
    <row r="1715" spans="1:4" x14ac:dyDescent="0.25">
      <c r="A1715" t="s">
        <v>3921</v>
      </c>
      <c r="B1715" t="s">
        <v>38</v>
      </c>
      <c r="C1715" s="1">
        <v>45904.78402777778</v>
      </c>
      <c r="D1715" t="s">
        <v>5146</v>
      </c>
    </row>
    <row r="1716" spans="1:4" x14ac:dyDescent="0.25">
      <c r="A1716" t="s">
        <v>3922</v>
      </c>
      <c r="B1716" t="s">
        <v>38</v>
      </c>
      <c r="C1716" s="1">
        <v>45860.726388888892</v>
      </c>
      <c r="D1716" t="s">
        <v>5146</v>
      </c>
    </row>
    <row r="1717" spans="1:4" x14ac:dyDescent="0.25">
      <c r="A1717" t="s">
        <v>3923</v>
      </c>
      <c r="B1717" t="s">
        <v>38</v>
      </c>
      <c r="C1717" s="1">
        <v>45860.726388888892</v>
      </c>
      <c r="D1717" t="s">
        <v>5146</v>
      </c>
    </row>
    <row r="1718" spans="1:4" x14ac:dyDescent="0.25">
      <c r="A1718" t="s">
        <v>3924</v>
      </c>
      <c r="B1718" t="s">
        <v>38</v>
      </c>
      <c r="C1718" s="1">
        <v>45856.467361111114</v>
      </c>
      <c r="D1718" t="s">
        <v>5146</v>
      </c>
    </row>
    <row r="1719" spans="1:4" x14ac:dyDescent="0.25">
      <c r="A1719" t="s">
        <v>3925</v>
      </c>
      <c r="B1719" t="s">
        <v>38</v>
      </c>
      <c r="C1719" s="1">
        <v>45856.474305555559</v>
      </c>
      <c r="D1719" t="s">
        <v>5146</v>
      </c>
    </row>
    <row r="1720" spans="1:4" x14ac:dyDescent="0.25">
      <c r="A1720" t="s">
        <v>3926</v>
      </c>
      <c r="B1720" t="s">
        <v>38</v>
      </c>
      <c r="C1720" s="1">
        <v>45856.475694444445</v>
      </c>
      <c r="D1720" t="s">
        <v>5146</v>
      </c>
    </row>
    <row r="1721" spans="1:4" x14ac:dyDescent="0.25">
      <c r="A1721" t="s">
        <v>3927</v>
      </c>
      <c r="B1721" t="s">
        <v>39</v>
      </c>
      <c r="C1721" s="1">
        <v>45857.361111111109</v>
      </c>
      <c r="D1721" t="s">
        <v>5146</v>
      </c>
    </row>
    <row r="1722" spans="1:4" x14ac:dyDescent="0.25">
      <c r="A1722" t="s">
        <v>3928</v>
      </c>
      <c r="B1722" t="s">
        <v>38</v>
      </c>
      <c r="C1722" s="1">
        <v>45891.75</v>
      </c>
      <c r="D1722" t="s">
        <v>5146</v>
      </c>
    </row>
    <row r="1723" spans="1:4" x14ac:dyDescent="0.25">
      <c r="A1723" t="s">
        <v>3929</v>
      </c>
      <c r="B1723" t="s">
        <v>38</v>
      </c>
      <c r="C1723" s="1">
        <v>45912.675694444442</v>
      </c>
      <c r="D1723" t="s">
        <v>5146</v>
      </c>
    </row>
    <row r="1724" spans="1:4" x14ac:dyDescent="0.25">
      <c r="A1724" t="s">
        <v>3930</v>
      </c>
      <c r="B1724" t="s">
        <v>38</v>
      </c>
      <c r="C1724" s="1">
        <v>45856.477777777778</v>
      </c>
      <c r="D1724" t="s">
        <v>5146</v>
      </c>
    </row>
    <row r="1725" spans="1:4" x14ac:dyDescent="0.25">
      <c r="A1725" t="s">
        <v>3931</v>
      </c>
      <c r="B1725" t="s">
        <v>38</v>
      </c>
      <c r="C1725" s="1">
        <v>45856.478472222225</v>
      </c>
      <c r="D1725" t="s">
        <v>5146</v>
      </c>
    </row>
    <row r="1726" spans="1:4" x14ac:dyDescent="0.25">
      <c r="A1726" t="s">
        <v>3932</v>
      </c>
      <c r="B1726" t="s">
        <v>38</v>
      </c>
      <c r="C1726" s="1">
        <v>45856.479861111111</v>
      </c>
      <c r="D1726" t="s">
        <v>5146</v>
      </c>
    </row>
    <row r="1727" spans="1:4" x14ac:dyDescent="0.25">
      <c r="A1727" t="s">
        <v>3933</v>
      </c>
      <c r="B1727" t="s">
        <v>38</v>
      </c>
      <c r="C1727" s="1">
        <v>45856.480555555558</v>
      </c>
      <c r="D1727" t="s">
        <v>5146</v>
      </c>
    </row>
    <row r="1728" spans="1:4" x14ac:dyDescent="0.25">
      <c r="A1728" t="s">
        <v>3934</v>
      </c>
      <c r="B1728" t="s">
        <v>38</v>
      </c>
      <c r="C1728" s="1">
        <v>45856.481944444444</v>
      </c>
      <c r="D1728" t="s">
        <v>5146</v>
      </c>
    </row>
    <row r="1729" spans="1:4" x14ac:dyDescent="0.25">
      <c r="A1729" t="s">
        <v>3935</v>
      </c>
      <c r="B1729" t="s">
        <v>38</v>
      </c>
      <c r="C1729" s="1">
        <v>45856.482638888891</v>
      </c>
      <c r="D1729" t="s">
        <v>5146</v>
      </c>
    </row>
    <row r="1730" spans="1:4" x14ac:dyDescent="0.25">
      <c r="A1730" t="s">
        <v>3936</v>
      </c>
      <c r="B1730" t="s">
        <v>38</v>
      </c>
      <c r="C1730" s="1">
        <v>45856.48333333333</v>
      </c>
      <c r="D1730" t="s">
        <v>5146</v>
      </c>
    </row>
    <row r="1731" spans="1:4" x14ac:dyDescent="0.25">
      <c r="A1731" t="s">
        <v>3937</v>
      </c>
      <c r="B1731" t="s">
        <v>38</v>
      </c>
      <c r="C1731" s="1">
        <v>45856.484722222223</v>
      </c>
      <c r="D1731" t="s">
        <v>5146</v>
      </c>
    </row>
    <row r="1732" spans="1:4" x14ac:dyDescent="0.25">
      <c r="A1732" t="s">
        <v>3938</v>
      </c>
      <c r="B1732" t="s">
        <v>38</v>
      </c>
      <c r="C1732" s="1">
        <v>45912.618055555555</v>
      </c>
      <c r="D1732" t="s">
        <v>5146</v>
      </c>
    </row>
    <row r="1733" spans="1:4" x14ac:dyDescent="0.25">
      <c r="A1733" t="s">
        <v>3939</v>
      </c>
      <c r="B1733" t="s">
        <v>38</v>
      </c>
      <c r="C1733" s="1">
        <v>45877.570833333331</v>
      </c>
      <c r="D1733" t="s">
        <v>5146</v>
      </c>
    </row>
    <row r="1734" spans="1:4" x14ac:dyDescent="0.25">
      <c r="A1734" t="s">
        <v>3940</v>
      </c>
      <c r="B1734" t="s">
        <v>38</v>
      </c>
      <c r="C1734" s="1">
        <v>45877.570138888892</v>
      </c>
      <c r="D1734" t="s">
        <v>5146</v>
      </c>
    </row>
    <row r="1735" spans="1:4" x14ac:dyDescent="0.25">
      <c r="A1735" t="s">
        <v>3941</v>
      </c>
      <c r="B1735" t="s">
        <v>38</v>
      </c>
      <c r="C1735" s="1">
        <v>46014.580555555556</v>
      </c>
      <c r="D1735" t="s">
        <v>5146</v>
      </c>
    </row>
    <row r="1736" spans="1:4" x14ac:dyDescent="0.25">
      <c r="A1736" t="s">
        <v>414</v>
      </c>
      <c r="B1736" t="s">
        <v>38</v>
      </c>
      <c r="C1736" s="1">
        <v>46036.629166666666</v>
      </c>
      <c r="D1736" t="s">
        <v>5146</v>
      </c>
    </row>
    <row r="1737" spans="1:4" x14ac:dyDescent="0.25">
      <c r="A1737" t="s">
        <v>3942</v>
      </c>
      <c r="B1737" t="s">
        <v>38</v>
      </c>
      <c r="C1737" s="1">
        <v>45860.746527777781</v>
      </c>
      <c r="D1737" t="s">
        <v>5146</v>
      </c>
    </row>
    <row r="1738" spans="1:4" x14ac:dyDescent="0.25">
      <c r="A1738" t="s">
        <v>3943</v>
      </c>
      <c r="B1738" t="s">
        <v>38</v>
      </c>
      <c r="C1738" s="1">
        <v>45911.708333333336</v>
      </c>
      <c r="D1738" t="s">
        <v>5146</v>
      </c>
    </row>
    <row r="1739" spans="1:4" x14ac:dyDescent="0.25">
      <c r="A1739" t="s">
        <v>3944</v>
      </c>
      <c r="B1739" t="s">
        <v>38</v>
      </c>
      <c r="C1739" s="1">
        <v>45856.493055555555</v>
      </c>
      <c r="D1739" t="s">
        <v>5146</v>
      </c>
    </row>
    <row r="1740" spans="1:4" x14ac:dyDescent="0.25">
      <c r="A1740" t="s">
        <v>3945</v>
      </c>
      <c r="B1740" t="s">
        <v>38</v>
      </c>
      <c r="C1740" s="1">
        <v>45860.74722222222</v>
      </c>
      <c r="D1740" t="s">
        <v>5146</v>
      </c>
    </row>
    <row r="1741" spans="1:4" x14ac:dyDescent="0.25">
      <c r="A1741" t="s">
        <v>3946</v>
      </c>
      <c r="B1741" t="s">
        <v>38</v>
      </c>
      <c r="C1741" s="1">
        <v>45866.588888888888</v>
      </c>
      <c r="D1741" t="s">
        <v>5146</v>
      </c>
    </row>
    <row r="1742" spans="1:4" x14ac:dyDescent="0.25">
      <c r="A1742" t="s">
        <v>3947</v>
      </c>
      <c r="B1742" t="s">
        <v>38</v>
      </c>
      <c r="C1742" s="1">
        <v>45860.747916666667</v>
      </c>
      <c r="D1742" t="s">
        <v>5146</v>
      </c>
    </row>
    <row r="1743" spans="1:4" x14ac:dyDescent="0.25">
      <c r="A1743" t="s">
        <v>3948</v>
      </c>
      <c r="B1743" t="s">
        <v>38</v>
      </c>
      <c r="C1743" s="1">
        <v>45862.6875</v>
      </c>
      <c r="D1743" t="s">
        <v>5146</v>
      </c>
    </row>
    <row r="1744" spans="1:4" x14ac:dyDescent="0.25">
      <c r="A1744" t="s">
        <v>3949</v>
      </c>
      <c r="B1744" t="s">
        <v>38</v>
      </c>
      <c r="C1744" s="1">
        <v>45856.501388888886</v>
      </c>
      <c r="D1744" t="s">
        <v>5146</v>
      </c>
    </row>
    <row r="1745" spans="1:4" x14ac:dyDescent="0.25">
      <c r="A1745" t="s">
        <v>3950</v>
      </c>
      <c r="B1745" t="s">
        <v>38</v>
      </c>
      <c r="C1745" s="1">
        <v>45856.503472222219</v>
      </c>
      <c r="D1745" t="s">
        <v>5146</v>
      </c>
    </row>
    <row r="1746" spans="1:4" x14ac:dyDescent="0.25">
      <c r="A1746" t="s">
        <v>3951</v>
      </c>
      <c r="B1746" t="s">
        <v>38</v>
      </c>
      <c r="C1746" s="1">
        <v>45866.770833333336</v>
      </c>
      <c r="D1746" t="s">
        <v>5146</v>
      </c>
    </row>
    <row r="1747" spans="1:4" x14ac:dyDescent="0.25">
      <c r="A1747" t="s">
        <v>3952</v>
      </c>
      <c r="B1747" t="s">
        <v>38</v>
      </c>
      <c r="C1747" s="1">
        <v>45860.748611111114</v>
      </c>
      <c r="D1747" t="s">
        <v>5146</v>
      </c>
    </row>
    <row r="1748" spans="1:4" x14ac:dyDescent="0.25">
      <c r="A1748" t="s">
        <v>3953</v>
      </c>
      <c r="B1748" t="s">
        <v>38</v>
      </c>
      <c r="C1748" s="1">
        <v>45891.68472222222</v>
      </c>
      <c r="D1748" t="s">
        <v>5146</v>
      </c>
    </row>
    <row r="1749" spans="1:4" x14ac:dyDescent="0.25">
      <c r="A1749" t="s">
        <v>3954</v>
      </c>
      <c r="B1749" t="s">
        <v>38</v>
      </c>
      <c r="C1749" s="1">
        <v>45856.525000000001</v>
      </c>
      <c r="D1749" t="s">
        <v>5146</v>
      </c>
    </row>
    <row r="1750" spans="1:4" x14ac:dyDescent="0.25">
      <c r="A1750" t="s">
        <v>3955</v>
      </c>
      <c r="B1750" t="s">
        <v>39</v>
      </c>
      <c r="C1750" s="1">
        <v>45845.520833333336</v>
      </c>
      <c r="D1750" t="s">
        <v>5146</v>
      </c>
    </row>
    <row r="1751" spans="1:4" x14ac:dyDescent="0.25">
      <c r="A1751" t="s">
        <v>3956</v>
      </c>
      <c r="B1751" t="s">
        <v>38</v>
      </c>
      <c r="C1751" s="1">
        <v>45860.75</v>
      </c>
      <c r="D1751" t="s">
        <v>5146</v>
      </c>
    </row>
    <row r="1752" spans="1:4" x14ac:dyDescent="0.25">
      <c r="A1752" t="s">
        <v>3957</v>
      </c>
      <c r="B1752" t="s">
        <v>38</v>
      </c>
      <c r="C1752" s="1">
        <v>45888.802777777775</v>
      </c>
      <c r="D1752" t="s">
        <v>5146</v>
      </c>
    </row>
    <row r="1753" spans="1:4" x14ac:dyDescent="0.25">
      <c r="A1753" t="s">
        <v>3958</v>
      </c>
      <c r="B1753" t="s">
        <v>38</v>
      </c>
      <c r="C1753" s="1">
        <v>45856.526388888888</v>
      </c>
      <c r="D1753" t="s">
        <v>5146</v>
      </c>
    </row>
    <row r="1754" spans="1:4" x14ac:dyDescent="0.25">
      <c r="A1754" t="s">
        <v>3959</v>
      </c>
      <c r="B1754" t="s">
        <v>38</v>
      </c>
      <c r="C1754" s="1">
        <v>45860.751388888886</v>
      </c>
      <c r="D1754" t="s">
        <v>5146</v>
      </c>
    </row>
    <row r="1755" spans="1:4" x14ac:dyDescent="0.25">
      <c r="A1755" t="s">
        <v>3960</v>
      </c>
      <c r="B1755" t="s">
        <v>38</v>
      </c>
      <c r="C1755" s="1">
        <v>45856.532638888886</v>
      </c>
      <c r="D1755" t="s">
        <v>5146</v>
      </c>
    </row>
    <row r="1756" spans="1:4" x14ac:dyDescent="0.25">
      <c r="A1756" t="s">
        <v>3961</v>
      </c>
      <c r="B1756" t="s">
        <v>38</v>
      </c>
      <c r="C1756" s="1">
        <v>45856.533333333333</v>
      </c>
      <c r="D1756" t="s">
        <v>5146</v>
      </c>
    </row>
    <row r="1757" spans="1:4" x14ac:dyDescent="0.25">
      <c r="A1757" t="s">
        <v>3962</v>
      </c>
      <c r="B1757" t="s">
        <v>38</v>
      </c>
      <c r="C1757" s="1">
        <v>45875.746527777781</v>
      </c>
      <c r="D1757" t="s">
        <v>5146</v>
      </c>
    </row>
    <row r="1758" spans="1:4" x14ac:dyDescent="0.25">
      <c r="A1758" t="s">
        <v>3963</v>
      </c>
      <c r="B1758" t="s">
        <v>38</v>
      </c>
      <c r="C1758" s="1">
        <v>45910.78125</v>
      </c>
      <c r="D1758" t="s">
        <v>5146</v>
      </c>
    </row>
    <row r="1759" spans="1:4" x14ac:dyDescent="0.25">
      <c r="A1759" t="s">
        <v>3964</v>
      </c>
      <c r="B1759" t="s">
        <v>38</v>
      </c>
      <c r="C1759" s="1">
        <v>45856.53402777778</v>
      </c>
      <c r="D1759" t="s">
        <v>5146</v>
      </c>
    </row>
    <row r="1760" spans="1:4" x14ac:dyDescent="0.25">
      <c r="A1760" t="s">
        <v>3965</v>
      </c>
      <c r="B1760" t="s">
        <v>38</v>
      </c>
      <c r="C1760" s="1">
        <v>45856.53402777778</v>
      </c>
      <c r="D1760" t="s">
        <v>5146</v>
      </c>
    </row>
    <row r="1761" spans="1:4" x14ac:dyDescent="0.25">
      <c r="A1761" t="s">
        <v>3966</v>
      </c>
      <c r="B1761" t="s">
        <v>38</v>
      </c>
      <c r="C1761" s="1">
        <v>45860.75277777778</v>
      </c>
      <c r="D1761" t="s">
        <v>5146</v>
      </c>
    </row>
    <row r="1762" spans="1:4" x14ac:dyDescent="0.25">
      <c r="A1762" t="s">
        <v>3967</v>
      </c>
      <c r="B1762" t="s">
        <v>38</v>
      </c>
      <c r="C1762" s="1">
        <v>45901.467361111114</v>
      </c>
      <c r="D1762" t="s">
        <v>5146</v>
      </c>
    </row>
    <row r="1763" spans="1:4" x14ac:dyDescent="0.25">
      <c r="A1763" t="s">
        <v>3968</v>
      </c>
      <c r="B1763" t="s">
        <v>38</v>
      </c>
      <c r="C1763" s="1">
        <v>45856.552083333336</v>
      </c>
      <c r="D1763" t="s">
        <v>5146</v>
      </c>
    </row>
    <row r="1764" spans="1:4" x14ac:dyDescent="0.25">
      <c r="A1764" t="s">
        <v>3969</v>
      </c>
      <c r="B1764" t="s">
        <v>38</v>
      </c>
      <c r="C1764" s="1">
        <v>45856.5625</v>
      </c>
      <c r="D1764" t="s">
        <v>5146</v>
      </c>
    </row>
    <row r="1765" spans="1:4" x14ac:dyDescent="0.25">
      <c r="A1765" t="s">
        <v>3970</v>
      </c>
      <c r="B1765" t="s">
        <v>38</v>
      </c>
      <c r="C1765" s="1">
        <v>45902.556250000001</v>
      </c>
      <c r="D1765" t="s">
        <v>5146</v>
      </c>
    </row>
    <row r="1766" spans="1:4" x14ac:dyDescent="0.25">
      <c r="A1766" t="s">
        <v>3971</v>
      </c>
      <c r="B1766" t="s">
        <v>38</v>
      </c>
      <c r="C1766" s="1">
        <v>45860.754861111112</v>
      </c>
      <c r="D1766" t="s">
        <v>5146</v>
      </c>
    </row>
    <row r="1767" spans="1:4" x14ac:dyDescent="0.25">
      <c r="A1767" t="s">
        <v>3972</v>
      </c>
      <c r="B1767" t="s">
        <v>38</v>
      </c>
      <c r="C1767" s="1">
        <v>45860.563194444447</v>
      </c>
      <c r="D1767" t="s">
        <v>5146</v>
      </c>
    </row>
    <row r="1768" spans="1:4" x14ac:dyDescent="0.25">
      <c r="A1768" t="s">
        <v>3973</v>
      </c>
      <c r="B1768" t="s">
        <v>38</v>
      </c>
      <c r="C1768" s="1">
        <v>45860.681944444441</v>
      </c>
      <c r="D1768" t="s">
        <v>5146</v>
      </c>
    </row>
    <row r="1769" spans="1:4" x14ac:dyDescent="0.25">
      <c r="A1769" t="s">
        <v>3974</v>
      </c>
      <c r="B1769" t="s">
        <v>38</v>
      </c>
      <c r="C1769" s="1">
        <v>45856.59375</v>
      </c>
      <c r="D1769" t="s">
        <v>5146</v>
      </c>
    </row>
    <row r="1770" spans="1:4" x14ac:dyDescent="0.25">
      <c r="A1770" t="s">
        <v>3975</v>
      </c>
      <c r="B1770" t="s">
        <v>38</v>
      </c>
      <c r="C1770" s="1">
        <v>45856.595138888886</v>
      </c>
      <c r="D1770" t="s">
        <v>5146</v>
      </c>
    </row>
    <row r="1771" spans="1:4" x14ac:dyDescent="0.25">
      <c r="A1771" t="s">
        <v>3976</v>
      </c>
      <c r="B1771" t="s">
        <v>38</v>
      </c>
      <c r="C1771" s="1">
        <v>45863.362500000003</v>
      </c>
      <c r="D1771" t="s">
        <v>5146</v>
      </c>
    </row>
    <row r="1772" spans="1:4" x14ac:dyDescent="0.25">
      <c r="A1772" t="s">
        <v>3977</v>
      </c>
      <c r="B1772" t="s">
        <v>38</v>
      </c>
      <c r="C1772" s="1">
        <v>45862.685416666667</v>
      </c>
      <c r="D1772" t="s">
        <v>5146</v>
      </c>
    </row>
    <row r="1773" spans="1:4" x14ac:dyDescent="0.25">
      <c r="A1773" t="s">
        <v>3978</v>
      </c>
      <c r="B1773" t="s">
        <v>38</v>
      </c>
      <c r="C1773" s="1">
        <v>45981.481944444444</v>
      </c>
      <c r="D1773" t="s">
        <v>5146</v>
      </c>
    </row>
    <row r="1774" spans="1:4" x14ac:dyDescent="0.25">
      <c r="A1774" t="s">
        <v>3979</v>
      </c>
      <c r="B1774" t="s">
        <v>38</v>
      </c>
      <c r="C1774" s="1">
        <v>45856.597916666666</v>
      </c>
      <c r="D1774" t="s">
        <v>5146</v>
      </c>
    </row>
    <row r="1775" spans="1:4" x14ac:dyDescent="0.25">
      <c r="A1775" t="s">
        <v>3980</v>
      </c>
      <c r="B1775" t="s">
        <v>38</v>
      </c>
      <c r="C1775" s="1">
        <v>45856.606944444444</v>
      </c>
      <c r="D1775" t="s">
        <v>5146</v>
      </c>
    </row>
    <row r="1776" spans="1:4" x14ac:dyDescent="0.25">
      <c r="A1776" t="s">
        <v>377</v>
      </c>
      <c r="B1776" t="s">
        <v>38</v>
      </c>
      <c r="C1776" s="1">
        <v>46031.696527777778</v>
      </c>
      <c r="D1776" t="s">
        <v>5146</v>
      </c>
    </row>
    <row r="1777" spans="1:4" x14ac:dyDescent="0.25">
      <c r="A1777" t="s">
        <v>3981</v>
      </c>
      <c r="B1777" t="s">
        <v>38</v>
      </c>
      <c r="C1777" s="1">
        <v>45901.717361111114</v>
      </c>
      <c r="D1777" t="s">
        <v>5146</v>
      </c>
    </row>
    <row r="1778" spans="1:4" x14ac:dyDescent="0.25">
      <c r="A1778" t="s">
        <v>3982</v>
      </c>
      <c r="B1778" t="s">
        <v>38</v>
      </c>
      <c r="C1778" s="1">
        <v>45863.456944444442</v>
      </c>
      <c r="D1778" t="s">
        <v>5146</v>
      </c>
    </row>
    <row r="1779" spans="1:4" x14ac:dyDescent="0.25">
      <c r="A1779" t="s">
        <v>3983</v>
      </c>
      <c r="B1779" t="s">
        <v>38</v>
      </c>
      <c r="C1779" s="1">
        <v>45864.643750000003</v>
      </c>
      <c r="D1779" t="s">
        <v>5146</v>
      </c>
    </row>
    <row r="1780" spans="1:4" x14ac:dyDescent="0.25">
      <c r="A1780" t="s">
        <v>3984</v>
      </c>
      <c r="B1780" t="s">
        <v>38</v>
      </c>
      <c r="C1780" s="1">
        <v>45860.713194444441</v>
      </c>
      <c r="D1780" t="s">
        <v>5146</v>
      </c>
    </row>
    <row r="1781" spans="1:4" x14ac:dyDescent="0.25">
      <c r="A1781" t="s">
        <v>3985</v>
      </c>
      <c r="B1781" t="s">
        <v>38</v>
      </c>
      <c r="C1781" s="1">
        <v>45856.609722222223</v>
      </c>
      <c r="D1781" t="s">
        <v>5146</v>
      </c>
    </row>
    <row r="1782" spans="1:4" x14ac:dyDescent="0.25">
      <c r="A1782" t="s">
        <v>3986</v>
      </c>
      <c r="B1782" t="s">
        <v>38</v>
      </c>
      <c r="C1782" s="1">
        <v>45968.529861111114</v>
      </c>
      <c r="D1782" t="s">
        <v>5146</v>
      </c>
    </row>
    <row r="1783" spans="1:4" x14ac:dyDescent="0.25">
      <c r="A1783" t="s">
        <v>3987</v>
      </c>
      <c r="B1783" t="s">
        <v>38</v>
      </c>
      <c r="C1783" s="1">
        <v>45862.719444444447</v>
      </c>
      <c r="D1783" t="s">
        <v>5146</v>
      </c>
    </row>
    <row r="1784" spans="1:4" x14ac:dyDescent="0.25">
      <c r="A1784" t="s">
        <v>3988</v>
      </c>
      <c r="B1784" t="s">
        <v>38</v>
      </c>
      <c r="C1784" s="1">
        <v>45888.809027777781</v>
      </c>
      <c r="D1784" t="s">
        <v>5146</v>
      </c>
    </row>
    <row r="1785" spans="1:4" x14ac:dyDescent="0.25">
      <c r="A1785" t="s">
        <v>3989</v>
      </c>
      <c r="B1785" t="s">
        <v>38</v>
      </c>
      <c r="C1785" s="1">
        <v>45881.703472222223</v>
      </c>
      <c r="D1785" t="s">
        <v>5146</v>
      </c>
    </row>
    <row r="1786" spans="1:4" x14ac:dyDescent="0.25">
      <c r="A1786" t="s">
        <v>3990</v>
      </c>
      <c r="B1786" t="s">
        <v>38</v>
      </c>
      <c r="C1786" s="1">
        <v>45883.515277777777</v>
      </c>
      <c r="D1786" t="s">
        <v>5146</v>
      </c>
    </row>
    <row r="1787" spans="1:4" x14ac:dyDescent="0.25">
      <c r="A1787" t="s">
        <v>3991</v>
      </c>
      <c r="B1787" t="s">
        <v>38</v>
      </c>
      <c r="C1787" s="1">
        <v>45856.611111111109</v>
      </c>
      <c r="D1787" t="s">
        <v>5146</v>
      </c>
    </row>
    <row r="1788" spans="1:4" x14ac:dyDescent="0.25">
      <c r="A1788" t="s">
        <v>3992</v>
      </c>
      <c r="B1788" t="s">
        <v>38</v>
      </c>
      <c r="C1788" s="1">
        <v>45856.612500000003</v>
      </c>
      <c r="D1788" t="s">
        <v>5146</v>
      </c>
    </row>
    <row r="1789" spans="1:4" x14ac:dyDescent="0.25">
      <c r="A1789" t="s">
        <v>3993</v>
      </c>
      <c r="B1789" t="s">
        <v>38</v>
      </c>
      <c r="C1789" s="1">
        <v>45856.614583333336</v>
      </c>
      <c r="D1789" t="s">
        <v>5146</v>
      </c>
    </row>
    <row r="1790" spans="1:4" x14ac:dyDescent="0.25">
      <c r="A1790" t="s">
        <v>3994</v>
      </c>
      <c r="B1790" t="s">
        <v>38</v>
      </c>
      <c r="C1790" s="1">
        <v>45856.615277777775</v>
      </c>
      <c r="D1790" t="s">
        <v>5146</v>
      </c>
    </row>
    <row r="1791" spans="1:4" x14ac:dyDescent="0.25">
      <c r="A1791" t="s">
        <v>372</v>
      </c>
      <c r="B1791" t="s">
        <v>38</v>
      </c>
      <c r="C1791" s="1">
        <v>46035.827777777777</v>
      </c>
      <c r="D1791" t="s">
        <v>5146</v>
      </c>
    </row>
    <row r="1792" spans="1:4" x14ac:dyDescent="0.25">
      <c r="A1792" t="s">
        <v>3995</v>
      </c>
      <c r="B1792" t="s">
        <v>38</v>
      </c>
      <c r="C1792" s="1">
        <v>45861.497916666667</v>
      </c>
      <c r="D1792" t="s">
        <v>5146</v>
      </c>
    </row>
    <row r="1793" spans="1:4" x14ac:dyDescent="0.25">
      <c r="A1793" t="s">
        <v>3996</v>
      </c>
      <c r="B1793" t="s">
        <v>38</v>
      </c>
      <c r="C1793" s="1">
        <v>45856.615972222222</v>
      </c>
      <c r="D1793" t="s">
        <v>5146</v>
      </c>
    </row>
    <row r="1794" spans="1:4" x14ac:dyDescent="0.25">
      <c r="A1794" t="s">
        <v>3997</v>
      </c>
      <c r="B1794" t="s">
        <v>38</v>
      </c>
      <c r="C1794" s="1">
        <v>45856.616666666669</v>
      </c>
      <c r="D1794" t="s">
        <v>5146</v>
      </c>
    </row>
    <row r="1795" spans="1:4" x14ac:dyDescent="0.25">
      <c r="A1795" t="s">
        <v>3998</v>
      </c>
      <c r="B1795" t="s">
        <v>38</v>
      </c>
      <c r="C1795" s="1">
        <v>45856.616666666669</v>
      </c>
      <c r="D1795" t="s">
        <v>5146</v>
      </c>
    </row>
    <row r="1796" spans="1:4" x14ac:dyDescent="0.25">
      <c r="A1796" t="s">
        <v>3999</v>
      </c>
      <c r="B1796" t="s">
        <v>38</v>
      </c>
      <c r="C1796" s="1">
        <v>45856.617361111108</v>
      </c>
      <c r="D1796" t="s">
        <v>5146</v>
      </c>
    </row>
    <row r="1797" spans="1:4" x14ac:dyDescent="0.25">
      <c r="A1797" t="s">
        <v>4000</v>
      </c>
      <c r="B1797" t="s">
        <v>38</v>
      </c>
      <c r="C1797" s="1">
        <v>45856.620138888888</v>
      </c>
      <c r="D1797" t="s">
        <v>5146</v>
      </c>
    </row>
    <row r="1798" spans="1:4" x14ac:dyDescent="0.25">
      <c r="A1798" t="s">
        <v>4001</v>
      </c>
      <c r="B1798" t="s">
        <v>38</v>
      </c>
      <c r="C1798" s="1">
        <v>45856.62222222222</v>
      </c>
      <c r="D1798" t="s">
        <v>5146</v>
      </c>
    </row>
    <row r="1799" spans="1:4" x14ac:dyDescent="0.25">
      <c r="A1799" t="s">
        <v>4002</v>
      </c>
      <c r="B1799" t="s">
        <v>38</v>
      </c>
      <c r="C1799" s="1">
        <v>45856.622916666667</v>
      </c>
      <c r="D1799" t="s">
        <v>5146</v>
      </c>
    </row>
    <row r="1800" spans="1:4" x14ac:dyDescent="0.25">
      <c r="A1800" t="s">
        <v>4003</v>
      </c>
      <c r="B1800" t="s">
        <v>38</v>
      </c>
      <c r="C1800" s="1">
        <v>45937.78402777778</v>
      </c>
      <c r="D1800" t="s">
        <v>5146</v>
      </c>
    </row>
    <row r="1801" spans="1:4" x14ac:dyDescent="0.25">
      <c r="A1801" t="s">
        <v>4004</v>
      </c>
      <c r="B1801" t="s">
        <v>38</v>
      </c>
      <c r="C1801" s="1">
        <v>45856.624305555553</v>
      </c>
      <c r="D1801" t="s">
        <v>5146</v>
      </c>
    </row>
    <row r="1802" spans="1:4" x14ac:dyDescent="0.25">
      <c r="A1802" t="s">
        <v>4005</v>
      </c>
      <c r="B1802" t="s">
        <v>38</v>
      </c>
      <c r="C1802" s="1">
        <v>45856.629166666666</v>
      </c>
      <c r="D1802" t="s">
        <v>5146</v>
      </c>
    </row>
    <row r="1803" spans="1:4" x14ac:dyDescent="0.25">
      <c r="A1803" t="s">
        <v>4006</v>
      </c>
      <c r="B1803" t="s">
        <v>38</v>
      </c>
      <c r="C1803" s="1">
        <v>45864.49722222222</v>
      </c>
      <c r="D1803" t="s">
        <v>5146</v>
      </c>
    </row>
    <row r="1804" spans="1:4" x14ac:dyDescent="0.25">
      <c r="A1804" t="s">
        <v>367</v>
      </c>
      <c r="B1804" t="s">
        <v>38</v>
      </c>
      <c r="C1804" s="1">
        <v>46031.685416666667</v>
      </c>
      <c r="D1804" t="s">
        <v>5146</v>
      </c>
    </row>
    <row r="1805" spans="1:4" x14ac:dyDescent="0.25">
      <c r="A1805" t="s">
        <v>4007</v>
      </c>
      <c r="B1805" t="s">
        <v>38</v>
      </c>
      <c r="C1805" s="1">
        <v>45887.684027777781</v>
      </c>
      <c r="D1805" t="s">
        <v>5146</v>
      </c>
    </row>
    <row r="1806" spans="1:4" x14ac:dyDescent="0.25">
      <c r="A1806" t="s">
        <v>368</v>
      </c>
      <c r="B1806" t="s">
        <v>39</v>
      </c>
      <c r="C1806" s="1">
        <v>46034.636805555558</v>
      </c>
      <c r="D1806" t="s">
        <v>5146</v>
      </c>
    </row>
    <row r="1807" spans="1:4" x14ac:dyDescent="0.25">
      <c r="A1807" t="s">
        <v>4008</v>
      </c>
      <c r="B1807" t="s">
        <v>39</v>
      </c>
      <c r="C1807" s="1">
        <v>45877.535416666666</v>
      </c>
      <c r="D1807" t="s">
        <v>5146</v>
      </c>
    </row>
    <row r="1808" spans="1:4" x14ac:dyDescent="0.25">
      <c r="A1808" t="s">
        <v>4009</v>
      </c>
      <c r="B1808" t="s">
        <v>38</v>
      </c>
      <c r="C1808" s="1">
        <v>45860.713888888888</v>
      </c>
      <c r="D1808" t="s">
        <v>5146</v>
      </c>
    </row>
    <row r="1809" spans="1:4" x14ac:dyDescent="0.25">
      <c r="A1809" t="s">
        <v>4010</v>
      </c>
      <c r="B1809" t="s">
        <v>38</v>
      </c>
      <c r="C1809" s="1">
        <v>45856.630555555559</v>
      </c>
      <c r="D1809" t="s">
        <v>5146</v>
      </c>
    </row>
    <row r="1810" spans="1:4" x14ac:dyDescent="0.25">
      <c r="A1810" t="s">
        <v>4011</v>
      </c>
      <c r="B1810" t="s">
        <v>38</v>
      </c>
      <c r="C1810" s="1">
        <v>45877.564583333333</v>
      </c>
      <c r="D1810" t="s">
        <v>5146</v>
      </c>
    </row>
    <row r="1811" spans="1:4" x14ac:dyDescent="0.25">
      <c r="A1811" t="s">
        <v>4012</v>
      </c>
      <c r="B1811" t="s">
        <v>38</v>
      </c>
      <c r="C1811" s="1">
        <v>45856.631249999999</v>
      </c>
      <c r="D1811" t="s">
        <v>5146</v>
      </c>
    </row>
    <row r="1812" spans="1:4" x14ac:dyDescent="0.25">
      <c r="A1812" t="s">
        <v>4013</v>
      </c>
      <c r="B1812" t="s">
        <v>38</v>
      </c>
      <c r="C1812" s="1">
        <v>45891.689583333333</v>
      </c>
      <c r="D1812" t="s">
        <v>5146</v>
      </c>
    </row>
    <row r="1813" spans="1:4" x14ac:dyDescent="0.25">
      <c r="A1813" t="s">
        <v>4014</v>
      </c>
      <c r="B1813" t="s">
        <v>38</v>
      </c>
      <c r="C1813" s="1">
        <v>46003.852777777778</v>
      </c>
      <c r="D1813" t="s">
        <v>5146</v>
      </c>
    </row>
    <row r="1814" spans="1:4" x14ac:dyDescent="0.25">
      <c r="A1814" t="s">
        <v>355</v>
      </c>
      <c r="B1814" t="s">
        <v>38</v>
      </c>
      <c r="C1814" s="1">
        <v>46039.554861111108</v>
      </c>
      <c r="D1814" t="s">
        <v>5146</v>
      </c>
    </row>
    <row r="1815" spans="1:4" x14ac:dyDescent="0.25">
      <c r="A1815" t="s">
        <v>4015</v>
      </c>
      <c r="B1815" t="s">
        <v>38</v>
      </c>
      <c r="C1815" s="1">
        <v>45877.563888888886</v>
      </c>
      <c r="D1815" t="s">
        <v>5146</v>
      </c>
    </row>
    <row r="1816" spans="1:4" x14ac:dyDescent="0.25">
      <c r="A1816" t="s">
        <v>356</v>
      </c>
      <c r="B1816" t="s">
        <v>38</v>
      </c>
      <c r="C1816" s="1">
        <v>46039.552777777775</v>
      </c>
      <c r="D1816" t="s">
        <v>5146</v>
      </c>
    </row>
    <row r="1817" spans="1:4" x14ac:dyDescent="0.25">
      <c r="A1817" t="s">
        <v>4016</v>
      </c>
      <c r="B1817" t="s">
        <v>38</v>
      </c>
      <c r="C1817" s="1">
        <v>45877.563888888886</v>
      </c>
      <c r="D1817" t="s">
        <v>5146</v>
      </c>
    </row>
    <row r="1818" spans="1:4" x14ac:dyDescent="0.25">
      <c r="A1818" t="s">
        <v>357</v>
      </c>
      <c r="B1818" t="s">
        <v>38</v>
      </c>
      <c r="C1818" s="1">
        <v>46030.646527777775</v>
      </c>
      <c r="D1818" t="s">
        <v>5146</v>
      </c>
    </row>
    <row r="1819" spans="1:4" x14ac:dyDescent="0.25">
      <c r="A1819" t="s">
        <v>4017</v>
      </c>
      <c r="B1819" t="s">
        <v>38</v>
      </c>
      <c r="C1819" s="1">
        <v>45856.631249999999</v>
      </c>
      <c r="D1819" t="s">
        <v>5146</v>
      </c>
    </row>
    <row r="1820" spans="1:4" x14ac:dyDescent="0.25">
      <c r="A1820" t="s">
        <v>358</v>
      </c>
      <c r="B1820" t="s">
        <v>38</v>
      </c>
      <c r="C1820" s="1">
        <v>46039.552083333336</v>
      </c>
      <c r="D1820" t="s">
        <v>5146</v>
      </c>
    </row>
    <row r="1821" spans="1:4" x14ac:dyDescent="0.25">
      <c r="A1821" t="s">
        <v>4018</v>
      </c>
      <c r="B1821" t="s">
        <v>38</v>
      </c>
      <c r="C1821" s="1">
        <v>45860.486805555556</v>
      </c>
      <c r="D1821" t="s">
        <v>5146</v>
      </c>
    </row>
    <row r="1822" spans="1:4" x14ac:dyDescent="0.25">
      <c r="A1822" t="s">
        <v>359</v>
      </c>
      <c r="B1822" t="s">
        <v>39</v>
      </c>
      <c r="C1822" s="1">
        <v>46029.743750000001</v>
      </c>
      <c r="D1822" t="s">
        <v>5146</v>
      </c>
    </row>
    <row r="1823" spans="1:4" x14ac:dyDescent="0.25">
      <c r="A1823" t="s">
        <v>360</v>
      </c>
      <c r="B1823" t="s">
        <v>38</v>
      </c>
      <c r="C1823" s="1">
        <v>46030.631249999999</v>
      </c>
      <c r="D1823" t="s">
        <v>5146</v>
      </c>
    </row>
    <row r="1824" spans="1:4" x14ac:dyDescent="0.25">
      <c r="A1824" t="s">
        <v>4019</v>
      </c>
      <c r="B1824" t="s">
        <v>38</v>
      </c>
      <c r="C1824" s="1">
        <v>45856.530555555553</v>
      </c>
      <c r="D1824" t="s">
        <v>5146</v>
      </c>
    </row>
    <row r="1825" spans="1:4" x14ac:dyDescent="0.25">
      <c r="A1825" t="s">
        <v>4020</v>
      </c>
      <c r="B1825" t="s">
        <v>38</v>
      </c>
      <c r="C1825" s="1">
        <v>45856.491666666669</v>
      </c>
      <c r="D1825" t="s">
        <v>5146</v>
      </c>
    </row>
    <row r="1826" spans="1:4" x14ac:dyDescent="0.25">
      <c r="A1826" t="s">
        <v>4021</v>
      </c>
      <c r="B1826" t="s">
        <v>38</v>
      </c>
      <c r="C1826" s="1">
        <v>45855.749305555553</v>
      </c>
      <c r="D1826" t="s">
        <v>5146</v>
      </c>
    </row>
    <row r="1827" spans="1:4" x14ac:dyDescent="0.25">
      <c r="A1827" t="s">
        <v>4022</v>
      </c>
      <c r="B1827" t="s">
        <v>38</v>
      </c>
      <c r="C1827" s="1">
        <v>45856.634027777778</v>
      </c>
      <c r="D1827" t="s">
        <v>5146</v>
      </c>
    </row>
    <row r="1828" spans="1:4" x14ac:dyDescent="0.25">
      <c r="A1828" t="s">
        <v>4023</v>
      </c>
      <c r="B1828" t="s">
        <v>38</v>
      </c>
      <c r="C1828" s="1">
        <v>45861.508333333331</v>
      </c>
      <c r="D1828" t="s">
        <v>5146</v>
      </c>
    </row>
    <row r="1829" spans="1:4" x14ac:dyDescent="0.25">
      <c r="A1829" t="s">
        <v>362</v>
      </c>
      <c r="B1829" t="s">
        <v>38</v>
      </c>
      <c r="C1829" s="1">
        <v>46039.55</v>
      </c>
      <c r="D1829" t="s">
        <v>5146</v>
      </c>
    </row>
    <row r="1830" spans="1:4" x14ac:dyDescent="0.25">
      <c r="A1830" t="s">
        <v>4024</v>
      </c>
      <c r="B1830" t="s">
        <v>38</v>
      </c>
      <c r="C1830" s="1">
        <v>45864.53402777778</v>
      </c>
      <c r="D1830" t="s">
        <v>5146</v>
      </c>
    </row>
    <row r="1831" spans="1:4" x14ac:dyDescent="0.25">
      <c r="A1831" t="s">
        <v>4025</v>
      </c>
      <c r="B1831" t="s">
        <v>38</v>
      </c>
      <c r="C1831" s="1">
        <v>45855.763194444444</v>
      </c>
      <c r="D1831" t="s">
        <v>5146</v>
      </c>
    </row>
    <row r="1832" spans="1:4" x14ac:dyDescent="0.25">
      <c r="A1832" t="s">
        <v>4026</v>
      </c>
      <c r="B1832" t="s">
        <v>38</v>
      </c>
      <c r="C1832" s="1">
        <v>45874.650694444441</v>
      </c>
      <c r="D1832" t="s">
        <v>5146</v>
      </c>
    </row>
    <row r="1833" spans="1:4" x14ac:dyDescent="0.25">
      <c r="A1833" t="s">
        <v>4027</v>
      </c>
      <c r="B1833" t="s">
        <v>38</v>
      </c>
      <c r="C1833" s="1">
        <v>45856.634722222225</v>
      </c>
      <c r="D1833" t="s">
        <v>5146</v>
      </c>
    </row>
    <row r="1834" spans="1:4" x14ac:dyDescent="0.25">
      <c r="A1834" t="s">
        <v>4028</v>
      </c>
      <c r="B1834" t="s">
        <v>38</v>
      </c>
      <c r="C1834" s="1">
        <v>45856.524305555555</v>
      </c>
      <c r="D1834" t="s">
        <v>5146</v>
      </c>
    </row>
    <row r="1835" spans="1:4" x14ac:dyDescent="0.25">
      <c r="A1835" t="s">
        <v>4029</v>
      </c>
      <c r="B1835" t="s">
        <v>38</v>
      </c>
      <c r="C1835" s="1">
        <v>45856.635416666664</v>
      </c>
      <c r="D1835" t="s">
        <v>5146</v>
      </c>
    </row>
    <row r="1836" spans="1:4" x14ac:dyDescent="0.25">
      <c r="A1836" t="s">
        <v>4030</v>
      </c>
      <c r="B1836" t="s">
        <v>38</v>
      </c>
      <c r="C1836" s="1">
        <v>45856.513194444444</v>
      </c>
      <c r="D1836" t="s">
        <v>5146</v>
      </c>
    </row>
    <row r="1837" spans="1:4" x14ac:dyDescent="0.25">
      <c r="A1837" t="s">
        <v>4031</v>
      </c>
      <c r="B1837" t="s">
        <v>38</v>
      </c>
      <c r="C1837" s="1">
        <v>45857.498611111114</v>
      </c>
      <c r="D1837" t="s">
        <v>5146</v>
      </c>
    </row>
    <row r="1838" spans="1:4" x14ac:dyDescent="0.25">
      <c r="A1838" t="s">
        <v>4032</v>
      </c>
      <c r="B1838" t="s">
        <v>38</v>
      </c>
      <c r="C1838" s="1">
        <v>45856.635416666664</v>
      </c>
      <c r="D1838" t="s">
        <v>5146</v>
      </c>
    </row>
    <row r="1839" spans="1:4" x14ac:dyDescent="0.25">
      <c r="A1839" t="s">
        <v>4033</v>
      </c>
      <c r="B1839" t="s">
        <v>38</v>
      </c>
      <c r="C1839" s="1">
        <v>45877.5625</v>
      </c>
      <c r="D1839" t="s">
        <v>5146</v>
      </c>
    </row>
    <row r="1840" spans="1:4" x14ac:dyDescent="0.25">
      <c r="A1840" t="s">
        <v>4034</v>
      </c>
      <c r="B1840" t="s">
        <v>38</v>
      </c>
      <c r="C1840" s="1">
        <v>45867.761805555558</v>
      </c>
      <c r="D1840" t="s">
        <v>5146</v>
      </c>
    </row>
    <row r="1841" spans="1:4" x14ac:dyDescent="0.25">
      <c r="A1841" t="s">
        <v>4035</v>
      </c>
      <c r="B1841" t="s">
        <v>38</v>
      </c>
      <c r="C1841" s="1">
        <v>45876.495833333334</v>
      </c>
      <c r="D1841" t="s">
        <v>5146</v>
      </c>
    </row>
    <row r="1842" spans="1:4" x14ac:dyDescent="0.25">
      <c r="A1842" t="s">
        <v>4036</v>
      </c>
      <c r="B1842" t="s">
        <v>38</v>
      </c>
      <c r="C1842" s="1">
        <v>45859.539583333331</v>
      </c>
      <c r="D1842" t="s">
        <v>5146</v>
      </c>
    </row>
    <row r="1843" spans="1:4" x14ac:dyDescent="0.25">
      <c r="A1843" t="s">
        <v>4037</v>
      </c>
      <c r="B1843" t="s">
        <v>38</v>
      </c>
      <c r="C1843" s="1">
        <v>45859.473611111112</v>
      </c>
      <c r="D1843" t="s">
        <v>5146</v>
      </c>
    </row>
    <row r="1844" spans="1:4" x14ac:dyDescent="0.25">
      <c r="A1844" t="s">
        <v>4038</v>
      </c>
      <c r="B1844" t="s">
        <v>38</v>
      </c>
      <c r="C1844" s="1">
        <v>45922.714583333334</v>
      </c>
      <c r="D1844" t="s">
        <v>5146</v>
      </c>
    </row>
    <row r="1845" spans="1:4" x14ac:dyDescent="0.25">
      <c r="A1845" t="s">
        <v>351</v>
      </c>
      <c r="B1845" t="s">
        <v>38</v>
      </c>
      <c r="C1845" s="1">
        <v>46039.673611111109</v>
      </c>
      <c r="D1845" t="s">
        <v>5146</v>
      </c>
    </row>
    <row r="1846" spans="1:4" x14ac:dyDescent="0.25">
      <c r="A1846" t="s">
        <v>4039</v>
      </c>
      <c r="B1846" t="s">
        <v>38</v>
      </c>
      <c r="C1846" s="1">
        <v>45859.452777777777</v>
      </c>
      <c r="D1846" t="s">
        <v>5146</v>
      </c>
    </row>
    <row r="1847" spans="1:4" x14ac:dyDescent="0.25">
      <c r="A1847" t="s">
        <v>4040</v>
      </c>
      <c r="B1847" t="s">
        <v>38</v>
      </c>
      <c r="C1847" s="1">
        <v>45857.616666666669</v>
      </c>
      <c r="D1847" t="s">
        <v>5146</v>
      </c>
    </row>
    <row r="1848" spans="1:4" x14ac:dyDescent="0.25">
      <c r="A1848" t="s">
        <v>4041</v>
      </c>
      <c r="B1848" t="s">
        <v>38</v>
      </c>
      <c r="C1848" s="1">
        <v>45860.488194444442</v>
      </c>
      <c r="D1848" t="s">
        <v>5146</v>
      </c>
    </row>
    <row r="1849" spans="1:4" x14ac:dyDescent="0.25">
      <c r="A1849" t="s">
        <v>4042</v>
      </c>
      <c r="B1849" t="s">
        <v>38</v>
      </c>
      <c r="C1849" s="1">
        <v>45866.856944444444</v>
      </c>
      <c r="D1849" t="s">
        <v>5146</v>
      </c>
    </row>
    <row r="1850" spans="1:4" x14ac:dyDescent="0.25">
      <c r="A1850" t="s">
        <v>4043</v>
      </c>
      <c r="B1850" t="s">
        <v>38</v>
      </c>
      <c r="C1850" s="1">
        <v>45859.734722222223</v>
      </c>
      <c r="D1850" t="s">
        <v>5146</v>
      </c>
    </row>
    <row r="1851" spans="1:4" x14ac:dyDescent="0.25">
      <c r="A1851" t="s">
        <v>4044</v>
      </c>
      <c r="B1851" t="s">
        <v>39</v>
      </c>
      <c r="C1851" s="1">
        <v>45902.477777777778</v>
      </c>
      <c r="D1851" t="s">
        <v>5146</v>
      </c>
    </row>
    <row r="1852" spans="1:4" x14ac:dyDescent="0.25">
      <c r="A1852" t="s">
        <v>4045</v>
      </c>
      <c r="B1852" t="s">
        <v>38</v>
      </c>
      <c r="C1852" s="1">
        <v>45857.631944444445</v>
      </c>
      <c r="D1852" t="s">
        <v>5146</v>
      </c>
    </row>
    <row r="1853" spans="1:4" x14ac:dyDescent="0.25">
      <c r="A1853" t="s">
        <v>4046</v>
      </c>
      <c r="B1853" t="s">
        <v>38</v>
      </c>
      <c r="C1853" s="1">
        <v>45860.475694444445</v>
      </c>
      <c r="D1853" t="s">
        <v>5146</v>
      </c>
    </row>
    <row r="1854" spans="1:4" x14ac:dyDescent="0.25">
      <c r="A1854" t="s">
        <v>4047</v>
      </c>
      <c r="B1854" t="s">
        <v>38</v>
      </c>
      <c r="C1854" s="1">
        <v>45902.71597222222</v>
      </c>
      <c r="D1854" t="s">
        <v>5146</v>
      </c>
    </row>
    <row r="1855" spans="1:4" x14ac:dyDescent="0.25">
      <c r="A1855" t="s">
        <v>4048</v>
      </c>
      <c r="B1855" t="s">
        <v>38</v>
      </c>
      <c r="C1855" s="1">
        <v>45877.561805555553</v>
      </c>
      <c r="D1855" t="s">
        <v>5146</v>
      </c>
    </row>
    <row r="1856" spans="1:4" x14ac:dyDescent="0.25">
      <c r="A1856" t="s">
        <v>4049</v>
      </c>
      <c r="B1856" t="s">
        <v>38</v>
      </c>
      <c r="C1856" s="1">
        <v>45859.525000000001</v>
      </c>
      <c r="D1856" t="s">
        <v>5146</v>
      </c>
    </row>
    <row r="1857" spans="1:4" x14ac:dyDescent="0.25">
      <c r="A1857" t="s">
        <v>353</v>
      </c>
      <c r="B1857" t="s">
        <v>39</v>
      </c>
      <c r="C1857" s="1">
        <v>46038.481249999997</v>
      </c>
      <c r="D1857" t="s">
        <v>5146</v>
      </c>
    </row>
    <row r="1858" spans="1:4" x14ac:dyDescent="0.25">
      <c r="A1858" t="s">
        <v>4050</v>
      </c>
      <c r="B1858" t="s">
        <v>38</v>
      </c>
      <c r="C1858" s="1">
        <v>45870.6</v>
      </c>
      <c r="D1858" t="s">
        <v>5146</v>
      </c>
    </row>
    <row r="1859" spans="1:4" x14ac:dyDescent="0.25">
      <c r="A1859" t="s">
        <v>342</v>
      </c>
      <c r="B1859" t="s">
        <v>38</v>
      </c>
      <c r="C1859" s="1">
        <v>46025.491666666669</v>
      </c>
      <c r="D1859" t="s">
        <v>5146</v>
      </c>
    </row>
    <row r="1860" spans="1:4" x14ac:dyDescent="0.25">
      <c r="A1860" t="s">
        <v>4051</v>
      </c>
      <c r="B1860" t="s">
        <v>38</v>
      </c>
      <c r="C1860" s="1">
        <v>45877.560416666667</v>
      </c>
      <c r="D1860" t="s">
        <v>5146</v>
      </c>
    </row>
    <row r="1861" spans="1:4" x14ac:dyDescent="0.25">
      <c r="A1861" t="s">
        <v>4052</v>
      </c>
      <c r="B1861" t="s">
        <v>38</v>
      </c>
      <c r="C1861" s="1">
        <v>45891.676388888889</v>
      </c>
      <c r="D1861" t="s">
        <v>5146</v>
      </c>
    </row>
    <row r="1862" spans="1:4" x14ac:dyDescent="0.25">
      <c r="A1862" t="s">
        <v>4053</v>
      </c>
      <c r="B1862" t="s">
        <v>38</v>
      </c>
      <c r="C1862" s="1">
        <v>45860.523611111108</v>
      </c>
      <c r="D1862" t="s">
        <v>5146</v>
      </c>
    </row>
    <row r="1863" spans="1:4" x14ac:dyDescent="0.25">
      <c r="A1863" t="s">
        <v>4054</v>
      </c>
      <c r="B1863" t="s">
        <v>38</v>
      </c>
      <c r="C1863" s="1">
        <v>45877.558333333334</v>
      </c>
      <c r="D1863" t="s">
        <v>5146</v>
      </c>
    </row>
    <row r="1864" spans="1:4" x14ac:dyDescent="0.25">
      <c r="A1864" t="s">
        <v>4055</v>
      </c>
      <c r="B1864" t="s">
        <v>38</v>
      </c>
      <c r="C1864" s="1">
        <v>45866.856944444444</v>
      </c>
      <c r="D1864" t="s">
        <v>5146</v>
      </c>
    </row>
    <row r="1865" spans="1:4" x14ac:dyDescent="0.25">
      <c r="A1865" t="s">
        <v>4056</v>
      </c>
      <c r="B1865" t="s">
        <v>39</v>
      </c>
      <c r="C1865" s="1">
        <v>45891.677083333336</v>
      </c>
      <c r="D1865" t="s">
        <v>5146</v>
      </c>
    </row>
    <row r="1866" spans="1:4" x14ac:dyDescent="0.25">
      <c r="A1866" t="s">
        <v>4057</v>
      </c>
      <c r="B1866" t="s">
        <v>38</v>
      </c>
      <c r="C1866" s="1">
        <v>45861.484027777777</v>
      </c>
      <c r="D1866" t="s">
        <v>5146</v>
      </c>
    </row>
    <row r="1867" spans="1:4" x14ac:dyDescent="0.25">
      <c r="A1867" t="s">
        <v>4058</v>
      </c>
      <c r="B1867" t="s">
        <v>38</v>
      </c>
      <c r="C1867" s="1">
        <v>45911.597916666666</v>
      </c>
      <c r="D1867" t="s">
        <v>5146</v>
      </c>
    </row>
    <row r="1868" spans="1:4" x14ac:dyDescent="0.25">
      <c r="A1868" t="s">
        <v>4059</v>
      </c>
      <c r="B1868" t="s">
        <v>38</v>
      </c>
      <c r="C1868" s="1">
        <v>45861.522222222222</v>
      </c>
      <c r="D1868" t="s">
        <v>5146</v>
      </c>
    </row>
    <row r="1869" spans="1:4" x14ac:dyDescent="0.25">
      <c r="A1869" t="s">
        <v>4060</v>
      </c>
      <c r="B1869" t="s">
        <v>38</v>
      </c>
      <c r="C1869" s="1">
        <v>45889.669444444444</v>
      </c>
      <c r="D1869" t="s">
        <v>5146</v>
      </c>
    </row>
    <row r="1870" spans="1:4" x14ac:dyDescent="0.25">
      <c r="A1870" t="s">
        <v>4061</v>
      </c>
      <c r="B1870" t="s">
        <v>38</v>
      </c>
      <c r="C1870" s="1">
        <v>45892.784722222219</v>
      </c>
      <c r="D1870" t="s">
        <v>5146</v>
      </c>
    </row>
    <row r="1871" spans="1:4" x14ac:dyDescent="0.25">
      <c r="A1871" t="s">
        <v>4062</v>
      </c>
      <c r="B1871" t="s">
        <v>38</v>
      </c>
      <c r="C1871" s="1">
        <v>45910.775000000001</v>
      </c>
      <c r="D1871" t="s">
        <v>5146</v>
      </c>
    </row>
    <row r="1872" spans="1:4" x14ac:dyDescent="0.25">
      <c r="A1872" t="s">
        <v>4063</v>
      </c>
      <c r="B1872" t="s">
        <v>38</v>
      </c>
      <c r="C1872" s="1">
        <v>45864.561111111114</v>
      </c>
      <c r="D1872" t="s">
        <v>5146</v>
      </c>
    </row>
    <row r="1873" spans="1:4" x14ac:dyDescent="0.25">
      <c r="A1873" t="s">
        <v>4064</v>
      </c>
      <c r="B1873" t="s">
        <v>39</v>
      </c>
      <c r="C1873" s="1">
        <v>45870.51458333333</v>
      </c>
      <c r="D1873" t="s">
        <v>5146</v>
      </c>
    </row>
    <row r="1874" spans="1:4" x14ac:dyDescent="0.25">
      <c r="A1874" t="s">
        <v>349</v>
      </c>
      <c r="B1874" t="s">
        <v>38</v>
      </c>
      <c r="C1874" s="1">
        <v>46039.67291666667</v>
      </c>
      <c r="D1874" t="s">
        <v>5146</v>
      </c>
    </row>
    <row r="1875" spans="1:4" x14ac:dyDescent="0.25">
      <c r="A1875" t="s">
        <v>4065</v>
      </c>
      <c r="B1875" t="s">
        <v>38</v>
      </c>
      <c r="C1875" s="1">
        <v>45911.568055555559</v>
      </c>
      <c r="D1875" t="s">
        <v>5146</v>
      </c>
    </row>
    <row r="1876" spans="1:4" x14ac:dyDescent="0.25">
      <c r="A1876" t="s">
        <v>4066</v>
      </c>
      <c r="B1876" t="s">
        <v>38</v>
      </c>
      <c r="C1876" s="1">
        <v>45895.507638888892</v>
      </c>
      <c r="D1876" t="s">
        <v>5146</v>
      </c>
    </row>
    <row r="1877" spans="1:4" x14ac:dyDescent="0.25">
      <c r="A1877" t="s">
        <v>4067</v>
      </c>
      <c r="B1877" t="s">
        <v>38</v>
      </c>
      <c r="C1877" s="1">
        <v>45874.779861111114</v>
      </c>
      <c r="D1877" t="s">
        <v>5146</v>
      </c>
    </row>
    <row r="1878" spans="1:4" x14ac:dyDescent="0.25">
      <c r="A1878" t="s">
        <v>4068</v>
      </c>
      <c r="B1878" t="s">
        <v>38</v>
      </c>
      <c r="C1878" s="1">
        <v>45892.71597222222</v>
      </c>
      <c r="D1878" t="s">
        <v>5146</v>
      </c>
    </row>
    <row r="1879" spans="1:4" x14ac:dyDescent="0.25">
      <c r="A1879" t="s">
        <v>4069</v>
      </c>
      <c r="B1879" t="s">
        <v>38</v>
      </c>
      <c r="C1879" s="1">
        <v>45877.557638888888</v>
      </c>
      <c r="D1879" t="s">
        <v>5146</v>
      </c>
    </row>
    <row r="1880" spans="1:4" x14ac:dyDescent="0.25">
      <c r="A1880" t="s">
        <v>4070</v>
      </c>
      <c r="B1880" t="s">
        <v>38</v>
      </c>
      <c r="C1880" s="1">
        <v>45866.551388888889</v>
      </c>
      <c r="D1880" t="s">
        <v>5146</v>
      </c>
    </row>
    <row r="1881" spans="1:4" x14ac:dyDescent="0.25">
      <c r="A1881" t="s">
        <v>4071</v>
      </c>
      <c r="B1881" t="s">
        <v>38</v>
      </c>
      <c r="C1881" s="1">
        <v>45864.706250000003</v>
      </c>
      <c r="D1881" t="s">
        <v>5146</v>
      </c>
    </row>
    <row r="1882" spans="1:4" x14ac:dyDescent="0.25">
      <c r="A1882" t="s">
        <v>4072</v>
      </c>
      <c r="B1882" t="s">
        <v>38</v>
      </c>
      <c r="C1882" s="1">
        <v>45866.679166666669</v>
      </c>
      <c r="D1882" t="s">
        <v>5146</v>
      </c>
    </row>
    <row r="1883" spans="1:4" x14ac:dyDescent="0.25">
      <c r="A1883" t="s">
        <v>4073</v>
      </c>
      <c r="B1883" t="s">
        <v>39</v>
      </c>
      <c r="C1883" s="1">
        <v>45861.8</v>
      </c>
      <c r="D1883" t="s">
        <v>5146</v>
      </c>
    </row>
    <row r="1884" spans="1:4" x14ac:dyDescent="0.25">
      <c r="A1884" t="s">
        <v>4074</v>
      </c>
      <c r="B1884" t="s">
        <v>38</v>
      </c>
      <c r="C1884" s="1">
        <v>45877.557638888888</v>
      </c>
      <c r="D1884" t="s">
        <v>5146</v>
      </c>
    </row>
    <row r="1885" spans="1:4" x14ac:dyDescent="0.25">
      <c r="A1885" t="s">
        <v>4075</v>
      </c>
      <c r="B1885" t="s">
        <v>38</v>
      </c>
      <c r="C1885" s="1">
        <v>45877.556944444441</v>
      </c>
      <c r="D1885" t="s">
        <v>5146</v>
      </c>
    </row>
    <row r="1886" spans="1:4" x14ac:dyDescent="0.25">
      <c r="A1886" t="s">
        <v>4076</v>
      </c>
      <c r="B1886" t="s">
        <v>38</v>
      </c>
      <c r="C1886" s="1">
        <v>45892.708333333336</v>
      </c>
      <c r="D1886" t="s">
        <v>5146</v>
      </c>
    </row>
    <row r="1887" spans="1:4" x14ac:dyDescent="0.25">
      <c r="A1887" t="s">
        <v>4077</v>
      </c>
      <c r="B1887" t="s">
        <v>38</v>
      </c>
      <c r="C1887" s="1">
        <v>45866.567361111112</v>
      </c>
      <c r="D1887" t="s">
        <v>5146</v>
      </c>
    </row>
    <row r="1888" spans="1:4" x14ac:dyDescent="0.25">
      <c r="A1888" t="s">
        <v>4078</v>
      </c>
      <c r="B1888" t="s">
        <v>38</v>
      </c>
      <c r="C1888" s="1">
        <v>45877.556250000001</v>
      </c>
      <c r="D1888" t="s">
        <v>5146</v>
      </c>
    </row>
    <row r="1889" spans="1:4" x14ac:dyDescent="0.25">
      <c r="A1889" t="s">
        <v>4079</v>
      </c>
      <c r="B1889" t="s">
        <v>39</v>
      </c>
      <c r="C1889" s="1">
        <v>45891.695833333331</v>
      </c>
      <c r="D1889" t="s">
        <v>5146</v>
      </c>
    </row>
    <row r="1890" spans="1:4" x14ac:dyDescent="0.25">
      <c r="A1890" t="s">
        <v>4080</v>
      </c>
      <c r="B1890" t="s">
        <v>38</v>
      </c>
      <c r="C1890" s="1">
        <v>45869.492361111108</v>
      </c>
      <c r="D1890" t="s">
        <v>5146</v>
      </c>
    </row>
    <row r="1891" spans="1:4" x14ac:dyDescent="0.25">
      <c r="A1891" t="s">
        <v>4081</v>
      </c>
      <c r="B1891" t="s">
        <v>38</v>
      </c>
      <c r="C1891" s="1">
        <v>45891.7</v>
      </c>
      <c r="D1891" t="s">
        <v>5146</v>
      </c>
    </row>
    <row r="1892" spans="1:4" x14ac:dyDescent="0.25">
      <c r="A1892" t="s">
        <v>4082</v>
      </c>
      <c r="B1892" t="s">
        <v>38</v>
      </c>
      <c r="C1892" s="1">
        <v>45887.679861111108</v>
      </c>
      <c r="D1892" t="s">
        <v>5146</v>
      </c>
    </row>
    <row r="1893" spans="1:4" x14ac:dyDescent="0.25">
      <c r="A1893" t="s">
        <v>4083</v>
      </c>
      <c r="B1893" t="s">
        <v>38</v>
      </c>
      <c r="C1893" s="1">
        <v>45864.75</v>
      </c>
      <c r="D1893" t="s">
        <v>5146</v>
      </c>
    </row>
    <row r="1894" spans="1:4" x14ac:dyDescent="0.25">
      <c r="A1894" t="s">
        <v>4084</v>
      </c>
      <c r="B1894" t="s">
        <v>38</v>
      </c>
      <c r="C1894" s="1">
        <v>45892.6875</v>
      </c>
      <c r="D1894" t="s">
        <v>5146</v>
      </c>
    </row>
    <row r="1895" spans="1:4" x14ac:dyDescent="0.25">
      <c r="A1895" t="s">
        <v>4085</v>
      </c>
      <c r="B1895" t="s">
        <v>38</v>
      </c>
      <c r="C1895" s="1">
        <v>45871.605555555558</v>
      </c>
      <c r="D1895" t="s">
        <v>5146</v>
      </c>
    </row>
    <row r="1896" spans="1:4" x14ac:dyDescent="0.25">
      <c r="A1896" t="s">
        <v>4086</v>
      </c>
      <c r="B1896" t="s">
        <v>38</v>
      </c>
      <c r="C1896" s="1">
        <v>45885.710416666669</v>
      </c>
      <c r="D1896" t="s">
        <v>5146</v>
      </c>
    </row>
    <row r="1897" spans="1:4" x14ac:dyDescent="0.25">
      <c r="A1897" t="s">
        <v>4087</v>
      </c>
      <c r="B1897" t="s">
        <v>38</v>
      </c>
      <c r="C1897" s="1">
        <v>45871.581250000003</v>
      </c>
      <c r="D1897" t="s">
        <v>5146</v>
      </c>
    </row>
    <row r="1898" spans="1:4" x14ac:dyDescent="0.25">
      <c r="A1898" t="s">
        <v>4088</v>
      </c>
      <c r="B1898" t="s">
        <v>38</v>
      </c>
      <c r="C1898" s="1">
        <v>45864.609027777777</v>
      </c>
      <c r="D1898" t="s">
        <v>5146</v>
      </c>
    </row>
    <row r="1899" spans="1:4" x14ac:dyDescent="0.25">
      <c r="A1899" t="s">
        <v>4089</v>
      </c>
      <c r="B1899" t="s">
        <v>38</v>
      </c>
      <c r="C1899" s="1">
        <v>45866.422222222223</v>
      </c>
      <c r="D1899" t="s">
        <v>5146</v>
      </c>
    </row>
    <row r="1900" spans="1:4" x14ac:dyDescent="0.25">
      <c r="A1900" t="s">
        <v>4090</v>
      </c>
      <c r="B1900" t="s">
        <v>38</v>
      </c>
      <c r="C1900" s="1">
        <v>45899.469444444447</v>
      </c>
      <c r="D1900" t="s">
        <v>5146</v>
      </c>
    </row>
    <row r="1901" spans="1:4" x14ac:dyDescent="0.25">
      <c r="A1901" t="s">
        <v>4091</v>
      </c>
      <c r="B1901" t="s">
        <v>38</v>
      </c>
      <c r="C1901" s="1">
        <v>45892.67083333333</v>
      </c>
      <c r="D1901" t="s">
        <v>5146</v>
      </c>
    </row>
    <row r="1902" spans="1:4" x14ac:dyDescent="0.25">
      <c r="A1902" t="s">
        <v>4092</v>
      </c>
      <c r="B1902" t="s">
        <v>38</v>
      </c>
      <c r="C1902" s="1">
        <v>45877.555555555555</v>
      </c>
      <c r="D1902" t="s">
        <v>5146</v>
      </c>
    </row>
    <row r="1903" spans="1:4" x14ac:dyDescent="0.25">
      <c r="A1903" t="s">
        <v>4093</v>
      </c>
      <c r="B1903" t="s">
        <v>38</v>
      </c>
      <c r="C1903" s="1">
        <v>45871.829861111109</v>
      </c>
      <c r="D1903" t="s">
        <v>5146</v>
      </c>
    </row>
    <row r="1904" spans="1:4" x14ac:dyDescent="0.25">
      <c r="A1904" t="s">
        <v>4094</v>
      </c>
      <c r="B1904" t="s">
        <v>38</v>
      </c>
      <c r="C1904" s="1">
        <v>45870.746527777781</v>
      </c>
      <c r="D1904" t="s">
        <v>5146</v>
      </c>
    </row>
    <row r="1905" spans="1:4" x14ac:dyDescent="0.25">
      <c r="A1905" t="s">
        <v>4095</v>
      </c>
      <c r="B1905" t="s">
        <v>38</v>
      </c>
      <c r="C1905" s="1">
        <v>45892.563194444447</v>
      </c>
      <c r="D1905" t="s">
        <v>5146</v>
      </c>
    </row>
    <row r="1906" spans="1:4" x14ac:dyDescent="0.25">
      <c r="A1906" t="s">
        <v>4096</v>
      </c>
      <c r="B1906" t="s">
        <v>38</v>
      </c>
      <c r="C1906" s="1">
        <v>45882.682638888888</v>
      </c>
      <c r="D1906" t="s">
        <v>5146</v>
      </c>
    </row>
    <row r="1907" spans="1:4" x14ac:dyDescent="0.25">
      <c r="A1907" t="s">
        <v>4097</v>
      </c>
      <c r="B1907" t="s">
        <v>38</v>
      </c>
      <c r="C1907" s="1">
        <v>45877.53402777778</v>
      </c>
      <c r="D1907" t="s">
        <v>5146</v>
      </c>
    </row>
    <row r="1908" spans="1:4" x14ac:dyDescent="0.25">
      <c r="A1908" t="s">
        <v>4098</v>
      </c>
      <c r="B1908" t="s">
        <v>38</v>
      </c>
      <c r="C1908" s="1">
        <v>45887.772916666669</v>
      </c>
      <c r="D1908" t="s">
        <v>5146</v>
      </c>
    </row>
    <row r="1909" spans="1:4" x14ac:dyDescent="0.25">
      <c r="A1909" t="s">
        <v>4099</v>
      </c>
      <c r="B1909" t="s">
        <v>38</v>
      </c>
      <c r="C1909" s="1">
        <v>45915.659722222219</v>
      </c>
      <c r="D1909" t="s">
        <v>5146</v>
      </c>
    </row>
    <row r="1910" spans="1:4" x14ac:dyDescent="0.25">
      <c r="A1910" t="s">
        <v>4100</v>
      </c>
      <c r="B1910" t="s">
        <v>38</v>
      </c>
      <c r="C1910" s="1">
        <v>45889.525000000001</v>
      </c>
      <c r="D1910" t="s">
        <v>5146</v>
      </c>
    </row>
    <row r="1911" spans="1:4" x14ac:dyDescent="0.25">
      <c r="A1911" t="s">
        <v>4101</v>
      </c>
      <c r="B1911" t="s">
        <v>39</v>
      </c>
      <c r="C1911" s="1">
        <v>45901.479861111111</v>
      </c>
      <c r="D1911" t="s">
        <v>5146</v>
      </c>
    </row>
    <row r="1912" spans="1:4" x14ac:dyDescent="0.25">
      <c r="A1912" t="s">
        <v>4102</v>
      </c>
      <c r="B1912" t="s">
        <v>38</v>
      </c>
      <c r="C1912" s="1">
        <v>45877.554861111108</v>
      </c>
      <c r="D1912" t="s">
        <v>5146</v>
      </c>
    </row>
    <row r="1913" spans="1:4" x14ac:dyDescent="0.25">
      <c r="A1913" t="s">
        <v>4103</v>
      </c>
      <c r="B1913" t="s">
        <v>38</v>
      </c>
      <c r="C1913" s="1">
        <v>45877.554166666669</v>
      </c>
      <c r="D1913" t="s">
        <v>5146</v>
      </c>
    </row>
    <row r="1914" spans="1:4" x14ac:dyDescent="0.25">
      <c r="A1914" t="s">
        <v>4104</v>
      </c>
      <c r="B1914" t="s">
        <v>38</v>
      </c>
      <c r="C1914" s="1">
        <v>45922.708333333336</v>
      </c>
      <c r="D1914" t="s">
        <v>5146</v>
      </c>
    </row>
    <row r="1915" spans="1:4" x14ac:dyDescent="0.25">
      <c r="A1915" t="s">
        <v>4105</v>
      </c>
      <c r="B1915" t="s">
        <v>38</v>
      </c>
      <c r="C1915" s="1">
        <v>45864.677083333336</v>
      </c>
      <c r="D1915" t="s">
        <v>5146</v>
      </c>
    </row>
    <row r="1916" spans="1:4" x14ac:dyDescent="0.25">
      <c r="A1916" t="s">
        <v>4106</v>
      </c>
      <c r="B1916" t="s">
        <v>38</v>
      </c>
      <c r="C1916" s="1">
        <v>45878.51458333333</v>
      </c>
      <c r="D1916" t="s">
        <v>5146</v>
      </c>
    </row>
    <row r="1917" spans="1:4" x14ac:dyDescent="0.25">
      <c r="A1917" t="s">
        <v>4107</v>
      </c>
      <c r="B1917" t="s">
        <v>38</v>
      </c>
      <c r="C1917" s="1">
        <v>45868.761111111111</v>
      </c>
      <c r="D1917" t="s">
        <v>5146</v>
      </c>
    </row>
    <row r="1918" spans="1:4" x14ac:dyDescent="0.25">
      <c r="A1918" t="s">
        <v>4108</v>
      </c>
      <c r="B1918" t="s">
        <v>38</v>
      </c>
      <c r="C1918" s="1">
        <v>45867.604166666664</v>
      </c>
      <c r="D1918" t="s">
        <v>5146</v>
      </c>
    </row>
    <row r="1919" spans="1:4" x14ac:dyDescent="0.25">
      <c r="A1919" t="s">
        <v>4109</v>
      </c>
      <c r="B1919" t="s">
        <v>38</v>
      </c>
      <c r="C1919" s="1">
        <v>45870.700694444444</v>
      </c>
      <c r="D1919" t="s">
        <v>5146</v>
      </c>
    </row>
    <row r="1920" spans="1:4" x14ac:dyDescent="0.25">
      <c r="A1920" t="s">
        <v>4110</v>
      </c>
      <c r="B1920" t="s">
        <v>38</v>
      </c>
      <c r="C1920" s="1">
        <v>45885.70208333333</v>
      </c>
      <c r="D1920" t="s">
        <v>5146</v>
      </c>
    </row>
    <row r="1921" spans="1:4" x14ac:dyDescent="0.25">
      <c r="A1921" t="s">
        <v>4111</v>
      </c>
      <c r="B1921" t="s">
        <v>38</v>
      </c>
      <c r="C1921" s="1">
        <v>45877.531944444447</v>
      </c>
      <c r="D1921" t="s">
        <v>5146</v>
      </c>
    </row>
    <row r="1922" spans="1:4" x14ac:dyDescent="0.25">
      <c r="A1922" t="s">
        <v>4112</v>
      </c>
      <c r="B1922" t="s">
        <v>38</v>
      </c>
      <c r="C1922" s="1">
        <v>45871.509027777778</v>
      </c>
      <c r="D1922" t="s">
        <v>5146</v>
      </c>
    </row>
    <row r="1923" spans="1:4" x14ac:dyDescent="0.25">
      <c r="A1923" t="s">
        <v>4113</v>
      </c>
      <c r="B1923" t="s">
        <v>38</v>
      </c>
      <c r="C1923" s="1">
        <v>45870.710416666669</v>
      </c>
      <c r="D1923" t="s">
        <v>5146</v>
      </c>
    </row>
    <row r="1924" spans="1:4" x14ac:dyDescent="0.25">
      <c r="A1924" t="s">
        <v>4114</v>
      </c>
      <c r="B1924" t="s">
        <v>38</v>
      </c>
      <c r="C1924" s="1">
        <v>45877.552777777775</v>
      </c>
      <c r="D1924" t="s">
        <v>5146</v>
      </c>
    </row>
    <row r="1925" spans="1:4" x14ac:dyDescent="0.25">
      <c r="A1925" t="s">
        <v>4115</v>
      </c>
      <c r="B1925" t="s">
        <v>38</v>
      </c>
      <c r="C1925" s="1">
        <v>45868.522916666669</v>
      </c>
      <c r="D1925" t="s">
        <v>5146</v>
      </c>
    </row>
    <row r="1926" spans="1:4" x14ac:dyDescent="0.25">
      <c r="A1926" t="s">
        <v>4116</v>
      </c>
      <c r="B1926" t="s">
        <v>38</v>
      </c>
      <c r="C1926" s="1">
        <v>45870.594444444447</v>
      </c>
      <c r="D1926" t="s">
        <v>5146</v>
      </c>
    </row>
    <row r="1927" spans="1:4" x14ac:dyDescent="0.25">
      <c r="A1927" t="s">
        <v>4117</v>
      </c>
      <c r="B1927" t="s">
        <v>38</v>
      </c>
      <c r="C1927" s="1">
        <v>45890.688888888886</v>
      </c>
      <c r="D1927" t="s">
        <v>5146</v>
      </c>
    </row>
    <row r="1928" spans="1:4" x14ac:dyDescent="0.25">
      <c r="A1928" t="s">
        <v>4118</v>
      </c>
      <c r="B1928" t="s">
        <v>38</v>
      </c>
      <c r="C1928" s="1">
        <v>45897.71875</v>
      </c>
      <c r="D1928" t="s">
        <v>5146</v>
      </c>
    </row>
    <row r="1929" spans="1:4" x14ac:dyDescent="0.25">
      <c r="A1929" t="s">
        <v>4119</v>
      </c>
      <c r="B1929" t="s">
        <v>39</v>
      </c>
      <c r="C1929" s="1">
        <v>45876.51458333333</v>
      </c>
      <c r="D1929" t="s">
        <v>5146</v>
      </c>
    </row>
    <row r="1930" spans="1:4" x14ac:dyDescent="0.25">
      <c r="A1930" t="s">
        <v>4120</v>
      </c>
      <c r="B1930" t="s">
        <v>39</v>
      </c>
      <c r="C1930" s="1">
        <v>45880.484722222223</v>
      </c>
      <c r="D1930" t="s">
        <v>5146</v>
      </c>
    </row>
    <row r="1931" spans="1:4" x14ac:dyDescent="0.25">
      <c r="A1931" t="s">
        <v>4121</v>
      </c>
      <c r="B1931" t="s">
        <v>38</v>
      </c>
      <c r="C1931" s="1">
        <v>45869.756944444445</v>
      </c>
      <c r="D1931" t="s">
        <v>5146</v>
      </c>
    </row>
    <row r="1932" spans="1:4" x14ac:dyDescent="0.25">
      <c r="A1932" t="s">
        <v>4122</v>
      </c>
      <c r="B1932" t="s">
        <v>38</v>
      </c>
      <c r="C1932" s="1">
        <v>45870.597222222219</v>
      </c>
      <c r="D1932" t="s">
        <v>5146</v>
      </c>
    </row>
    <row r="1933" spans="1:4" x14ac:dyDescent="0.25">
      <c r="A1933" t="s">
        <v>4123</v>
      </c>
      <c r="B1933" t="s">
        <v>38</v>
      </c>
      <c r="C1933" s="1">
        <v>45978.487500000003</v>
      </c>
      <c r="D1933" t="s">
        <v>5146</v>
      </c>
    </row>
    <row r="1934" spans="1:4" x14ac:dyDescent="0.25">
      <c r="A1934" t="s">
        <v>4124</v>
      </c>
      <c r="B1934" t="s">
        <v>38</v>
      </c>
      <c r="C1934" s="1">
        <v>45868.541666666664</v>
      </c>
      <c r="D1934" t="s">
        <v>5146</v>
      </c>
    </row>
    <row r="1935" spans="1:4" x14ac:dyDescent="0.25">
      <c r="A1935" t="s">
        <v>4125</v>
      </c>
      <c r="B1935" t="s">
        <v>39</v>
      </c>
      <c r="C1935" s="1">
        <v>45880.486111111109</v>
      </c>
      <c r="D1935" t="s">
        <v>5146</v>
      </c>
    </row>
    <row r="1936" spans="1:4" x14ac:dyDescent="0.25">
      <c r="A1936" t="s">
        <v>4126</v>
      </c>
      <c r="B1936" t="s">
        <v>38</v>
      </c>
      <c r="C1936" s="1">
        <v>45870.67083333333</v>
      </c>
      <c r="D1936" t="s">
        <v>5146</v>
      </c>
    </row>
    <row r="1937" spans="1:4" x14ac:dyDescent="0.25">
      <c r="A1937" t="s">
        <v>4127</v>
      </c>
      <c r="B1937" t="s">
        <v>38</v>
      </c>
      <c r="C1937" s="1">
        <v>45870.664583333331</v>
      </c>
      <c r="D1937" t="s">
        <v>5146</v>
      </c>
    </row>
    <row r="1938" spans="1:4" x14ac:dyDescent="0.25">
      <c r="A1938" t="s">
        <v>4128</v>
      </c>
      <c r="B1938" t="s">
        <v>38</v>
      </c>
      <c r="C1938" s="1">
        <v>45869.724305555559</v>
      </c>
      <c r="D1938" t="s">
        <v>5146</v>
      </c>
    </row>
    <row r="1939" spans="1:4" x14ac:dyDescent="0.25">
      <c r="A1939" t="s">
        <v>4129</v>
      </c>
      <c r="B1939" t="s">
        <v>38</v>
      </c>
      <c r="C1939" s="1">
        <v>45870.680555555555</v>
      </c>
      <c r="D1939" t="s">
        <v>5146</v>
      </c>
    </row>
    <row r="1940" spans="1:4" x14ac:dyDescent="0.25">
      <c r="A1940" t="s">
        <v>4130</v>
      </c>
      <c r="B1940" t="s">
        <v>38</v>
      </c>
      <c r="C1940" s="1">
        <v>45877.71597222222</v>
      </c>
      <c r="D1940" t="s">
        <v>5146</v>
      </c>
    </row>
    <row r="1941" spans="1:4" x14ac:dyDescent="0.25">
      <c r="A1941" t="s">
        <v>4131</v>
      </c>
      <c r="B1941" t="s">
        <v>38</v>
      </c>
      <c r="C1941" s="1">
        <v>45868.773611111108</v>
      </c>
      <c r="D1941" t="s">
        <v>5146</v>
      </c>
    </row>
    <row r="1942" spans="1:4" x14ac:dyDescent="0.25">
      <c r="A1942" t="s">
        <v>4132</v>
      </c>
      <c r="B1942" t="s">
        <v>38</v>
      </c>
      <c r="C1942" s="1">
        <v>45869.712500000001</v>
      </c>
      <c r="D1942" t="s">
        <v>5146</v>
      </c>
    </row>
    <row r="1943" spans="1:4" x14ac:dyDescent="0.25">
      <c r="A1943" t="s">
        <v>4133</v>
      </c>
      <c r="B1943" t="s">
        <v>38</v>
      </c>
      <c r="C1943" s="1">
        <v>45868.537499999999</v>
      </c>
      <c r="D1943" t="s">
        <v>5146</v>
      </c>
    </row>
    <row r="1944" spans="1:4" x14ac:dyDescent="0.25">
      <c r="A1944" t="s">
        <v>4134</v>
      </c>
      <c r="B1944" t="s">
        <v>38</v>
      </c>
      <c r="C1944" s="1">
        <v>45877.755555555559</v>
      </c>
      <c r="D1944" t="s">
        <v>5146</v>
      </c>
    </row>
    <row r="1945" spans="1:4" x14ac:dyDescent="0.25">
      <c r="A1945" t="s">
        <v>4135</v>
      </c>
      <c r="B1945" t="s">
        <v>38</v>
      </c>
      <c r="C1945" s="1">
        <v>45880.663194444445</v>
      </c>
      <c r="D1945" t="s">
        <v>5146</v>
      </c>
    </row>
    <row r="1946" spans="1:4" x14ac:dyDescent="0.25">
      <c r="A1946" t="s">
        <v>4136</v>
      </c>
      <c r="B1946" t="s">
        <v>39</v>
      </c>
      <c r="C1946" s="1">
        <v>45891.677777777775</v>
      </c>
      <c r="D1946" t="s">
        <v>5146</v>
      </c>
    </row>
    <row r="1947" spans="1:4" x14ac:dyDescent="0.25">
      <c r="A1947" t="s">
        <v>4137</v>
      </c>
      <c r="B1947" t="s">
        <v>38</v>
      </c>
      <c r="C1947" s="1">
        <v>45877.53125</v>
      </c>
      <c r="D1947" t="s">
        <v>5146</v>
      </c>
    </row>
    <row r="1948" spans="1:4" x14ac:dyDescent="0.25">
      <c r="A1948" t="s">
        <v>4138</v>
      </c>
      <c r="B1948" t="s">
        <v>38</v>
      </c>
      <c r="C1948" s="1">
        <v>45870.693749999999</v>
      </c>
      <c r="D1948" t="s">
        <v>5146</v>
      </c>
    </row>
    <row r="1949" spans="1:4" x14ac:dyDescent="0.25">
      <c r="A1949" t="s">
        <v>334</v>
      </c>
      <c r="B1949" t="s">
        <v>38</v>
      </c>
      <c r="C1949" s="1">
        <v>46031.547222222223</v>
      </c>
      <c r="D1949" t="s">
        <v>5146</v>
      </c>
    </row>
    <row r="1950" spans="1:4" x14ac:dyDescent="0.25">
      <c r="A1950" t="s">
        <v>4139</v>
      </c>
      <c r="B1950" t="s">
        <v>38</v>
      </c>
      <c r="C1950" s="1">
        <v>45869.688888888886</v>
      </c>
      <c r="D1950" t="s">
        <v>5146</v>
      </c>
    </row>
    <row r="1951" spans="1:4" x14ac:dyDescent="0.25">
      <c r="A1951" t="s">
        <v>4140</v>
      </c>
      <c r="B1951" t="s">
        <v>38</v>
      </c>
      <c r="C1951" s="1">
        <v>45891.709722222222</v>
      </c>
      <c r="D1951" t="s">
        <v>5146</v>
      </c>
    </row>
    <row r="1952" spans="1:4" x14ac:dyDescent="0.25">
      <c r="A1952" t="s">
        <v>4141</v>
      </c>
      <c r="B1952" t="s">
        <v>38</v>
      </c>
      <c r="C1952" s="1">
        <v>45870.734722222223</v>
      </c>
      <c r="D1952" t="s">
        <v>5146</v>
      </c>
    </row>
    <row r="1953" spans="1:4" x14ac:dyDescent="0.25">
      <c r="A1953" t="s">
        <v>4142</v>
      </c>
      <c r="B1953" t="s">
        <v>38</v>
      </c>
      <c r="C1953" s="1">
        <v>45895.959027777775</v>
      </c>
      <c r="D1953" t="s">
        <v>5146</v>
      </c>
    </row>
    <row r="1954" spans="1:4" x14ac:dyDescent="0.25">
      <c r="A1954" t="s">
        <v>4143</v>
      </c>
      <c r="B1954" t="s">
        <v>38</v>
      </c>
      <c r="C1954" s="1">
        <v>45871.826388888891</v>
      </c>
      <c r="D1954" t="s">
        <v>5146</v>
      </c>
    </row>
    <row r="1955" spans="1:4" x14ac:dyDescent="0.25">
      <c r="A1955" t="s">
        <v>4144</v>
      </c>
      <c r="B1955" t="s">
        <v>38</v>
      </c>
      <c r="C1955" s="1">
        <v>45870.752083333333</v>
      </c>
      <c r="D1955" t="s">
        <v>5146</v>
      </c>
    </row>
    <row r="1956" spans="1:4" x14ac:dyDescent="0.25">
      <c r="A1956" t="s">
        <v>4145</v>
      </c>
      <c r="B1956" t="s">
        <v>38</v>
      </c>
      <c r="C1956" s="1">
        <v>45883.670138888891</v>
      </c>
      <c r="D1956" t="s">
        <v>5146</v>
      </c>
    </row>
    <row r="1957" spans="1:4" x14ac:dyDescent="0.25">
      <c r="A1957" t="s">
        <v>4146</v>
      </c>
      <c r="B1957" t="s">
        <v>38</v>
      </c>
      <c r="C1957" s="1">
        <v>45894.770833333336</v>
      </c>
      <c r="D1957" t="s">
        <v>5146</v>
      </c>
    </row>
    <row r="1958" spans="1:4" x14ac:dyDescent="0.25">
      <c r="A1958" t="s">
        <v>4147</v>
      </c>
      <c r="B1958" t="s">
        <v>38</v>
      </c>
      <c r="C1958" s="1">
        <v>45887.48541666667</v>
      </c>
      <c r="D1958" t="s">
        <v>5146</v>
      </c>
    </row>
    <row r="1959" spans="1:4" x14ac:dyDescent="0.25">
      <c r="A1959" t="s">
        <v>4148</v>
      </c>
      <c r="B1959" t="s">
        <v>38</v>
      </c>
      <c r="C1959" s="1">
        <v>45870.583333333336</v>
      </c>
      <c r="D1959" t="s">
        <v>5146</v>
      </c>
    </row>
    <row r="1960" spans="1:4" x14ac:dyDescent="0.25">
      <c r="A1960" t="s">
        <v>4149</v>
      </c>
      <c r="B1960" t="s">
        <v>38</v>
      </c>
      <c r="C1960" s="1">
        <v>45891.652083333334</v>
      </c>
      <c r="D1960" t="s">
        <v>5146</v>
      </c>
    </row>
    <row r="1961" spans="1:4" x14ac:dyDescent="0.25">
      <c r="A1961" t="s">
        <v>4150</v>
      </c>
      <c r="B1961" t="s">
        <v>38</v>
      </c>
      <c r="C1961" s="1">
        <v>45874.487500000003</v>
      </c>
      <c r="D1961" t="s">
        <v>5146</v>
      </c>
    </row>
    <row r="1962" spans="1:4" x14ac:dyDescent="0.25">
      <c r="A1962" t="s">
        <v>4151</v>
      </c>
      <c r="B1962" t="s">
        <v>38</v>
      </c>
      <c r="C1962" s="1">
        <v>45902.679166666669</v>
      </c>
      <c r="D1962" t="s">
        <v>5146</v>
      </c>
    </row>
    <row r="1963" spans="1:4" x14ac:dyDescent="0.25">
      <c r="A1963" t="s">
        <v>4152</v>
      </c>
      <c r="B1963" t="s">
        <v>39</v>
      </c>
      <c r="C1963" s="1">
        <v>45964.600694444445</v>
      </c>
      <c r="D1963" t="s">
        <v>5146</v>
      </c>
    </row>
    <row r="1964" spans="1:4" x14ac:dyDescent="0.25">
      <c r="A1964" t="s">
        <v>4153</v>
      </c>
      <c r="B1964" t="s">
        <v>38</v>
      </c>
      <c r="C1964" s="1">
        <v>45891.787499999999</v>
      </c>
      <c r="D1964" t="s">
        <v>5146</v>
      </c>
    </row>
    <row r="1965" spans="1:4" x14ac:dyDescent="0.25">
      <c r="A1965" t="s">
        <v>4154</v>
      </c>
      <c r="B1965" t="s">
        <v>38</v>
      </c>
      <c r="C1965" s="1">
        <v>45870.904166666667</v>
      </c>
      <c r="D1965" t="s">
        <v>5146</v>
      </c>
    </row>
    <row r="1966" spans="1:4" x14ac:dyDescent="0.25">
      <c r="A1966" t="s">
        <v>4155</v>
      </c>
      <c r="B1966" t="s">
        <v>38</v>
      </c>
      <c r="C1966" s="1">
        <v>45870.896527777775</v>
      </c>
      <c r="D1966" t="s">
        <v>5146</v>
      </c>
    </row>
    <row r="1967" spans="1:4" x14ac:dyDescent="0.25">
      <c r="A1967" t="s">
        <v>4156</v>
      </c>
      <c r="B1967" t="s">
        <v>38</v>
      </c>
      <c r="C1967" s="1">
        <v>45873.487500000003</v>
      </c>
      <c r="D1967" t="s">
        <v>5146</v>
      </c>
    </row>
    <row r="1968" spans="1:4" x14ac:dyDescent="0.25">
      <c r="A1968" t="s">
        <v>4157</v>
      </c>
      <c r="B1968" t="s">
        <v>38</v>
      </c>
      <c r="C1968" s="1">
        <v>45873.481944444444</v>
      </c>
      <c r="D1968" t="s">
        <v>5146</v>
      </c>
    </row>
    <row r="1969" spans="1:4" x14ac:dyDescent="0.25">
      <c r="A1969" t="s">
        <v>4158</v>
      </c>
      <c r="B1969" t="s">
        <v>38</v>
      </c>
      <c r="C1969" s="1">
        <v>45880.524305555555</v>
      </c>
      <c r="D1969" t="s">
        <v>5146</v>
      </c>
    </row>
    <row r="1970" spans="1:4" x14ac:dyDescent="0.25">
      <c r="A1970" t="s">
        <v>4159</v>
      </c>
      <c r="B1970" t="s">
        <v>38</v>
      </c>
      <c r="C1970" s="1">
        <v>45878.907638888886</v>
      </c>
      <c r="D1970" t="s">
        <v>5146</v>
      </c>
    </row>
    <row r="1971" spans="1:4" x14ac:dyDescent="0.25">
      <c r="A1971" t="s">
        <v>4160</v>
      </c>
      <c r="B1971" t="s">
        <v>38</v>
      </c>
      <c r="C1971" s="1">
        <v>45891.796527777777</v>
      </c>
      <c r="D1971" t="s">
        <v>5146</v>
      </c>
    </row>
    <row r="1972" spans="1:4" x14ac:dyDescent="0.25">
      <c r="A1972" t="s">
        <v>4161</v>
      </c>
      <c r="B1972" t="s">
        <v>38</v>
      </c>
      <c r="C1972" s="1">
        <v>45889.711805555555</v>
      </c>
      <c r="D1972" t="s">
        <v>5146</v>
      </c>
    </row>
    <row r="1973" spans="1:4" x14ac:dyDescent="0.25">
      <c r="A1973" t="s">
        <v>4162</v>
      </c>
      <c r="B1973" t="s">
        <v>38</v>
      </c>
      <c r="C1973" s="1">
        <v>45891.565972222219</v>
      </c>
      <c r="D1973" t="s">
        <v>5146</v>
      </c>
    </row>
    <row r="1974" spans="1:4" x14ac:dyDescent="0.25">
      <c r="A1974" t="s">
        <v>4163</v>
      </c>
      <c r="B1974" t="s">
        <v>38</v>
      </c>
      <c r="C1974" s="1">
        <v>45909.65347222222</v>
      </c>
      <c r="D1974" t="s">
        <v>5146</v>
      </c>
    </row>
    <row r="1975" spans="1:4" x14ac:dyDescent="0.25">
      <c r="A1975" t="s">
        <v>4164</v>
      </c>
      <c r="B1975" t="s">
        <v>38</v>
      </c>
      <c r="C1975" s="1">
        <v>45895.554166666669</v>
      </c>
      <c r="D1975" t="s">
        <v>5146</v>
      </c>
    </row>
    <row r="1976" spans="1:4" x14ac:dyDescent="0.25">
      <c r="A1976" t="s">
        <v>4165</v>
      </c>
      <c r="B1976" t="s">
        <v>38</v>
      </c>
      <c r="C1976" s="1">
        <v>45883.660416666666</v>
      </c>
      <c r="D1976" t="s">
        <v>5146</v>
      </c>
    </row>
    <row r="1977" spans="1:4" x14ac:dyDescent="0.25">
      <c r="A1977" t="s">
        <v>4166</v>
      </c>
      <c r="B1977" t="s">
        <v>38</v>
      </c>
      <c r="C1977" s="1">
        <v>45887.697916666664</v>
      </c>
      <c r="D1977" t="s">
        <v>5146</v>
      </c>
    </row>
    <row r="1978" spans="1:4" x14ac:dyDescent="0.25">
      <c r="A1978" t="s">
        <v>4167</v>
      </c>
      <c r="B1978" t="s">
        <v>38</v>
      </c>
      <c r="C1978" s="1">
        <v>45891.679861111108</v>
      </c>
      <c r="D1978" t="s">
        <v>5146</v>
      </c>
    </row>
    <row r="1979" spans="1:4" x14ac:dyDescent="0.25">
      <c r="A1979" t="s">
        <v>313</v>
      </c>
      <c r="B1979" t="s">
        <v>38</v>
      </c>
      <c r="C1979" s="1">
        <v>46039.672222222223</v>
      </c>
      <c r="D1979" t="s">
        <v>5146</v>
      </c>
    </row>
    <row r="1980" spans="1:4" x14ac:dyDescent="0.25">
      <c r="A1980" t="s">
        <v>4168</v>
      </c>
      <c r="B1980" t="s">
        <v>39</v>
      </c>
      <c r="C1980" s="1">
        <v>45905.739583333336</v>
      </c>
      <c r="D1980" t="s">
        <v>5146</v>
      </c>
    </row>
    <row r="1981" spans="1:4" x14ac:dyDescent="0.25">
      <c r="A1981" t="s">
        <v>4169</v>
      </c>
      <c r="B1981" t="s">
        <v>38</v>
      </c>
      <c r="C1981" s="1">
        <v>45873.789583333331</v>
      </c>
      <c r="D1981" t="s">
        <v>5146</v>
      </c>
    </row>
    <row r="1982" spans="1:4" x14ac:dyDescent="0.25">
      <c r="A1982" t="s">
        <v>4170</v>
      </c>
      <c r="B1982" t="s">
        <v>38</v>
      </c>
      <c r="C1982" s="1">
        <v>45877.552083333336</v>
      </c>
      <c r="D1982" t="s">
        <v>5146</v>
      </c>
    </row>
    <row r="1983" spans="1:4" x14ac:dyDescent="0.25">
      <c r="A1983" t="s">
        <v>4171</v>
      </c>
      <c r="B1983" t="s">
        <v>38</v>
      </c>
      <c r="C1983" s="1">
        <v>45892.621527777781</v>
      </c>
      <c r="D1983" t="s">
        <v>5146</v>
      </c>
    </row>
    <row r="1984" spans="1:4" x14ac:dyDescent="0.25">
      <c r="A1984" t="s">
        <v>4172</v>
      </c>
      <c r="B1984" t="s">
        <v>38</v>
      </c>
      <c r="C1984" s="1">
        <v>45876.73333333333</v>
      </c>
      <c r="D1984" t="s">
        <v>5146</v>
      </c>
    </row>
    <row r="1985" spans="1:4" x14ac:dyDescent="0.25">
      <c r="A1985" t="s">
        <v>4173</v>
      </c>
      <c r="B1985" t="s">
        <v>38</v>
      </c>
      <c r="C1985" s="1">
        <v>45882.568055555559</v>
      </c>
      <c r="D1985" t="s">
        <v>5146</v>
      </c>
    </row>
    <row r="1986" spans="1:4" x14ac:dyDescent="0.25">
      <c r="A1986" t="s">
        <v>4174</v>
      </c>
      <c r="B1986" t="s">
        <v>38</v>
      </c>
      <c r="C1986" s="1">
        <v>45894.73541666667</v>
      </c>
      <c r="D1986" t="s">
        <v>5146</v>
      </c>
    </row>
    <row r="1987" spans="1:4" x14ac:dyDescent="0.25">
      <c r="A1987" t="s">
        <v>4175</v>
      </c>
      <c r="B1987" t="s">
        <v>38</v>
      </c>
      <c r="C1987" s="1">
        <v>45880.493055555555</v>
      </c>
      <c r="D1987" t="s">
        <v>5146</v>
      </c>
    </row>
    <row r="1988" spans="1:4" x14ac:dyDescent="0.25">
      <c r="A1988" t="s">
        <v>4176</v>
      </c>
      <c r="B1988" t="s">
        <v>38</v>
      </c>
      <c r="C1988" s="1">
        <v>45876.6875</v>
      </c>
      <c r="D1988" t="s">
        <v>5146</v>
      </c>
    </row>
    <row r="1989" spans="1:4" x14ac:dyDescent="0.25">
      <c r="A1989" t="s">
        <v>4177</v>
      </c>
      <c r="B1989" t="s">
        <v>38</v>
      </c>
      <c r="C1989" s="1">
        <v>45876.713888888888</v>
      </c>
      <c r="D1989" t="s">
        <v>5146</v>
      </c>
    </row>
    <row r="1990" spans="1:4" x14ac:dyDescent="0.25">
      <c r="A1990" t="s">
        <v>4178</v>
      </c>
      <c r="B1990" t="s">
        <v>39</v>
      </c>
      <c r="C1990" s="1">
        <v>45905.648611111108</v>
      </c>
      <c r="D1990" t="s">
        <v>5146</v>
      </c>
    </row>
    <row r="1991" spans="1:4" x14ac:dyDescent="0.25">
      <c r="A1991" t="s">
        <v>315</v>
      </c>
      <c r="B1991" t="s">
        <v>38</v>
      </c>
      <c r="C1991" s="1">
        <v>46039.671527777777</v>
      </c>
      <c r="D1991" t="s">
        <v>5146</v>
      </c>
    </row>
    <row r="1992" spans="1:4" x14ac:dyDescent="0.25">
      <c r="A1992" t="s">
        <v>4179</v>
      </c>
      <c r="B1992" t="s">
        <v>38</v>
      </c>
      <c r="C1992" s="1">
        <v>45878.613888888889</v>
      </c>
      <c r="D1992" t="s">
        <v>5146</v>
      </c>
    </row>
    <row r="1993" spans="1:4" x14ac:dyDescent="0.25">
      <c r="A1993" t="s">
        <v>4180</v>
      </c>
      <c r="B1993" t="s">
        <v>38</v>
      </c>
      <c r="C1993" s="1">
        <v>45875.784722222219</v>
      </c>
      <c r="D1993" t="s">
        <v>5146</v>
      </c>
    </row>
    <row r="1994" spans="1:4" x14ac:dyDescent="0.25">
      <c r="A1994" t="s">
        <v>4181</v>
      </c>
      <c r="B1994" t="s">
        <v>38</v>
      </c>
      <c r="C1994" s="1">
        <v>45876.656944444447</v>
      </c>
      <c r="D1994" t="s">
        <v>5146</v>
      </c>
    </row>
    <row r="1995" spans="1:4" x14ac:dyDescent="0.25">
      <c r="A1995" t="s">
        <v>4182</v>
      </c>
      <c r="B1995" t="s">
        <v>38</v>
      </c>
      <c r="C1995" s="1">
        <v>45878.613194444442</v>
      </c>
      <c r="D1995" t="s">
        <v>5146</v>
      </c>
    </row>
    <row r="1996" spans="1:4" x14ac:dyDescent="0.25">
      <c r="A1996" t="s">
        <v>316</v>
      </c>
      <c r="B1996" t="s">
        <v>38</v>
      </c>
      <c r="C1996" s="1">
        <v>46029.597916666666</v>
      </c>
      <c r="D1996" t="s">
        <v>5146</v>
      </c>
    </row>
    <row r="1997" spans="1:4" x14ac:dyDescent="0.25">
      <c r="A1997" t="s">
        <v>4183</v>
      </c>
      <c r="B1997" t="s">
        <v>38</v>
      </c>
      <c r="C1997" s="1">
        <v>45885.728472222225</v>
      </c>
      <c r="D1997" t="s">
        <v>5146</v>
      </c>
    </row>
    <row r="1998" spans="1:4" x14ac:dyDescent="0.25">
      <c r="A1998" t="s">
        <v>4184</v>
      </c>
      <c r="B1998" t="s">
        <v>38</v>
      </c>
      <c r="C1998" s="1">
        <v>45885.75</v>
      </c>
      <c r="D1998" t="s">
        <v>5146</v>
      </c>
    </row>
    <row r="1999" spans="1:4" x14ac:dyDescent="0.25">
      <c r="A1999" t="s">
        <v>4185</v>
      </c>
      <c r="B1999" t="s">
        <v>38</v>
      </c>
      <c r="C1999" s="1">
        <v>45922.011111111111</v>
      </c>
      <c r="D1999" t="s">
        <v>5146</v>
      </c>
    </row>
    <row r="2000" spans="1:4" x14ac:dyDescent="0.25">
      <c r="A2000" t="s">
        <v>4186</v>
      </c>
      <c r="B2000" t="s">
        <v>38</v>
      </c>
      <c r="C2000" s="1">
        <v>45881.794444444444</v>
      </c>
      <c r="D2000" t="s">
        <v>5146</v>
      </c>
    </row>
    <row r="2001" spans="1:4" x14ac:dyDescent="0.25">
      <c r="A2001" t="s">
        <v>4187</v>
      </c>
      <c r="B2001" t="s">
        <v>38</v>
      </c>
      <c r="C2001" s="1">
        <v>45881.749305555553</v>
      </c>
      <c r="D2001" t="s">
        <v>5146</v>
      </c>
    </row>
    <row r="2002" spans="1:4" x14ac:dyDescent="0.25">
      <c r="A2002" t="s">
        <v>4188</v>
      </c>
      <c r="B2002" t="s">
        <v>38</v>
      </c>
      <c r="C2002" s="1">
        <v>45918.581944444442</v>
      </c>
      <c r="D2002" t="s">
        <v>5146</v>
      </c>
    </row>
    <row r="2003" spans="1:4" x14ac:dyDescent="0.25">
      <c r="A2003" t="s">
        <v>4189</v>
      </c>
      <c r="B2003" t="s">
        <v>39</v>
      </c>
      <c r="C2003" s="1">
        <v>45906.407638888886</v>
      </c>
      <c r="D2003" t="s">
        <v>5146</v>
      </c>
    </row>
    <row r="2004" spans="1:4" x14ac:dyDescent="0.25">
      <c r="A2004" t="s">
        <v>4190</v>
      </c>
      <c r="B2004" t="s">
        <v>38</v>
      </c>
      <c r="C2004" s="1">
        <v>45880.55972222222</v>
      </c>
      <c r="D2004" t="s">
        <v>5146</v>
      </c>
    </row>
    <row r="2005" spans="1:4" x14ac:dyDescent="0.25">
      <c r="A2005" t="s">
        <v>4191</v>
      </c>
      <c r="B2005" t="s">
        <v>38</v>
      </c>
      <c r="C2005" s="1">
        <v>45887.537499999999</v>
      </c>
      <c r="D2005" t="s">
        <v>5146</v>
      </c>
    </row>
    <row r="2006" spans="1:4" x14ac:dyDescent="0.25">
      <c r="A2006" t="s">
        <v>4192</v>
      </c>
      <c r="B2006" t="s">
        <v>39</v>
      </c>
      <c r="C2006" s="1">
        <v>45908.324999999997</v>
      </c>
      <c r="D2006" t="s">
        <v>5146</v>
      </c>
    </row>
    <row r="2007" spans="1:4" x14ac:dyDescent="0.25">
      <c r="A2007" t="s">
        <v>301</v>
      </c>
      <c r="B2007" t="s">
        <v>38</v>
      </c>
      <c r="C2007" s="1">
        <v>46035.715277777781</v>
      </c>
      <c r="D2007" t="s">
        <v>5146</v>
      </c>
    </row>
    <row r="2008" spans="1:4" x14ac:dyDescent="0.25">
      <c r="A2008" t="s">
        <v>4193</v>
      </c>
      <c r="B2008" t="s">
        <v>38</v>
      </c>
      <c r="C2008" s="1">
        <v>45887.515277777777</v>
      </c>
      <c r="D2008" t="s">
        <v>5146</v>
      </c>
    </row>
    <row r="2009" spans="1:4" x14ac:dyDescent="0.25">
      <c r="A2009" t="s">
        <v>4194</v>
      </c>
      <c r="B2009" t="s">
        <v>38</v>
      </c>
      <c r="C2009" s="1">
        <v>45877.551388888889</v>
      </c>
      <c r="D2009" t="s">
        <v>5146</v>
      </c>
    </row>
    <row r="2010" spans="1:4" x14ac:dyDescent="0.25">
      <c r="A2010" t="s">
        <v>4195</v>
      </c>
      <c r="B2010" t="s">
        <v>38</v>
      </c>
      <c r="C2010" s="1">
        <v>45891.804861111108</v>
      </c>
      <c r="D2010" t="s">
        <v>5146</v>
      </c>
    </row>
    <row r="2011" spans="1:4" x14ac:dyDescent="0.25">
      <c r="A2011" t="s">
        <v>305</v>
      </c>
      <c r="B2011" t="s">
        <v>39</v>
      </c>
      <c r="C2011" s="1">
        <v>46029.731944444444</v>
      </c>
      <c r="D2011" t="s">
        <v>5146</v>
      </c>
    </row>
    <row r="2012" spans="1:4" x14ac:dyDescent="0.25">
      <c r="A2012" t="s">
        <v>4196</v>
      </c>
      <c r="B2012" t="s">
        <v>38</v>
      </c>
      <c r="C2012" s="1">
        <v>45880.722916666666</v>
      </c>
      <c r="D2012" t="s">
        <v>5146</v>
      </c>
    </row>
    <row r="2013" spans="1:4" x14ac:dyDescent="0.25">
      <c r="A2013" t="s">
        <v>4197</v>
      </c>
      <c r="B2013" t="s">
        <v>38</v>
      </c>
      <c r="C2013" s="1">
        <v>45885.811805555553</v>
      </c>
      <c r="D2013" t="s">
        <v>5146</v>
      </c>
    </row>
    <row r="2014" spans="1:4" x14ac:dyDescent="0.25">
      <c r="A2014" t="s">
        <v>4198</v>
      </c>
      <c r="B2014" t="s">
        <v>38</v>
      </c>
      <c r="C2014" s="1">
        <v>45913.497916666667</v>
      </c>
      <c r="D2014" t="s">
        <v>5146</v>
      </c>
    </row>
    <row r="2015" spans="1:4" x14ac:dyDescent="0.25">
      <c r="A2015" t="s">
        <v>4199</v>
      </c>
      <c r="B2015" t="s">
        <v>38</v>
      </c>
      <c r="C2015" s="1">
        <v>45891.749305555553</v>
      </c>
      <c r="D2015" t="s">
        <v>5146</v>
      </c>
    </row>
    <row r="2016" spans="1:4" x14ac:dyDescent="0.25">
      <c r="A2016" t="s">
        <v>4200</v>
      </c>
      <c r="B2016" t="s">
        <v>38</v>
      </c>
      <c r="C2016" s="1">
        <v>45880.472916666666</v>
      </c>
      <c r="D2016" t="s">
        <v>5146</v>
      </c>
    </row>
    <row r="2017" spans="1:4" x14ac:dyDescent="0.25">
      <c r="A2017" t="s">
        <v>4201</v>
      </c>
      <c r="B2017" t="s">
        <v>38</v>
      </c>
      <c r="C2017" s="1">
        <v>45880.507638888892</v>
      </c>
      <c r="D2017" t="s">
        <v>5146</v>
      </c>
    </row>
    <row r="2018" spans="1:4" x14ac:dyDescent="0.25">
      <c r="A2018" t="s">
        <v>4202</v>
      </c>
      <c r="B2018" t="s">
        <v>38</v>
      </c>
      <c r="C2018" s="1">
        <v>45887.655555555553</v>
      </c>
      <c r="D2018" t="s">
        <v>5146</v>
      </c>
    </row>
    <row r="2019" spans="1:4" x14ac:dyDescent="0.25">
      <c r="A2019" t="s">
        <v>335</v>
      </c>
      <c r="B2019" t="s">
        <v>38</v>
      </c>
      <c r="C2019" s="1">
        <v>46029.714583333334</v>
      </c>
      <c r="D2019" t="s">
        <v>5146</v>
      </c>
    </row>
    <row r="2020" spans="1:4" x14ac:dyDescent="0.25">
      <c r="A2020" t="s">
        <v>4203</v>
      </c>
      <c r="B2020" t="s">
        <v>38</v>
      </c>
      <c r="C2020" s="1">
        <v>45887.779166666667</v>
      </c>
      <c r="D2020" t="s">
        <v>5146</v>
      </c>
    </row>
    <row r="2021" spans="1:4" x14ac:dyDescent="0.25">
      <c r="A2021" t="s">
        <v>4204</v>
      </c>
      <c r="B2021" t="s">
        <v>38</v>
      </c>
      <c r="C2021" s="1">
        <v>45885.625</v>
      </c>
      <c r="D2021" t="s">
        <v>5146</v>
      </c>
    </row>
    <row r="2022" spans="1:4" x14ac:dyDescent="0.25">
      <c r="A2022" t="s">
        <v>4205</v>
      </c>
      <c r="B2022" t="s">
        <v>38</v>
      </c>
      <c r="C2022" s="1">
        <v>45877.743750000001</v>
      </c>
      <c r="D2022" t="s">
        <v>5146</v>
      </c>
    </row>
    <row r="2023" spans="1:4" x14ac:dyDescent="0.25">
      <c r="A2023" t="s">
        <v>4206</v>
      </c>
      <c r="B2023" t="s">
        <v>38</v>
      </c>
      <c r="C2023" s="1">
        <v>45978.488194444442</v>
      </c>
      <c r="D2023" t="s">
        <v>5146</v>
      </c>
    </row>
    <row r="2024" spans="1:4" x14ac:dyDescent="0.25">
      <c r="A2024" t="s">
        <v>4207</v>
      </c>
      <c r="B2024" t="s">
        <v>38</v>
      </c>
      <c r="C2024" s="1">
        <v>45883.726388888892</v>
      </c>
      <c r="D2024" t="s">
        <v>5146</v>
      </c>
    </row>
    <row r="2025" spans="1:4" x14ac:dyDescent="0.25">
      <c r="A2025" t="s">
        <v>4208</v>
      </c>
      <c r="B2025" t="s">
        <v>38</v>
      </c>
      <c r="C2025" s="1">
        <v>45882.573611111111</v>
      </c>
      <c r="D2025" t="s">
        <v>5146</v>
      </c>
    </row>
    <row r="2026" spans="1:4" x14ac:dyDescent="0.25">
      <c r="A2026" t="s">
        <v>4209</v>
      </c>
      <c r="B2026" t="s">
        <v>38</v>
      </c>
      <c r="C2026" s="1">
        <v>45880.727777777778</v>
      </c>
      <c r="D2026" t="s">
        <v>5146</v>
      </c>
    </row>
    <row r="2027" spans="1:4" x14ac:dyDescent="0.25">
      <c r="A2027" t="s">
        <v>4210</v>
      </c>
      <c r="B2027" t="s">
        <v>38</v>
      </c>
      <c r="C2027" s="1">
        <v>46003.907638888886</v>
      </c>
      <c r="D2027" t="s">
        <v>5146</v>
      </c>
    </row>
    <row r="2028" spans="1:4" x14ac:dyDescent="0.25">
      <c r="A2028" t="s">
        <v>4211</v>
      </c>
      <c r="B2028" t="s">
        <v>38</v>
      </c>
      <c r="C2028" s="1">
        <v>45881.813888888886</v>
      </c>
      <c r="D2028" t="s">
        <v>5146</v>
      </c>
    </row>
    <row r="2029" spans="1:4" x14ac:dyDescent="0.25">
      <c r="A2029" t="s">
        <v>4212</v>
      </c>
      <c r="B2029" t="s">
        <v>38</v>
      </c>
      <c r="C2029" s="1">
        <v>45976.546527777777</v>
      </c>
      <c r="D2029" t="s">
        <v>5146</v>
      </c>
    </row>
    <row r="2030" spans="1:4" x14ac:dyDescent="0.25">
      <c r="A2030" t="s">
        <v>4213</v>
      </c>
      <c r="B2030" t="s">
        <v>38</v>
      </c>
      <c r="C2030" s="1">
        <v>45916.571527777778</v>
      </c>
      <c r="D2030" t="s">
        <v>5146</v>
      </c>
    </row>
    <row r="2031" spans="1:4" x14ac:dyDescent="0.25">
      <c r="A2031" t="s">
        <v>4214</v>
      </c>
      <c r="B2031" t="s">
        <v>38</v>
      </c>
      <c r="C2031" s="1">
        <v>45895.512499999997</v>
      </c>
      <c r="D2031" t="s">
        <v>5146</v>
      </c>
    </row>
    <row r="2032" spans="1:4" x14ac:dyDescent="0.25">
      <c r="A2032" t="s">
        <v>4215</v>
      </c>
      <c r="B2032" t="s">
        <v>38</v>
      </c>
      <c r="C2032" s="1">
        <v>45890.677777777775</v>
      </c>
      <c r="D2032" t="s">
        <v>5146</v>
      </c>
    </row>
    <row r="2033" spans="1:4" x14ac:dyDescent="0.25">
      <c r="A2033" t="s">
        <v>4216</v>
      </c>
      <c r="B2033" t="s">
        <v>38</v>
      </c>
      <c r="C2033" s="1">
        <v>45889.609027777777</v>
      </c>
      <c r="D2033" t="s">
        <v>5146</v>
      </c>
    </row>
    <row r="2034" spans="1:4" x14ac:dyDescent="0.25">
      <c r="A2034" t="s">
        <v>4217</v>
      </c>
      <c r="B2034" t="s">
        <v>38</v>
      </c>
      <c r="C2034" s="1">
        <v>45890.588194444441</v>
      </c>
      <c r="D2034" t="s">
        <v>5146</v>
      </c>
    </row>
    <row r="2035" spans="1:4" x14ac:dyDescent="0.25">
      <c r="A2035" t="s">
        <v>4218</v>
      </c>
      <c r="B2035" t="s">
        <v>38</v>
      </c>
      <c r="C2035" s="1">
        <v>45882.724999999999</v>
      </c>
      <c r="D2035" t="s">
        <v>5146</v>
      </c>
    </row>
    <row r="2036" spans="1:4" x14ac:dyDescent="0.25">
      <c r="A2036" t="s">
        <v>4219</v>
      </c>
      <c r="B2036" t="s">
        <v>38</v>
      </c>
      <c r="C2036" s="1">
        <v>45882.704861111109</v>
      </c>
      <c r="D2036" t="s">
        <v>5146</v>
      </c>
    </row>
    <row r="2037" spans="1:4" x14ac:dyDescent="0.25">
      <c r="A2037" t="s">
        <v>4220</v>
      </c>
      <c r="B2037" t="s">
        <v>38</v>
      </c>
      <c r="C2037" s="1">
        <v>45885.642361111109</v>
      </c>
      <c r="D2037" t="s">
        <v>5146</v>
      </c>
    </row>
    <row r="2038" spans="1:4" x14ac:dyDescent="0.25">
      <c r="A2038" t="s">
        <v>4221</v>
      </c>
      <c r="B2038" t="s">
        <v>38</v>
      </c>
      <c r="C2038" s="1">
        <v>45877.779861111114</v>
      </c>
      <c r="D2038" t="s">
        <v>5146</v>
      </c>
    </row>
    <row r="2039" spans="1:4" x14ac:dyDescent="0.25">
      <c r="A2039" t="s">
        <v>4222</v>
      </c>
      <c r="B2039" t="s">
        <v>38</v>
      </c>
      <c r="C2039" s="1">
        <v>45892.782638888886</v>
      </c>
      <c r="D2039" t="s">
        <v>5146</v>
      </c>
    </row>
    <row r="2040" spans="1:4" x14ac:dyDescent="0.25">
      <c r="A2040" t="s">
        <v>4223</v>
      </c>
      <c r="B2040" t="s">
        <v>38</v>
      </c>
      <c r="C2040" s="1">
        <v>45878.92291666667</v>
      </c>
      <c r="D2040" t="s">
        <v>5146</v>
      </c>
    </row>
    <row r="2041" spans="1:4" x14ac:dyDescent="0.25">
      <c r="A2041" t="s">
        <v>4224</v>
      </c>
      <c r="B2041" t="s">
        <v>39</v>
      </c>
      <c r="C2041" s="1">
        <v>45892.78125</v>
      </c>
      <c r="D2041" t="s">
        <v>5146</v>
      </c>
    </row>
    <row r="2042" spans="1:4" x14ac:dyDescent="0.25">
      <c r="A2042" t="s">
        <v>4225</v>
      </c>
      <c r="B2042" t="s">
        <v>38</v>
      </c>
      <c r="C2042" s="1">
        <v>45878.828472222223</v>
      </c>
      <c r="D2042" t="s">
        <v>5146</v>
      </c>
    </row>
    <row r="2043" spans="1:4" x14ac:dyDescent="0.25">
      <c r="A2043" t="s">
        <v>4226</v>
      </c>
      <c r="B2043" t="s">
        <v>38</v>
      </c>
      <c r="C2043" s="1">
        <v>45890.62777777778</v>
      </c>
      <c r="D2043" t="s">
        <v>5146</v>
      </c>
    </row>
    <row r="2044" spans="1:4" x14ac:dyDescent="0.25">
      <c r="A2044" t="s">
        <v>4227</v>
      </c>
      <c r="B2044" t="s">
        <v>38</v>
      </c>
      <c r="C2044" s="1">
        <v>45891.609027777777</v>
      </c>
      <c r="D2044" t="s">
        <v>5146</v>
      </c>
    </row>
    <row r="2045" spans="1:4" x14ac:dyDescent="0.25">
      <c r="A2045" t="s">
        <v>4228</v>
      </c>
      <c r="B2045" t="s">
        <v>38</v>
      </c>
      <c r="C2045" s="1">
        <v>45880.65625</v>
      </c>
      <c r="D2045" t="s">
        <v>5146</v>
      </c>
    </row>
    <row r="2046" spans="1:4" x14ac:dyDescent="0.25">
      <c r="A2046" t="s">
        <v>4229</v>
      </c>
      <c r="B2046" t="s">
        <v>38</v>
      </c>
      <c r="C2046" s="1">
        <v>45902.698611111111</v>
      </c>
      <c r="D2046" t="s">
        <v>5146</v>
      </c>
    </row>
    <row r="2047" spans="1:4" x14ac:dyDescent="0.25">
      <c r="A2047" t="s">
        <v>4230</v>
      </c>
      <c r="B2047" t="s">
        <v>38</v>
      </c>
      <c r="C2047" s="1">
        <v>45887.726388888892</v>
      </c>
      <c r="D2047" t="s">
        <v>5146</v>
      </c>
    </row>
    <row r="2048" spans="1:4" x14ac:dyDescent="0.25">
      <c r="A2048" t="s">
        <v>4231</v>
      </c>
      <c r="B2048" t="s">
        <v>38</v>
      </c>
      <c r="C2048" s="1">
        <v>45880.643750000003</v>
      </c>
      <c r="D2048" t="s">
        <v>5146</v>
      </c>
    </row>
    <row r="2049" spans="1:4" x14ac:dyDescent="0.25">
      <c r="A2049" t="s">
        <v>4232</v>
      </c>
      <c r="B2049" t="s">
        <v>38</v>
      </c>
      <c r="C2049" s="1">
        <v>45891.618750000001</v>
      </c>
      <c r="D2049" t="s">
        <v>5146</v>
      </c>
    </row>
    <row r="2050" spans="1:4" x14ac:dyDescent="0.25">
      <c r="A2050" t="s">
        <v>4233</v>
      </c>
      <c r="B2050" t="s">
        <v>38</v>
      </c>
      <c r="C2050" s="1">
        <v>45882.740972222222</v>
      </c>
      <c r="D2050" t="s">
        <v>5146</v>
      </c>
    </row>
    <row r="2051" spans="1:4" x14ac:dyDescent="0.25">
      <c r="A2051" t="s">
        <v>4234</v>
      </c>
      <c r="B2051" t="s">
        <v>38</v>
      </c>
      <c r="C2051" s="1">
        <v>45902.770833333336</v>
      </c>
      <c r="D2051" t="s">
        <v>5146</v>
      </c>
    </row>
    <row r="2052" spans="1:4" x14ac:dyDescent="0.25">
      <c r="A2052" t="s">
        <v>4235</v>
      </c>
      <c r="B2052" t="s">
        <v>38</v>
      </c>
      <c r="C2052" s="1">
        <v>45882.753472222219</v>
      </c>
      <c r="D2052" t="s">
        <v>5146</v>
      </c>
    </row>
    <row r="2053" spans="1:4" x14ac:dyDescent="0.25">
      <c r="A2053" t="s">
        <v>4236</v>
      </c>
      <c r="B2053" t="s">
        <v>38</v>
      </c>
      <c r="C2053" s="1">
        <v>45882.746527777781</v>
      </c>
      <c r="D2053" t="s">
        <v>5146</v>
      </c>
    </row>
    <row r="2054" spans="1:4" x14ac:dyDescent="0.25">
      <c r="A2054" t="s">
        <v>4237</v>
      </c>
      <c r="B2054" t="s">
        <v>38</v>
      </c>
      <c r="C2054" s="1">
        <v>45885.615972222222</v>
      </c>
      <c r="D2054" t="s">
        <v>5146</v>
      </c>
    </row>
    <row r="2055" spans="1:4" x14ac:dyDescent="0.25">
      <c r="A2055" t="s">
        <v>4238</v>
      </c>
      <c r="B2055" t="s">
        <v>39</v>
      </c>
      <c r="C2055" s="1">
        <v>45891.479861111111</v>
      </c>
      <c r="D2055" t="s">
        <v>5146</v>
      </c>
    </row>
    <row r="2056" spans="1:4" x14ac:dyDescent="0.25">
      <c r="A2056" t="s">
        <v>4239</v>
      </c>
      <c r="B2056" t="s">
        <v>38</v>
      </c>
      <c r="C2056" s="1">
        <v>45887.77847222222</v>
      </c>
      <c r="D2056" t="s">
        <v>5146</v>
      </c>
    </row>
    <row r="2057" spans="1:4" x14ac:dyDescent="0.25">
      <c r="A2057" t="s">
        <v>4240</v>
      </c>
      <c r="B2057" t="s">
        <v>38</v>
      </c>
      <c r="C2057" s="1">
        <v>45898.658333333333</v>
      </c>
      <c r="D2057" t="s">
        <v>5146</v>
      </c>
    </row>
    <row r="2058" spans="1:4" x14ac:dyDescent="0.25">
      <c r="A2058" t="s">
        <v>4241</v>
      </c>
      <c r="B2058" t="s">
        <v>38</v>
      </c>
      <c r="C2058" s="1">
        <v>45888.823611111111</v>
      </c>
      <c r="D2058" t="s">
        <v>5146</v>
      </c>
    </row>
    <row r="2059" spans="1:4" x14ac:dyDescent="0.25">
      <c r="A2059" t="s">
        <v>4242</v>
      </c>
      <c r="B2059" t="s">
        <v>38</v>
      </c>
      <c r="C2059" s="1">
        <v>45890.568749999999</v>
      </c>
      <c r="D2059" t="s">
        <v>5146</v>
      </c>
    </row>
    <row r="2060" spans="1:4" x14ac:dyDescent="0.25">
      <c r="A2060" t="s">
        <v>4243</v>
      </c>
      <c r="B2060" t="s">
        <v>38</v>
      </c>
      <c r="C2060" s="1">
        <v>45891.636805555558</v>
      </c>
      <c r="D2060" t="s">
        <v>5146</v>
      </c>
    </row>
    <row r="2061" spans="1:4" x14ac:dyDescent="0.25">
      <c r="A2061" t="s">
        <v>4244</v>
      </c>
      <c r="B2061" t="s">
        <v>38</v>
      </c>
      <c r="C2061" s="1">
        <v>45882.757638888892</v>
      </c>
      <c r="D2061" t="s">
        <v>5146</v>
      </c>
    </row>
    <row r="2062" spans="1:4" x14ac:dyDescent="0.25">
      <c r="A2062" t="s">
        <v>4245</v>
      </c>
      <c r="B2062" t="s">
        <v>38</v>
      </c>
      <c r="C2062" s="1">
        <v>45897.506944444445</v>
      </c>
      <c r="D2062" t="s">
        <v>5146</v>
      </c>
    </row>
    <row r="2063" spans="1:4" x14ac:dyDescent="0.25">
      <c r="A2063" t="s">
        <v>4246</v>
      </c>
      <c r="B2063" t="s">
        <v>38</v>
      </c>
      <c r="C2063" s="1">
        <v>45888.62777777778</v>
      </c>
      <c r="D2063" t="s">
        <v>5146</v>
      </c>
    </row>
    <row r="2064" spans="1:4" x14ac:dyDescent="0.25">
      <c r="A2064" t="s">
        <v>4247</v>
      </c>
      <c r="B2064" t="s">
        <v>38</v>
      </c>
      <c r="C2064" s="1">
        <v>45882.729861111111</v>
      </c>
      <c r="D2064" t="s">
        <v>5146</v>
      </c>
    </row>
    <row r="2065" spans="1:4" x14ac:dyDescent="0.25">
      <c r="A2065" t="s">
        <v>4248</v>
      </c>
      <c r="B2065" t="s">
        <v>38</v>
      </c>
      <c r="C2065" s="1">
        <v>46003.909722222219</v>
      </c>
      <c r="D2065" t="s">
        <v>5146</v>
      </c>
    </row>
    <row r="2066" spans="1:4" x14ac:dyDescent="0.25">
      <c r="A2066" t="s">
        <v>4249</v>
      </c>
      <c r="B2066" t="s">
        <v>38</v>
      </c>
      <c r="C2066" s="1">
        <v>45885.709027777775</v>
      </c>
      <c r="D2066" t="s">
        <v>5146</v>
      </c>
    </row>
    <row r="2067" spans="1:4" x14ac:dyDescent="0.25">
      <c r="A2067" t="s">
        <v>4250</v>
      </c>
      <c r="B2067" t="s">
        <v>38</v>
      </c>
      <c r="C2067" s="1">
        <v>45891.663194444445</v>
      </c>
      <c r="D2067" t="s">
        <v>5146</v>
      </c>
    </row>
    <row r="2068" spans="1:4" x14ac:dyDescent="0.25">
      <c r="A2068" t="s">
        <v>4251</v>
      </c>
      <c r="B2068" t="s">
        <v>38</v>
      </c>
      <c r="C2068" s="1">
        <v>45894.599305555559</v>
      </c>
      <c r="D2068" t="s">
        <v>5146</v>
      </c>
    </row>
    <row r="2069" spans="1:4" x14ac:dyDescent="0.25">
      <c r="A2069" t="s">
        <v>4252</v>
      </c>
      <c r="B2069" t="s">
        <v>38</v>
      </c>
      <c r="C2069" s="1">
        <v>45889.574305555558</v>
      </c>
      <c r="D2069" t="s">
        <v>5146</v>
      </c>
    </row>
    <row r="2070" spans="1:4" x14ac:dyDescent="0.25">
      <c r="A2070" t="s">
        <v>4253</v>
      </c>
      <c r="B2070" t="s">
        <v>39</v>
      </c>
      <c r="C2070" s="1">
        <v>45897.503472222219</v>
      </c>
      <c r="D2070" t="s">
        <v>5146</v>
      </c>
    </row>
    <row r="2071" spans="1:4" x14ac:dyDescent="0.25">
      <c r="A2071" t="s">
        <v>4254</v>
      </c>
      <c r="B2071" t="s">
        <v>38</v>
      </c>
      <c r="C2071" s="1">
        <v>45885.584027777775</v>
      </c>
      <c r="D2071" t="s">
        <v>5146</v>
      </c>
    </row>
    <row r="2072" spans="1:4" x14ac:dyDescent="0.25">
      <c r="A2072" t="s">
        <v>4255</v>
      </c>
      <c r="B2072" t="s">
        <v>38</v>
      </c>
      <c r="C2072" s="1">
        <v>45895.537499999999</v>
      </c>
      <c r="D2072" t="s">
        <v>5146</v>
      </c>
    </row>
    <row r="2073" spans="1:4" x14ac:dyDescent="0.25">
      <c r="A2073" t="s">
        <v>4256</v>
      </c>
      <c r="B2073" t="s">
        <v>38</v>
      </c>
      <c r="C2073" s="1">
        <v>45888.820833333331</v>
      </c>
      <c r="D2073" t="s">
        <v>5146</v>
      </c>
    </row>
    <row r="2074" spans="1:4" x14ac:dyDescent="0.25">
      <c r="A2074" t="s">
        <v>4257</v>
      </c>
      <c r="B2074" t="s">
        <v>38</v>
      </c>
      <c r="C2074" s="1">
        <v>45892.489583333336</v>
      </c>
      <c r="D2074" t="s">
        <v>5146</v>
      </c>
    </row>
    <row r="2075" spans="1:4" x14ac:dyDescent="0.25">
      <c r="A2075" t="s">
        <v>295</v>
      </c>
      <c r="B2075" t="s">
        <v>39</v>
      </c>
      <c r="C2075" s="1">
        <v>46029.731944444444</v>
      </c>
      <c r="D2075" t="s">
        <v>5146</v>
      </c>
    </row>
    <row r="2076" spans="1:4" x14ac:dyDescent="0.25">
      <c r="A2076" t="s">
        <v>4258</v>
      </c>
      <c r="B2076" t="s">
        <v>39</v>
      </c>
      <c r="C2076" s="1">
        <v>45891.473611111112</v>
      </c>
      <c r="D2076" t="s">
        <v>5146</v>
      </c>
    </row>
    <row r="2077" spans="1:4" x14ac:dyDescent="0.25">
      <c r="A2077" t="s">
        <v>4259</v>
      </c>
      <c r="B2077" t="s">
        <v>38</v>
      </c>
      <c r="C2077" s="1">
        <v>45887.802777777775</v>
      </c>
      <c r="D2077" t="s">
        <v>5146</v>
      </c>
    </row>
    <row r="2078" spans="1:4" x14ac:dyDescent="0.25">
      <c r="A2078" t="s">
        <v>4260</v>
      </c>
      <c r="B2078" t="s">
        <v>38</v>
      </c>
      <c r="C2078" s="1">
        <v>45897.434027777781</v>
      </c>
      <c r="D2078" t="s">
        <v>5146</v>
      </c>
    </row>
    <row r="2079" spans="1:4" x14ac:dyDescent="0.25">
      <c r="A2079" t="s">
        <v>4261</v>
      </c>
      <c r="B2079" t="s">
        <v>38</v>
      </c>
      <c r="C2079" s="1">
        <v>45892.621527777781</v>
      </c>
      <c r="D2079" t="s">
        <v>5146</v>
      </c>
    </row>
    <row r="2080" spans="1:4" x14ac:dyDescent="0.25">
      <c r="A2080" t="s">
        <v>4262</v>
      </c>
      <c r="B2080" t="s">
        <v>38</v>
      </c>
      <c r="C2080" s="1">
        <v>45889.543749999997</v>
      </c>
      <c r="D2080" t="s">
        <v>5146</v>
      </c>
    </row>
    <row r="2081" spans="1:4" x14ac:dyDescent="0.25">
      <c r="A2081" t="s">
        <v>4263</v>
      </c>
      <c r="B2081" t="s">
        <v>38</v>
      </c>
      <c r="C2081" s="1">
        <v>45890.686111111114</v>
      </c>
      <c r="D2081" t="s">
        <v>5146</v>
      </c>
    </row>
    <row r="2082" spans="1:4" x14ac:dyDescent="0.25">
      <c r="A2082" t="s">
        <v>4264</v>
      </c>
      <c r="B2082" t="s">
        <v>38</v>
      </c>
      <c r="C2082" s="1">
        <v>45890.704861111109</v>
      </c>
      <c r="D2082" t="s">
        <v>5146</v>
      </c>
    </row>
    <row r="2083" spans="1:4" x14ac:dyDescent="0.25">
      <c r="A2083" t="s">
        <v>4265</v>
      </c>
      <c r="B2083" t="s">
        <v>38</v>
      </c>
      <c r="C2083" s="1">
        <v>45890.46597222222</v>
      </c>
      <c r="D2083" t="s">
        <v>5146</v>
      </c>
    </row>
    <row r="2084" spans="1:4" x14ac:dyDescent="0.25">
      <c r="A2084" t="s">
        <v>4266</v>
      </c>
      <c r="B2084" t="s">
        <v>38</v>
      </c>
      <c r="C2084" s="1">
        <v>45885.511805555558</v>
      </c>
      <c r="D2084" t="s">
        <v>5146</v>
      </c>
    </row>
    <row r="2085" spans="1:4" x14ac:dyDescent="0.25">
      <c r="A2085" t="s">
        <v>4267</v>
      </c>
      <c r="B2085" t="s">
        <v>38</v>
      </c>
      <c r="C2085" s="1">
        <v>45892.777777777781</v>
      </c>
      <c r="D2085" t="s">
        <v>5146</v>
      </c>
    </row>
    <row r="2086" spans="1:4" x14ac:dyDescent="0.25">
      <c r="A2086" t="s">
        <v>288</v>
      </c>
      <c r="B2086" t="s">
        <v>38</v>
      </c>
      <c r="C2086" s="1">
        <v>46020.665972222225</v>
      </c>
      <c r="D2086" t="s">
        <v>5146</v>
      </c>
    </row>
    <row r="2087" spans="1:4" x14ac:dyDescent="0.25">
      <c r="A2087" t="s">
        <v>4268</v>
      </c>
      <c r="B2087" t="s">
        <v>38</v>
      </c>
      <c r="C2087" s="1">
        <v>45889.748611111114</v>
      </c>
      <c r="D2087" t="s">
        <v>5146</v>
      </c>
    </row>
    <row r="2088" spans="1:4" x14ac:dyDescent="0.25">
      <c r="A2088" t="s">
        <v>4269</v>
      </c>
      <c r="B2088" t="s">
        <v>38</v>
      </c>
      <c r="C2088" s="1">
        <v>45895.76666666667</v>
      </c>
      <c r="D2088" t="s">
        <v>5146</v>
      </c>
    </row>
    <row r="2089" spans="1:4" x14ac:dyDescent="0.25">
      <c r="A2089" t="s">
        <v>4270</v>
      </c>
      <c r="B2089" t="s">
        <v>38</v>
      </c>
      <c r="C2089" s="1">
        <v>45958.645138888889</v>
      </c>
      <c r="D2089" t="s">
        <v>5146</v>
      </c>
    </row>
    <row r="2090" spans="1:4" x14ac:dyDescent="0.25">
      <c r="A2090" t="s">
        <v>4271</v>
      </c>
      <c r="B2090" t="s">
        <v>38</v>
      </c>
      <c r="C2090" s="1">
        <v>45890.613888888889</v>
      </c>
      <c r="D2090" t="s">
        <v>5146</v>
      </c>
    </row>
    <row r="2091" spans="1:4" x14ac:dyDescent="0.25">
      <c r="A2091" t="s">
        <v>4272</v>
      </c>
      <c r="B2091" t="s">
        <v>38</v>
      </c>
      <c r="C2091" s="1">
        <v>45892.732638888891</v>
      </c>
      <c r="D2091" t="s">
        <v>5146</v>
      </c>
    </row>
    <row r="2092" spans="1:4" x14ac:dyDescent="0.25">
      <c r="A2092" t="s">
        <v>4273</v>
      </c>
      <c r="B2092" t="s">
        <v>38</v>
      </c>
      <c r="C2092" s="1">
        <v>45898.680555555555</v>
      </c>
      <c r="D2092" t="s">
        <v>5146</v>
      </c>
    </row>
    <row r="2093" spans="1:4" x14ac:dyDescent="0.25">
      <c r="A2093" t="s">
        <v>4274</v>
      </c>
      <c r="B2093" t="s">
        <v>38</v>
      </c>
      <c r="C2093" s="1">
        <v>45898.674305555556</v>
      </c>
      <c r="D2093" t="s">
        <v>5146</v>
      </c>
    </row>
    <row r="2094" spans="1:4" x14ac:dyDescent="0.25">
      <c r="A2094" t="s">
        <v>4275</v>
      </c>
      <c r="B2094" t="s">
        <v>38</v>
      </c>
      <c r="C2094" s="1">
        <v>45898.669444444444</v>
      </c>
      <c r="D2094" t="s">
        <v>5146</v>
      </c>
    </row>
    <row r="2095" spans="1:4" x14ac:dyDescent="0.25">
      <c r="A2095" t="s">
        <v>4276</v>
      </c>
      <c r="B2095" t="s">
        <v>38</v>
      </c>
      <c r="C2095" s="1">
        <v>45890.481944444444</v>
      </c>
      <c r="D2095" t="s">
        <v>5146</v>
      </c>
    </row>
    <row r="2096" spans="1:4" x14ac:dyDescent="0.25">
      <c r="A2096" t="s">
        <v>4277</v>
      </c>
      <c r="B2096" t="s">
        <v>38</v>
      </c>
      <c r="C2096" s="1">
        <v>45905.70208333333</v>
      </c>
      <c r="D2096" t="s">
        <v>5146</v>
      </c>
    </row>
    <row r="2097" spans="1:4" x14ac:dyDescent="0.25">
      <c r="A2097" t="s">
        <v>4278</v>
      </c>
      <c r="B2097" t="s">
        <v>38</v>
      </c>
      <c r="C2097" s="1">
        <v>45894.626388888886</v>
      </c>
      <c r="D2097" t="s">
        <v>5146</v>
      </c>
    </row>
    <row r="2098" spans="1:4" x14ac:dyDescent="0.25">
      <c r="A2098" t="s">
        <v>4279</v>
      </c>
      <c r="B2098" t="s">
        <v>38</v>
      </c>
      <c r="C2098" s="1">
        <v>45890.72152777778</v>
      </c>
      <c r="D2098" t="s">
        <v>5146</v>
      </c>
    </row>
    <row r="2099" spans="1:4" x14ac:dyDescent="0.25">
      <c r="A2099" t="s">
        <v>4280</v>
      </c>
      <c r="B2099" t="s">
        <v>38</v>
      </c>
      <c r="C2099" s="1">
        <v>45897.68472222222</v>
      </c>
      <c r="D2099" t="s">
        <v>5146</v>
      </c>
    </row>
    <row r="2100" spans="1:4" x14ac:dyDescent="0.25">
      <c r="A2100" t="s">
        <v>4281</v>
      </c>
      <c r="B2100" t="s">
        <v>38</v>
      </c>
      <c r="C2100" s="1">
        <v>45891.823611111111</v>
      </c>
      <c r="D2100" t="s">
        <v>5146</v>
      </c>
    </row>
    <row r="2101" spans="1:4" x14ac:dyDescent="0.25">
      <c r="A2101" t="s">
        <v>4282</v>
      </c>
      <c r="B2101" t="s">
        <v>38</v>
      </c>
      <c r="C2101" s="1">
        <v>45891.87777777778</v>
      </c>
      <c r="D2101" t="s">
        <v>5146</v>
      </c>
    </row>
    <row r="2102" spans="1:4" x14ac:dyDescent="0.25">
      <c r="A2102" t="s">
        <v>4283</v>
      </c>
      <c r="B2102" t="s">
        <v>38</v>
      </c>
      <c r="C2102" s="1">
        <v>46003.913888888892</v>
      </c>
      <c r="D2102" t="s">
        <v>5146</v>
      </c>
    </row>
    <row r="2103" spans="1:4" x14ac:dyDescent="0.25">
      <c r="A2103" t="s">
        <v>283</v>
      </c>
      <c r="B2103" t="s">
        <v>38</v>
      </c>
      <c r="C2103" s="1">
        <v>46036.679861111108</v>
      </c>
      <c r="D2103" t="s">
        <v>5146</v>
      </c>
    </row>
    <row r="2104" spans="1:4" x14ac:dyDescent="0.25">
      <c r="A2104" t="s">
        <v>4284</v>
      </c>
      <c r="B2104" t="s">
        <v>38</v>
      </c>
      <c r="C2104" s="1">
        <v>45898.540277777778</v>
      </c>
      <c r="D2104" t="s">
        <v>5146</v>
      </c>
    </row>
    <row r="2105" spans="1:4" x14ac:dyDescent="0.25">
      <c r="A2105" t="s">
        <v>4285</v>
      </c>
      <c r="B2105" t="s">
        <v>38</v>
      </c>
      <c r="C2105" s="1">
        <v>45899.51458333333</v>
      </c>
      <c r="D2105" t="s">
        <v>5146</v>
      </c>
    </row>
    <row r="2106" spans="1:4" x14ac:dyDescent="0.25">
      <c r="A2106" t="s">
        <v>4286</v>
      </c>
      <c r="B2106" t="s">
        <v>38</v>
      </c>
      <c r="C2106" s="1">
        <v>45899.95208333333</v>
      </c>
      <c r="D2106" t="s">
        <v>5146</v>
      </c>
    </row>
    <row r="2107" spans="1:4" x14ac:dyDescent="0.25">
      <c r="A2107" t="s">
        <v>4287</v>
      </c>
      <c r="B2107" t="s">
        <v>38</v>
      </c>
      <c r="C2107" s="1">
        <v>45895.955555555556</v>
      </c>
      <c r="D2107" t="s">
        <v>5146</v>
      </c>
    </row>
    <row r="2108" spans="1:4" x14ac:dyDescent="0.25">
      <c r="A2108" t="s">
        <v>4288</v>
      </c>
      <c r="B2108" t="s">
        <v>38</v>
      </c>
      <c r="C2108" s="1">
        <v>45897.611805555556</v>
      </c>
      <c r="D2108" t="s">
        <v>5146</v>
      </c>
    </row>
    <row r="2109" spans="1:4" x14ac:dyDescent="0.25">
      <c r="A2109" t="s">
        <v>285</v>
      </c>
      <c r="B2109" t="s">
        <v>38</v>
      </c>
      <c r="C2109" s="1">
        <v>46015.60833333333</v>
      </c>
      <c r="D2109" t="s">
        <v>5146</v>
      </c>
    </row>
    <row r="2110" spans="1:4" x14ac:dyDescent="0.25">
      <c r="A2110" t="s">
        <v>4289</v>
      </c>
      <c r="B2110" t="s">
        <v>38</v>
      </c>
      <c r="C2110" s="1">
        <v>45898.513194444444</v>
      </c>
      <c r="D2110" t="s">
        <v>5146</v>
      </c>
    </row>
    <row r="2111" spans="1:4" x14ac:dyDescent="0.25">
      <c r="A2111" t="s">
        <v>4290</v>
      </c>
      <c r="B2111" t="s">
        <v>38</v>
      </c>
      <c r="C2111" s="1">
        <v>45895.685416666667</v>
      </c>
      <c r="D2111" t="s">
        <v>5146</v>
      </c>
    </row>
    <row r="2112" spans="1:4" x14ac:dyDescent="0.25">
      <c r="A2112" t="s">
        <v>4291</v>
      </c>
      <c r="B2112" t="s">
        <v>38</v>
      </c>
      <c r="C2112" s="1">
        <v>45897.644444444442</v>
      </c>
      <c r="D2112" t="s">
        <v>5146</v>
      </c>
    </row>
    <row r="2113" spans="1:4" x14ac:dyDescent="0.25">
      <c r="A2113" t="s">
        <v>4292</v>
      </c>
      <c r="B2113" t="s">
        <v>38</v>
      </c>
      <c r="C2113" s="1">
        <v>45898.70416666667</v>
      </c>
      <c r="D2113" t="s">
        <v>5146</v>
      </c>
    </row>
    <row r="2114" spans="1:4" x14ac:dyDescent="0.25">
      <c r="A2114" t="s">
        <v>4293</v>
      </c>
      <c r="B2114" t="s">
        <v>38</v>
      </c>
      <c r="C2114" s="1">
        <v>45897.763194444444</v>
      </c>
      <c r="D2114" t="s">
        <v>5146</v>
      </c>
    </row>
    <row r="2115" spans="1:4" x14ac:dyDescent="0.25">
      <c r="A2115" t="s">
        <v>4294</v>
      </c>
      <c r="B2115" t="s">
        <v>38</v>
      </c>
      <c r="C2115" s="1">
        <v>46003.915972222225</v>
      </c>
      <c r="D2115" t="s">
        <v>5146</v>
      </c>
    </row>
    <row r="2116" spans="1:4" x14ac:dyDescent="0.25">
      <c r="A2116" t="s">
        <v>4295</v>
      </c>
      <c r="B2116" t="s">
        <v>39</v>
      </c>
      <c r="C2116" s="1">
        <v>45889.801388888889</v>
      </c>
      <c r="D2116" t="s">
        <v>5146</v>
      </c>
    </row>
    <row r="2117" spans="1:4" x14ac:dyDescent="0.25">
      <c r="A2117" t="s">
        <v>278</v>
      </c>
      <c r="B2117" t="s">
        <v>38</v>
      </c>
      <c r="C2117" s="1">
        <v>46022.734027777777</v>
      </c>
      <c r="D2117" t="s">
        <v>5146</v>
      </c>
    </row>
    <row r="2118" spans="1:4" x14ac:dyDescent="0.25">
      <c r="A2118" t="s">
        <v>4296</v>
      </c>
      <c r="B2118" t="s">
        <v>38</v>
      </c>
      <c r="C2118" s="1">
        <v>45898.705555555556</v>
      </c>
      <c r="D2118" t="s">
        <v>5146</v>
      </c>
    </row>
    <row r="2119" spans="1:4" x14ac:dyDescent="0.25">
      <c r="A2119" t="s">
        <v>4297</v>
      </c>
      <c r="B2119" t="s">
        <v>38</v>
      </c>
      <c r="C2119" s="1">
        <v>46003.916666666664</v>
      </c>
      <c r="D2119" t="s">
        <v>5146</v>
      </c>
    </row>
    <row r="2120" spans="1:4" x14ac:dyDescent="0.25">
      <c r="A2120" t="s">
        <v>4298</v>
      </c>
      <c r="B2120" t="s">
        <v>38</v>
      </c>
      <c r="C2120" s="1">
        <v>45892.539583333331</v>
      </c>
      <c r="D2120" t="s">
        <v>5146</v>
      </c>
    </row>
    <row r="2121" spans="1:4" x14ac:dyDescent="0.25">
      <c r="A2121" t="s">
        <v>4299</v>
      </c>
      <c r="B2121" t="s">
        <v>38</v>
      </c>
      <c r="C2121" s="1">
        <v>45897.697916666664</v>
      </c>
      <c r="D2121" t="s">
        <v>5146</v>
      </c>
    </row>
    <row r="2122" spans="1:4" x14ac:dyDescent="0.25">
      <c r="A2122" t="s">
        <v>281</v>
      </c>
      <c r="B2122" t="s">
        <v>38</v>
      </c>
      <c r="C2122" s="1">
        <v>46025.511111111111</v>
      </c>
      <c r="D2122" t="s">
        <v>5146</v>
      </c>
    </row>
    <row r="2123" spans="1:4" x14ac:dyDescent="0.25">
      <c r="A2123" t="s">
        <v>4300</v>
      </c>
      <c r="B2123" t="s">
        <v>38</v>
      </c>
      <c r="C2123" s="1">
        <v>45897.591666666667</v>
      </c>
      <c r="D2123" t="s">
        <v>5146</v>
      </c>
    </row>
    <row r="2124" spans="1:4" x14ac:dyDescent="0.25">
      <c r="A2124" t="s">
        <v>4301</v>
      </c>
      <c r="B2124" t="s">
        <v>38</v>
      </c>
      <c r="C2124" s="1">
        <v>45899.697222222225</v>
      </c>
      <c r="D2124" t="s">
        <v>5146</v>
      </c>
    </row>
    <row r="2125" spans="1:4" x14ac:dyDescent="0.25">
      <c r="A2125" t="s">
        <v>4302</v>
      </c>
      <c r="B2125" t="s">
        <v>38</v>
      </c>
      <c r="C2125" s="1">
        <v>45903.813194444447</v>
      </c>
      <c r="D2125" t="s">
        <v>5146</v>
      </c>
    </row>
    <row r="2126" spans="1:4" x14ac:dyDescent="0.25">
      <c r="A2126" t="s">
        <v>4303</v>
      </c>
      <c r="B2126" t="s">
        <v>38</v>
      </c>
      <c r="C2126" s="1">
        <v>45903.804166666669</v>
      </c>
      <c r="D2126" t="s">
        <v>5146</v>
      </c>
    </row>
    <row r="2127" spans="1:4" x14ac:dyDescent="0.25">
      <c r="A2127" t="s">
        <v>4304</v>
      </c>
      <c r="B2127" t="s">
        <v>38</v>
      </c>
      <c r="C2127" s="1">
        <v>45899.593055555553</v>
      </c>
      <c r="D2127" t="s">
        <v>5146</v>
      </c>
    </row>
    <row r="2128" spans="1:4" x14ac:dyDescent="0.25">
      <c r="A2128" t="s">
        <v>4305</v>
      </c>
      <c r="B2128" t="s">
        <v>39</v>
      </c>
      <c r="C2128" s="1">
        <v>45903.8</v>
      </c>
      <c r="D2128" t="s">
        <v>5146</v>
      </c>
    </row>
    <row r="2129" spans="1:4" x14ac:dyDescent="0.25">
      <c r="A2129" t="s">
        <v>4306</v>
      </c>
      <c r="B2129" t="s">
        <v>38</v>
      </c>
      <c r="C2129" s="1">
        <v>45895.974305555559</v>
      </c>
      <c r="D2129" t="s">
        <v>5146</v>
      </c>
    </row>
    <row r="2130" spans="1:4" x14ac:dyDescent="0.25">
      <c r="A2130" t="s">
        <v>4307</v>
      </c>
      <c r="B2130" t="s">
        <v>38</v>
      </c>
      <c r="C2130" s="1">
        <v>46003.918055555558</v>
      </c>
      <c r="D2130" t="s">
        <v>5146</v>
      </c>
    </row>
    <row r="2131" spans="1:4" x14ac:dyDescent="0.25">
      <c r="A2131" t="s">
        <v>4308</v>
      </c>
      <c r="B2131" t="s">
        <v>38</v>
      </c>
      <c r="C2131" s="1">
        <v>45898.714583333334</v>
      </c>
      <c r="D2131" t="s">
        <v>5146</v>
      </c>
    </row>
    <row r="2132" spans="1:4" x14ac:dyDescent="0.25">
      <c r="A2132" t="s">
        <v>4309</v>
      </c>
      <c r="B2132" t="s">
        <v>38</v>
      </c>
      <c r="C2132" s="1">
        <v>45903.790972222225</v>
      </c>
      <c r="D2132" t="s">
        <v>5146</v>
      </c>
    </row>
    <row r="2133" spans="1:4" x14ac:dyDescent="0.25">
      <c r="A2133" t="s">
        <v>275</v>
      </c>
      <c r="B2133" t="s">
        <v>38</v>
      </c>
      <c r="C2133" s="1">
        <v>46021.57916666667</v>
      </c>
      <c r="D2133" t="s">
        <v>5146</v>
      </c>
    </row>
    <row r="2134" spans="1:4" x14ac:dyDescent="0.25">
      <c r="A2134" t="s">
        <v>276</v>
      </c>
      <c r="B2134" t="s">
        <v>38</v>
      </c>
      <c r="C2134" s="1">
        <v>46036.56527777778</v>
      </c>
      <c r="D2134" t="s">
        <v>5146</v>
      </c>
    </row>
    <row r="2135" spans="1:4" x14ac:dyDescent="0.25">
      <c r="A2135" t="s">
        <v>268</v>
      </c>
      <c r="B2135" t="s">
        <v>38</v>
      </c>
      <c r="C2135" s="1">
        <v>46017.671527777777</v>
      </c>
      <c r="D2135" t="s">
        <v>5146</v>
      </c>
    </row>
    <row r="2136" spans="1:4" x14ac:dyDescent="0.25">
      <c r="A2136" t="s">
        <v>4310</v>
      </c>
      <c r="B2136" t="s">
        <v>38</v>
      </c>
      <c r="C2136" s="1">
        <v>45905.689583333333</v>
      </c>
      <c r="D2136" t="s">
        <v>5146</v>
      </c>
    </row>
    <row r="2137" spans="1:4" x14ac:dyDescent="0.25">
      <c r="A2137" t="s">
        <v>4311</v>
      </c>
      <c r="B2137" t="s">
        <v>38</v>
      </c>
      <c r="C2137" s="1">
        <v>46003.919444444444</v>
      </c>
      <c r="D2137" t="s">
        <v>5146</v>
      </c>
    </row>
    <row r="2138" spans="1:4" x14ac:dyDescent="0.25">
      <c r="A2138" t="s">
        <v>4312</v>
      </c>
      <c r="B2138" t="s">
        <v>38</v>
      </c>
      <c r="C2138" s="1">
        <v>45898.569444444445</v>
      </c>
      <c r="D2138" t="s">
        <v>5146</v>
      </c>
    </row>
    <row r="2139" spans="1:4" x14ac:dyDescent="0.25">
      <c r="A2139" t="s">
        <v>4313</v>
      </c>
      <c r="B2139" t="s">
        <v>38</v>
      </c>
      <c r="C2139" s="1">
        <v>45898.717361111114</v>
      </c>
      <c r="D2139" t="s">
        <v>5146</v>
      </c>
    </row>
    <row r="2140" spans="1:4" x14ac:dyDescent="0.25">
      <c r="A2140" t="s">
        <v>4314</v>
      </c>
      <c r="B2140" t="s">
        <v>38</v>
      </c>
      <c r="C2140" s="1">
        <v>45900.433333333334</v>
      </c>
      <c r="D2140" t="s">
        <v>5146</v>
      </c>
    </row>
    <row r="2141" spans="1:4" x14ac:dyDescent="0.25">
      <c r="A2141" t="s">
        <v>4315</v>
      </c>
      <c r="B2141" t="s">
        <v>38</v>
      </c>
      <c r="C2141" s="1">
        <v>45894.765972222223</v>
      </c>
      <c r="D2141" t="s">
        <v>5146</v>
      </c>
    </row>
    <row r="2142" spans="1:4" x14ac:dyDescent="0.25">
      <c r="A2142" t="s">
        <v>4316</v>
      </c>
      <c r="B2142" t="s">
        <v>38</v>
      </c>
      <c r="C2142" s="1">
        <v>45905.535416666666</v>
      </c>
      <c r="D2142" t="s">
        <v>5146</v>
      </c>
    </row>
    <row r="2143" spans="1:4" x14ac:dyDescent="0.25">
      <c r="A2143" t="s">
        <v>4317</v>
      </c>
      <c r="B2143" t="s">
        <v>38</v>
      </c>
      <c r="C2143" s="1">
        <v>45901.529861111114</v>
      </c>
      <c r="D2143" t="s">
        <v>5146</v>
      </c>
    </row>
    <row r="2144" spans="1:4" x14ac:dyDescent="0.25">
      <c r="A2144" t="s">
        <v>4318</v>
      </c>
      <c r="B2144" t="s">
        <v>38</v>
      </c>
      <c r="C2144" s="1">
        <v>45909.470833333333</v>
      </c>
      <c r="D2144" t="s">
        <v>5146</v>
      </c>
    </row>
    <row r="2145" spans="1:4" x14ac:dyDescent="0.25">
      <c r="A2145" t="s">
        <v>4319</v>
      </c>
      <c r="B2145" t="s">
        <v>38</v>
      </c>
      <c r="C2145" s="1">
        <v>45910.484027777777</v>
      </c>
      <c r="D2145" t="s">
        <v>5146</v>
      </c>
    </row>
    <row r="2146" spans="1:4" x14ac:dyDescent="0.25">
      <c r="A2146" t="s">
        <v>4320</v>
      </c>
      <c r="B2146" t="s">
        <v>38</v>
      </c>
      <c r="C2146" s="1">
        <v>45916.518750000003</v>
      </c>
      <c r="D2146" t="s">
        <v>5146</v>
      </c>
    </row>
    <row r="2147" spans="1:4" x14ac:dyDescent="0.25">
      <c r="A2147" t="s">
        <v>4321</v>
      </c>
      <c r="B2147" t="s">
        <v>38</v>
      </c>
      <c r="C2147" s="1">
        <v>45916.519444444442</v>
      </c>
      <c r="D2147" t="s">
        <v>5146</v>
      </c>
    </row>
    <row r="2148" spans="1:4" x14ac:dyDescent="0.25">
      <c r="A2148" t="s">
        <v>4322</v>
      </c>
      <c r="B2148" t="s">
        <v>38</v>
      </c>
      <c r="C2148" s="1">
        <v>45918.759722222225</v>
      </c>
      <c r="D2148" t="s">
        <v>5146</v>
      </c>
    </row>
    <row r="2149" spans="1:4" x14ac:dyDescent="0.25">
      <c r="A2149" t="s">
        <v>4323</v>
      </c>
      <c r="B2149" t="s">
        <v>38</v>
      </c>
      <c r="C2149" s="1">
        <v>45895.968055555553</v>
      </c>
      <c r="D2149" t="s">
        <v>5146</v>
      </c>
    </row>
    <row r="2150" spans="1:4" x14ac:dyDescent="0.25">
      <c r="A2150" t="s">
        <v>4324</v>
      </c>
      <c r="B2150" t="s">
        <v>38</v>
      </c>
      <c r="C2150" s="1">
        <v>46003.92083333333</v>
      </c>
      <c r="D2150" t="s">
        <v>5146</v>
      </c>
    </row>
    <row r="2151" spans="1:4" x14ac:dyDescent="0.25">
      <c r="A2151" t="s">
        <v>4325</v>
      </c>
      <c r="B2151" t="s">
        <v>38</v>
      </c>
      <c r="C2151" s="1">
        <v>45909.488194444442</v>
      </c>
      <c r="D2151" t="s">
        <v>5146</v>
      </c>
    </row>
    <row r="2152" spans="1:4" x14ac:dyDescent="0.25">
      <c r="A2152" t="s">
        <v>4326</v>
      </c>
      <c r="B2152" t="s">
        <v>38</v>
      </c>
      <c r="C2152" s="1">
        <v>45895.818055555559</v>
      </c>
      <c r="D2152" t="s">
        <v>5146</v>
      </c>
    </row>
    <row r="2153" spans="1:4" x14ac:dyDescent="0.25">
      <c r="A2153" t="s">
        <v>4327</v>
      </c>
      <c r="B2153" t="s">
        <v>38</v>
      </c>
      <c r="C2153" s="1">
        <v>45911.561111111114</v>
      </c>
      <c r="D2153" t="s">
        <v>5146</v>
      </c>
    </row>
    <row r="2154" spans="1:4" x14ac:dyDescent="0.25">
      <c r="A2154" t="s">
        <v>4328</v>
      </c>
      <c r="B2154" t="s">
        <v>38</v>
      </c>
      <c r="C2154" s="1">
        <v>45909.518055555556</v>
      </c>
      <c r="D2154" t="s">
        <v>5146</v>
      </c>
    </row>
    <row r="2155" spans="1:4" x14ac:dyDescent="0.25">
      <c r="A2155" t="s">
        <v>4329</v>
      </c>
      <c r="B2155" t="s">
        <v>38</v>
      </c>
      <c r="C2155" s="1">
        <v>45895.675694444442</v>
      </c>
      <c r="D2155" t="s">
        <v>5146</v>
      </c>
    </row>
    <row r="2156" spans="1:4" x14ac:dyDescent="0.25">
      <c r="A2156" t="s">
        <v>4330</v>
      </c>
      <c r="B2156" t="s">
        <v>38</v>
      </c>
      <c r="C2156" s="1">
        <v>45897.672222222223</v>
      </c>
      <c r="D2156" t="s">
        <v>5146</v>
      </c>
    </row>
    <row r="2157" spans="1:4" x14ac:dyDescent="0.25">
      <c r="A2157" t="s">
        <v>4331</v>
      </c>
      <c r="B2157" t="s">
        <v>38</v>
      </c>
      <c r="C2157" s="1">
        <v>45908.73333333333</v>
      </c>
      <c r="D2157" t="s">
        <v>5146</v>
      </c>
    </row>
    <row r="2158" spans="1:4" x14ac:dyDescent="0.25">
      <c r="A2158" t="s">
        <v>4332</v>
      </c>
      <c r="B2158" t="s">
        <v>38</v>
      </c>
      <c r="C2158" s="1">
        <v>45909.731249999997</v>
      </c>
      <c r="D2158" t="s">
        <v>5146</v>
      </c>
    </row>
    <row r="2159" spans="1:4" x14ac:dyDescent="0.25">
      <c r="A2159" t="s">
        <v>4333</v>
      </c>
      <c r="B2159" t="s">
        <v>38</v>
      </c>
      <c r="C2159" s="1">
        <v>45973.663194444445</v>
      </c>
      <c r="D2159" t="s">
        <v>5146</v>
      </c>
    </row>
    <row r="2160" spans="1:4" x14ac:dyDescent="0.25">
      <c r="A2160" t="s">
        <v>4334</v>
      </c>
      <c r="B2160" t="s">
        <v>38</v>
      </c>
      <c r="C2160" s="1">
        <v>45920.693749999999</v>
      </c>
      <c r="D2160" t="s">
        <v>5146</v>
      </c>
    </row>
    <row r="2161" spans="1:4" x14ac:dyDescent="0.25">
      <c r="A2161" t="s">
        <v>4335</v>
      </c>
      <c r="B2161" t="s">
        <v>38</v>
      </c>
      <c r="C2161" s="1">
        <v>45900.676388888889</v>
      </c>
      <c r="D2161" t="s">
        <v>5146</v>
      </c>
    </row>
    <row r="2162" spans="1:4" x14ac:dyDescent="0.25">
      <c r="A2162" t="s">
        <v>4336</v>
      </c>
      <c r="B2162" t="s">
        <v>38</v>
      </c>
      <c r="C2162" s="1">
        <v>45926.517361111109</v>
      </c>
      <c r="D2162" t="s">
        <v>5146</v>
      </c>
    </row>
    <row r="2163" spans="1:4" x14ac:dyDescent="0.25">
      <c r="A2163" t="s">
        <v>4337</v>
      </c>
      <c r="B2163" t="s">
        <v>38</v>
      </c>
      <c r="C2163" s="1">
        <v>45905.59097222222</v>
      </c>
      <c r="D2163" t="s">
        <v>5146</v>
      </c>
    </row>
    <row r="2164" spans="1:4" x14ac:dyDescent="0.25">
      <c r="A2164" t="s">
        <v>4338</v>
      </c>
      <c r="B2164" t="s">
        <v>38</v>
      </c>
      <c r="C2164" s="1">
        <v>45897.685416666667</v>
      </c>
      <c r="D2164" t="s">
        <v>5146</v>
      </c>
    </row>
    <row r="2165" spans="1:4" x14ac:dyDescent="0.25">
      <c r="A2165" t="s">
        <v>4339</v>
      </c>
      <c r="B2165" t="s">
        <v>38</v>
      </c>
      <c r="C2165" s="1">
        <v>45900.465277777781</v>
      </c>
      <c r="D2165" t="s">
        <v>5146</v>
      </c>
    </row>
    <row r="2166" spans="1:4" x14ac:dyDescent="0.25">
      <c r="A2166" t="s">
        <v>4340</v>
      </c>
      <c r="B2166" t="s">
        <v>39</v>
      </c>
      <c r="C2166" s="1">
        <v>45913.499305555553</v>
      </c>
      <c r="D2166" t="s">
        <v>5146</v>
      </c>
    </row>
    <row r="2167" spans="1:4" x14ac:dyDescent="0.25">
      <c r="A2167" t="s">
        <v>4341</v>
      </c>
      <c r="B2167" t="s">
        <v>38</v>
      </c>
      <c r="C2167" s="1">
        <v>45920.722222222219</v>
      </c>
      <c r="D2167" t="s">
        <v>5146</v>
      </c>
    </row>
    <row r="2168" spans="1:4" x14ac:dyDescent="0.25">
      <c r="A2168" t="s">
        <v>4342</v>
      </c>
      <c r="B2168" t="s">
        <v>38</v>
      </c>
      <c r="C2168" s="1">
        <v>46003.845138888886</v>
      </c>
      <c r="D2168" t="s">
        <v>5146</v>
      </c>
    </row>
    <row r="2169" spans="1:4" x14ac:dyDescent="0.25">
      <c r="A2169" t="s">
        <v>4343</v>
      </c>
      <c r="B2169" t="s">
        <v>38</v>
      </c>
      <c r="C2169" s="1">
        <v>45906.613888888889</v>
      </c>
      <c r="D2169" t="s">
        <v>5146</v>
      </c>
    </row>
    <row r="2170" spans="1:4" x14ac:dyDescent="0.25">
      <c r="A2170" t="s">
        <v>4344</v>
      </c>
      <c r="B2170" t="s">
        <v>38</v>
      </c>
      <c r="C2170" s="1">
        <v>45910.505555555559</v>
      </c>
      <c r="D2170" t="s">
        <v>5146</v>
      </c>
    </row>
    <row r="2171" spans="1:4" x14ac:dyDescent="0.25">
      <c r="A2171" t="s">
        <v>4345</v>
      </c>
      <c r="B2171" t="s">
        <v>38</v>
      </c>
      <c r="C2171" s="1">
        <v>45910.513888888891</v>
      </c>
      <c r="D2171" t="s">
        <v>5146</v>
      </c>
    </row>
    <row r="2172" spans="1:4" x14ac:dyDescent="0.25">
      <c r="A2172" t="s">
        <v>4346</v>
      </c>
      <c r="B2172" t="s">
        <v>38</v>
      </c>
      <c r="C2172" s="1">
        <v>45923.563194444447</v>
      </c>
      <c r="D2172" t="s">
        <v>5146</v>
      </c>
    </row>
    <row r="2173" spans="1:4" x14ac:dyDescent="0.25">
      <c r="A2173" t="s">
        <v>4347</v>
      </c>
      <c r="B2173" t="s">
        <v>38</v>
      </c>
      <c r="C2173" s="1">
        <v>45897.643055555556</v>
      </c>
      <c r="D2173" t="s">
        <v>5146</v>
      </c>
    </row>
    <row r="2174" spans="1:4" x14ac:dyDescent="0.25">
      <c r="A2174" t="s">
        <v>4348</v>
      </c>
      <c r="B2174" t="s">
        <v>38</v>
      </c>
      <c r="C2174" s="1">
        <v>46003.927777777775</v>
      </c>
      <c r="D2174" t="s">
        <v>5146</v>
      </c>
    </row>
    <row r="2175" spans="1:4" x14ac:dyDescent="0.25">
      <c r="A2175" t="s">
        <v>4349</v>
      </c>
      <c r="B2175" t="s">
        <v>38</v>
      </c>
      <c r="C2175" s="1">
        <v>45920.729166666664</v>
      </c>
      <c r="D2175" t="s">
        <v>5146</v>
      </c>
    </row>
    <row r="2176" spans="1:4" x14ac:dyDescent="0.25">
      <c r="A2176" t="s">
        <v>4350</v>
      </c>
      <c r="B2176" t="s">
        <v>38</v>
      </c>
      <c r="C2176" s="1">
        <v>45898.729861111111</v>
      </c>
      <c r="D2176" t="s">
        <v>5146</v>
      </c>
    </row>
    <row r="2177" spans="1:4" x14ac:dyDescent="0.25">
      <c r="A2177" t="s">
        <v>4351</v>
      </c>
      <c r="B2177" t="s">
        <v>38</v>
      </c>
      <c r="C2177" s="1">
        <v>46003.97152777778</v>
      </c>
      <c r="D2177" t="s">
        <v>5146</v>
      </c>
    </row>
    <row r="2178" spans="1:4" x14ac:dyDescent="0.25">
      <c r="A2178" t="s">
        <v>263</v>
      </c>
      <c r="B2178" t="s">
        <v>38</v>
      </c>
      <c r="C2178" s="1">
        <v>46024.788888888892</v>
      </c>
      <c r="D2178" t="s">
        <v>5146</v>
      </c>
    </row>
    <row r="2179" spans="1:4" x14ac:dyDescent="0.25">
      <c r="A2179" t="s">
        <v>4352</v>
      </c>
      <c r="B2179" t="s">
        <v>38</v>
      </c>
      <c r="C2179" s="1">
        <v>45920.73541666667</v>
      </c>
      <c r="D2179" t="s">
        <v>5146</v>
      </c>
    </row>
    <row r="2180" spans="1:4" x14ac:dyDescent="0.25">
      <c r="A2180" t="s">
        <v>4353</v>
      </c>
      <c r="B2180" t="s">
        <v>38</v>
      </c>
      <c r="C2180" s="1">
        <v>45916.634722222225</v>
      </c>
      <c r="D2180" t="s">
        <v>5146</v>
      </c>
    </row>
    <row r="2181" spans="1:4" x14ac:dyDescent="0.25">
      <c r="A2181" t="s">
        <v>4354</v>
      </c>
      <c r="B2181" t="s">
        <v>38</v>
      </c>
      <c r="C2181" s="1">
        <v>45913.727083333331</v>
      </c>
      <c r="D2181" t="s">
        <v>5146</v>
      </c>
    </row>
    <row r="2182" spans="1:4" x14ac:dyDescent="0.25">
      <c r="A2182" t="s">
        <v>4355</v>
      </c>
      <c r="B2182" t="s">
        <v>38</v>
      </c>
      <c r="C2182" s="1">
        <v>45911.527083333334</v>
      </c>
      <c r="D2182" t="s">
        <v>5146</v>
      </c>
    </row>
    <row r="2183" spans="1:4" x14ac:dyDescent="0.25">
      <c r="A2183" t="s">
        <v>4356</v>
      </c>
      <c r="B2183" t="s">
        <v>38</v>
      </c>
      <c r="C2183" s="1">
        <v>46003.929166666669</v>
      </c>
      <c r="D2183" t="s">
        <v>5146</v>
      </c>
    </row>
    <row r="2184" spans="1:4" x14ac:dyDescent="0.25">
      <c r="A2184" t="s">
        <v>4357</v>
      </c>
      <c r="B2184" t="s">
        <v>38</v>
      </c>
      <c r="C2184" s="1">
        <v>45899.936805555553</v>
      </c>
      <c r="D2184" t="s">
        <v>5146</v>
      </c>
    </row>
    <row r="2185" spans="1:4" x14ac:dyDescent="0.25">
      <c r="A2185" t="s">
        <v>4358</v>
      </c>
      <c r="B2185" t="s">
        <v>38</v>
      </c>
      <c r="C2185" s="1">
        <v>45903.756249999999</v>
      </c>
      <c r="D2185" t="s">
        <v>5146</v>
      </c>
    </row>
    <row r="2186" spans="1:4" x14ac:dyDescent="0.25">
      <c r="A2186" t="s">
        <v>4359</v>
      </c>
      <c r="B2186" t="s">
        <v>38</v>
      </c>
      <c r="C2186" s="1">
        <v>46003.915277777778</v>
      </c>
      <c r="D2186" t="s">
        <v>5146</v>
      </c>
    </row>
    <row r="2187" spans="1:4" x14ac:dyDescent="0.25">
      <c r="A2187" t="s">
        <v>4360</v>
      </c>
      <c r="B2187" t="s">
        <v>38</v>
      </c>
      <c r="C2187" s="1">
        <v>45906.585416666669</v>
      </c>
      <c r="D2187" t="s">
        <v>5146</v>
      </c>
    </row>
    <row r="2188" spans="1:4" x14ac:dyDescent="0.25">
      <c r="A2188" t="s">
        <v>4361</v>
      </c>
      <c r="B2188" t="s">
        <v>38</v>
      </c>
      <c r="C2188" s="1">
        <v>45909.595833333333</v>
      </c>
      <c r="D2188" t="s">
        <v>5146</v>
      </c>
    </row>
    <row r="2189" spans="1:4" x14ac:dyDescent="0.25">
      <c r="A2189" t="s">
        <v>4362</v>
      </c>
      <c r="B2189" t="s">
        <v>38</v>
      </c>
      <c r="C2189" s="1">
        <v>45901.506944444445</v>
      </c>
      <c r="D2189" t="s">
        <v>5146</v>
      </c>
    </row>
    <row r="2190" spans="1:4" x14ac:dyDescent="0.25">
      <c r="A2190" t="s">
        <v>4363</v>
      </c>
      <c r="B2190" t="s">
        <v>38</v>
      </c>
      <c r="C2190" s="1">
        <v>45917.70416666667</v>
      </c>
      <c r="D2190" t="s">
        <v>5146</v>
      </c>
    </row>
    <row r="2191" spans="1:4" x14ac:dyDescent="0.25">
      <c r="A2191" t="s">
        <v>4364</v>
      </c>
      <c r="B2191" t="s">
        <v>38</v>
      </c>
      <c r="C2191" s="1">
        <v>45911.555555555555</v>
      </c>
      <c r="D2191" t="s">
        <v>5146</v>
      </c>
    </row>
    <row r="2192" spans="1:4" x14ac:dyDescent="0.25">
      <c r="A2192" t="s">
        <v>4365</v>
      </c>
      <c r="B2192" t="s">
        <v>38</v>
      </c>
      <c r="C2192" s="1">
        <v>45917.418749999997</v>
      </c>
      <c r="D2192" t="s">
        <v>5146</v>
      </c>
    </row>
    <row r="2193" spans="1:4" x14ac:dyDescent="0.25">
      <c r="A2193" t="s">
        <v>267</v>
      </c>
      <c r="B2193" t="s">
        <v>38</v>
      </c>
      <c r="C2193" s="1">
        <v>46036.698611111111</v>
      </c>
      <c r="D2193" t="s">
        <v>5146</v>
      </c>
    </row>
    <row r="2194" spans="1:4" x14ac:dyDescent="0.25">
      <c r="A2194" t="s">
        <v>4366</v>
      </c>
      <c r="B2194" t="s">
        <v>38</v>
      </c>
      <c r="C2194" s="1">
        <v>45902.633333333331</v>
      </c>
      <c r="D2194" t="s">
        <v>5146</v>
      </c>
    </row>
    <row r="2195" spans="1:4" x14ac:dyDescent="0.25">
      <c r="A2195" t="s">
        <v>4367</v>
      </c>
      <c r="B2195" t="s">
        <v>38</v>
      </c>
      <c r="C2195" s="1">
        <v>45913.664583333331</v>
      </c>
      <c r="D2195" t="s">
        <v>5146</v>
      </c>
    </row>
    <row r="2196" spans="1:4" x14ac:dyDescent="0.25">
      <c r="A2196" t="s">
        <v>4368</v>
      </c>
      <c r="B2196" t="s">
        <v>38</v>
      </c>
      <c r="C2196" s="1">
        <v>45911.466666666667</v>
      </c>
      <c r="D2196" t="s">
        <v>5146</v>
      </c>
    </row>
    <row r="2197" spans="1:4" x14ac:dyDescent="0.25">
      <c r="A2197" t="s">
        <v>4369</v>
      </c>
      <c r="B2197" t="s">
        <v>38</v>
      </c>
      <c r="C2197" s="1">
        <v>45909.504861111112</v>
      </c>
      <c r="D2197" t="s">
        <v>5146</v>
      </c>
    </row>
    <row r="2198" spans="1:4" x14ac:dyDescent="0.25">
      <c r="A2198" t="s">
        <v>4370</v>
      </c>
      <c r="B2198" t="s">
        <v>38</v>
      </c>
      <c r="C2198" s="1">
        <v>45908.800694444442</v>
      </c>
      <c r="D2198" t="s">
        <v>5146</v>
      </c>
    </row>
    <row r="2199" spans="1:4" x14ac:dyDescent="0.25">
      <c r="A2199" t="s">
        <v>251</v>
      </c>
      <c r="B2199" t="s">
        <v>38</v>
      </c>
      <c r="C2199" s="1">
        <v>46036.652083333334</v>
      </c>
      <c r="D2199" t="s">
        <v>5146</v>
      </c>
    </row>
    <row r="2200" spans="1:4" x14ac:dyDescent="0.25">
      <c r="A2200" t="s">
        <v>4371</v>
      </c>
      <c r="B2200" t="s">
        <v>38</v>
      </c>
      <c r="C2200" s="1">
        <v>45900.507638888892</v>
      </c>
      <c r="D2200" t="s">
        <v>5146</v>
      </c>
    </row>
    <row r="2201" spans="1:4" x14ac:dyDescent="0.25">
      <c r="A2201" t="s">
        <v>4372</v>
      </c>
      <c r="B2201" t="s">
        <v>38</v>
      </c>
      <c r="C2201" s="1">
        <v>45915.520833333336</v>
      </c>
      <c r="D2201" t="s">
        <v>5146</v>
      </c>
    </row>
    <row r="2202" spans="1:4" x14ac:dyDescent="0.25">
      <c r="A2202" t="s">
        <v>4373</v>
      </c>
      <c r="B2202" t="s">
        <v>38</v>
      </c>
      <c r="C2202" s="1">
        <v>45902.685416666667</v>
      </c>
      <c r="D2202" t="s">
        <v>5146</v>
      </c>
    </row>
    <row r="2203" spans="1:4" x14ac:dyDescent="0.25">
      <c r="A2203" t="s">
        <v>4374</v>
      </c>
      <c r="B2203" t="s">
        <v>38</v>
      </c>
      <c r="C2203" s="1">
        <v>45910.780555555553</v>
      </c>
      <c r="D2203" t="s">
        <v>5146</v>
      </c>
    </row>
    <row r="2204" spans="1:4" x14ac:dyDescent="0.25">
      <c r="A2204" t="s">
        <v>4375</v>
      </c>
      <c r="B2204" t="s">
        <v>38</v>
      </c>
      <c r="C2204" s="1">
        <v>45906.666666666664</v>
      </c>
      <c r="D2204" t="s">
        <v>5146</v>
      </c>
    </row>
    <row r="2205" spans="1:4" x14ac:dyDescent="0.25">
      <c r="A2205" t="s">
        <v>4376</v>
      </c>
      <c r="B2205" t="s">
        <v>38</v>
      </c>
      <c r="C2205" s="1">
        <v>45909.54583333333</v>
      </c>
      <c r="D2205" t="s">
        <v>5146</v>
      </c>
    </row>
    <row r="2206" spans="1:4" x14ac:dyDescent="0.25">
      <c r="A2206" t="s">
        <v>255</v>
      </c>
      <c r="B2206" t="s">
        <v>38</v>
      </c>
      <c r="C2206" s="1">
        <v>46021.539583333331</v>
      </c>
      <c r="D2206" t="s">
        <v>5146</v>
      </c>
    </row>
    <row r="2207" spans="1:4" x14ac:dyDescent="0.25">
      <c r="A2207" t="s">
        <v>4377</v>
      </c>
      <c r="B2207" t="s">
        <v>38</v>
      </c>
      <c r="C2207" s="1">
        <v>45900.965277777781</v>
      </c>
      <c r="D2207" t="s">
        <v>5146</v>
      </c>
    </row>
    <row r="2208" spans="1:4" x14ac:dyDescent="0.25">
      <c r="A2208" t="s">
        <v>4378</v>
      </c>
      <c r="B2208" t="s">
        <v>38</v>
      </c>
      <c r="C2208" s="1">
        <v>46003.933333333334</v>
      </c>
      <c r="D2208" t="s">
        <v>5146</v>
      </c>
    </row>
    <row r="2209" spans="1:4" x14ac:dyDescent="0.25">
      <c r="A2209" t="s">
        <v>4379</v>
      </c>
      <c r="B2209" t="s">
        <v>38</v>
      </c>
      <c r="C2209" s="1">
        <v>45912.629166666666</v>
      </c>
      <c r="D2209" t="s">
        <v>5146</v>
      </c>
    </row>
    <row r="2210" spans="1:4" x14ac:dyDescent="0.25">
      <c r="A2210" t="s">
        <v>4380</v>
      </c>
      <c r="B2210" t="s">
        <v>38</v>
      </c>
      <c r="C2210" s="1">
        <v>45916.564583333333</v>
      </c>
      <c r="D2210" t="s">
        <v>5146</v>
      </c>
    </row>
    <row r="2211" spans="1:4" x14ac:dyDescent="0.25">
      <c r="A2211" t="s">
        <v>4381</v>
      </c>
      <c r="B2211" t="s">
        <v>38</v>
      </c>
      <c r="C2211" s="1">
        <v>45912.525000000001</v>
      </c>
      <c r="D2211" t="s">
        <v>5146</v>
      </c>
    </row>
    <row r="2212" spans="1:4" x14ac:dyDescent="0.25">
      <c r="A2212" t="s">
        <v>4382</v>
      </c>
      <c r="B2212" t="s">
        <v>38</v>
      </c>
      <c r="C2212" s="1">
        <v>45904.839583333334</v>
      </c>
      <c r="D2212" t="s">
        <v>5146</v>
      </c>
    </row>
    <row r="2213" spans="1:4" x14ac:dyDescent="0.25">
      <c r="A2213" t="s">
        <v>4383</v>
      </c>
      <c r="B2213" t="s">
        <v>38</v>
      </c>
      <c r="C2213" s="1">
        <v>45902.726388888892</v>
      </c>
      <c r="D2213" t="s">
        <v>5146</v>
      </c>
    </row>
    <row r="2214" spans="1:4" x14ac:dyDescent="0.25">
      <c r="A2214" t="s">
        <v>246</v>
      </c>
      <c r="B2214" t="s">
        <v>38</v>
      </c>
      <c r="C2214" s="1">
        <v>46036.695833333331</v>
      </c>
      <c r="D2214" t="s">
        <v>5146</v>
      </c>
    </row>
    <row r="2215" spans="1:4" x14ac:dyDescent="0.25">
      <c r="A2215" t="s">
        <v>247</v>
      </c>
      <c r="B2215" t="s">
        <v>38</v>
      </c>
      <c r="C2215" s="1">
        <v>46014.720138888886</v>
      </c>
      <c r="D2215" t="s">
        <v>5146</v>
      </c>
    </row>
    <row r="2216" spans="1:4" x14ac:dyDescent="0.25">
      <c r="A2216" t="s">
        <v>4384</v>
      </c>
      <c r="B2216" t="s">
        <v>38</v>
      </c>
      <c r="C2216" s="1">
        <v>45912.574999999997</v>
      </c>
      <c r="D2216" t="s">
        <v>5146</v>
      </c>
    </row>
    <row r="2217" spans="1:4" x14ac:dyDescent="0.25">
      <c r="A2217" t="s">
        <v>4385</v>
      </c>
      <c r="B2217" t="s">
        <v>38</v>
      </c>
      <c r="C2217" s="1">
        <v>45901.535416666666</v>
      </c>
      <c r="D2217" t="s">
        <v>5146</v>
      </c>
    </row>
    <row r="2218" spans="1:4" x14ac:dyDescent="0.25">
      <c r="A2218" t="s">
        <v>4386</v>
      </c>
      <c r="B2218" t="s">
        <v>39</v>
      </c>
      <c r="C2218" s="1">
        <v>45967.648611111108</v>
      </c>
      <c r="D2218" t="s">
        <v>5146</v>
      </c>
    </row>
    <row r="2219" spans="1:4" x14ac:dyDescent="0.25">
      <c r="A2219" t="s">
        <v>4387</v>
      </c>
      <c r="B2219" t="s">
        <v>38</v>
      </c>
      <c r="C2219" s="1">
        <v>45905.553472222222</v>
      </c>
      <c r="D2219" t="s">
        <v>5146</v>
      </c>
    </row>
    <row r="2220" spans="1:4" x14ac:dyDescent="0.25">
      <c r="A2220" t="s">
        <v>4388</v>
      </c>
      <c r="B2220" t="s">
        <v>38</v>
      </c>
      <c r="C2220" s="1">
        <v>45904.677083333336</v>
      </c>
      <c r="D2220" t="s">
        <v>5146</v>
      </c>
    </row>
    <row r="2221" spans="1:4" x14ac:dyDescent="0.25">
      <c r="A2221" t="s">
        <v>4389</v>
      </c>
      <c r="B2221" t="s">
        <v>38</v>
      </c>
      <c r="C2221" s="1">
        <v>45903.679861111108</v>
      </c>
      <c r="D2221" t="s">
        <v>5146</v>
      </c>
    </row>
    <row r="2222" spans="1:4" x14ac:dyDescent="0.25">
      <c r="A2222" t="s">
        <v>4390</v>
      </c>
      <c r="B2222" t="s">
        <v>38</v>
      </c>
      <c r="C2222" s="1">
        <v>46003.9375</v>
      </c>
      <c r="D2222" t="s">
        <v>5146</v>
      </c>
    </row>
    <row r="2223" spans="1:4" x14ac:dyDescent="0.25">
      <c r="A2223" t="s">
        <v>4391</v>
      </c>
      <c r="B2223" t="s">
        <v>38</v>
      </c>
      <c r="C2223" s="1">
        <v>46003.936805555553</v>
      </c>
      <c r="D2223" t="s">
        <v>5146</v>
      </c>
    </row>
    <row r="2224" spans="1:4" x14ac:dyDescent="0.25">
      <c r="A2224" t="s">
        <v>4392</v>
      </c>
      <c r="B2224" t="s">
        <v>38</v>
      </c>
      <c r="C2224" s="1">
        <v>46003.938888888886</v>
      </c>
      <c r="D2224" t="s">
        <v>5146</v>
      </c>
    </row>
    <row r="2225" spans="1:4" x14ac:dyDescent="0.25">
      <c r="A2225" t="s">
        <v>4393</v>
      </c>
      <c r="B2225" t="s">
        <v>38</v>
      </c>
      <c r="C2225" s="1">
        <v>46003.939583333333</v>
      </c>
      <c r="D2225" t="s">
        <v>5146</v>
      </c>
    </row>
    <row r="2226" spans="1:4" x14ac:dyDescent="0.25">
      <c r="A2226" t="s">
        <v>4394</v>
      </c>
      <c r="B2226" t="s">
        <v>38</v>
      </c>
      <c r="C2226" s="1">
        <v>45920.57708333333</v>
      </c>
      <c r="D2226" t="s">
        <v>5146</v>
      </c>
    </row>
    <row r="2227" spans="1:4" x14ac:dyDescent="0.25">
      <c r="A2227" t="s">
        <v>4395</v>
      </c>
      <c r="B2227" t="s">
        <v>39</v>
      </c>
      <c r="C2227" s="1">
        <v>45906.487500000003</v>
      </c>
      <c r="D2227" t="s">
        <v>5146</v>
      </c>
    </row>
    <row r="2228" spans="1:4" x14ac:dyDescent="0.25">
      <c r="A2228" t="s">
        <v>4396</v>
      </c>
      <c r="B2228" t="s">
        <v>38</v>
      </c>
      <c r="C2228" s="1">
        <v>45916.61041666667</v>
      </c>
      <c r="D2228" t="s">
        <v>5146</v>
      </c>
    </row>
    <row r="2229" spans="1:4" x14ac:dyDescent="0.25">
      <c r="A2229" t="s">
        <v>4397</v>
      </c>
      <c r="B2229" t="s">
        <v>38</v>
      </c>
      <c r="C2229" s="1">
        <v>45938.765972222223</v>
      </c>
      <c r="D2229" t="s">
        <v>5146</v>
      </c>
    </row>
    <row r="2230" spans="1:4" x14ac:dyDescent="0.25">
      <c r="A2230" t="s">
        <v>4398</v>
      </c>
      <c r="B2230" t="s">
        <v>38</v>
      </c>
      <c r="C2230" s="1">
        <v>45906.552083333336</v>
      </c>
      <c r="D2230" t="s">
        <v>5146</v>
      </c>
    </row>
    <row r="2231" spans="1:4" x14ac:dyDescent="0.25">
      <c r="A2231" t="s">
        <v>4399</v>
      </c>
      <c r="B2231" t="s">
        <v>38</v>
      </c>
      <c r="C2231" s="1">
        <v>45906.520833333336</v>
      </c>
      <c r="D2231" t="s">
        <v>5146</v>
      </c>
    </row>
    <row r="2232" spans="1:4" x14ac:dyDescent="0.25">
      <c r="A2232" t="s">
        <v>4400</v>
      </c>
      <c r="B2232" t="s">
        <v>38</v>
      </c>
      <c r="C2232" s="1">
        <v>45910.602777777778</v>
      </c>
      <c r="D2232" t="s">
        <v>5146</v>
      </c>
    </row>
    <row r="2233" spans="1:4" x14ac:dyDescent="0.25">
      <c r="A2233" t="s">
        <v>4401</v>
      </c>
      <c r="B2233" t="s">
        <v>38</v>
      </c>
      <c r="C2233" s="1">
        <v>46003.838194444441</v>
      </c>
      <c r="D2233" t="s">
        <v>5146</v>
      </c>
    </row>
    <row r="2234" spans="1:4" x14ac:dyDescent="0.25">
      <c r="A2234" t="s">
        <v>4402</v>
      </c>
      <c r="B2234" t="s">
        <v>38</v>
      </c>
      <c r="C2234" s="1">
        <v>45917.616666666669</v>
      </c>
      <c r="D2234" t="s">
        <v>5146</v>
      </c>
    </row>
    <row r="2235" spans="1:4" x14ac:dyDescent="0.25">
      <c r="A2235" t="s">
        <v>4403</v>
      </c>
      <c r="B2235" t="s">
        <v>38</v>
      </c>
      <c r="C2235" s="1">
        <v>45936.482638888891</v>
      </c>
      <c r="D2235" t="s">
        <v>5146</v>
      </c>
    </row>
    <row r="2236" spans="1:4" x14ac:dyDescent="0.25">
      <c r="A2236" t="s">
        <v>4404</v>
      </c>
      <c r="B2236" t="s">
        <v>38</v>
      </c>
      <c r="C2236" s="1">
        <v>45913.474999999999</v>
      </c>
      <c r="D2236" t="s">
        <v>5146</v>
      </c>
    </row>
    <row r="2237" spans="1:4" x14ac:dyDescent="0.25">
      <c r="A2237" t="s">
        <v>4405</v>
      </c>
      <c r="B2237" t="s">
        <v>38</v>
      </c>
      <c r="C2237" s="1">
        <v>45915.622916666667</v>
      </c>
      <c r="D2237" t="s">
        <v>5146</v>
      </c>
    </row>
    <row r="2238" spans="1:4" x14ac:dyDescent="0.25">
      <c r="A2238" t="s">
        <v>4406</v>
      </c>
      <c r="B2238" t="s">
        <v>38</v>
      </c>
      <c r="C2238" s="1">
        <v>45915.629166666666</v>
      </c>
      <c r="D2238" t="s">
        <v>5146</v>
      </c>
    </row>
    <row r="2239" spans="1:4" x14ac:dyDescent="0.25">
      <c r="A2239" t="s">
        <v>4407</v>
      </c>
      <c r="B2239" t="s">
        <v>38</v>
      </c>
      <c r="C2239" s="1">
        <v>45920.115277777775</v>
      </c>
      <c r="D2239" t="s">
        <v>5146</v>
      </c>
    </row>
    <row r="2240" spans="1:4" x14ac:dyDescent="0.25">
      <c r="A2240" t="s">
        <v>4408</v>
      </c>
      <c r="B2240" t="s">
        <v>38</v>
      </c>
      <c r="C2240" s="1">
        <v>45904.590277777781</v>
      </c>
      <c r="D2240" t="s">
        <v>5146</v>
      </c>
    </row>
    <row r="2241" spans="1:4" x14ac:dyDescent="0.25">
      <c r="A2241" t="s">
        <v>4409</v>
      </c>
      <c r="B2241" t="s">
        <v>38</v>
      </c>
      <c r="C2241" s="1">
        <v>45917.634027777778</v>
      </c>
      <c r="D2241" t="s">
        <v>5146</v>
      </c>
    </row>
    <row r="2242" spans="1:4" x14ac:dyDescent="0.25">
      <c r="A2242" t="s">
        <v>4410</v>
      </c>
      <c r="B2242" t="s">
        <v>38</v>
      </c>
      <c r="C2242" s="1">
        <v>45921.693055555559</v>
      </c>
      <c r="D2242" t="s">
        <v>5146</v>
      </c>
    </row>
    <row r="2243" spans="1:4" x14ac:dyDescent="0.25">
      <c r="A2243" t="s">
        <v>4411</v>
      </c>
      <c r="B2243" t="s">
        <v>39</v>
      </c>
      <c r="C2243" s="1">
        <v>45911.71597222222</v>
      </c>
      <c r="D2243" t="s">
        <v>5146</v>
      </c>
    </row>
    <row r="2244" spans="1:4" x14ac:dyDescent="0.25">
      <c r="A2244" t="s">
        <v>4412</v>
      </c>
      <c r="B2244" t="s">
        <v>39</v>
      </c>
      <c r="C2244" s="1">
        <v>45911.707638888889</v>
      </c>
      <c r="D2244" t="s">
        <v>5146</v>
      </c>
    </row>
    <row r="2245" spans="1:4" x14ac:dyDescent="0.25">
      <c r="A2245" t="s">
        <v>4413</v>
      </c>
      <c r="B2245" t="s">
        <v>38</v>
      </c>
      <c r="C2245" s="1">
        <v>45910.679166666669</v>
      </c>
      <c r="D2245" t="s">
        <v>5146</v>
      </c>
    </row>
    <row r="2246" spans="1:4" x14ac:dyDescent="0.25">
      <c r="A2246" t="s">
        <v>4414</v>
      </c>
      <c r="B2246" t="s">
        <v>38</v>
      </c>
      <c r="C2246" s="1">
        <v>45906.520138888889</v>
      </c>
      <c r="D2246" t="s">
        <v>5146</v>
      </c>
    </row>
    <row r="2247" spans="1:4" x14ac:dyDescent="0.25">
      <c r="A2247" t="s">
        <v>4415</v>
      </c>
      <c r="B2247" t="s">
        <v>38</v>
      </c>
      <c r="C2247" s="1">
        <v>45906.657638888886</v>
      </c>
      <c r="D2247" t="s">
        <v>5146</v>
      </c>
    </row>
    <row r="2248" spans="1:4" x14ac:dyDescent="0.25">
      <c r="A2248" t="s">
        <v>4416</v>
      </c>
      <c r="B2248" t="s">
        <v>38</v>
      </c>
      <c r="C2248" s="1">
        <v>45908.913194444445</v>
      </c>
      <c r="D2248" t="s">
        <v>5146</v>
      </c>
    </row>
    <row r="2249" spans="1:4" x14ac:dyDescent="0.25">
      <c r="A2249" t="s">
        <v>4417</v>
      </c>
      <c r="B2249" t="s">
        <v>38</v>
      </c>
      <c r="C2249" s="1">
        <v>46028.583333333336</v>
      </c>
      <c r="D2249" t="s">
        <v>5146</v>
      </c>
    </row>
    <row r="2250" spans="1:4" x14ac:dyDescent="0.25">
      <c r="A2250" t="s">
        <v>4418</v>
      </c>
      <c r="B2250" t="s">
        <v>38</v>
      </c>
      <c r="C2250" s="1">
        <v>45908.884027777778</v>
      </c>
      <c r="D2250" t="s">
        <v>5146</v>
      </c>
    </row>
    <row r="2251" spans="1:4" x14ac:dyDescent="0.25">
      <c r="A2251" t="s">
        <v>4419</v>
      </c>
      <c r="B2251" t="s">
        <v>38</v>
      </c>
      <c r="C2251" s="1">
        <v>45915.491666666669</v>
      </c>
      <c r="D2251" t="s">
        <v>5146</v>
      </c>
    </row>
    <row r="2252" spans="1:4" x14ac:dyDescent="0.25">
      <c r="A2252" t="s">
        <v>4420</v>
      </c>
      <c r="B2252" t="s">
        <v>38</v>
      </c>
      <c r="C2252" s="1">
        <v>46028.555555555555</v>
      </c>
      <c r="D2252" t="s">
        <v>5146</v>
      </c>
    </row>
    <row r="2253" spans="1:4" x14ac:dyDescent="0.25">
      <c r="A2253" t="s">
        <v>4421</v>
      </c>
      <c r="B2253" t="s">
        <v>38</v>
      </c>
      <c r="C2253" s="1">
        <v>45911.479861111111</v>
      </c>
      <c r="D2253" t="s">
        <v>5146</v>
      </c>
    </row>
    <row r="2254" spans="1:4" x14ac:dyDescent="0.25">
      <c r="A2254" t="s">
        <v>4422</v>
      </c>
      <c r="B2254" t="s">
        <v>38</v>
      </c>
      <c r="C2254" s="1">
        <v>45909.56527777778</v>
      </c>
      <c r="D2254" t="s">
        <v>5146</v>
      </c>
    </row>
    <row r="2255" spans="1:4" x14ac:dyDescent="0.25">
      <c r="A2255" t="s">
        <v>4423</v>
      </c>
      <c r="B2255" t="s">
        <v>38</v>
      </c>
      <c r="C2255" s="1">
        <v>45916.568749999999</v>
      </c>
      <c r="D2255" t="s">
        <v>5146</v>
      </c>
    </row>
    <row r="2256" spans="1:4" x14ac:dyDescent="0.25">
      <c r="A2256" t="s">
        <v>4424</v>
      </c>
      <c r="B2256" t="s">
        <v>38</v>
      </c>
      <c r="C2256" s="1">
        <v>45904.958333333336</v>
      </c>
      <c r="D2256" t="s">
        <v>5146</v>
      </c>
    </row>
    <row r="2257" spans="1:4" x14ac:dyDescent="0.25">
      <c r="A2257" t="s">
        <v>4425</v>
      </c>
      <c r="B2257" t="s">
        <v>38</v>
      </c>
      <c r="C2257" s="1">
        <v>45918.484027777777</v>
      </c>
      <c r="D2257" t="s">
        <v>5146</v>
      </c>
    </row>
    <row r="2258" spans="1:4" x14ac:dyDescent="0.25">
      <c r="A2258" t="s">
        <v>4426</v>
      </c>
      <c r="B2258" t="s">
        <v>38</v>
      </c>
      <c r="C2258" s="1">
        <v>45950.715277777781</v>
      </c>
      <c r="D2258" t="s">
        <v>5146</v>
      </c>
    </row>
    <row r="2259" spans="1:4" x14ac:dyDescent="0.25">
      <c r="A2259" t="s">
        <v>4427</v>
      </c>
      <c r="B2259" t="s">
        <v>38</v>
      </c>
      <c r="C2259" s="1">
        <v>45908.761805555558</v>
      </c>
      <c r="D2259" t="s">
        <v>5146</v>
      </c>
    </row>
    <row r="2260" spans="1:4" x14ac:dyDescent="0.25">
      <c r="A2260" t="s">
        <v>4428</v>
      </c>
      <c r="B2260" t="s">
        <v>38</v>
      </c>
      <c r="C2260" s="1">
        <v>45909.511805555558</v>
      </c>
      <c r="D2260" t="s">
        <v>5146</v>
      </c>
    </row>
    <row r="2261" spans="1:4" x14ac:dyDescent="0.25">
      <c r="A2261" t="s">
        <v>4429</v>
      </c>
      <c r="B2261" t="s">
        <v>39</v>
      </c>
      <c r="C2261" s="1">
        <v>45995.499305555553</v>
      </c>
      <c r="D2261" t="s">
        <v>5146</v>
      </c>
    </row>
    <row r="2262" spans="1:4" x14ac:dyDescent="0.25">
      <c r="A2262" t="s">
        <v>4430</v>
      </c>
      <c r="B2262" t="s">
        <v>38</v>
      </c>
      <c r="C2262" s="1">
        <v>45908.904861111114</v>
      </c>
      <c r="D2262" t="s">
        <v>5146</v>
      </c>
    </row>
    <row r="2263" spans="1:4" x14ac:dyDescent="0.25">
      <c r="A2263" t="s">
        <v>4431</v>
      </c>
      <c r="B2263" t="s">
        <v>38</v>
      </c>
      <c r="C2263" s="1">
        <v>45909.586111111108</v>
      </c>
      <c r="D2263" t="s">
        <v>5146</v>
      </c>
    </row>
    <row r="2264" spans="1:4" x14ac:dyDescent="0.25">
      <c r="A2264" t="s">
        <v>4432</v>
      </c>
      <c r="B2264" t="s">
        <v>38</v>
      </c>
      <c r="C2264" s="1">
        <v>45910.638194444444</v>
      </c>
      <c r="D2264" t="s">
        <v>5146</v>
      </c>
    </row>
    <row r="2265" spans="1:4" x14ac:dyDescent="0.25">
      <c r="A2265" t="s">
        <v>4433</v>
      </c>
      <c r="B2265" t="s">
        <v>38</v>
      </c>
      <c r="C2265" s="1">
        <v>45920.143750000003</v>
      </c>
      <c r="D2265" t="s">
        <v>5146</v>
      </c>
    </row>
    <row r="2266" spans="1:4" x14ac:dyDescent="0.25">
      <c r="A2266" t="s">
        <v>237</v>
      </c>
      <c r="B2266" t="s">
        <v>38</v>
      </c>
      <c r="C2266" s="1">
        <v>46036.581250000003</v>
      </c>
      <c r="D2266" t="s">
        <v>5146</v>
      </c>
    </row>
    <row r="2267" spans="1:4" x14ac:dyDescent="0.25">
      <c r="A2267" t="s">
        <v>4434</v>
      </c>
      <c r="B2267" t="s">
        <v>38</v>
      </c>
      <c r="C2267" s="1">
        <v>46003.845833333333</v>
      </c>
      <c r="D2267" t="s">
        <v>5146</v>
      </c>
    </row>
    <row r="2268" spans="1:4" x14ac:dyDescent="0.25">
      <c r="A2268" t="s">
        <v>4435</v>
      </c>
      <c r="B2268" t="s">
        <v>38</v>
      </c>
      <c r="C2268" s="1">
        <v>46003.84652777778</v>
      </c>
      <c r="D2268" t="s">
        <v>5146</v>
      </c>
    </row>
    <row r="2269" spans="1:4" x14ac:dyDescent="0.25">
      <c r="A2269" t="s">
        <v>4436</v>
      </c>
      <c r="B2269" t="s">
        <v>38</v>
      </c>
      <c r="C2269" s="1">
        <v>45910.694444444445</v>
      </c>
      <c r="D2269" t="s">
        <v>5146</v>
      </c>
    </row>
    <row r="2270" spans="1:4" x14ac:dyDescent="0.25">
      <c r="A2270" t="s">
        <v>4437</v>
      </c>
      <c r="B2270" t="s">
        <v>38</v>
      </c>
      <c r="C2270" s="1">
        <v>45906.611805555556</v>
      </c>
      <c r="D2270" t="s">
        <v>5146</v>
      </c>
    </row>
    <row r="2271" spans="1:4" x14ac:dyDescent="0.25">
      <c r="A2271" t="s">
        <v>4438</v>
      </c>
      <c r="B2271" t="s">
        <v>38</v>
      </c>
      <c r="C2271" s="1">
        <v>45911.498611111114</v>
      </c>
      <c r="D2271" t="s">
        <v>5146</v>
      </c>
    </row>
    <row r="2272" spans="1:4" x14ac:dyDescent="0.25">
      <c r="A2272" t="s">
        <v>238</v>
      </c>
      <c r="B2272" t="s">
        <v>39</v>
      </c>
      <c r="C2272" s="1">
        <v>46039.833333333336</v>
      </c>
      <c r="D2272" t="s">
        <v>5146</v>
      </c>
    </row>
    <row r="2273" spans="1:4" x14ac:dyDescent="0.25">
      <c r="A2273" t="s">
        <v>4439</v>
      </c>
      <c r="B2273" t="s">
        <v>38</v>
      </c>
      <c r="C2273" s="1">
        <v>45905.526388888888</v>
      </c>
      <c r="D2273" t="s">
        <v>5146</v>
      </c>
    </row>
    <row r="2274" spans="1:4" x14ac:dyDescent="0.25">
      <c r="A2274" t="s">
        <v>4440</v>
      </c>
      <c r="B2274" t="s">
        <v>38</v>
      </c>
      <c r="C2274" s="1">
        <v>45917.716666666667</v>
      </c>
      <c r="D2274" t="s">
        <v>5146</v>
      </c>
    </row>
    <row r="2275" spans="1:4" x14ac:dyDescent="0.25">
      <c r="A2275" t="s">
        <v>4441</v>
      </c>
      <c r="B2275" t="s">
        <v>39</v>
      </c>
      <c r="C2275" s="1">
        <v>45917.47152777778</v>
      </c>
      <c r="D2275" t="s">
        <v>5146</v>
      </c>
    </row>
    <row r="2276" spans="1:4" x14ac:dyDescent="0.25">
      <c r="A2276" t="s">
        <v>4442</v>
      </c>
      <c r="B2276" t="s">
        <v>38</v>
      </c>
      <c r="C2276" s="1">
        <v>45916.646527777775</v>
      </c>
      <c r="D2276" t="s">
        <v>5146</v>
      </c>
    </row>
    <row r="2277" spans="1:4" x14ac:dyDescent="0.25">
      <c r="A2277" t="s">
        <v>4443</v>
      </c>
      <c r="B2277" t="s">
        <v>38</v>
      </c>
      <c r="C2277" s="1">
        <v>45943.474305555559</v>
      </c>
      <c r="D2277" t="s">
        <v>5146</v>
      </c>
    </row>
    <row r="2278" spans="1:4" x14ac:dyDescent="0.25">
      <c r="A2278" t="s">
        <v>4444</v>
      </c>
      <c r="B2278" t="s">
        <v>38</v>
      </c>
      <c r="C2278" s="1">
        <v>46003.847222222219</v>
      </c>
      <c r="D2278" t="s">
        <v>5146</v>
      </c>
    </row>
    <row r="2279" spans="1:4" x14ac:dyDescent="0.25">
      <c r="A2279" t="s">
        <v>4445</v>
      </c>
      <c r="B2279" t="s">
        <v>38</v>
      </c>
      <c r="C2279" s="1">
        <v>46003.926388888889</v>
      </c>
      <c r="D2279" t="s">
        <v>5146</v>
      </c>
    </row>
    <row r="2280" spans="1:4" x14ac:dyDescent="0.25">
      <c r="A2280" t="s">
        <v>4446</v>
      </c>
      <c r="B2280" t="s">
        <v>38</v>
      </c>
      <c r="C2280" s="1">
        <v>45911.46597222222</v>
      </c>
      <c r="D2280" t="s">
        <v>5146</v>
      </c>
    </row>
    <row r="2281" spans="1:4" x14ac:dyDescent="0.25">
      <c r="A2281" t="s">
        <v>4447</v>
      </c>
      <c r="B2281" t="s">
        <v>38</v>
      </c>
      <c r="C2281" s="1">
        <v>45909.757638888892</v>
      </c>
      <c r="D2281" t="s">
        <v>5146</v>
      </c>
    </row>
    <row r="2282" spans="1:4" x14ac:dyDescent="0.25">
      <c r="A2282" t="s">
        <v>226</v>
      </c>
      <c r="B2282" t="s">
        <v>38</v>
      </c>
      <c r="C2282" s="1">
        <v>46024.797222222223</v>
      </c>
      <c r="D2282" t="s">
        <v>5146</v>
      </c>
    </row>
    <row r="2283" spans="1:4" x14ac:dyDescent="0.25">
      <c r="A2283" t="s">
        <v>227</v>
      </c>
      <c r="B2283" t="s">
        <v>38</v>
      </c>
      <c r="C2283" s="1">
        <v>46036.694444444445</v>
      </c>
      <c r="D2283" t="s">
        <v>5146</v>
      </c>
    </row>
    <row r="2284" spans="1:4" x14ac:dyDescent="0.25">
      <c r="A2284" t="s">
        <v>4448</v>
      </c>
      <c r="B2284" t="s">
        <v>38</v>
      </c>
      <c r="C2284" s="1">
        <v>45916.665972222225</v>
      </c>
      <c r="D2284" t="s">
        <v>5146</v>
      </c>
    </row>
    <row r="2285" spans="1:4" x14ac:dyDescent="0.25">
      <c r="A2285" t="s">
        <v>4449</v>
      </c>
      <c r="B2285" t="s">
        <v>38</v>
      </c>
      <c r="C2285" s="1">
        <v>45906.595833333333</v>
      </c>
      <c r="D2285" t="s">
        <v>5146</v>
      </c>
    </row>
    <row r="2286" spans="1:4" x14ac:dyDescent="0.25">
      <c r="A2286" t="s">
        <v>4450</v>
      </c>
      <c r="B2286" t="s">
        <v>38</v>
      </c>
      <c r="C2286" s="1">
        <v>45906.642361111109</v>
      </c>
      <c r="D2286" t="s">
        <v>5146</v>
      </c>
    </row>
    <row r="2287" spans="1:4" x14ac:dyDescent="0.25">
      <c r="A2287" t="s">
        <v>4451</v>
      </c>
      <c r="B2287" t="s">
        <v>38</v>
      </c>
      <c r="C2287" s="1">
        <v>45920.615972222222</v>
      </c>
      <c r="D2287" t="s">
        <v>5146</v>
      </c>
    </row>
    <row r="2288" spans="1:4" x14ac:dyDescent="0.25">
      <c r="A2288" t="s">
        <v>4452</v>
      </c>
      <c r="B2288" t="s">
        <v>38</v>
      </c>
      <c r="C2288" s="1">
        <v>45910.427083333336</v>
      </c>
      <c r="D2288" t="s">
        <v>5146</v>
      </c>
    </row>
    <row r="2289" spans="1:4" x14ac:dyDescent="0.25">
      <c r="A2289" t="s">
        <v>4453</v>
      </c>
      <c r="B2289" t="s">
        <v>38</v>
      </c>
      <c r="C2289" s="1">
        <v>45909.565972222219</v>
      </c>
      <c r="D2289" t="s">
        <v>5146</v>
      </c>
    </row>
    <row r="2290" spans="1:4" x14ac:dyDescent="0.25">
      <c r="A2290" t="s">
        <v>4454</v>
      </c>
      <c r="B2290" t="s">
        <v>38</v>
      </c>
      <c r="C2290" s="1">
        <v>45909.615277777775</v>
      </c>
      <c r="D2290" t="s">
        <v>5146</v>
      </c>
    </row>
    <row r="2291" spans="1:4" x14ac:dyDescent="0.25">
      <c r="A2291" t="s">
        <v>4455</v>
      </c>
      <c r="B2291" t="s">
        <v>38</v>
      </c>
      <c r="C2291" s="1">
        <v>45911.492361111108</v>
      </c>
      <c r="D2291" t="s">
        <v>5146</v>
      </c>
    </row>
    <row r="2292" spans="1:4" x14ac:dyDescent="0.25">
      <c r="A2292" t="s">
        <v>4456</v>
      </c>
      <c r="B2292" t="s">
        <v>38</v>
      </c>
      <c r="C2292" s="1">
        <v>46003.847916666666</v>
      </c>
      <c r="D2292" t="s">
        <v>5146</v>
      </c>
    </row>
    <row r="2293" spans="1:4" x14ac:dyDescent="0.25">
      <c r="A2293" t="s">
        <v>4457</v>
      </c>
      <c r="B2293" t="s">
        <v>38</v>
      </c>
      <c r="C2293" s="1">
        <v>45909.724305555559</v>
      </c>
      <c r="D2293" t="s">
        <v>5146</v>
      </c>
    </row>
    <row r="2294" spans="1:4" x14ac:dyDescent="0.25">
      <c r="A2294" t="s">
        <v>4458</v>
      </c>
      <c r="B2294" t="s">
        <v>38</v>
      </c>
      <c r="C2294" s="1">
        <v>45906.567361111112</v>
      </c>
      <c r="D2294" t="s">
        <v>5146</v>
      </c>
    </row>
    <row r="2295" spans="1:4" x14ac:dyDescent="0.25">
      <c r="A2295" t="s">
        <v>4459</v>
      </c>
      <c r="B2295" t="s">
        <v>38</v>
      </c>
      <c r="C2295" s="1">
        <v>46003.849305555559</v>
      </c>
      <c r="D2295" t="s">
        <v>5146</v>
      </c>
    </row>
    <row r="2296" spans="1:4" x14ac:dyDescent="0.25">
      <c r="A2296" t="s">
        <v>4460</v>
      </c>
      <c r="B2296" t="s">
        <v>38</v>
      </c>
      <c r="C2296" s="1">
        <v>45910.707638888889</v>
      </c>
      <c r="D2296" t="s">
        <v>5146</v>
      </c>
    </row>
    <row r="2297" spans="1:4" x14ac:dyDescent="0.25">
      <c r="A2297" t="s">
        <v>4461</v>
      </c>
      <c r="B2297" t="s">
        <v>38</v>
      </c>
      <c r="C2297" s="1">
        <v>45913.71597222222</v>
      </c>
      <c r="D2297" t="s">
        <v>5146</v>
      </c>
    </row>
    <row r="2298" spans="1:4" x14ac:dyDescent="0.25">
      <c r="A2298" t="s">
        <v>4462</v>
      </c>
      <c r="B2298" t="s">
        <v>38</v>
      </c>
      <c r="C2298" s="1">
        <v>46003.849305555559</v>
      </c>
      <c r="D2298" t="s">
        <v>5146</v>
      </c>
    </row>
    <row r="2299" spans="1:4" x14ac:dyDescent="0.25">
      <c r="A2299" t="s">
        <v>4463</v>
      </c>
      <c r="B2299" t="s">
        <v>38</v>
      </c>
      <c r="C2299" s="1">
        <v>45909.77847222222</v>
      </c>
      <c r="D2299" t="s">
        <v>5146</v>
      </c>
    </row>
    <row r="2300" spans="1:4" x14ac:dyDescent="0.25">
      <c r="A2300" t="s">
        <v>4464</v>
      </c>
      <c r="B2300" t="s">
        <v>38</v>
      </c>
      <c r="C2300" s="1">
        <v>46003.850694444445</v>
      </c>
      <c r="D2300" t="s">
        <v>5146</v>
      </c>
    </row>
    <row r="2301" spans="1:4" x14ac:dyDescent="0.25">
      <c r="A2301" t="s">
        <v>4465</v>
      </c>
      <c r="B2301" t="s">
        <v>38</v>
      </c>
      <c r="C2301" s="1">
        <v>45917.493055555555</v>
      </c>
      <c r="D2301" t="s">
        <v>5146</v>
      </c>
    </row>
    <row r="2302" spans="1:4" x14ac:dyDescent="0.25">
      <c r="A2302" t="s">
        <v>4466</v>
      </c>
      <c r="B2302" t="s">
        <v>38</v>
      </c>
      <c r="C2302" s="1">
        <v>45917.492361111108</v>
      </c>
      <c r="D2302" t="s">
        <v>5146</v>
      </c>
    </row>
    <row r="2303" spans="1:4" x14ac:dyDescent="0.25">
      <c r="A2303" t="s">
        <v>4467</v>
      </c>
      <c r="B2303" t="s">
        <v>38</v>
      </c>
      <c r="C2303" s="1">
        <v>45917.491666666669</v>
      </c>
      <c r="D2303" t="s">
        <v>5146</v>
      </c>
    </row>
    <row r="2304" spans="1:4" x14ac:dyDescent="0.25">
      <c r="A2304" t="s">
        <v>4468</v>
      </c>
      <c r="B2304" t="s">
        <v>38</v>
      </c>
      <c r="C2304" s="1">
        <v>45917.490277777775</v>
      </c>
      <c r="D2304" t="s">
        <v>5146</v>
      </c>
    </row>
    <row r="2305" spans="1:4" x14ac:dyDescent="0.25">
      <c r="A2305" t="s">
        <v>4469</v>
      </c>
      <c r="B2305" t="s">
        <v>38</v>
      </c>
      <c r="C2305" s="1">
        <v>45917.490277777775</v>
      </c>
      <c r="D2305" t="s">
        <v>5146</v>
      </c>
    </row>
    <row r="2306" spans="1:4" x14ac:dyDescent="0.25">
      <c r="A2306" t="s">
        <v>4470</v>
      </c>
      <c r="B2306" t="s">
        <v>38</v>
      </c>
      <c r="C2306" s="1">
        <v>45917.479166666664</v>
      </c>
      <c r="D2306" t="s">
        <v>5146</v>
      </c>
    </row>
    <row r="2307" spans="1:4" x14ac:dyDescent="0.25">
      <c r="A2307" t="s">
        <v>4471</v>
      </c>
      <c r="B2307" t="s">
        <v>38</v>
      </c>
      <c r="C2307" s="1">
        <v>45917.495138888888</v>
      </c>
      <c r="D2307" t="s">
        <v>5146</v>
      </c>
    </row>
    <row r="2308" spans="1:4" x14ac:dyDescent="0.25">
      <c r="A2308" t="s">
        <v>218</v>
      </c>
      <c r="B2308" t="s">
        <v>39</v>
      </c>
      <c r="C2308" s="1">
        <v>46029.734722222223</v>
      </c>
      <c r="D2308" t="s">
        <v>5146</v>
      </c>
    </row>
    <row r="2309" spans="1:4" x14ac:dyDescent="0.25">
      <c r="A2309" t="s">
        <v>4472</v>
      </c>
      <c r="B2309" t="s">
        <v>38</v>
      </c>
      <c r="C2309" s="1">
        <v>45917.493750000001</v>
      </c>
      <c r="D2309" t="s">
        <v>5146</v>
      </c>
    </row>
    <row r="2310" spans="1:4" x14ac:dyDescent="0.25">
      <c r="A2310" t="s">
        <v>4473</v>
      </c>
      <c r="B2310" t="s">
        <v>38</v>
      </c>
      <c r="C2310" s="1">
        <v>45917.495833333334</v>
      </c>
      <c r="D2310" t="s">
        <v>5146</v>
      </c>
    </row>
    <row r="2311" spans="1:4" x14ac:dyDescent="0.25">
      <c r="A2311" t="s">
        <v>4474</v>
      </c>
      <c r="B2311" t="s">
        <v>38</v>
      </c>
      <c r="C2311" s="1">
        <v>45917.495833333334</v>
      </c>
      <c r="D2311" t="s">
        <v>5146</v>
      </c>
    </row>
    <row r="2312" spans="1:4" x14ac:dyDescent="0.25">
      <c r="A2312" t="s">
        <v>4475</v>
      </c>
      <c r="B2312" t="s">
        <v>38</v>
      </c>
      <c r="C2312" s="1">
        <v>45917.496527777781</v>
      </c>
      <c r="D2312" t="s">
        <v>5146</v>
      </c>
    </row>
    <row r="2313" spans="1:4" x14ac:dyDescent="0.25">
      <c r="A2313" t="s">
        <v>4476</v>
      </c>
      <c r="B2313" t="s">
        <v>38</v>
      </c>
      <c r="C2313" s="1">
        <v>45917.502083333333</v>
      </c>
      <c r="D2313" t="s">
        <v>5146</v>
      </c>
    </row>
    <row r="2314" spans="1:4" x14ac:dyDescent="0.25">
      <c r="A2314" t="s">
        <v>4477</v>
      </c>
      <c r="B2314" t="s">
        <v>38</v>
      </c>
      <c r="C2314" s="1">
        <v>45920.5</v>
      </c>
      <c r="D2314" t="s">
        <v>5146</v>
      </c>
    </row>
    <row r="2315" spans="1:4" x14ac:dyDescent="0.25">
      <c r="A2315" t="s">
        <v>4478</v>
      </c>
      <c r="B2315" t="s">
        <v>38</v>
      </c>
      <c r="C2315" s="1">
        <v>45917.50277777778</v>
      </c>
      <c r="D2315" t="s">
        <v>5146</v>
      </c>
    </row>
    <row r="2316" spans="1:4" x14ac:dyDescent="0.25">
      <c r="A2316" t="s">
        <v>209</v>
      </c>
      <c r="B2316" t="s">
        <v>38</v>
      </c>
      <c r="C2316" s="1">
        <v>46022.666666666664</v>
      </c>
      <c r="D2316" t="s">
        <v>5146</v>
      </c>
    </row>
    <row r="2317" spans="1:4" x14ac:dyDescent="0.25">
      <c r="A2317" t="s">
        <v>4479</v>
      </c>
      <c r="B2317" t="s">
        <v>38</v>
      </c>
      <c r="C2317" s="1">
        <v>45920.515972222223</v>
      </c>
      <c r="D2317" t="s">
        <v>5146</v>
      </c>
    </row>
    <row r="2318" spans="1:4" x14ac:dyDescent="0.25">
      <c r="A2318" t="s">
        <v>212</v>
      </c>
      <c r="B2318" t="s">
        <v>38</v>
      </c>
      <c r="C2318" s="1">
        <v>46024.59097222222</v>
      </c>
      <c r="D2318" t="s">
        <v>5146</v>
      </c>
    </row>
    <row r="2319" spans="1:4" x14ac:dyDescent="0.25">
      <c r="A2319" t="s">
        <v>4480</v>
      </c>
      <c r="B2319" t="s">
        <v>38</v>
      </c>
      <c r="C2319" s="1">
        <v>45911.631249999999</v>
      </c>
      <c r="D2319" t="s">
        <v>5146</v>
      </c>
    </row>
    <row r="2320" spans="1:4" x14ac:dyDescent="0.25">
      <c r="A2320" t="s">
        <v>4481</v>
      </c>
      <c r="B2320" t="s">
        <v>38</v>
      </c>
      <c r="C2320" s="1">
        <v>45922.503472222219</v>
      </c>
      <c r="D2320" t="s">
        <v>5146</v>
      </c>
    </row>
    <row r="2321" spans="1:4" x14ac:dyDescent="0.25">
      <c r="A2321" t="s">
        <v>4482</v>
      </c>
      <c r="B2321" t="s">
        <v>38</v>
      </c>
      <c r="C2321" s="1">
        <v>45919.570833333331</v>
      </c>
      <c r="D2321" t="s">
        <v>5146</v>
      </c>
    </row>
    <row r="2322" spans="1:4" x14ac:dyDescent="0.25">
      <c r="A2322" t="s">
        <v>4483</v>
      </c>
      <c r="B2322" t="s">
        <v>38</v>
      </c>
      <c r="C2322" s="1">
        <v>45916.672222222223</v>
      </c>
      <c r="D2322" t="s">
        <v>5146</v>
      </c>
    </row>
    <row r="2323" spans="1:4" x14ac:dyDescent="0.25">
      <c r="A2323" t="s">
        <v>4484</v>
      </c>
      <c r="B2323" t="s">
        <v>38</v>
      </c>
      <c r="C2323" s="1">
        <v>45912.568055555559</v>
      </c>
      <c r="D2323" t="s">
        <v>5146</v>
      </c>
    </row>
    <row r="2324" spans="1:4" x14ac:dyDescent="0.25">
      <c r="A2324" t="s">
        <v>4485</v>
      </c>
      <c r="B2324" t="s">
        <v>39</v>
      </c>
      <c r="C2324" s="1">
        <v>45924.275000000001</v>
      </c>
      <c r="D2324" t="s">
        <v>5146</v>
      </c>
    </row>
    <row r="2325" spans="1:4" x14ac:dyDescent="0.25">
      <c r="A2325" t="s">
        <v>4486</v>
      </c>
      <c r="B2325" t="s">
        <v>38</v>
      </c>
      <c r="C2325" s="1">
        <v>45911.834722222222</v>
      </c>
      <c r="D2325" t="s">
        <v>5146</v>
      </c>
    </row>
    <row r="2326" spans="1:4" x14ac:dyDescent="0.25">
      <c r="A2326" t="s">
        <v>4487</v>
      </c>
      <c r="B2326" t="s">
        <v>38</v>
      </c>
      <c r="C2326" s="1">
        <v>45917.472222222219</v>
      </c>
      <c r="D2326" t="s">
        <v>5146</v>
      </c>
    </row>
    <row r="2327" spans="1:4" x14ac:dyDescent="0.25">
      <c r="A2327" t="s">
        <v>4488</v>
      </c>
      <c r="B2327" t="s">
        <v>38</v>
      </c>
      <c r="C2327" s="1">
        <v>45913.606249999997</v>
      </c>
      <c r="D2327" t="s">
        <v>5146</v>
      </c>
    </row>
    <row r="2328" spans="1:4" x14ac:dyDescent="0.25">
      <c r="A2328" t="s">
        <v>4489</v>
      </c>
      <c r="B2328" t="s">
        <v>38</v>
      </c>
      <c r="C2328" s="1">
        <v>45913.724999999999</v>
      </c>
      <c r="D2328" t="s">
        <v>5146</v>
      </c>
    </row>
    <row r="2329" spans="1:4" x14ac:dyDescent="0.25">
      <c r="A2329" t="s">
        <v>4490</v>
      </c>
      <c r="B2329" t="s">
        <v>38</v>
      </c>
      <c r="C2329" s="1">
        <v>46003.854861111111</v>
      </c>
      <c r="D2329" t="s">
        <v>5146</v>
      </c>
    </row>
    <row r="2330" spans="1:4" x14ac:dyDescent="0.25">
      <c r="A2330" t="s">
        <v>4491</v>
      </c>
      <c r="B2330" t="s">
        <v>38</v>
      </c>
      <c r="C2330" s="1">
        <v>46003.856944444444</v>
      </c>
      <c r="D2330" t="s">
        <v>5146</v>
      </c>
    </row>
    <row r="2331" spans="1:4" x14ac:dyDescent="0.25">
      <c r="A2331" t="s">
        <v>4492</v>
      </c>
      <c r="B2331" t="s">
        <v>38</v>
      </c>
      <c r="C2331" s="1">
        <v>46003.856944444444</v>
      </c>
      <c r="D2331" t="s">
        <v>5146</v>
      </c>
    </row>
    <row r="2332" spans="1:4" x14ac:dyDescent="0.25">
      <c r="A2332" t="s">
        <v>4493</v>
      </c>
      <c r="B2332" t="s">
        <v>38</v>
      </c>
      <c r="C2332" s="1">
        <v>46003.857638888891</v>
      </c>
      <c r="D2332" t="s">
        <v>5146</v>
      </c>
    </row>
    <row r="2333" spans="1:4" x14ac:dyDescent="0.25">
      <c r="A2333" t="s">
        <v>4494</v>
      </c>
      <c r="B2333" t="s">
        <v>38</v>
      </c>
      <c r="C2333" s="1">
        <v>46003.85833333333</v>
      </c>
      <c r="D2333" t="s">
        <v>5146</v>
      </c>
    </row>
    <row r="2334" spans="1:4" x14ac:dyDescent="0.25">
      <c r="A2334" t="s">
        <v>4495</v>
      </c>
      <c r="B2334" t="s">
        <v>38</v>
      </c>
      <c r="C2334" s="1">
        <v>46003.859027777777</v>
      </c>
      <c r="D2334" t="s">
        <v>5146</v>
      </c>
    </row>
    <row r="2335" spans="1:4" x14ac:dyDescent="0.25">
      <c r="A2335" t="s">
        <v>4496</v>
      </c>
      <c r="B2335" t="s">
        <v>38</v>
      </c>
      <c r="C2335" s="1">
        <v>45920.597222222219</v>
      </c>
      <c r="D2335" t="s">
        <v>5146</v>
      </c>
    </row>
    <row r="2336" spans="1:4" x14ac:dyDescent="0.25">
      <c r="A2336" t="s">
        <v>4497</v>
      </c>
      <c r="B2336" t="s">
        <v>38</v>
      </c>
      <c r="C2336" s="1">
        <v>45913.744444444441</v>
      </c>
      <c r="D2336" t="s">
        <v>5146</v>
      </c>
    </row>
    <row r="2337" spans="1:4" x14ac:dyDescent="0.25">
      <c r="A2337" t="s">
        <v>4498</v>
      </c>
      <c r="B2337" t="s">
        <v>38</v>
      </c>
      <c r="C2337" s="1">
        <v>45917.493055555555</v>
      </c>
      <c r="D2337" t="s">
        <v>5146</v>
      </c>
    </row>
    <row r="2338" spans="1:4" x14ac:dyDescent="0.25">
      <c r="A2338" t="s">
        <v>4499</v>
      </c>
      <c r="B2338" t="s">
        <v>38</v>
      </c>
      <c r="C2338" s="1">
        <v>45920.547222222223</v>
      </c>
      <c r="D2338" t="s">
        <v>5146</v>
      </c>
    </row>
    <row r="2339" spans="1:4" x14ac:dyDescent="0.25">
      <c r="A2339" t="s">
        <v>4500</v>
      </c>
      <c r="B2339" t="s">
        <v>38</v>
      </c>
      <c r="C2339" s="1">
        <v>45921.738194444442</v>
      </c>
      <c r="D2339" t="s">
        <v>5146</v>
      </c>
    </row>
    <row r="2340" spans="1:4" x14ac:dyDescent="0.25">
      <c r="A2340" t="s">
        <v>199</v>
      </c>
      <c r="B2340" t="s">
        <v>38</v>
      </c>
      <c r="C2340" s="1">
        <v>46036.577777777777</v>
      </c>
      <c r="D2340" t="s">
        <v>5146</v>
      </c>
    </row>
    <row r="2341" spans="1:4" x14ac:dyDescent="0.25">
      <c r="A2341" t="s">
        <v>4501</v>
      </c>
      <c r="B2341" t="s">
        <v>39</v>
      </c>
      <c r="C2341" s="1">
        <v>45971.474305555559</v>
      </c>
      <c r="D2341" t="s">
        <v>5146</v>
      </c>
    </row>
    <row r="2342" spans="1:4" x14ac:dyDescent="0.25">
      <c r="A2342" t="s">
        <v>200</v>
      </c>
      <c r="B2342" t="s">
        <v>39</v>
      </c>
      <c r="C2342" s="1">
        <v>46029.734722222223</v>
      </c>
      <c r="D2342" t="s">
        <v>5146</v>
      </c>
    </row>
    <row r="2343" spans="1:4" x14ac:dyDescent="0.25">
      <c r="A2343" t="s">
        <v>228</v>
      </c>
      <c r="B2343" t="s">
        <v>38</v>
      </c>
      <c r="C2343" s="1">
        <v>46027.5625</v>
      </c>
      <c r="D2343" t="s">
        <v>5146</v>
      </c>
    </row>
    <row r="2344" spans="1:4" x14ac:dyDescent="0.25">
      <c r="A2344" t="s">
        <v>4502</v>
      </c>
      <c r="B2344" t="s">
        <v>38</v>
      </c>
      <c r="C2344" s="1">
        <v>45917.660416666666</v>
      </c>
      <c r="D2344" t="s">
        <v>5146</v>
      </c>
    </row>
    <row r="2345" spans="1:4" x14ac:dyDescent="0.25">
      <c r="A2345" t="s">
        <v>4503</v>
      </c>
      <c r="B2345" t="s">
        <v>38</v>
      </c>
      <c r="C2345" s="1">
        <v>45937.003472222219</v>
      </c>
      <c r="D2345" t="s">
        <v>5146</v>
      </c>
    </row>
    <row r="2346" spans="1:4" x14ac:dyDescent="0.25">
      <c r="A2346" t="s">
        <v>4504</v>
      </c>
      <c r="B2346" t="s">
        <v>38</v>
      </c>
      <c r="C2346" s="1">
        <v>45926.70416666667</v>
      </c>
      <c r="D2346" t="s">
        <v>5146</v>
      </c>
    </row>
    <row r="2347" spans="1:4" x14ac:dyDescent="0.25">
      <c r="A2347" t="s">
        <v>4505</v>
      </c>
      <c r="B2347" t="s">
        <v>38</v>
      </c>
      <c r="C2347" s="1">
        <v>45921.474999999999</v>
      </c>
      <c r="D2347" t="s">
        <v>5146</v>
      </c>
    </row>
    <row r="2348" spans="1:4" x14ac:dyDescent="0.25">
      <c r="A2348" t="s">
        <v>4506</v>
      </c>
      <c r="B2348" t="s">
        <v>38</v>
      </c>
      <c r="C2348" s="1">
        <v>45922.635416666664</v>
      </c>
      <c r="D2348" t="s">
        <v>5146</v>
      </c>
    </row>
    <row r="2349" spans="1:4" x14ac:dyDescent="0.25">
      <c r="A2349" t="s">
        <v>4507</v>
      </c>
      <c r="B2349" t="s">
        <v>38</v>
      </c>
      <c r="C2349" s="1">
        <v>45918.545138888891</v>
      </c>
      <c r="D2349" t="s">
        <v>5146</v>
      </c>
    </row>
    <row r="2350" spans="1:4" x14ac:dyDescent="0.25">
      <c r="A2350" t="s">
        <v>4508</v>
      </c>
      <c r="B2350" t="s">
        <v>38</v>
      </c>
      <c r="C2350" s="1">
        <v>46003.862500000003</v>
      </c>
      <c r="D2350" t="s">
        <v>5146</v>
      </c>
    </row>
    <row r="2351" spans="1:4" x14ac:dyDescent="0.25">
      <c r="A2351" t="s">
        <v>4509</v>
      </c>
      <c r="B2351" t="s">
        <v>38</v>
      </c>
      <c r="C2351" s="1">
        <v>45920.541666666664</v>
      </c>
      <c r="D2351" t="s">
        <v>5146</v>
      </c>
    </row>
    <row r="2352" spans="1:4" x14ac:dyDescent="0.25">
      <c r="A2352" t="s">
        <v>201</v>
      </c>
      <c r="B2352" t="s">
        <v>38</v>
      </c>
      <c r="C2352" s="1">
        <v>46007.705555555556</v>
      </c>
      <c r="D2352" t="s">
        <v>5146</v>
      </c>
    </row>
    <row r="2353" spans="1:4" x14ac:dyDescent="0.25">
      <c r="A2353" t="s">
        <v>4510</v>
      </c>
      <c r="B2353" t="s">
        <v>38</v>
      </c>
      <c r="C2353" s="1">
        <v>45923.579861111109</v>
      </c>
      <c r="D2353" t="s">
        <v>5146</v>
      </c>
    </row>
    <row r="2354" spans="1:4" x14ac:dyDescent="0.25">
      <c r="A2354" t="s">
        <v>4511</v>
      </c>
      <c r="B2354" t="s">
        <v>38</v>
      </c>
      <c r="C2354" s="1">
        <v>46003.931250000001</v>
      </c>
      <c r="D2354" t="s">
        <v>5146</v>
      </c>
    </row>
    <row r="2355" spans="1:4" x14ac:dyDescent="0.25">
      <c r="A2355" t="s">
        <v>4512</v>
      </c>
      <c r="B2355" t="s">
        <v>38</v>
      </c>
      <c r="C2355" s="1">
        <v>45922.745833333334</v>
      </c>
      <c r="D2355" t="s">
        <v>5146</v>
      </c>
    </row>
    <row r="2356" spans="1:4" x14ac:dyDescent="0.25">
      <c r="A2356" t="s">
        <v>4513</v>
      </c>
      <c r="B2356" t="s">
        <v>38</v>
      </c>
      <c r="C2356" s="1">
        <v>45920.490972222222</v>
      </c>
      <c r="D2356" t="s">
        <v>5146</v>
      </c>
    </row>
    <row r="2357" spans="1:4" x14ac:dyDescent="0.25">
      <c r="A2357" t="s">
        <v>4514</v>
      </c>
      <c r="B2357" t="s">
        <v>38</v>
      </c>
      <c r="C2357" s="1">
        <v>46004.314583333333</v>
      </c>
      <c r="D2357" t="s">
        <v>5146</v>
      </c>
    </row>
    <row r="2358" spans="1:4" x14ac:dyDescent="0.25">
      <c r="A2358" t="s">
        <v>4515</v>
      </c>
      <c r="B2358" t="s">
        <v>38</v>
      </c>
      <c r="C2358" s="1">
        <v>45919.848611111112</v>
      </c>
      <c r="D2358" t="s">
        <v>5146</v>
      </c>
    </row>
    <row r="2359" spans="1:4" x14ac:dyDescent="0.25">
      <c r="A2359" t="s">
        <v>4516</v>
      </c>
      <c r="B2359" t="s">
        <v>38</v>
      </c>
      <c r="C2359" s="1">
        <v>45922.755555555559</v>
      </c>
      <c r="D2359" t="s">
        <v>5146</v>
      </c>
    </row>
    <row r="2360" spans="1:4" x14ac:dyDescent="0.25">
      <c r="A2360" t="s">
        <v>4517</v>
      </c>
      <c r="B2360" t="s">
        <v>38</v>
      </c>
      <c r="C2360" s="1">
        <v>45934.745138888888</v>
      </c>
      <c r="D2360" t="s">
        <v>5146</v>
      </c>
    </row>
    <row r="2361" spans="1:4" x14ac:dyDescent="0.25">
      <c r="A2361" t="s">
        <v>4518</v>
      </c>
      <c r="B2361" t="s">
        <v>38</v>
      </c>
      <c r="C2361" s="1">
        <v>45971.430555555555</v>
      </c>
      <c r="D2361" t="s">
        <v>5146</v>
      </c>
    </row>
    <row r="2362" spans="1:4" x14ac:dyDescent="0.25">
      <c r="A2362" t="s">
        <v>4519</v>
      </c>
      <c r="B2362" t="s">
        <v>38</v>
      </c>
      <c r="C2362" s="1">
        <v>46004.348611111112</v>
      </c>
      <c r="D2362" t="s">
        <v>5146</v>
      </c>
    </row>
    <row r="2363" spans="1:4" x14ac:dyDescent="0.25">
      <c r="A2363" t="s">
        <v>4520</v>
      </c>
      <c r="B2363" t="s">
        <v>38</v>
      </c>
      <c r="C2363" s="1">
        <v>45922.621527777781</v>
      </c>
      <c r="D2363" t="s">
        <v>5146</v>
      </c>
    </row>
    <row r="2364" spans="1:4" x14ac:dyDescent="0.25">
      <c r="A2364" t="s">
        <v>4521</v>
      </c>
      <c r="B2364" t="s">
        <v>38</v>
      </c>
      <c r="C2364" s="1">
        <v>46004.347222222219</v>
      </c>
      <c r="D2364" t="s">
        <v>5146</v>
      </c>
    </row>
    <row r="2365" spans="1:4" x14ac:dyDescent="0.25">
      <c r="A2365" t="s">
        <v>4522</v>
      </c>
      <c r="B2365" t="s">
        <v>38</v>
      </c>
      <c r="C2365" s="1">
        <v>45922.629166666666</v>
      </c>
      <c r="D2365" t="s">
        <v>5146</v>
      </c>
    </row>
    <row r="2366" spans="1:4" x14ac:dyDescent="0.25">
      <c r="A2366" t="s">
        <v>4523</v>
      </c>
      <c r="B2366" t="s">
        <v>38</v>
      </c>
      <c r="C2366" s="1">
        <v>45923.897916666669</v>
      </c>
      <c r="D2366" t="s">
        <v>5146</v>
      </c>
    </row>
    <row r="2367" spans="1:4" x14ac:dyDescent="0.25">
      <c r="A2367" t="s">
        <v>4524</v>
      </c>
      <c r="B2367" t="s">
        <v>38</v>
      </c>
      <c r="C2367" s="1">
        <v>45923.890972222223</v>
      </c>
      <c r="D2367" t="s">
        <v>5146</v>
      </c>
    </row>
    <row r="2368" spans="1:4" x14ac:dyDescent="0.25">
      <c r="A2368" t="s">
        <v>202</v>
      </c>
      <c r="B2368" t="s">
        <v>38</v>
      </c>
      <c r="C2368" s="1">
        <v>46024.796527777777</v>
      </c>
      <c r="D2368" t="s">
        <v>5146</v>
      </c>
    </row>
    <row r="2369" spans="1:4" x14ac:dyDescent="0.25">
      <c r="A2369" t="s">
        <v>4525</v>
      </c>
      <c r="B2369" t="s">
        <v>39</v>
      </c>
      <c r="C2369" s="1">
        <v>45929.668055555558</v>
      </c>
      <c r="D2369" t="s">
        <v>5146</v>
      </c>
    </row>
    <row r="2370" spans="1:4" x14ac:dyDescent="0.25">
      <c r="A2370" t="s">
        <v>4526</v>
      </c>
      <c r="B2370" t="s">
        <v>38</v>
      </c>
      <c r="C2370" s="1">
        <v>45922.672222222223</v>
      </c>
      <c r="D2370" t="s">
        <v>5146</v>
      </c>
    </row>
    <row r="2371" spans="1:4" x14ac:dyDescent="0.25">
      <c r="A2371" t="s">
        <v>4527</v>
      </c>
      <c r="B2371" t="s">
        <v>38</v>
      </c>
      <c r="C2371" s="1">
        <v>45931.518750000003</v>
      </c>
      <c r="D2371" t="s">
        <v>5146</v>
      </c>
    </row>
    <row r="2372" spans="1:4" x14ac:dyDescent="0.25">
      <c r="A2372" t="s">
        <v>204</v>
      </c>
      <c r="B2372" t="s">
        <v>38</v>
      </c>
      <c r="C2372" s="1">
        <v>46036.693055555559</v>
      </c>
      <c r="D2372" t="s">
        <v>5146</v>
      </c>
    </row>
    <row r="2373" spans="1:4" x14ac:dyDescent="0.25">
      <c r="A2373" t="s">
        <v>4528</v>
      </c>
      <c r="B2373" t="s">
        <v>38</v>
      </c>
      <c r="C2373" s="1">
        <v>45926.477083333331</v>
      </c>
      <c r="D2373" t="s">
        <v>5146</v>
      </c>
    </row>
    <row r="2374" spans="1:4" x14ac:dyDescent="0.25">
      <c r="A2374" t="s">
        <v>4529</v>
      </c>
      <c r="B2374" t="s">
        <v>38</v>
      </c>
      <c r="C2374" s="1">
        <v>45931.49722222222</v>
      </c>
      <c r="D2374" t="s">
        <v>5146</v>
      </c>
    </row>
    <row r="2375" spans="1:4" x14ac:dyDescent="0.25">
      <c r="A2375" t="s">
        <v>205</v>
      </c>
      <c r="B2375" t="s">
        <v>38</v>
      </c>
      <c r="C2375" s="1">
        <v>46024.781944444447</v>
      </c>
      <c r="D2375" t="s">
        <v>5146</v>
      </c>
    </row>
    <row r="2376" spans="1:4" x14ac:dyDescent="0.25">
      <c r="A2376" t="s">
        <v>206</v>
      </c>
      <c r="B2376" t="s">
        <v>38</v>
      </c>
      <c r="C2376" s="1">
        <v>46036.692361111112</v>
      </c>
      <c r="D2376" t="s">
        <v>5146</v>
      </c>
    </row>
    <row r="2377" spans="1:4" x14ac:dyDescent="0.25">
      <c r="A2377" t="s">
        <v>4530</v>
      </c>
      <c r="B2377" t="s">
        <v>39</v>
      </c>
      <c r="C2377" s="1">
        <v>45971.470138888886</v>
      </c>
      <c r="D2377" t="s">
        <v>5146</v>
      </c>
    </row>
    <row r="2378" spans="1:4" x14ac:dyDescent="0.25">
      <c r="A2378" t="s">
        <v>4531</v>
      </c>
      <c r="B2378" t="s">
        <v>38</v>
      </c>
      <c r="C2378" s="1">
        <v>45919.944444444445</v>
      </c>
      <c r="D2378" t="s">
        <v>5146</v>
      </c>
    </row>
    <row r="2379" spans="1:4" x14ac:dyDescent="0.25">
      <c r="A2379" t="s">
        <v>4532</v>
      </c>
      <c r="B2379" t="s">
        <v>38</v>
      </c>
      <c r="C2379" s="1">
        <v>45927.640972222223</v>
      </c>
      <c r="D2379" t="s">
        <v>5146</v>
      </c>
    </row>
    <row r="2380" spans="1:4" x14ac:dyDescent="0.25">
      <c r="A2380" t="s">
        <v>4533</v>
      </c>
      <c r="B2380" t="s">
        <v>38</v>
      </c>
      <c r="C2380" s="1">
        <v>45923.594444444447</v>
      </c>
      <c r="D2380" t="s">
        <v>5146</v>
      </c>
    </row>
    <row r="2381" spans="1:4" x14ac:dyDescent="0.25">
      <c r="A2381" t="s">
        <v>4534</v>
      </c>
      <c r="B2381" t="s">
        <v>38</v>
      </c>
      <c r="C2381" s="1">
        <v>45926.711805555555</v>
      </c>
      <c r="D2381" t="s">
        <v>5146</v>
      </c>
    </row>
    <row r="2382" spans="1:4" x14ac:dyDescent="0.25">
      <c r="A2382" t="s">
        <v>4535</v>
      </c>
      <c r="B2382" t="s">
        <v>38</v>
      </c>
      <c r="C2382" s="1">
        <v>45936.494444444441</v>
      </c>
      <c r="D2382" t="s">
        <v>5146</v>
      </c>
    </row>
    <row r="2383" spans="1:4" x14ac:dyDescent="0.25">
      <c r="A2383" t="s">
        <v>4536</v>
      </c>
      <c r="B2383" t="s">
        <v>39</v>
      </c>
      <c r="C2383" s="1">
        <v>45918.46597222222</v>
      </c>
      <c r="D2383" t="s">
        <v>5146</v>
      </c>
    </row>
    <row r="2384" spans="1:4" x14ac:dyDescent="0.25">
      <c r="A2384" t="s">
        <v>4537</v>
      </c>
      <c r="B2384" t="s">
        <v>38</v>
      </c>
      <c r="C2384" s="1">
        <v>45918.619444444441</v>
      </c>
      <c r="D2384" t="s">
        <v>5146</v>
      </c>
    </row>
    <row r="2385" spans="1:4" x14ac:dyDescent="0.25">
      <c r="A2385" t="s">
        <v>4538</v>
      </c>
      <c r="B2385" t="s">
        <v>38</v>
      </c>
      <c r="C2385" s="1">
        <v>45921.599999999999</v>
      </c>
      <c r="D2385" t="s">
        <v>5146</v>
      </c>
    </row>
    <row r="2386" spans="1:4" x14ac:dyDescent="0.25">
      <c r="A2386" t="s">
        <v>4539</v>
      </c>
      <c r="B2386" t="s">
        <v>38</v>
      </c>
      <c r="C2386" s="1">
        <v>45919.440972222219</v>
      </c>
      <c r="D2386" t="s">
        <v>5146</v>
      </c>
    </row>
    <row r="2387" spans="1:4" x14ac:dyDescent="0.25">
      <c r="A2387" t="s">
        <v>4540</v>
      </c>
      <c r="B2387" t="s">
        <v>38</v>
      </c>
      <c r="C2387" s="1">
        <v>45958.65</v>
      </c>
      <c r="D2387" t="s">
        <v>5146</v>
      </c>
    </row>
    <row r="2388" spans="1:4" x14ac:dyDescent="0.25">
      <c r="A2388" t="s">
        <v>4541</v>
      </c>
      <c r="B2388" t="s">
        <v>38</v>
      </c>
      <c r="C2388" s="1">
        <v>45939.53402777778</v>
      </c>
      <c r="D2388" t="s">
        <v>5146</v>
      </c>
    </row>
    <row r="2389" spans="1:4" x14ac:dyDescent="0.25">
      <c r="A2389" t="s">
        <v>4542</v>
      </c>
      <c r="B2389" t="s">
        <v>38</v>
      </c>
      <c r="C2389" s="1">
        <v>45931.52847222222</v>
      </c>
      <c r="D2389" t="s">
        <v>5146</v>
      </c>
    </row>
    <row r="2390" spans="1:4" x14ac:dyDescent="0.25">
      <c r="A2390" t="s">
        <v>4543</v>
      </c>
      <c r="B2390" t="s">
        <v>38</v>
      </c>
      <c r="C2390" s="1">
        <v>45922.701388888891</v>
      </c>
      <c r="D2390" t="s">
        <v>5146</v>
      </c>
    </row>
    <row r="2391" spans="1:4" x14ac:dyDescent="0.25">
      <c r="A2391" t="s">
        <v>4544</v>
      </c>
      <c r="B2391" t="s">
        <v>39</v>
      </c>
      <c r="C2391" s="1">
        <v>45937.495833333334</v>
      </c>
      <c r="D2391" t="s">
        <v>5146</v>
      </c>
    </row>
    <row r="2392" spans="1:4" x14ac:dyDescent="0.25">
      <c r="A2392" t="s">
        <v>4545</v>
      </c>
      <c r="B2392" t="s">
        <v>38</v>
      </c>
      <c r="C2392" s="1">
        <v>45931.534722222219</v>
      </c>
      <c r="D2392" t="s">
        <v>5146</v>
      </c>
    </row>
    <row r="2393" spans="1:4" x14ac:dyDescent="0.25">
      <c r="A2393" t="s">
        <v>4546</v>
      </c>
      <c r="B2393" t="s">
        <v>38</v>
      </c>
      <c r="C2393" s="1">
        <v>45920.753472222219</v>
      </c>
      <c r="D2393" t="s">
        <v>5146</v>
      </c>
    </row>
    <row r="2394" spans="1:4" x14ac:dyDescent="0.25">
      <c r="A2394" t="s">
        <v>4547</v>
      </c>
      <c r="B2394" t="s">
        <v>38</v>
      </c>
      <c r="C2394" s="1">
        <v>45963.538888888892</v>
      </c>
      <c r="D2394" t="s">
        <v>5146</v>
      </c>
    </row>
    <row r="2395" spans="1:4" x14ac:dyDescent="0.25">
      <c r="A2395" t="s">
        <v>4548</v>
      </c>
      <c r="B2395" t="s">
        <v>38</v>
      </c>
      <c r="C2395" s="1">
        <v>45922.767361111109</v>
      </c>
      <c r="D2395" t="s">
        <v>5146</v>
      </c>
    </row>
    <row r="2396" spans="1:4" x14ac:dyDescent="0.25">
      <c r="A2396" t="s">
        <v>4549</v>
      </c>
      <c r="B2396" t="s">
        <v>38</v>
      </c>
      <c r="C2396" s="1">
        <v>45922.486111111109</v>
      </c>
      <c r="D2396" t="s">
        <v>5146</v>
      </c>
    </row>
    <row r="2397" spans="1:4" x14ac:dyDescent="0.25">
      <c r="A2397" t="s">
        <v>4550</v>
      </c>
      <c r="B2397" t="s">
        <v>38</v>
      </c>
      <c r="C2397" s="1">
        <v>45926.729166666664</v>
      </c>
      <c r="D2397" t="s">
        <v>5146</v>
      </c>
    </row>
    <row r="2398" spans="1:4" x14ac:dyDescent="0.25">
      <c r="A2398" t="s">
        <v>4551</v>
      </c>
      <c r="B2398" t="s">
        <v>38</v>
      </c>
      <c r="C2398" s="1">
        <v>45922.550694444442</v>
      </c>
      <c r="D2398" t="s">
        <v>5146</v>
      </c>
    </row>
    <row r="2399" spans="1:4" x14ac:dyDescent="0.25">
      <c r="A2399" t="s">
        <v>4552</v>
      </c>
      <c r="B2399" t="s">
        <v>38</v>
      </c>
      <c r="C2399" s="1">
        <v>45939.618750000001</v>
      </c>
      <c r="D2399" t="s">
        <v>5146</v>
      </c>
    </row>
    <row r="2400" spans="1:4" x14ac:dyDescent="0.25">
      <c r="A2400" t="s">
        <v>4553</v>
      </c>
      <c r="B2400" t="s">
        <v>38</v>
      </c>
      <c r="C2400" s="1">
        <v>45922.563194444447</v>
      </c>
      <c r="D2400" t="s">
        <v>5146</v>
      </c>
    </row>
    <row r="2401" spans="1:4" x14ac:dyDescent="0.25">
      <c r="A2401" t="s">
        <v>190</v>
      </c>
      <c r="B2401" t="s">
        <v>39</v>
      </c>
      <c r="C2401" s="1">
        <v>46036.575694444444</v>
      </c>
      <c r="D2401" t="s">
        <v>5146</v>
      </c>
    </row>
    <row r="2402" spans="1:4" x14ac:dyDescent="0.25">
      <c r="A2402" t="s">
        <v>4554</v>
      </c>
      <c r="B2402" t="s">
        <v>38</v>
      </c>
      <c r="C2402" s="1">
        <v>45940.577777777777</v>
      </c>
      <c r="D2402" t="s">
        <v>5146</v>
      </c>
    </row>
    <row r="2403" spans="1:4" x14ac:dyDescent="0.25">
      <c r="A2403" t="s">
        <v>4555</v>
      </c>
      <c r="B2403" t="s">
        <v>38</v>
      </c>
      <c r="C2403" s="1">
        <v>45930.473611111112</v>
      </c>
      <c r="D2403" t="s">
        <v>5146</v>
      </c>
    </row>
    <row r="2404" spans="1:4" x14ac:dyDescent="0.25">
      <c r="A2404" t="s">
        <v>4556</v>
      </c>
      <c r="B2404" t="s">
        <v>38</v>
      </c>
      <c r="C2404" s="1">
        <v>45925.927777777775</v>
      </c>
      <c r="D2404" t="s">
        <v>5146</v>
      </c>
    </row>
    <row r="2405" spans="1:4" x14ac:dyDescent="0.25">
      <c r="A2405" t="s">
        <v>4557</v>
      </c>
      <c r="B2405" t="s">
        <v>38</v>
      </c>
      <c r="C2405" s="1">
        <v>45926.631249999999</v>
      </c>
      <c r="D2405" t="s">
        <v>5146</v>
      </c>
    </row>
    <row r="2406" spans="1:4" x14ac:dyDescent="0.25">
      <c r="A2406" t="s">
        <v>4558</v>
      </c>
      <c r="B2406" t="s">
        <v>38</v>
      </c>
      <c r="C2406" s="1">
        <v>45931.548611111109</v>
      </c>
      <c r="D2406" t="s">
        <v>5146</v>
      </c>
    </row>
    <row r="2407" spans="1:4" x14ac:dyDescent="0.25">
      <c r="A2407" t="s">
        <v>4559</v>
      </c>
      <c r="B2407" t="s">
        <v>38</v>
      </c>
      <c r="C2407" s="1">
        <v>45923.84097222222</v>
      </c>
      <c r="D2407" t="s">
        <v>5146</v>
      </c>
    </row>
    <row r="2408" spans="1:4" x14ac:dyDescent="0.25">
      <c r="A2408" t="s">
        <v>4560</v>
      </c>
      <c r="B2408" t="s">
        <v>38</v>
      </c>
      <c r="C2408" s="1">
        <v>45931.552777777775</v>
      </c>
      <c r="D2408" t="s">
        <v>5146</v>
      </c>
    </row>
    <row r="2409" spans="1:4" x14ac:dyDescent="0.25">
      <c r="A2409" t="s">
        <v>4561</v>
      </c>
      <c r="B2409" t="s">
        <v>38</v>
      </c>
      <c r="C2409" s="1">
        <v>45922.701388888891</v>
      </c>
      <c r="D2409" t="s">
        <v>5146</v>
      </c>
    </row>
    <row r="2410" spans="1:4" x14ac:dyDescent="0.25">
      <c r="A2410" t="s">
        <v>4562</v>
      </c>
      <c r="B2410" t="s">
        <v>38</v>
      </c>
      <c r="C2410" s="1">
        <v>45926.517361111109</v>
      </c>
      <c r="D2410" t="s">
        <v>5146</v>
      </c>
    </row>
    <row r="2411" spans="1:4" x14ac:dyDescent="0.25">
      <c r="A2411" t="s">
        <v>4563</v>
      </c>
      <c r="B2411" t="s">
        <v>38</v>
      </c>
      <c r="C2411" s="1">
        <v>45920.601388888892</v>
      </c>
      <c r="D2411" t="s">
        <v>5146</v>
      </c>
    </row>
    <row r="2412" spans="1:4" x14ac:dyDescent="0.25">
      <c r="A2412" t="s">
        <v>4564</v>
      </c>
      <c r="B2412" t="s">
        <v>38</v>
      </c>
      <c r="C2412" s="1">
        <v>45926.679861111108</v>
      </c>
      <c r="D2412" t="s">
        <v>5146</v>
      </c>
    </row>
    <row r="2413" spans="1:4" x14ac:dyDescent="0.25">
      <c r="A2413" t="s">
        <v>183</v>
      </c>
      <c r="B2413" t="s">
        <v>38</v>
      </c>
      <c r="C2413" s="1">
        <v>46011.493750000001</v>
      </c>
      <c r="D2413" t="s">
        <v>5146</v>
      </c>
    </row>
    <row r="2414" spans="1:4" x14ac:dyDescent="0.25">
      <c r="A2414" t="s">
        <v>4565</v>
      </c>
      <c r="B2414" t="s">
        <v>38</v>
      </c>
      <c r="C2414" s="1">
        <v>45926.556944444441</v>
      </c>
      <c r="D2414" t="s">
        <v>5146</v>
      </c>
    </row>
    <row r="2415" spans="1:4" x14ac:dyDescent="0.25">
      <c r="A2415" t="s">
        <v>4566</v>
      </c>
      <c r="B2415" t="s">
        <v>38</v>
      </c>
      <c r="C2415" s="1">
        <v>45925.767361111109</v>
      </c>
      <c r="D2415" t="s">
        <v>5146</v>
      </c>
    </row>
    <row r="2416" spans="1:4" x14ac:dyDescent="0.25">
      <c r="A2416" t="s">
        <v>4567</v>
      </c>
      <c r="B2416" t="s">
        <v>38</v>
      </c>
      <c r="C2416" s="1">
        <v>45926.51666666667</v>
      </c>
      <c r="D2416" t="s">
        <v>5146</v>
      </c>
    </row>
    <row r="2417" spans="1:4" x14ac:dyDescent="0.25">
      <c r="A2417" t="s">
        <v>4568</v>
      </c>
      <c r="B2417" t="s">
        <v>38</v>
      </c>
      <c r="C2417" s="1">
        <v>45922.60833333333</v>
      </c>
      <c r="D2417" t="s">
        <v>5146</v>
      </c>
    </row>
    <row r="2418" spans="1:4" x14ac:dyDescent="0.25">
      <c r="A2418" t="s">
        <v>4569</v>
      </c>
      <c r="B2418" t="s">
        <v>38</v>
      </c>
      <c r="C2418" s="1">
        <v>45927.508333333331</v>
      </c>
      <c r="D2418" t="s">
        <v>5146</v>
      </c>
    </row>
    <row r="2419" spans="1:4" x14ac:dyDescent="0.25">
      <c r="A2419" t="s">
        <v>4570</v>
      </c>
      <c r="B2419" t="s">
        <v>38</v>
      </c>
      <c r="C2419" s="1">
        <v>45926.761805555558</v>
      </c>
      <c r="D2419" t="s">
        <v>5146</v>
      </c>
    </row>
    <row r="2420" spans="1:4" x14ac:dyDescent="0.25">
      <c r="A2420" t="s">
        <v>4571</v>
      </c>
      <c r="B2420" t="s">
        <v>38</v>
      </c>
      <c r="C2420" s="1">
        <v>45926.566666666666</v>
      </c>
      <c r="D2420" t="s">
        <v>5146</v>
      </c>
    </row>
    <row r="2421" spans="1:4" x14ac:dyDescent="0.25">
      <c r="A2421" t="s">
        <v>4572</v>
      </c>
      <c r="B2421" t="s">
        <v>38</v>
      </c>
      <c r="C2421" s="1">
        <v>45927.906944444447</v>
      </c>
      <c r="D2421" t="s">
        <v>5146</v>
      </c>
    </row>
    <row r="2422" spans="1:4" x14ac:dyDescent="0.25">
      <c r="A2422" t="s">
        <v>4573</v>
      </c>
      <c r="B2422" t="s">
        <v>38</v>
      </c>
      <c r="C2422" s="1">
        <v>45929.723611111112</v>
      </c>
      <c r="D2422" t="s">
        <v>5146</v>
      </c>
    </row>
    <row r="2423" spans="1:4" x14ac:dyDescent="0.25">
      <c r="A2423" t="s">
        <v>4574</v>
      </c>
      <c r="B2423" t="s">
        <v>38</v>
      </c>
      <c r="C2423" s="1">
        <v>45931.556250000001</v>
      </c>
      <c r="D2423" t="s">
        <v>5146</v>
      </c>
    </row>
    <row r="2424" spans="1:4" x14ac:dyDescent="0.25">
      <c r="A2424" t="s">
        <v>4575</v>
      </c>
      <c r="B2424" t="s">
        <v>38</v>
      </c>
      <c r="C2424" s="1">
        <v>45927.45416666667</v>
      </c>
      <c r="D2424" t="s">
        <v>5146</v>
      </c>
    </row>
    <row r="2425" spans="1:4" x14ac:dyDescent="0.25">
      <c r="A2425" t="s">
        <v>4576</v>
      </c>
      <c r="B2425" t="s">
        <v>39</v>
      </c>
      <c r="C2425" s="1">
        <v>45930.475694444445</v>
      </c>
      <c r="D2425" t="s">
        <v>5146</v>
      </c>
    </row>
    <row r="2426" spans="1:4" x14ac:dyDescent="0.25">
      <c r="A2426" t="s">
        <v>4577</v>
      </c>
      <c r="B2426" t="s">
        <v>38</v>
      </c>
      <c r="C2426" s="1">
        <v>45926.636805555558</v>
      </c>
      <c r="D2426" t="s">
        <v>5146</v>
      </c>
    </row>
    <row r="2427" spans="1:4" x14ac:dyDescent="0.25">
      <c r="A2427" t="s">
        <v>4578</v>
      </c>
      <c r="B2427" t="s">
        <v>38</v>
      </c>
      <c r="C2427" s="1">
        <v>45939.613888888889</v>
      </c>
      <c r="D2427" t="s">
        <v>5146</v>
      </c>
    </row>
    <row r="2428" spans="1:4" x14ac:dyDescent="0.25">
      <c r="A2428" t="s">
        <v>4579</v>
      </c>
      <c r="B2428" t="s">
        <v>38</v>
      </c>
      <c r="C2428" s="1">
        <v>45926.792361111111</v>
      </c>
      <c r="D2428" t="s">
        <v>5146</v>
      </c>
    </row>
    <row r="2429" spans="1:4" x14ac:dyDescent="0.25">
      <c r="A2429" t="s">
        <v>4580</v>
      </c>
      <c r="B2429" t="s">
        <v>38</v>
      </c>
      <c r="C2429" s="1">
        <v>45924.784722222219</v>
      </c>
      <c r="D2429" t="s">
        <v>5146</v>
      </c>
    </row>
    <row r="2430" spans="1:4" x14ac:dyDescent="0.25">
      <c r="A2430" t="s">
        <v>4581</v>
      </c>
      <c r="B2430" t="s">
        <v>38</v>
      </c>
      <c r="C2430" s="1">
        <v>45939.759722222225</v>
      </c>
      <c r="D2430" t="s">
        <v>5146</v>
      </c>
    </row>
    <row r="2431" spans="1:4" x14ac:dyDescent="0.25">
      <c r="A2431" t="s">
        <v>4582</v>
      </c>
      <c r="B2431" t="s">
        <v>38</v>
      </c>
      <c r="C2431" s="1">
        <v>45920.506944444445</v>
      </c>
      <c r="D2431" t="s">
        <v>5146</v>
      </c>
    </row>
    <row r="2432" spans="1:4" x14ac:dyDescent="0.25">
      <c r="A2432" t="s">
        <v>4583</v>
      </c>
      <c r="B2432" t="s">
        <v>38</v>
      </c>
      <c r="C2432" s="1">
        <v>45920.660416666666</v>
      </c>
      <c r="D2432" t="s">
        <v>5146</v>
      </c>
    </row>
    <row r="2433" spans="1:4" x14ac:dyDescent="0.25">
      <c r="A2433" t="s">
        <v>4584</v>
      </c>
      <c r="B2433" t="s">
        <v>38</v>
      </c>
      <c r="C2433" s="1">
        <v>45929.723611111112</v>
      </c>
      <c r="D2433" t="s">
        <v>5146</v>
      </c>
    </row>
    <row r="2434" spans="1:4" x14ac:dyDescent="0.25">
      <c r="A2434" t="s">
        <v>4585</v>
      </c>
      <c r="B2434" t="s">
        <v>38</v>
      </c>
      <c r="C2434" s="1">
        <v>45926.704861111109</v>
      </c>
      <c r="D2434" t="s">
        <v>5146</v>
      </c>
    </row>
    <row r="2435" spans="1:4" x14ac:dyDescent="0.25">
      <c r="A2435" t="s">
        <v>4586</v>
      </c>
      <c r="B2435" t="s">
        <v>38</v>
      </c>
      <c r="C2435" s="1">
        <v>45930.554861111108</v>
      </c>
      <c r="D2435" t="s">
        <v>5146</v>
      </c>
    </row>
    <row r="2436" spans="1:4" x14ac:dyDescent="0.25">
      <c r="A2436" t="s">
        <v>4587</v>
      </c>
      <c r="B2436" t="s">
        <v>38</v>
      </c>
      <c r="C2436" s="1">
        <v>45923.90625</v>
      </c>
      <c r="D2436" t="s">
        <v>5146</v>
      </c>
    </row>
    <row r="2437" spans="1:4" x14ac:dyDescent="0.25">
      <c r="A2437" t="s">
        <v>4588</v>
      </c>
      <c r="B2437" t="s">
        <v>38</v>
      </c>
      <c r="C2437" s="1">
        <v>45923.856944444444</v>
      </c>
      <c r="D2437" t="s">
        <v>5146</v>
      </c>
    </row>
    <row r="2438" spans="1:4" x14ac:dyDescent="0.25">
      <c r="A2438" t="s">
        <v>4589</v>
      </c>
      <c r="B2438" t="s">
        <v>38</v>
      </c>
      <c r="C2438" s="1">
        <v>45926.717361111114</v>
      </c>
      <c r="D2438" t="s">
        <v>5146</v>
      </c>
    </row>
    <row r="2439" spans="1:4" x14ac:dyDescent="0.25">
      <c r="A2439" t="s">
        <v>4590</v>
      </c>
      <c r="B2439" t="s">
        <v>38</v>
      </c>
      <c r="C2439" s="1">
        <v>45933.708333333336</v>
      </c>
      <c r="D2439" t="s">
        <v>5146</v>
      </c>
    </row>
    <row r="2440" spans="1:4" x14ac:dyDescent="0.25">
      <c r="A2440" t="s">
        <v>4591</v>
      </c>
      <c r="B2440" t="s">
        <v>38</v>
      </c>
      <c r="C2440" s="1">
        <v>45929.712500000001</v>
      </c>
      <c r="D2440" t="s">
        <v>5146</v>
      </c>
    </row>
    <row r="2441" spans="1:4" x14ac:dyDescent="0.25">
      <c r="A2441" t="s">
        <v>4592</v>
      </c>
      <c r="B2441" t="s">
        <v>38</v>
      </c>
      <c r="C2441" s="1">
        <v>46003.93472222222</v>
      </c>
      <c r="D2441" t="s">
        <v>5146</v>
      </c>
    </row>
    <row r="2442" spans="1:4" x14ac:dyDescent="0.25">
      <c r="A2442" t="s">
        <v>4593</v>
      </c>
      <c r="B2442" t="s">
        <v>38</v>
      </c>
      <c r="C2442" s="1">
        <v>45926.709027777775</v>
      </c>
      <c r="D2442" t="s">
        <v>5146</v>
      </c>
    </row>
    <row r="2443" spans="1:4" x14ac:dyDescent="0.25">
      <c r="A2443" t="s">
        <v>4594</v>
      </c>
      <c r="B2443" t="s">
        <v>38</v>
      </c>
      <c r="C2443" s="1">
        <v>46028.586111111108</v>
      </c>
      <c r="D2443" t="s">
        <v>5146</v>
      </c>
    </row>
    <row r="2444" spans="1:4" x14ac:dyDescent="0.25">
      <c r="A2444" t="s">
        <v>4595</v>
      </c>
      <c r="B2444" t="s">
        <v>38</v>
      </c>
      <c r="C2444" s="1">
        <v>45926.775000000001</v>
      </c>
      <c r="D2444" t="s">
        <v>5146</v>
      </c>
    </row>
    <row r="2445" spans="1:4" x14ac:dyDescent="0.25">
      <c r="A2445" t="s">
        <v>176</v>
      </c>
      <c r="B2445" t="s">
        <v>39</v>
      </c>
      <c r="C2445" s="1">
        <v>46029.736111111109</v>
      </c>
      <c r="D2445" t="s">
        <v>5146</v>
      </c>
    </row>
    <row r="2446" spans="1:4" x14ac:dyDescent="0.25">
      <c r="A2446" t="s">
        <v>4596</v>
      </c>
      <c r="B2446" t="s">
        <v>38</v>
      </c>
      <c r="C2446" s="1">
        <v>45926.782638888886</v>
      </c>
      <c r="D2446" t="s">
        <v>5146</v>
      </c>
    </row>
    <row r="2447" spans="1:4" x14ac:dyDescent="0.25">
      <c r="A2447" t="s">
        <v>4597</v>
      </c>
      <c r="B2447" t="s">
        <v>38</v>
      </c>
      <c r="C2447" s="1">
        <v>45930.564583333333</v>
      </c>
      <c r="D2447" t="s">
        <v>5146</v>
      </c>
    </row>
    <row r="2448" spans="1:4" x14ac:dyDescent="0.25">
      <c r="A2448" t="s">
        <v>4598</v>
      </c>
      <c r="B2448" t="s">
        <v>38</v>
      </c>
      <c r="C2448" s="1">
        <v>45926.967361111114</v>
      </c>
      <c r="D2448" t="s">
        <v>5146</v>
      </c>
    </row>
    <row r="2449" spans="1:4" x14ac:dyDescent="0.25">
      <c r="A2449" t="s">
        <v>4599</v>
      </c>
      <c r="B2449" t="s">
        <v>38</v>
      </c>
      <c r="C2449" s="1">
        <v>46003.884722222225</v>
      </c>
      <c r="D2449" t="s">
        <v>5146</v>
      </c>
    </row>
    <row r="2450" spans="1:4" x14ac:dyDescent="0.25">
      <c r="A2450" t="s">
        <v>4600</v>
      </c>
      <c r="B2450" t="s">
        <v>38</v>
      </c>
      <c r="C2450" s="1">
        <v>46003.895833333336</v>
      </c>
      <c r="D2450" t="s">
        <v>5146</v>
      </c>
    </row>
    <row r="2451" spans="1:4" x14ac:dyDescent="0.25">
      <c r="A2451" t="s">
        <v>4601</v>
      </c>
      <c r="B2451" t="s">
        <v>38</v>
      </c>
      <c r="C2451" s="1">
        <v>45933.643750000003</v>
      </c>
      <c r="D2451" t="s">
        <v>5146</v>
      </c>
    </row>
    <row r="2452" spans="1:4" x14ac:dyDescent="0.25">
      <c r="A2452" t="s">
        <v>4602</v>
      </c>
      <c r="B2452" t="s">
        <v>38</v>
      </c>
      <c r="C2452" s="1">
        <v>45938.565972222219</v>
      </c>
      <c r="D2452" t="s">
        <v>5146</v>
      </c>
    </row>
    <row r="2453" spans="1:4" x14ac:dyDescent="0.25">
      <c r="A2453" t="s">
        <v>4603</v>
      </c>
      <c r="B2453" t="s">
        <v>38</v>
      </c>
      <c r="C2453" s="1">
        <v>45926.686805555553</v>
      </c>
      <c r="D2453" t="s">
        <v>5146</v>
      </c>
    </row>
    <row r="2454" spans="1:4" x14ac:dyDescent="0.25">
      <c r="A2454" t="s">
        <v>177</v>
      </c>
      <c r="B2454" t="s">
        <v>38</v>
      </c>
      <c r="C2454" s="1">
        <v>46004.818749999999</v>
      </c>
      <c r="D2454" t="s">
        <v>5146</v>
      </c>
    </row>
    <row r="2455" spans="1:4" x14ac:dyDescent="0.25">
      <c r="A2455" t="s">
        <v>4604</v>
      </c>
      <c r="B2455" t="s">
        <v>38</v>
      </c>
      <c r="C2455" s="1">
        <v>45988.71597222222</v>
      </c>
      <c r="D2455" t="s">
        <v>5146</v>
      </c>
    </row>
    <row r="2456" spans="1:4" x14ac:dyDescent="0.25">
      <c r="A2456" t="s">
        <v>4605</v>
      </c>
      <c r="B2456" t="s">
        <v>39</v>
      </c>
      <c r="C2456" s="1">
        <v>45934.456250000003</v>
      </c>
      <c r="D2456" t="s">
        <v>5146</v>
      </c>
    </row>
    <row r="2457" spans="1:4" x14ac:dyDescent="0.25">
      <c r="A2457" t="s">
        <v>178</v>
      </c>
      <c r="B2457" t="s">
        <v>38</v>
      </c>
      <c r="C2457" s="1">
        <v>46036.690972222219</v>
      </c>
      <c r="D2457" t="s">
        <v>5146</v>
      </c>
    </row>
    <row r="2458" spans="1:4" x14ac:dyDescent="0.25">
      <c r="A2458" t="s">
        <v>4606</v>
      </c>
      <c r="B2458" t="s">
        <v>38</v>
      </c>
      <c r="C2458" s="1">
        <v>46003.900694444441</v>
      </c>
      <c r="D2458" t="s">
        <v>5146</v>
      </c>
    </row>
    <row r="2459" spans="1:4" x14ac:dyDescent="0.25">
      <c r="A2459" t="s">
        <v>4607</v>
      </c>
      <c r="B2459" t="s">
        <v>38</v>
      </c>
      <c r="C2459" s="1">
        <v>45930.724305555559</v>
      </c>
      <c r="D2459" t="s">
        <v>5146</v>
      </c>
    </row>
    <row r="2460" spans="1:4" x14ac:dyDescent="0.25">
      <c r="A2460" t="s">
        <v>4608</v>
      </c>
      <c r="B2460" t="s">
        <v>38</v>
      </c>
      <c r="C2460" s="1">
        <v>45927.406944444447</v>
      </c>
      <c r="D2460" t="s">
        <v>5146</v>
      </c>
    </row>
    <row r="2461" spans="1:4" x14ac:dyDescent="0.25">
      <c r="A2461" t="s">
        <v>4609</v>
      </c>
      <c r="B2461" t="s">
        <v>38</v>
      </c>
      <c r="C2461" s="1">
        <v>45927.675694444442</v>
      </c>
      <c r="D2461" t="s">
        <v>5146</v>
      </c>
    </row>
    <row r="2462" spans="1:4" x14ac:dyDescent="0.25">
      <c r="A2462" t="s">
        <v>4610</v>
      </c>
      <c r="B2462" t="s">
        <v>38</v>
      </c>
      <c r="C2462" s="1">
        <v>45927.627083333333</v>
      </c>
      <c r="D2462" t="s">
        <v>5146</v>
      </c>
    </row>
    <row r="2463" spans="1:4" x14ac:dyDescent="0.25">
      <c r="A2463" t="s">
        <v>4611</v>
      </c>
      <c r="B2463" t="s">
        <v>38</v>
      </c>
      <c r="C2463" s="1">
        <v>45954.525000000001</v>
      </c>
      <c r="D2463" t="s">
        <v>5146</v>
      </c>
    </row>
    <row r="2464" spans="1:4" x14ac:dyDescent="0.25">
      <c r="A2464" t="s">
        <v>175</v>
      </c>
      <c r="B2464" t="s">
        <v>38</v>
      </c>
      <c r="C2464" s="1">
        <v>46010.726388888892</v>
      </c>
      <c r="D2464" t="s">
        <v>5146</v>
      </c>
    </row>
    <row r="2465" spans="1:4" x14ac:dyDescent="0.25">
      <c r="A2465" t="s">
        <v>163</v>
      </c>
      <c r="B2465" t="s">
        <v>38</v>
      </c>
      <c r="C2465" s="1">
        <v>46024.801388888889</v>
      </c>
      <c r="D2465" t="s">
        <v>5146</v>
      </c>
    </row>
    <row r="2466" spans="1:4" x14ac:dyDescent="0.25">
      <c r="A2466" t="s">
        <v>4612</v>
      </c>
      <c r="B2466" t="s">
        <v>38</v>
      </c>
      <c r="C2466" s="1">
        <v>45930.617361111108</v>
      </c>
      <c r="D2466" t="s">
        <v>5146</v>
      </c>
    </row>
    <row r="2467" spans="1:4" x14ac:dyDescent="0.25">
      <c r="A2467" t="s">
        <v>4613</v>
      </c>
      <c r="B2467" t="s">
        <v>38</v>
      </c>
      <c r="C2467" s="1">
        <v>45929.707638888889</v>
      </c>
      <c r="D2467" t="s">
        <v>5146</v>
      </c>
    </row>
    <row r="2468" spans="1:4" x14ac:dyDescent="0.25">
      <c r="A2468" t="s">
        <v>4614</v>
      </c>
      <c r="B2468" t="s">
        <v>38</v>
      </c>
      <c r="C2468" s="1">
        <v>45948.556250000001</v>
      </c>
      <c r="D2468" t="s">
        <v>5146</v>
      </c>
    </row>
    <row r="2469" spans="1:4" x14ac:dyDescent="0.25">
      <c r="A2469" t="s">
        <v>4615</v>
      </c>
      <c r="B2469" t="s">
        <v>38</v>
      </c>
      <c r="C2469" s="1">
        <v>45947.65347222222</v>
      </c>
      <c r="D2469" t="s">
        <v>5146</v>
      </c>
    </row>
    <row r="2470" spans="1:4" x14ac:dyDescent="0.25">
      <c r="A2470" t="s">
        <v>4616</v>
      </c>
      <c r="B2470" t="s">
        <v>38</v>
      </c>
      <c r="C2470" s="1">
        <v>45933.841666666667</v>
      </c>
      <c r="D2470" t="s">
        <v>5146</v>
      </c>
    </row>
    <row r="2471" spans="1:4" x14ac:dyDescent="0.25">
      <c r="A2471" t="s">
        <v>4617</v>
      </c>
      <c r="B2471" t="s">
        <v>38</v>
      </c>
      <c r="C2471" s="1">
        <v>45929.696527777778</v>
      </c>
      <c r="D2471" t="s">
        <v>5146</v>
      </c>
    </row>
    <row r="2472" spans="1:4" x14ac:dyDescent="0.25">
      <c r="A2472" t="s">
        <v>4618</v>
      </c>
      <c r="B2472" t="s">
        <v>38</v>
      </c>
      <c r="C2472" s="1">
        <v>45930.581250000003</v>
      </c>
      <c r="D2472" t="s">
        <v>5146</v>
      </c>
    </row>
    <row r="2473" spans="1:4" x14ac:dyDescent="0.25">
      <c r="A2473" t="s">
        <v>4619</v>
      </c>
      <c r="B2473" t="s">
        <v>38</v>
      </c>
      <c r="C2473" s="1">
        <v>45930.584722222222</v>
      </c>
      <c r="D2473" t="s">
        <v>5146</v>
      </c>
    </row>
    <row r="2474" spans="1:4" x14ac:dyDescent="0.25">
      <c r="A2474" t="s">
        <v>4620</v>
      </c>
      <c r="B2474" t="s">
        <v>38</v>
      </c>
      <c r="C2474" s="1">
        <v>45929.700694444444</v>
      </c>
      <c r="D2474" t="s">
        <v>5146</v>
      </c>
    </row>
    <row r="2475" spans="1:4" x14ac:dyDescent="0.25">
      <c r="A2475" t="s">
        <v>4621</v>
      </c>
      <c r="B2475" t="s">
        <v>38</v>
      </c>
      <c r="C2475" s="1">
        <v>45933.922222222223</v>
      </c>
      <c r="D2475" t="s">
        <v>5146</v>
      </c>
    </row>
    <row r="2476" spans="1:4" x14ac:dyDescent="0.25">
      <c r="A2476" t="s">
        <v>4622</v>
      </c>
      <c r="B2476" t="s">
        <v>38</v>
      </c>
      <c r="C2476" s="1">
        <v>45936.530555555553</v>
      </c>
      <c r="D2476" t="s">
        <v>5146</v>
      </c>
    </row>
    <row r="2477" spans="1:4" x14ac:dyDescent="0.25">
      <c r="A2477" t="s">
        <v>4623</v>
      </c>
      <c r="B2477" t="s">
        <v>38</v>
      </c>
      <c r="C2477" s="1">
        <v>45969.507638888892</v>
      </c>
      <c r="D2477" t="s">
        <v>5146</v>
      </c>
    </row>
    <row r="2478" spans="1:4" x14ac:dyDescent="0.25">
      <c r="A2478" t="s">
        <v>4624</v>
      </c>
      <c r="B2478" t="s">
        <v>38</v>
      </c>
      <c r="C2478" s="1">
        <v>45934.589583333334</v>
      </c>
      <c r="D2478" t="s">
        <v>5146</v>
      </c>
    </row>
    <row r="2479" spans="1:4" x14ac:dyDescent="0.25">
      <c r="A2479" t="s">
        <v>4625</v>
      </c>
      <c r="B2479" t="s">
        <v>38</v>
      </c>
      <c r="C2479" s="1">
        <v>45948.645833333336</v>
      </c>
      <c r="D2479" t="s">
        <v>5146</v>
      </c>
    </row>
    <row r="2480" spans="1:4" x14ac:dyDescent="0.25">
      <c r="A2480" t="s">
        <v>4626</v>
      </c>
      <c r="B2480" t="s">
        <v>38</v>
      </c>
      <c r="C2480" s="1">
        <v>45934.782638888886</v>
      </c>
      <c r="D2480" t="s">
        <v>5146</v>
      </c>
    </row>
    <row r="2481" spans="1:4" x14ac:dyDescent="0.25">
      <c r="A2481" t="s">
        <v>4627</v>
      </c>
      <c r="B2481" t="s">
        <v>38</v>
      </c>
      <c r="C2481" s="1">
        <v>45936.540277777778</v>
      </c>
      <c r="D2481" t="s">
        <v>5146</v>
      </c>
    </row>
    <row r="2482" spans="1:4" x14ac:dyDescent="0.25">
      <c r="A2482" t="s">
        <v>4628</v>
      </c>
      <c r="B2482" t="s">
        <v>38</v>
      </c>
      <c r="C2482" s="1">
        <v>45978.887499999997</v>
      </c>
      <c r="D2482" t="s">
        <v>5146</v>
      </c>
    </row>
    <row r="2483" spans="1:4" x14ac:dyDescent="0.25">
      <c r="A2483" t="s">
        <v>4629</v>
      </c>
      <c r="B2483" t="s">
        <v>38</v>
      </c>
      <c r="C2483" s="1">
        <v>45934.774305555555</v>
      </c>
      <c r="D2483" t="s">
        <v>5146</v>
      </c>
    </row>
    <row r="2484" spans="1:4" x14ac:dyDescent="0.25">
      <c r="A2484" t="s">
        <v>4630</v>
      </c>
      <c r="B2484" t="s">
        <v>38</v>
      </c>
      <c r="C2484" s="1">
        <v>45938.593055555553</v>
      </c>
      <c r="D2484" t="s">
        <v>5146</v>
      </c>
    </row>
    <row r="2485" spans="1:4" x14ac:dyDescent="0.25">
      <c r="A2485" t="s">
        <v>4631</v>
      </c>
      <c r="B2485" t="s">
        <v>38</v>
      </c>
      <c r="C2485" s="1">
        <v>45934.619444444441</v>
      </c>
      <c r="D2485" t="s">
        <v>5146</v>
      </c>
    </row>
    <row r="2486" spans="1:4" x14ac:dyDescent="0.25">
      <c r="A2486" t="s">
        <v>4632</v>
      </c>
      <c r="B2486" t="s">
        <v>38</v>
      </c>
      <c r="C2486" s="1">
        <v>45940.640972222223</v>
      </c>
      <c r="D2486" t="s">
        <v>5146</v>
      </c>
    </row>
    <row r="2487" spans="1:4" x14ac:dyDescent="0.25">
      <c r="A2487" t="s">
        <v>4633</v>
      </c>
      <c r="B2487" t="s">
        <v>38</v>
      </c>
      <c r="C2487" s="1">
        <v>45938.705555555556</v>
      </c>
      <c r="D2487" t="s">
        <v>5146</v>
      </c>
    </row>
    <row r="2488" spans="1:4" x14ac:dyDescent="0.25">
      <c r="A2488" t="s">
        <v>4634</v>
      </c>
      <c r="B2488" t="s">
        <v>38</v>
      </c>
      <c r="C2488" s="1">
        <v>45933.932638888888</v>
      </c>
      <c r="D2488" t="s">
        <v>5146</v>
      </c>
    </row>
    <row r="2489" spans="1:4" x14ac:dyDescent="0.25">
      <c r="A2489" t="s">
        <v>174</v>
      </c>
      <c r="B2489" t="s">
        <v>38</v>
      </c>
      <c r="C2489" s="1">
        <v>46007.705555555556</v>
      </c>
      <c r="D2489" t="s">
        <v>5146</v>
      </c>
    </row>
    <row r="2490" spans="1:4" x14ac:dyDescent="0.25">
      <c r="A2490" t="s">
        <v>4635</v>
      </c>
      <c r="B2490" t="s">
        <v>38</v>
      </c>
      <c r="C2490" s="1">
        <v>45945.536805555559</v>
      </c>
      <c r="D2490" t="s">
        <v>5146</v>
      </c>
    </row>
    <row r="2491" spans="1:4" x14ac:dyDescent="0.25">
      <c r="A2491" t="s">
        <v>4636</v>
      </c>
      <c r="B2491" t="s">
        <v>38</v>
      </c>
      <c r="C2491" s="1">
        <v>45935.431944444441</v>
      </c>
      <c r="D2491" t="s">
        <v>5146</v>
      </c>
    </row>
    <row r="2492" spans="1:4" x14ac:dyDescent="0.25">
      <c r="A2492" t="s">
        <v>159</v>
      </c>
      <c r="B2492" t="s">
        <v>39</v>
      </c>
      <c r="C2492" s="1">
        <v>46029.736111111109</v>
      </c>
      <c r="D2492" t="s">
        <v>5146</v>
      </c>
    </row>
    <row r="2493" spans="1:4" x14ac:dyDescent="0.25">
      <c r="A2493" t="s">
        <v>4637</v>
      </c>
      <c r="B2493" t="s">
        <v>38</v>
      </c>
      <c r="C2493" s="1">
        <v>46003.958333333336</v>
      </c>
      <c r="D2493" t="s">
        <v>5146</v>
      </c>
    </row>
    <row r="2494" spans="1:4" x14ac:dyDescent="0.25">
      <c r="A2494" t="s">
        <v>161</v>
      </c>
      <c r="B2494" t="s">
        <v>38</v>
      </c>
      <c r="C2494" s="1">
        <v>46024.801388888889</v>
      </c>
      <c r="D2494" t="s">
        <v>5146</v>
      </c>
    </row>
    <row r="2495" spans="1:4" x14ac:dyDescent="0.25">
      <c r="A2495" t="s">
        <v>4638</v>
      </c>
      <c r="B2495" t="s">
        <v>38</v>
      </c>
      <c r="C2495" s="1">
        <v>45930.71875</v>
      </c>
      <c r="D2495" t="s">
        <v>5146</v>
      </c>
    </row>
    <row r="2496" spans="1:4" x14ac:dyDescent="0.25">
      <c r="A2496" t="s">
        <v>4639</v>
      </c>
      <c r="B2496" t="s">
        <v>38</v>
      </c>
      <c r="C2496" s="1">
        <v>45944.560416666667</v>
      </c>
      <c r="D2496" t="s">
        <v>5146</v>
      </c>
    </row>
    <row r="2497" spans="1:4" x14ac:dyDescent="0.25">
      <c r="A2497" t="s">
        <v>4640</v>
      </c>
      <c r="B2497" t="s">
        <v>38</v>
      </c>
      <c r="C2497" s="1">
        <v>46003.95416666667</v>
      </c>
      <c r="D2497" t="s">
        <v>5146</v>
      </c>
    </row>
    <row r="2498" spans="1:4" x14ac:dyDescent="0.25">
      <c r="A2498" t="s">
        <v>4641</v>
      </c>
      <c r="B2498" t="s">
        <v>38</v>
      </c>
      <c r="C2498" s="1">
        <v>45934.65</v>
      </c>
      <c r="D2498" t="s">
        <v>5146</v>
      </c>
    </row>
    <row r="2499" spans="1:4" x14ac:dyDescent="0.25">
      <c r="A2499" t="s">
        <v>4642</v>
      </c>
      <c r="B2499" t="s">
        <v>39</v>
      </c>
      <c r="C2499" s="1">
        <v>45978.6</v>
      </c>
      <c r="D2499" t="s">
        <v>5146</v>
      </c>
    </row>
    <row r="2500" spans="1:4" x14ac:dyDescent="0.25">
      <c r="A2500" t="s">
        <v>4643</v>
      </c>
      <c r="B2500" t="s">
        <v>38</v>
      </c>
      <c r="C2500" s="1">
        <v>45934.643055555556</v>
      </c>
      <c r="D2500" t="s">
        <v>5146</v>
      </c>
    </row>
    <row r="2501" spans="1:4" x14ac:dyDescent="0.25">
      <c r="A2501" t="s">
        <v>4644</v>
      </c>
      <c r="B2501" t="s">
        <v>38</v>
      </c>
      <c r="C2501" s="1">
        <v>45935.442361111112</v>
      </c>
      <c r="D2501" t="s">
        <v>5146</v>
      </c>
    </row>
    <row r="2502" spans="1:4" x14ac:dyDescent="0.25">
      <c r="A2502" t="s">
        <v>4645</v>
      </c>
      <c r="B2502" t="s">
        <v>38</v>
      </c>
      <c r="C2502" s="1">
        <v>45934.727083333331</v>
      </c>
      <c r="D2502" t="s">
        <v>5146</v>
      </c>
    </row>
    <row r="2503" spans="1:4" x14ac:dyDescent="0.25">
      <c r="A2503" t="s">
        <v>4646</v>
      </c>
      <c r="B2503" t="s">
        <v>38</v>
      </c>
      <c r="C2503" s="1">
        <v>45938.722222222219</v>
      </c>
      <c r="D2503" t="s">
        <v>5146</v>
      </c>
    </row>
    <row r="2504" spans="1:4" x14ac:dyDescent="0.25">
      <c r="A2504" t="s">
        <v>4647</v>
      </c>
      <c r="B2504" t="s">
        <v>38</v>
      </c>
      <c r="C2504" s="1">
        <v>45940.487500000003</v>
      </c>
      <c r="D2504" t="s">
        <v>5146</v>
      </c>
    </row>
    <row r="2505" spans="1:4" x14ac:dyDescent="0.25">
      <c r="A2505" t="s">
        <v>4648</v>
      </c>
      <c r="B2505" t="s">
        <v>38</v>
      </c>
      <c r="C2505" s="1">
        <v>45944.758333333331</v>
      </c>
      <c r="D2505" t="s">
        <v>5146</v>
      </c>
    </row>
    <row r="2506" spans="1:4" x14ac:dyDescent="0.25">
      <c r="A2506" t="s">
        <v>4649</v>
      </c>
      <c r="B2506" t="s">
        <v>38</v>
      </c>
      <c r="C2506" s="1">
        <v>45936.566666666666</v>
      </c>
      <c r="D2506" t="s">
        <v>5146</v>
      </c>
    </row>
    <row r="2507" spans="1:4" x14ac:dyDescent="0.25">
      <c r="A2507" t="s">
        <v>4650</v>
      </c>
      <c r="B2507" t="s">
        <v>38</v>
      </c>
      <c r="C2507" s="1">
        <v>45938.747916666667</v>
      </c>
      <c r="D2507" t="s">
        <v>5146</v>
      </c>
    </row>
    <row r="2508" spans="1:4" x14ac:dyDescent="0.25">
      <c r="A2508" t="s">
        <v>140</v>
      </c>
      <c r="B2508" t="s">
        <v>38</v>
      </c>
      <c r="C2508" s="1">
        <v>46004.661111111112</v>
      </c>
      <c r="D2508" t="s">
        <v>5146</v>
      </c>
    </row>
    <row r="2509" spans="1:4" x14ac:dyDescent="0.25">
      <c r="A2509" t="s">
        <v>4651</v>
      </c>
      <c r="B2509" t="s">
        <v>38</v>
      </c>
      <c r="C2509" s="1">
        <v>45933.677777777775</v>
      </c>
      <c r="D2509" t="s">
        <v>5146</v>
      </c>
    </row>
    <row r="2510" spans="1:4" x14ac:dyDescent="0.25">
      <c r="A2510" t="s">
        <v>4652</v>
      </c>
      <c r="B2510" t="s">
        <v>38</v>
      </c>
      <c r="C2510" s="1">
        <v>45936.804166666669</v>
      </c>
      <c r="D2510" t="s">
        <v>5146</v>
      </c>
    </row>
    <row r="2511" spans="1:4" x14ac:dyDescent="0.25">
      <c r="A2511" t="s">
        <v>4653</v>
      </c>
      <c r="B2511" t="s">
        <v>39</v>
      </c>
      <c r="C2511" s="1">
        <v>45982.718055555553</v>
      </c>
      <c r="D2511" t="s">
        <v>5146</v>
      </c>
    </row>
    <row r="2512" spans="1:4" x14ac:dyDescent="0.25">
      <c r="A2512" t="s">
        <v>4654</v>
      </c>
      <c r="B2512" t="s">
        <v>38</v>
      </c>
      <c r="C2512" s="1">
        <v>45934.688888888886</v>
      </c>
      <c r="D2512" t="s">
        <v>5146</v>
      </c>
    </row>
    <row r="2513" spans="1:4" x14ac:dyDescent="0.25">
      <c r="A2513" t="s">
        <v>4655</v>
      </c>
      <c r="B2513" t="s">
        <v>38</v>
      </c>
      <c r="C2513" s="1">
        <v>45940.645138888889</v>
      </c>
      <c r="D2513" t="s">
        <v>5146</v>
      </c>
    </row>
    <row r="2514" spans="1:4" x14ac:dyDescent="0.25">
      <c r="A2514" t="s">
        <v>4656</v>
      </c>
      <c r="B2514" t="s">
        <v>38</v>
      </c>
      <c r="C2514" s="1">
        <v>45933.69027777778</v>
      </c>
      <c r="D2514" t="s">
        <v>5146</v>
      </c>
    </row>
    <row r="2515" spans="1:4" x14ac:dyDescent="0.25">
      <c r="A2515" t="s">
        <v>4657</v>
      </c>
      <c r="B2515" t="s">
        <v>38</v>
      </c>
      <c r="C2515" s="1">
        <v>45937.573611111111</v>
      </c>
      <c r="D2515" t="s">
        <v>5146</v>
      </c>
    </row>
    <row r="2516" spans="1:4" x14ac:dyDescent="0.25">
      <c r="A2516" t="s">
        <v>4658</v>
      </c>
      <c r="B2516" t="s">
        <v>38</v>
      </c>
      <c r="C2516" s="1">
        <v>45935.515972222223</v>
      </c>
      <c r="D2516" t="s">
        <v>5146</v>
      </c>
    </row>
    <row r="2517" spans="1:4" x14ac:dyDescent="0.25">
      <c r="A2517" t="s">
        <v>4659</v>
      </c>
      <c r="B2517" t="s">
        <v>38</v>
      </c>
      <c r="C2517" s="1">
        <v>45935.45</v>
      </c>
      <c r="D2517" t="s">
        <v>5146</v>
      </c>
    </row>
    <row r="2518" spans="1:4" x14ac:dyDescent="0.25">
      <c r="A2518" t="s">
        <v>4660</v>
      </c>
      <c r="B2518" t="s">
        <v>39</v>
      </c>
      <c r="C2518" s="1">
        <v>45938.536805555559</v>
      </c>
      <c r="D2518" t="s">
        <v>5146</v>
      </c>
    </row>
    <row r="2519" spans="1:4" x14ac:dyDescent="0.25">
      <c r="A2519" t="s">
        <v>4661</v>
      </c>
      <c r="B2519" t="s">
        <v>38</v>
      </c>
      <c r="C2519" s="1">
        <v>45938.762499999997</v>
      </c>
      <c r="D2519" t="s">
        <v>5146</v>
      </c>
    </row>
    <row r="2520" spans="1:4" x14ac:dyDescent="0.25">
      <c r="A2520" t="s">
        <v>145</v>
      </c>
      <c r="B2520" t="s">
        <v>38</v>
      </c>
      <c r="C2520" s="1">
        <v>46024.810416666667</v>
      </c>
      <c r="D2520" t="s">
        <v>5146</v>
      </c>
    </row>
    <row r="2521" spans="1:4" x14ac:dyDescent="0.25">
      <c r="A2521" t="s">
        <v>4662</v>
      </c>
      <c r="B2521" t="s">
        <v>38</v>
      </c>
      <c r="C2521" s="1">
        <v>45934.761805555558</v>
      </c>
      <c r="D2521" t="s">
        <v>5146</v>
      </c>
    </row>
    <row r="2522" spans="1:4" x14ac:dyDescent="0.25">
      <c r="A2522" t="s">
        <v>4663</v>
      </c>
      <c r="B2522" t="s">
        <v>38</v>
      </c>
      <c r="C2522" s="1">
        <v>45934.698611111111</v>
      </c>
      <c r="D2522" t="s">
        <v>5146</v>
      </c>
    </row>
    <row r="2523" spans="1:4" x14ac:dyDescent="0.25">
      <c r="A2523" t="s">
        <v>4664</v>
      </c>
      <c r="B2523" t="s">
        <v>38</v>
      </c>
      <c r="C2523" s="1">
        <v>45935.54791666667</v>
      </c>
      <c r="D2523" t="s">
        <v>5146</v>
      </c>
    </row>
    <row r="2524" spans="1:4" x14ac:dyDescent="0.25">
      <c r="A2524" t="s">
        <v>4665</v>
      </c>
      <c r="B2524" t="s">
        <v>38</v>
      </c>
      <c r="C2524" s="1">
        <v>45938.859027777777</v>
      </c>
      <c r="D2524" t="s">
        <v>5146</v>
      </c>
    </row>
    <row r="2525" spans="1:4" x14ac:dyDescent="0.25">
      <c r="A2525" t="s">
        <v>4666</v>
      </c>
      <c r="B2525" t="s">
        <v>38</v>
      </c>
      <c r="C2525" s="1">
        <v>45934.789583333331</v>
      </c>
      <c r="D2525" t="s">
        <v>5146</v>
      </c>
    </row>
    <row r="2526" spans="1:4" x14ac:dyDescent="0.25">
      <c r="A2526" t="s">
        <v>4667</v>
      </c>
      <c r="B2526" t="s">
        <v>38</v>
      </c>
      <c r="C2526" s="1">
        <v>45937.779861111114</v>
      </c>
      <c r="D2526" t="s">
        <v>5146</v>
      </c>
    </row>
    <row r="2527" spans="1:4" x14ac:dyDescent="0.25">
      <c r="A2527" t="s">
        <v>4668</v>
      </c>
      <c r="B2527" t="s">
        <v>38</v>
      </c>
      <c r="C2527" s="1">
        <v>45940.652083333334</v>
      </c>
      <c r="D2527" t="s">
        <v>5146</v>
      </c>
    </row>
    <row r="2528" spans="1:4" x14ac:dyDescent="0.25">
      <c r="A2528" t="s">
        <v>4669</v>
      </c>
      <c r="B2528" t="s">
        <v>38</v>
      </c>
      <c r="C2528" s="1">
        <v>45935.523611111108</v>
      </c>
      <c r="D2528" t="s">
        <v>5146</v>
      </c>
    </row>
    <row r="2529" spans="1:4" x14ac:dyDescent="0.25">
      <c r="A2529" t="s">
        <v>4670</v>
      </c>
      <c r="B2529" t="s">
        <v>38</v>
      </c>
      <c r="C2529" s="1">
        <v>45943.679861111108</v>
      </c>
      <c r="D2529" t="s">
        <v>5146</v>
      </c>
    </row>
    <row r="2530" spans="1:4" x14ac:dyDescent="0.25">
      <c r="A2530" t="s">
        <v>4671</v>
      </c>
      <c r="B2530" t="s">
        <v>39</v>
      </c>
      <c r="C2530" s="1">
        <v>45941.600694444445</v>
      </c>
      <c r="D2530" t="s">
        <v>5146</v>
      </c>
    </row>
    <row r="2531" spans="1:4" x14ac:dyDescent="0.25">
      <c r="A2531" t="s">
        <v>4672</v>
      </c>
      <c r="B2531" t="s">
        <v>38</v>
      </c>
      <c r="C2531" s="1">
        <v>45945.457638888889</v>
      </c>
      <c r="D2531" t="s">
        <v>5146</v>
      </c>
    </row>
    <row r="2532" spans="1:4" x14ac:dyDescent="0.25">
      <c r="A2532" t="s">
        <v>4673</v>
      </c>
      <c r="B2532" t="s">
        <v>38</v>
      </c>
      <c r="C2532" s="1">
        <v>45936.571527777778</v>
      </c>
      <c r="D2532" t="s">
        <v>5146</v>
      </c>
    </row>
    <row r="2533" spans="1:4" x14ac:dyDescent="0.25">
      <c r="A2533" t="s">
        <v>4674</v>
      </c>
      <c r="B2533" t="s">
        <v>38</v>
      </c>
      <c r="C2533" s="1">
        <v>45939.618750000001</v>
      </c>
      <c r="D2533" t="s">
        <v>5146</v>
      </c>
    </row>
    <row r="2534" spans="1:4" x14ac:dyDescent="0.25">
      <c r="A2534" t="s">
        <v>4675</v>
      </c>
      <c r="B2534" t="s">
        <v>38</v>
      </c>
      <c r="C2534" s="1">
        <v>45938.531944444447</v>
      </c>
      <c r="D2534" t="s">
        <v>5146</v>
      </c>
    </row>
    <row r="2535" spans="1:4" x14ac:dyDescent="0.25">
      <c r="A2535" t="s">
        <v>4676</v>
      </c>
      <c r="B2535" t="s">
        <v>38</v>
      </c>
      <c r="C2535" s="1">
        <v>45943.554166666669</v>
      </c>
      <c r="D2535" t="s">
        <v>5146</v>
      </c>
    </row>
    <row r="2536" spans="1:4" x14ac:dyDescent="0.25">
      <c r="A2536" t="s">
        <v>4677</v>
      </c>
      <c r="B2536" t="s">
        <v>38</v>
      </c>
      <c r="C2536" s="1">
        <v>46003.959722222222</v>
      </c>
      <c r="D2536" t="s">
        <v>5146</v>
      </c>
    </row>
    <row r="2537" spans="1:4" x14ac:dyDescent="0.25">
      <c r="A2537" t="s">
        <v>4678</v>
      </c>
      <c r="B2537" t="s">
        <v>38</v>
      </c>
      <c r="C2537" s="1">
        <v>45941.585416666669</v>
      </c>
      <c r="D2537" t="s">
        <v>5146</v>
      </c>
    </row>
    <row r="2538" spans="1:4" x14ac:dyDescent="0.25">
      <c r="A2538" t="s">
        <v>4679</v>
      </c>
      <c r="B2538" t="s">
        <v>38</v>
      </c>
      <c r="C2538" s="1">
        <v>45969.500694444447</v>
      </c>
      <c r="D2538" t="s">
        <v>5146</v>
      </c>
    </row>
    <row r="2539" spans="1:4" x14ac:dyDescent="0.25">
      <c r="A2539" t="s">
        <v>4680</v>
      </c>
      <c r="B2539" t="s">
        <v>39</v>
      </c>
      <c r="C2539" s="1">
        <v>45969.503472222219</v>
      </c>
      <c r="D2539" t="s">
        <v>5146</v>
      </c>
    </row>
    <row r="2540" spans="1:4" x14ac:dyDescent="0.25">
      <c r="A2540" t="s">
        <v>4681</v>
      </c>
      <c r="B2540" t="s">
        <v>38</v>
      </c>
      <c r="C2540" s="1">
        <v>45969.504166666666</v>
      </c>
      <c r="D2540" t="s">
        <v>5146</v>
      </c>
    </row>
    <row r="2541" spans="1:4" x14ac:dyDescent="0.25">
      <c r="A2541" t="s">
        <v>4682</v>
      </c>
      <c r="B2541" t="s">
        <v>38</v>
      </c>
      <c r="C2541" s="1">
        <v>45969.732638888891</v>
      </c>
      <c r="D2541" t="s">
        <v>5146</v>
      </c>
    </row>
    <row r="2542" spans="1:4" x14ac:dyDescent="0.25">
      <c r="A2542" t="s">
        <v>152</v>
      </c>
      <c r="B2542" t="s">
        <v>38</v>
      </c>
      <c r="C2542" s="1">
        <v>46024.787499999999</v>
      </c>
      <c r="D2542" t="s">
        <v>5146</v>
      </c>
    </row>
    <row r="2543" spans="1:4" x14ac:dyDescent="0.25">
      <c r="A2543" t="s">
        <v>4683</v>
      </c>
      <c r="B2543" t="s">
        <v>39</v>
      </c>
      <c r="C2543" s="1">
        <v>46031.790277777778</v>
      </c>
      <c r="D2543" t="s">
        <v>5146</v>
      </c>
    </row>
    <row r="2544" spans="1:4" x14ac:dyDescent="0.25">
      <c r="A2544" t="s">
        <v>4684</v>
      </c>
      <c r="B2544" t="s">
        <v>38</v>
      </c>
      <c r="C2544" s="1">
        <v>45969.73333333333</v>
      </c>
      <c r="D2544" t="s">
        <v>5146</v>
      </c>
    </row>
    <row r="2545" spans="1:4" x14ac:dyDescent="0.25">
      <c r="A2545" t="s">
        <v>4685</v>
      </c>
      <c r="B2545" t="s">
        <v>38</v>
      </c>
      <c r="C2545" s="1">
        <v>45969.73333333333</v>
      </c>
      <c r="D2545" t="s">
        <v>5146</v>
      </c>
    </row>
    <row r="2546" spans="1:4" x14ac:dyDescent="0.25">
      <c r="A2546" t="s">
        <v>4686</v>
      </c>
      <c r="B2546" t="s">
        <v>39</v>
      </c>
      <c r="C2546" s="1">
        <v>45969.543055555558</v>
      </c>
      <c r="D2546" t="s">
        <v>5146</v>
      </c>
    </row>
    <row r="2547" spans="1:4" x14ac:dyDescent="0.25">
      <c r="A2547" t="s">
        <v>4687</v>
      </c>
      <c r="B2547" t="s">
        <v>38</v>
      </c>
      <c r="C2547" s="1">
        <v>45969.734027777777</v>
      </c>
      <c r="D2547" t="s">
        <v>5146</v>
      </c>
    </row>
    <row r="2548" spans="1:4" x14ac:dyDescent="0.25">
      <c r="A2548" t="s">
        <v>4688</v>
      </c>
      <c r="B2548" t="s">
        <v>38</v>
      </c>
      <c r="C2548" s="1">
        <v>45969.545138888891</v>
      </c>
      <c r="D2548" t="s">
        <v>5146</v>
      </c>
    </row>
    <row r="2549" spans="1:4" x14ac:dyDescent="0.25">
      <c r="A2549" t="s">
        <v>4689</v>
      </c>
      <c r="B2549" t="s">
        <v>38</v>
      </c>
      <c r="C2549" s="1">
        <v>45969.546527777777</v>
      </c>
      <c r="D2549" t="s">
        <v>5146</v>
      </c>
    </row>
    <row r="2550" spans="1:4" x14ac:dyDescent="0.25">
      <c r="A2550" t="s">
        <v>4690</v>
      </c>
      <c r="B2550" t="s">
        <v>38</v>
      </c>
      <c r="C2550" s="1">
        <v>45969.547222222223</v>
      </c>
      <c r="D2550" t="s">
        <v>5146</v>
      </c>
    </row>
    <row r="2551" spans="1:4" x14ac:dyDescent="0.25">
      <c r="A2551" t="s">
        <v>4691</v>
      </c>
      <c r="B2551" t="s">
        <v>38</v>
      </c>
      <c r="C2551" s="1">
        <v>45969.548611111109</v>
      </c>
      <c r="D2551" t="s">
        <v>5146</v>
      </c>
    </row>
    <row r="2552" spans="1:4" x14ac:dyDescent="0.25">
      <c r="A2552" t="s">
        <v>4692</v>
      </c>
      <c r="B2552" t="s">
        <v>38</v>
      </c>
      <c r="C2552" s="1">
        <v>45969.548611111109</v>
      </c>
      <c r="D2552" t="s">
        <v>5146</v>
      </c>
    </row>
    <row r="2553" spans="1:4" x14ac:dyDescent="0.25">
      <c r="A2553" t="s">
        <v>4693</v>
      </c>
      <c r="B2553" t="s">
        <v>38</v>
      </c>
      <c r="C2553" s="1">
        <v>45969.549305555556</v>
      </c>
      <c r="D2553" t="s">
        <v>5146</v>
      </c>
    </row>
    <row r="2554" spans="1:4" x14ac:dyDescent="0.25">
      <c r="A2554" t="s">
        <v>4694</v>
      </c>
      <c r="B2554" t="s">
        <v>38</v>
      </c>
      <c r="C2554" s="1">
        <v>46003.961111111108</v>
      </c>
      <c r="D2554" t="s">
        <v>5146</v>
      </c>
    </row>
    <row r="2555" spans="1:4" x14ac:dyDescent="0.25">
      <c r="A2555" t="s">
        <v>124</v>
      </c>
      <c r="B2555" t="s">
        <v>38</v>
      </c>
      <c r="C2555" s="1">
        <v>46001.470138888886</v>
      </c>
      <c r="D2555" t="s">
        <v>5146</v>
      </c>
    </row>
    <row r="2556" spans="1:4" x14ac:dyDescent="0.25">
      <c r="A2556" t="s">
        <v>4695</v>
      </c>
      <c r="B2556" t="s">
        <v>38</v>
      </c>
      <c r="C2556" s="1">
        <v>45991.840277777781</v>
      </c>
      <c r="D2556" t="s">
        <v>5146</v>
      </c>
    </row>
    <row r="2557" spans="1:4" x14ac:dyDescent="0.25">
      <c r="A2557" t="s">
        <v>4696</v>
      </c>
      <c r="B2557" t="s">
        <v>38</v>
      </c>
      <c r="C2557" s="1">
        <v>45969.550694444442</v>
      </c>
      <c r="D2557" t="s">
        <v>5146</v>
      </c>
    </row>
    <row r="2558" spans="1:4" x14ac:dyDescent="0.25">
      <c r="A2558" t="s">
        <v>4697</v>
      </c>
      <c r="B2558" t="s">
        <v>38</v>
      </c>
      <c r="C2558" s="1">
        <v>45969.552083333336</v>
      </c>
      <c r="D2558" t="s">
        <v>5146</v>
      </c>
    </row>
    <row r="2559" spans="1:4" x14ac:dyDescent="0.25">
      <c r="A2559" t="s">
        <v>4698</v>
      </c>
      <c r="B2559" t="s">
        <v>38</v>
      </c>
      <c r="C2559" s="1">
        <v>45969.553472222222</v>
      </c>
      <c r="D2559" t="s">
        <v>5146</v>
      </c>
    </row>
    <row r="2560" spans="1:4" x14ac:dyDescent="0.25">
      <c r="A2560" t="s">
        <v>4699</v>
      </c>
      <c r="B2560" t="s">
        <v>38</v>
      </c>
      <c r="C2560" s="1">
        <v>45969.554166666669</v>
      </c>
      <c r="D2560" t="s">
        <v>5146</v>
      </c>
    </row>
    <row r="2561" spans="1:4" x14ac:dyDescent="0.25">
      <c r="A2561" t="s">
        <v>4700</v>
      </c>
      <c r="B2561" t="s">
        <v>38</v>
      </c>
      <c r="C2561" s="1">
        <v>45969.554861111108</v>
      </c>
      <c r="D2561" t="s">
        <v>5146</v>
      </c>
    </row>
    <row r="2562" spans="1:4" x14ac:dyDescent="0.25">
      <c r="A2562" t="s">
        <v>4701</v>
      </c>
      <c r="B2562" t="s">
        <v>38</v>
      </c>
      <c r="C2562" s="1">
        <v>45969.555555555555</v>
      </c>
      <c r="D2562" t="s">
        <v>5146</v>
      </c>
    </row>
    <row r="2563" spans="1:4" x14ac:dyDescent="0.25">
      <c r="A2563" t="s">
        <v>4702</v>
      </c>
      <c r="B2563" t="s">
        <v>38</v>
      </c>
      <c r="C2563" s="1">
        <v>45993.651388888888</v>
      </c>
      <c r="D2563" t="s">
        <v>5146</v>
      </c>
    </row>
    <row r="2564" spans="1:4" x14ac:dyDescent="0.25">
      <c r="A2564" t="s">
        <v>4703</v>
      </c>
      <c r="B2564" t="s">
        <v>38</v>
      </c>
      <c r="C2564" s="1">
        <v>45969.556250000001</v>
      </c>
      <c r="D2564" t="s">
        <v>5146</v>
      </c>
    </row>
    <row r="2565" spans="1:4" x14ac:dyDescent="0.25">
      <c r="A2565" t="s">
        <v>4704</v>
      </c>
      <c r="B2565" t="s">
        <v>38</v>
      </c>
      <c r="C2565" s="1">
        <v>45969.576388888891</v>
      </c>
      <c r="D2565" t="s">
        <v>5146</v>
      </c>
    </row>
    <row r="2566" spans="1:4" x14ac:dyDescent="0.25">
      <c r="A2566" t="s">
        <v>4705</v>
      </c>
      <c r="B2566" t="s">
        <v>38</v>
      </c>
      <c r="C2566" s="1">
        <v>45969.577777777777</v>
      </c>
      <c r="D2566" t="s">
        <v>5146</v>
      </c>
    </row>
    <row r="2567" spans="1:4" x14ac:dyDescent="0.25">
      <c r="A2567" t="s">
        <v>4706</v>
      </c>
      <c r="B2567" t="s">
        <v>38</v>
      </c>
      <c r="C2567" s="1">
        <v>45969.636111111111</v>
      </c>
      <c r="D2567" t="s">
        <v>5146</v>
      </c>
    </row>
    <row r="2568" spans="1:4" x14ac:dyDescent="0.25">
      <c r="A2568" t="s">
        <v>4707</v>
      </c>
      <c r="B2568" t="s">
        <v>39</v>
      </c>
      <c r="C2568" s="1">
        <v>45969.636111111111</v>
      </c>
      <c r="D2568" t="s">
        <v>5146</v>
      </c>
    </row>
    <row r="2569" spans="1:4" x14ac:dyDescent="0.25">
      <c r="A2569" t="s">
        <v>4708</v>
      </c>
      <c r="B2569" t="s">
        <v>38</v>
      </c>
      <c r="C2569" s="1">
        <v>46003.961805555555</v>
      </c>
      <c r="D2569" t="s">
        <v>5146</v>
      </c>
    </row>
    <row r="2570" spans="1:4" x14ac:dyDescent="0.25">
      <c r="A2570" t="s">
        <v>4709</v>
      </c>
      <c r="B2570" t="s">
        <v>38</v>
      </c>
      <c r="C2570" s="1">
        <v>45969.637499999997</v>
      </c>
      <c r="D2570" t="s">
        <v>5146</v>
      </c>
    </row>
    <row r="2571" spans="1:4" x14ac:dyDescent="0.25">
      <c r="A2571" t="s">
        <v>4710</v>
      </c>
      <c r="B2571" t="s">
        <v>38</v>
      </c>
      <c r="C2571" s="1">
        <v>45973.7</v>
      </c>
      <c r="D2571" t="s">
        <v>5146</v>
      </c>
    </row>
    <row r="2572" spans="1:4" x14ac:dyDescent="0.25">
      <c r="A2572" t="s">
        <v>4711</v>
      </c>
      <c r="B2572" t="s">
        <v>38</v>
      </c>
      <c r="C2572" s="1">
        <v>45973.700694444444</v>
      </c>
      <c r="D2572" t="s">
        <v>5146</v>
      </c>
    </row>
    <row r="2573" spans="1:4" x14ac:dyDescent="0.25">
      <c r="A2573" t="s">
        <v>4712</v>
      </c>
      <c r="B2573" t="s">
        <v>38</v>
      </c>
      <c r="C2573" s="1">
        <v>45973.700694444444</v>
      </c>
      <c r="D2573" t="s">
        <v>5146</v>
      </c>
    </row>
    <row r="2574" spans="1:4" x14ac:dyDescent="0.25">
      <c r="A2574" t="s">
        <v>4713</v>
      </c>
      <c r="B2574" t="s">
        <v>38</v>
      </c>
      <c r="C2574" s="1">
        <v>45973.701388888891</v>
      </c>
      <c r="D2574" t="s">
        <v>5146</v>
      </c>
    </row>
    <row r="2575" spans="1:4" x14ac:dyDescent="0.25">
      <c r="A2575" t="s">
        <v>4714</v>
      </c>
      <c r="B2575" t="s">
        <v>38</v>
      </c>
      <c r="C2575" s="1">
        <v>45973.701388888891</v>
      </c>
      <c r="D2575" t="s">
        <v>5146</v>
      </c>
    </row>
    <row r="2576" spans="1:4" x14ac:dyDescent="0.25">
      <c r="A2576" t="s">
        <v>127</v>
      </c>
      <c r="B2576" t="s">
        <v>38</v>
      </c>
      <c r="C2576" s="1">
        <v>46024.781944444447</v>
      </c>
      <c r="D2576" t="s">
        <v>5146</v>
      </c>
    </row>
    <row r="2577" spans="1:4" x14ac:dyDescent="0.25">
      <c r="A2577" t="s">
        <v>4715</v>
      </c>
      <c r="B2577" t="s">
        <v>38</v>
      </c>
      <c r="C2577" s="1">
        <v>45973.70208333333</v>
      </c>
      <c r="D2577" t="s">
        <v>5146</v>
      </c>
    </row>
    <row r="2578" spans="1:4" x14ac:dyDescent="0.25">
      <c r="A2578" t="s">
        <v>130</v>
      </c>
      <c r="B2578" t="s">
        <v>38</v>
      </c>
      <c r="C2578" s="1">
        <v>46024.800694444442</v>
      </c>
      <c r="D2578" t="s">
        <v>5146</v>
      </c>
    </row>
    <row r="2579" spans="1:4" x14ac:dyDescent="0.25">
      <c r="A2579" t="s">
        <v>131</v>
      </c>
      <c r="B2579" t="s">
        <v>38</v>
      </c>
      <c r="C2579" s="1">
        <v>46009.724999999999</v>
      </c>
      <c r="D2579" t="s">
        <v>5146</v>
      </c>
    </row>
    <row r="2580" spans="1:4" x14ac:dyDescent="0.25">
      <c r="A2580" t="s">
        <v>4716</v>
      </c>
      <c r="B2580" t="s">
        <v>38</v>
      </c>
      <c r="C2580" s="1">
        <v>45973.70208333333</v>
      </c>
      <c r="D2580" t="s">
        <v>5146</v>
      </c>
    </row>
    <row r="2581" spans="1:4" x14ac:dyDescent="0.25">
      <c r="A2581" t="s">
        <v>4717</v>
      </c>
      <c r="B2581" t="s">
        <v>38</v>
      </c>
      <c r="C2581" s="1">
        <v>45973.70208333333</v>
      </c>
      <c r="D2581" t="s">
        <v>5146</v>
      </c>
    </row>
    <row r="2582" spans="1:4" x14ac:dyDescent="0.25">
      <c r="A2582" t="s">
        <v>4718</v>
      </c>
      <c r="B2582" t="s">
        <v>38</v>
      </c>
      <c r="C2582" s="1">
        <v>45969.682638888888</v>
      </c>
      <c r="D2582" t="s">
        <v>5146</v>
      </c>
    </row>
    <row r="2583" spans="1:4" x14ac:dyDescent="0.25">
      <c r="A2583" t="s">
        <v>4719</v>
      </c>
      <c r="B2583" t="s">
        <v>38</v>
      </c>
      <c r="C2583" s="1">
        <v>45969.683333333334</v>
      </c>
      <c r="D2583" t="s">
        <v>5146</v>
      </c>
    </row>
    <row r="2584" spans="1:4" x14ac:dyDescent="0.25">
      <c r="A2584" t="s">
        <v>134</v>
      </c>
      <c r="B2584" t="s">
        <v>38</v>
      </c>
      <c r="C2584" s="1">
        <v>46002.573611111111</v>
      </c>
      <c r="D2584" t="s">
        <v>5146</v>
      </c>
    </row>
    <row r="2585" spans="1:4" x14ac:dyDescent="0.25">
      <c r="A2585" t="s">
        <v>135</v>
      </c>
      <c r="B2585" t="s">
        <v>38</v>
      </c>
      <c r="C2585" s="1">
        <v>46014.474305555559</v>
      </c>
      <c r="D2585" t="s">
        <v>5146</v>
      </c>
    </row>
    <row r="2586" spans="1:4" x14ac:dyDescent="0.25">
      <c r="A2586" t="s">
        <v>4720</v>
      </c>
      <c r="B2586" t="s">
        <v>38</v>
      </c>
      <c r="C2586" s="1">
        <v>45969.685416666667</v>
      </c>
      <c r="D2586" t="s">
        <v>5146</v>
      </c>
    </row>
    <row r="2587" spans="1:4" x14ac:dyDescent="0.25">
      <c r="A2587" t="s">
        <v>4721</v>
      </c>
      <c r="B2587" t="s">
        <v>38</v>
      </c>
      <c r="C2587" s="1">
        <v>45972.460416666669</v>
      </c>
      <c r="D2587" t="s">
        <v>5146</v>
      </c>
    </row>
    <row r="2588" spans="1:4" x14ac:dyDescent="0.25">
      <c r="A2588" t="s">
        <v>4722</v>
      </c>
      <c r="B2588" t="s">
        <v>38</v>
      </c>
      <c r="C2588" s="1">
        <v>45973.702777777777</v>
      </c>
      <c r="D2588" t="s">
        <v>5146</v>
      </c>
    </row>
    <row r="2589" spans="1:4" x14ac:dyDescent="0.25">
      <c r="A2589" t="s">
        <v>4723</v>
      </c>
      <c r="B2589" t="s">
        <v>38</v>
      </c>
      <c r="C2589" s="1">
        <v>45969.688194444447</v>
      </c>
      <c r="D2589" t="s">
        <v>5146</v>
      </c>
    </row>
    <row r="2590" spans="1:4" x14ac:dyDescent="0.25">
      <c r="A2590" t="s">
        <v>4724</v>
      </c>
      <c r="B2590" t="s">
        <v>39</v>
      </c>
      <c r="C2590" s="1">
        <v>46009.776388888888</v>
      </c>
      <c r="D2590" t="s">
        <v>5146</v>
      </c>
    </row>
    <row r="2591" spans="1:4" x14ac:dyDescent="0.25">
      <c r="A2591" t="s">
        <v>4725</v>
      </c>
      <c r="B2591" t="s">
        <v>38</v>
      </c>
      <c r="C2591" s="1">
        <v>45973.703472222223</v>
      </c>
      <c r="D2591" t="s">
        <v>5146</v>
      </c>
    </row>
    <row r="2592" spans="1:4" x14ac:dyDescent="0.25">
      <c r="A2592" t="s">
        <v>137</v>
      </c>
      <c r="B2592" t="s">
        <v>38</v>
      </c>
      <c r="C2592" s="1">
        <v>46022.65</v>
      </c>
      <c r="D2592" t="s">
        <v>5146</v>
      </c>
    </row>
    <row r="2593" spans="1:4" x14ac:dyDescent="0.25">
      <c r="A2593" t="s">
        <v>4726</v>
      </c>
      <c r="B2593" t="s">
        <v>38</v>
      </c>
      <c r="C2593" s="1">
        <v>45973.703472222223</v>
      </c>
      <c r="D2593" t="s">
        <v>5146</v>
      </c>
    </row>
    <row r="2594" spans="1:4" x14ac:dyDescent="0.25">
      <c r="A2594" t="s">
        <v>4727</v>
      </c>
      <c r="B2594" t="s">
        <v>38</v>
      </c>
      <c r="C2594" s="1">
        <v>45969.691666666666</v>
      </c>
      <c r="D2594" t="s">
        <v>5146</v>
      </c>
    </row>
    <row r="2595" spans="1:4" x14ac:dyDescent="0.25">
      <c r="A2595" t="s">
        <v>4728</v>
      </c>
      <c r="B2595" t="s">
        <v>38</v>
      </c>
      <c r="C2595" s="1">
        <v>45973.70416666667</v>
      </c>
      <c r="D2595" t="s">
        <v>5146</v>
      </c>
    </row>
    <row r="2596" spans="1:4" x14ac:dyDescent="0.25">
      <c r="A2596" t="s">
        <v>4729</v>
      </c>
      <c r="B2596" t="s">
        <v>38</v>
      </c>
      <c r="C2596" s="1">
        <v>45973.70416666667</v>
      </c>
      <c r="D2596" t="s">
        <v>5146</v>
      </c>
    </row>
    <row r="2597" spans="1:4" x14ac:dyDescent="0.25">
      <c r="A2597" t="s">
        <v>4730</v>
      </c>
      <c r="B2597" t="s">
        <v>38</v>
      </c>
      <c r="C2597" s="1">
        <v>46003.966666666667</v>
      </c>
      <c r="D2597" t="s">
        <v>5146</v>
      </c>
    </row>
    <row r="2598" spans="1:4" x14ac:dyDescent="0.25">
      <c r="A2598" t="s">
        <v>4731</v>
      </c>
      <c r="B2598" t="s">
        <v>38</v>
      </c>
      <c r="C2598" s="1">
        <v>45973.70416666667</v>
      </c>
      <c r="D2598" t="s">
        <v>5146</v>
      </c>
    </row>
    <row r="2599" spans="1:4" x14ac:dyDescent="0.25">
      <c r="A2599" t="s">
        <v>4732</v>
      </c>
      <c r="B2599" t="s">
        <v>38</v>
      </c>
      <c r="C2599" s="1">
        <v>45973.717361111114</v>
      </c>
      <c r="D2599" t="s">
        <v>5146</v>
      </c>
    </row>
    <row r="2600" spans="1:4" x14ac:dyDescent="0.25">
      <c r="A2600" t="s">
        <v>4733</v>
      </c>
      <c r="B2600" t="s">
        <v>38</v>
      </c>
      <c r="C2600" s="1">
        <v>45973.70416666667</v>
      </c>
      <c r="D2600" t="s">
        <v>5146</v>
      </c>
    </row>
    <row r="2601" spans="1:4" x14ac:dyDescent="0.25">
      <c r="A2601" t="s">
        <v>114</v>
      </c>
      <c r="B2601" t="s">
        <v>38</v>
      </c>
      <c r="C2601" s="1">
        <v>46024.795138888891</v>
      </c>
      <c r="D2601" t="s">
        <v>5146</v>
      </c>
    </row>
    <row r="2602" spans="1:4" x14ac:dyDescent="0.25">
      <c r="A2602" t="s">
        <v>4734</v>
      </c>
      <c r="B2602" t="s">
        <v>38</v>
      </c>
      <c r="C2602" s="1">
        <v>45973.704861111109</v>
      </c>
      <c r="D2602" t="s">
        <v>5146</v>
      </c>
    </row>
    <row r="2603" spans="1:4" x14ac:dyDescent="0.25">
      <c r="A2603" t="s">
        <v>4735</v>
      </c>
      <c r="B2603" t="s">
        <v>39</v>
      </c>
      <c r="C2603" s="1">
        <v>45969.696527777778</v>
      </c>
      <c r="D2603" t="s">
        <v>5146</v>
      </c>
    </row>
    <row r="2604" spans="1:4" x14ac:dyDescent="0.25">
      <c r="A2604" t="s">
        <v>4736</v>
      </c>
      <c r="B2604" t="s">
        <v>38</v>
      </c>
      <c r="C2604" s="1">
        <v>45973.705555555556</v>
      </c>
      <c r="D2604" t="s">
        <v>5146</v>
      </c>
    </row>
    <row r="2605" spans="1:4" x14ac:dyDescent="0.25">
      <c r="A2605" t="s">
        <v>4737</v>
      </c>
      <c r="B2605" t="s">
        <v>38</v>
      </c>
      <c r="C2605" s="1">
        <v>46003.966666666667</v>
      </c>
      <c r="D2605" t="s">
        <v>5146</v>
      </c>
    </row>
    <row r="2606" spans="1:4" x14ac:dyDescent="0.25">
      <c r="A2606" t="s">
        <v>4738</v>
      </c>
      <c r="B2606" t="s">
        <v>38</v>
      </c>
      <c r="C2606" s="1">
        <v>45973.705555555556</v>
      </c>
      <c r="D2606" t="s">
        <v>5146</v>
      </c>
    </row>
    <row r="2607" spans="1:4" x14ac:dyDescent="0.25">
      <c r="A2607" t="s">
        <v>115</v>
      </c>
      <c r="B2607" t="s">
        <v>38</v>
      </c>
      <c r="C2607" s="1">
        <v>46000.671527777777</v>
      </c>
      <c r="D2607" t="s">
        <v>5146</v>
      </c>
    </row>
    <row r="2608" spans="1:4" x14ac:dyDescent="0.25">
      <c r="A2608" t="s">
        <v>4739</v>
      </c>
      <c r="B2608" t="s">
        <v>38</v>
      </c>
      <c r="C2608" s="1">
        <v>45973.705555555556</v>
      </c>
      <c r="D2608" t="s">
        <v>5146</v>
      </c>
    </row>
    <row r="2609" spans="1:4" x14ac:dyDescent="0.25">
      <c r="A2609" t="s">
        <v>4740</v>
      </c>
      <c r="B2609" t="s">
        <v>38</v>
      </c>
      <c r="C2609" s="1">
        <v>45973.706250000003</v>
      </c>
      <c r="D2609" t="s">
        <v>5146</v>
      </c>
    </row>
    <row r="2610" spans="1:4" x14ac:dyDescent="0.25">
      <c r="A2610" t="s">
        <v>116</v>
      </c>
      <c r="B2610" t="s">
        <v>38</v>
      </c>
      <c r="C2610" s="1">
        <v>46000.636805555558</v>
      </c>
      <c r="D2610" t="s">
        <v>5146</v>
      </c>
    </row>
    <row r="2611" spans="1:4" x14ac:dyDescent="0.25">
      <c r="A2611" t="s">
        <v>4741</v>
      </c>
      <c r="B2611" t="s">
        <v>38</v>
      </c>
      <c r="C2611" s="1">
        <v>45973.706250000003</v>
      </c>
      <c r="D2611" t="s">
        <v>5146</v>
      </c>
    </row>
    <row r="2612" spans="1:4" x14ac:dyDescent="0.25">
      <c r="A2612" t="s">
        <v>4742</v>
      </c>
      <c r="B2612" t="s">
        <v>38</v>
      </c>
      <c r="C2612" s="1">
        <v>45969.7</v>
      </c>
      <c r="D2612" t="s">
        <v>5146</v>
      </c>
    </row>
    <row r="2613" spans="1:4" x14ac:dyDescent="0.25">
      <c r="A2613" t="s">
        <v>4743</v>
      </c>
      <c r="B2613" t="s">
        <v>38</v>
      </c>
      <c r="C2613" s="1">
        <v>45973.706944444442</v>
      </c>
      <c r="D2613" t="s">
        <v>5146</v>
      </c>
    </row>
    <row r="2614" spans="1:4" x14ac:dyDescent="0.25">
      <c r="A2614" t="s">
        <v>4744</v>
      </c>
      <c r="B2614" t="s">
        <v>38</v>
      </c>
      <c r="C2614" s="1">
        <v>45973.706944444442</v>
      </c>
      <c r="D2614" t="s">
        <v>5146</v>
      </c>
    </row>
    <row r="2615" spans="1:4" x14ac:dyDescent="0.25">
      <c r="A2615" t="s">
        <v>4745</v>
      </c>
      <c r="B2615" t="s">
        <v>39</v>
      </c>
      <c r="C2615" s="1">
        <v>45969.701388888891</v>
      </c>
      <c r="D2615" t="s">
        <v>5146</v>
      </c>
    </row>
    <row r="2616" spans="1:4" x14ac:dyDescent="0.25">
      <c r="A2616" t="s">
        <v>4746</v>
      </c>
      <c r="B2616" t="s">
        <v>38</v>
      </c>
      <c r="C2616" s="1">
        <v>45969.732638888891</v>
      </c>
      <c r="D2616" t="s">
        <v>5146</v>
      </c>
    </row>
    <row r="2617" spans="1:4" x14ac:dyDescent="0.25">
      <c r="A2617" t="s">
        <v>117</v>
      </c>
      <c r="B2617" t="s">
        <v>38</v>
      </c>
      <c r="C2617" s="1">
        <v>46001.777083333334</v>
      </c>
      <c r="D2617" t="s">
        <v>5146</v>
      </c>
    </row>
    <row r="2618" spans="1:4" x14ac:dyDescent="0.25">
      <c r="A2618" t="s">
        <v>119</v>
      </c>
      <c r="B2618" t="s">
        <v>38</v>
      </c>
      <c r="C2618" s="1">
        <v>46003.808333333334</v>
      </c>
      <c r="D2618" t="s">
        <v>5146</v>
      </c>
    </row>
    <row r="2619" spans="1:4" x14ac:dyDescent="0.25">
      <c r="A2619" t="s">
        <v>4747</v>
      </c>
      <c r="B2619" t="s">
        <v>39</v>
      </c>
      <c r="C2619" s="1">
        <v>45969.699305555558</v>
      </c>
      <c r="D2619" t="s">
        <v>5146</v>
      </c>
    </row>
    <row r="2620" spans="1:4" x14ac:dyDescent="0.25">
      <c r="A2620" t="s">
        <v>120</v>
      </c>
      <c r="B2620" t="s">
        <v>38</v>
      </c>
      <c r="C2620" s="1">
        <v>46003.61041666667</v>
      </c>
      <c r="D2620" t="s">
        <v>5146</v>
      </c>
    </row>
    <row r="2621" spans="1:4" x14ac:dyDescent="0.25">
      <c r="A2621" t="s">
        <v>4748</v>
      </c>
      <c r="B2621" t="s">
        <v>39</v>
      </c>
      <c r="C2621" s="1">
        <v>45992.674305555556</v>
      </c>
      <c r="D2621" t="s">
        <v>5146</v>
      </c>
    </row>
    <row r="2622" spans="1:4" x14ac:dyDescent="0.25">
      <c r="A2622" t="s">
        <v>4749</v>
      </c>
      <c r="B2622" t="s">
        <v>38</v>
      </c>
      <c r="C2622" s="1">
        <v>45986.662499999999</v>
      </c>
      <c r="D2622" t="s">
        <v>5146</v>
      </c>
    </row>
    <row r="2623" spans="1:4" x14ac:dyDescent="0.25">
      <c r="A2623" t="s">
        <v>4750</v>
      </c>
      <c r="B2623" t="s">
        <v>38</v>
      </c>
      <c r="C2623" s="1">
        <v>45969.734722222223</v>
      </c>
      <c r="D2623" t="s">
        <v>5146</v>
      </c>
    </row>
    <row r="2624" spans="1:4" x14ac:dyDescent="0.25">
      <c r="A2624" t="s">
        <v>4751</v>
      </c>
      <c r="B2624" t="s">
        <v>38</v>
      </c>
      <c r="C2624" s="1">
        <v>45969.734722222223</v>
      </c>
      <c r="D2624" t="s">
        <v>5146</v>
      </c>
    </row>
    <row r="2625" spans="1:4" x14ac:dyDescent="0.25">
      <c r="A2625" t="s">
        <v>4752</v>
      </c>
      <c r="B2625" t="s">
        <v>38</v>
      </c>
      <c r="C2625" s="1">
        <v>45969.73541666667</v>
      </c>
      <c r="D2625" t="s">
        <v>5146</v>
      </c>
    </row>
    <row r="2626" spans="1:4" x14ac:dyDescent="0.25">
      <c r="A2626" t="s">
        <v>4753</v>
      </c>
      <c r="B2626" t="s">
        <v>38</v>
      </c>
      <c r="C2626" s="1">
        <v>45969.73541666667</v>
      </c>
      <c r="D2626" t="s">
        <v>5146</v>
      </c>
    </row>
    <row r="2627" spans="1:4" x14ac:dyDescent="0.25">
      <c r="A2627" t="s">
        <v>4754</v>
      </c>
      <c r="B2627" t="s">
        <v>38</v>
      </c>
      <c r="C2627" s="1">
        <v>45969.736805555556</v>
      </c>
      <c r="D2627" t="s">
        <v>5146</v>
      </c>
    </row>
    <row r="2628" spans="1:4" x14ac:dyDescent="0.25">
      <c r="A2628" t="s">
        <v>4755</v>
      </c>
      <c r="B2628" t="s">
        <v>38</v>
      </c>
      <c r="C2628" s="1">
        <v>45969.736805555556</v>
      </c>
      <c r="D2628" t="s">
        <v>5146</v>
      </c>
    </row>
    <row r="2629" spans="1:4" x14ac:dyDescent="0.25">
      <c r="A2629" t="s">
        <v>4756</v>
      </c>
      <c r="B2629" t="s">
        <v>38</v>
      </c>
      <c r="C2629" s="1">
        <v>45973.708333333336</v>
      </c>
      <c r="D2629" t="s">
        <v>5146</v>
      </c>
    </row>
    <row r="2630" spans="1:4" x14ac:dyDescent="0.25">
      <c r="A2630" t="s">
        <v>4757</v>
      </c>
      <c r="B2630" t="s">
        <v>38</v>
      </c>
      <c r="C2630" s="1">
        <v>45969.737500000003</v>
      </c>
      <c r="D2630" t="s">
        <v>5146</v>
      </c>
    </row>
    <row r="2631" spans="1:4" x14ac:dyDescent="0.25">
      <c r="A2631" t="s">
        <v>4758</v>
      </c>
      <c r="B2631" t="s">
        <v>38</v>
      </c>
      <c r="C2631" s="1">
        <v>46003.96875</v>
      </c>
      <c r="D2631" t="s">
        <v>5146</v>
      </c>
    </row>
    <row r="2632" spans="1:4" x14ac:dyDescent="0.25">
      <c r="A2632" t="s">
        <v>4759</v>
      </c>
      <c r="B2632" t="s">
        <v>38</v>
      </c>
      <c r="C2632" s="1">
        <v>45969.737500000003</v>
      </c>
      <c r="D2632" t="s">
        <v>5146</v>
      </c>
    </row>
    <row r="2633" spans="1:4" x14ac:dyDescent="0.25">
      <c r="A2633" t="s">
        <v>4760</v>
      </c>
      <c r="B2633" t="s">
        <v>38</v>
      </c>
      <c r="C2633" s="1">
        <v>45969.738194444442</v>
      </c>
      <c r="D2633" t="s">
        <v>5146</v>
      </c>
    </row>
    <row r="2634" spans="1:4" x14ac:dyDescent="0.25">
      <c r="A2634" t="s">
        <v>4761</v>
      </c>
      <c r="B2634" t="s">
        <v>38</v>
      </c>
      <c r="C2634" s="1">
        <v>45969.527083333334</v>
      </c>
      <c r="D2634" t="s">
        <v>5146</v>
      </c>
    </row>
    <row r="2635" spans="1:4" x14ac:dyDescent="0.25">
      <c r="A2635" t="s">
        <v>4762</v>
      </c>
      <c r="B2635" t="s">
        <v>38</v>
      </c>
      <c r="C2635" s="1">
        <v>45969.739583333336</v>
      </c>
      <c r="D2635" t="s">
        <v>5146</v>
      </c>
    </row>
    <row r="2636" spans="1:4" x14ac:dyDescent="0.25">
      <c r="A2636" t="s">
        <v>4763</v>
      </c>
      <c r="B2636" t="s">
        <v>38</v>
      </c>
      <c r="C2636" s="1">
        <v>45969.529861111114</v>
      </c>
      <c r="D2636" t="s">
        <v>5146</v>
      </c>
    </row>
    <row r="2637" spans="1:4" x14ac:dyDescent="0.25">
      <c r="A2637" t="s">
        <v>4764</v>
      </c>
      <c r="B2637" t="s">
        <v>38</v>
      </c>
      <c r="C2637" s="1">
        <v>45969.530555555553</v>
      </c>
      <c r="D2637" t="s">
        <v>5146</v>
      </c>
    </row>
    <row r="2638" spans="1:4" x14ac:dyDescent="0.25">
      <c r="A2638" t="s">
        <v>4765</v>
      </c>
      <c r="B2638" t="s">
        <v>38</v>
      </c>
      <c r="C2638" s="1">
        <v>45969.741666666669</v>
      </c>
      <c r="D2638" t="s">
        <v>5146</v>
      </c>
    </row>
    <row r="2639" spans="1:4" x14ac:dyDescent="0.25">
      <c r="A2639" t="s">
        <v>4766</v>
      </c>
      <c r="B2639" t="s">
        <v>38</v>
      </c>
      <c r="C2639" s="1">
        <v>45969.531944444447</v>
      </c>
      <c r="D2639" t="s">
        <v>5146</v>
      </c>
    </row>
    <row r="2640" spans="1:4" x14ac:dyDescent="0.25">
      <c r="A2640" t="s">
        <v>4767</v>
      </c>
      <c r="B2640" t="s">
        <v>38</v>
      </c>
      <c r="C2640" s="1">
        <v>45977.929166666669</v>
      </c>
      <c r="D2640" t="s">
        <v>5146</v>
      </c>
    </row>
    <row r="2641" spans="1:4" x14ac:dyDescent="0.25">
      <c r="A2641" t="s">
        <v>4768</v>
      </c>
      <c r="B2641" t="s">
        <v>38</v>
      </c>
      <c r="C2641" s="1">
        <v>45973.681250000001</v>
      </c>
      <c r="D2641" t="s">
        <v>5146</v>
      </c>
    </row>
    <row r="2642" spans="1:4" x14ac:dyDescent="0.25">
      <c r="A2642" t="s">
        <v>4769</v>
      </c>
      <c r="B2642" t="s">
        <v>38</v>
      </c>
      <c r="C2642" s="1">
        <v>45973.681944444441</v>
      </c>
      <c r="D2642" t="s">
        <v>5146</v>
      </c>
    </row>
    <row r="2643" spans="1:4" x14ac:dyDescent="0.25">
      <c r="A2643" t="s">
        <v>4770</v>
      </c>
      <c r="B2643" t="s">
        <v>38</v>
      </c>
      <c r="C2643" s="1">
        <v>45973.681944444441</v>
      </c>
      <c r="D2643" t="s">
        <v>5146</v>
      </c>
    </row>
    <row r="2644" spans="1:4" x14ac:dyDescent="0.25">
      <c r="A2644" t="s">
        <v>99</v>
      </c>
      <c r="B2644" t="s">
        <v>38</v>
      </c>
      <c r="C2644" s="1">
        <v>46024.586805555555</v>
      </c>
      <c r="D2644" t="s">
        <v>5146</v>
      </c>
    </row>
    <row r="2645" spans="1:4" x14ac:dyDescent="0.25">
      <c r="A2645" t="s">
        <v>4771</v>
      </c>
      <c r="B2645" t="s">
        <v>38</v>
      </c>
      <c r="C2645" s="1">
        <v>45969.540972222225</v>
      </c>
      <c r="D2645" t="s">
        <v>5146</v>
      </c>
    </row>
    <row r="2646" spans="1:4" x14ac:dyDescent="0.25">
      <c r="A2646" t="s">
        <v>4772</v>
      </c>
      <c r="B2646" t="s">
        <v>38</v>
      </c>
      <c r="C2646" s="1">
        <v>45973.682638888888</v>
      </c>
      <c r="D2646" t="s">
        <v>5146</v>
      </c>
    </row>
    <row r="2647" spans="1:4" x14ac:dyDescent="0.25">
      <c r="A2647" t="s">
        <v>4773</v>
      </c>
      <c r="B2647" t="s">
        <v>38</v>
      </c>
      <c r="C2647" s="1">
        <v>45969.544444444444</v>
      </c>
      <c r="D2647" t="s">
        <v>5146</v>
      </c>
    </row>
    <row r="2648" spans="1:4" x14ac:dyDescent="0.25">
      <c r="A2648" t="s">
        <v>4774</v>
      </c>
      <c r="B2648" t="s">
        <v>38</v>
      </c>
      <c r="C2648" s="1">
        <v>45973.683333333334</v>
      </c>
      <c r="D2648" t="s">
        <v>5146</v>
      </c>
    </row>
    <row r="2649" spans="1:4" x14ac:dyDescent="0.25">
      <c r="A2649" t="s">
        <v>4775</v>
      </c>
      <c r="B2649" t="s">
        <v>38</v>
      </c>
      <c r="C2649" s="1">
        <v>46003.972916666666</v>
      </c>
      <c r="D2649" t="s">
        <v>5146</v>
      </c>
    </row>
    <row r="2650" spans="1:4" x14ac:dyDescent="0.25">
      <c r="A2650" t="s">
        <v>4776</v>
      </c>
      <c r="B2650" t="s">
        <v>38</v>
      </c>
      <c r="C2650" s="1">
        <v>45973.683333333334</v>
      </c>
      <c r="D2650" t="s">
        <v>5146</v>
      </c>
    </row>
    <row r="2651" spans="1:4" x14ac:dyDescent="0.25">
      <c r="A2651" t="s">
        <v>4777</v>
      </c>
      <c r="B2651" t="s">
        <v>39</v>
      </c>
      <c r="C2651" s="1">
        <v>45973.683333333334</v>
      </c>
      <c r="D2651" t="s">
        <v>5146</v>
      </c>
    </row>
    <row r="2652" spans="1:4" x14ac:dyDescent="0.25">
      <c r="A2652" t="s">
        <v>4778</v>
      </c>
      <c r="B2652" t="s">
        <v>38</v>
      </c>
      <c r="C2652" s="1">
        <v>45973.684027777781</v>
      </c>
      <c r="D2652" t="s">
        <v>5146</v>
      </c>
    </row>
    <row r="2653" spans="1:4" x14ac:dyDescent="0.25">
      <c r="A2653" t="s">
        <v>4779</v>
      </c>
      <c r="B2653" t="s">
        <v>38</v>
      </c>
      <c r="C2653" s="1">
        <v>45977.932638888888</v>
      </c>
      <c r="D2653" t="s">
        <v>5146</v>
      </c>
    </row>
    <row r="2654" spans="1:4" x14ac:dyDescent="0.25">
      <c r="A2654" t="s">
        <v>4780</v>
      </c>
      <c r="B2654" t="s">
        <v>38</v>
      </c>
      <c r="C2654" s="1">
        <v>45973.68472222222</v>
      </c>
      <c r="D2654" t="s">
        <v>5146</v>
      </c>
    </row>
    <row r="2655" spans="1:4" x14ac:dyDescent="0.25">
      <c r="A2655" t="s">
        <v>4781</v>
      </c>
      <c r="B2655" t="s">
        <v>38</v>
      </c>
      <c r="C2655" s="1">
        <v>45973.68472222222</v>
      </c>
      <c r="D2655" t="s">
        <v>5146</v>
      </c>
    </row>
    <row r="2656" spans="1:4" x14ac:dyDescent="0.25">
      <c r="A2656" t="s">
        <v>4782</v>
      </c>
      <c r="B2656" t="s">
        <v>38</v>
      </c>
      <c r="C2656" s="1">
        <v>45973.685416666667</v>
      </c>
      <c r="D2656" t="s">
        <v>5146</v>
      </c>
    </row>
    <row r="2657" spans="1:4" x14ac:dyDescent="0.25">
      <c r="A2657" t="s">
        <v>4783</v>
      </c>
      <c r="B2657" t="s">
        <v>38</v>
      </c>
      <c r="C2657" s="1">
        <v>45973.685416666667</v>
      </c>
      <c r="D2657" t="s">
        <v>5146</v>
      </c>
    </row>
    <row r="2658" spans="1:4" x14ac:dyDescent="0.25">
      <c r="A2658" t="s">
        <v>4784</v>
      </c>
      <c r="B2658" t="s">
        <v>38</v>
      </c>
      <c r="C2658" s="1">
        <v>45973.685416666667</v>
      </c>
      <c r="D2658" t="s">
        <v>5146</v>
      </c>
    </row>
    <row r="2659" spans="1:4" x14ac:dyDescent="0.25">
      <c r="A2659" t="s">
        <v>4785</v>
      </c>
      <c r="B2659" t="s">
        <v>38</v>
      </c>
      <c r="C2659" s="1">
        <v>45973.686111111114</v>
      </c>
      <c r="D2659" t="s">
        <v>5146</v>
      </c>
    </row>
    <row r="2660" spans="1:4" x14ac:dyDescent="0.25">
      <c r="A2660" t="s">
        <v>4786</v>
      </c>
      <c r="B2660" t="s">
        <v>39</v>
      </c>
      <c r="C2660" s="1">
        <v>45969.600694444445</v>
      </c>
      <c r="D2660" t="s">
        <v>5146</v>
      </c>
    </row>
    <row r="2661" spans="1:4" x14ac:dyDescent="0.25">
      <c r="A2661" t="s">
        <v>4787</v>
      </c>
      <c r="B2661" t="s">
        <v>38</v>
      </c>
      <c r="C2661" s="1">
        <v>45972.796527777777</v>
      </c>
      <c r="D2661" t="s">
        <v>5146</v>
      </c>
    </row>
    <row r="2662" spans="1:4" x14ac:dyDescent="0.25">
      <c r="A2662" t="s">
        <v>4788</v>
      </c>
      <c r="B2662" t="s">
        <v>38</v>
      </c>
      <c r="C2662" s="1">
        <v>46030.70416666667</v>
      </c>
      <c r="D2662" t="s">
        <v>5146</v>
      </c>
    </row>
    <row r="2663" spans="1:4" x14ac:dyDescent="0.25">
      <c r="A2663" t="s">
        <v>4789</v>
      </c>
      <c r="B2663" t="s">
        <v>38</v>
      </c>
      <c r="C2663" s="1">
        <v>45973.686805555553</v>
      </c>
      <c r="D2663" t="s">
        <v>5146</v>
      </c>
    </row>
    <row r="2664" spans="1:4" x14ac:dyDescent="0.25">
      <c r="A2664" t="s">
        <v>93</v>
      </c>
      <c r="B2664" t="s">
        <v>38</v>
      </c>
      <c r="C2664" s="1">
        <v>46001.50277777778</v>
      </c>
      <c r="D2664" t="s">
        <v>5146</v>
      </c>
    </row>
    <row r="2665" spans="1:4" x14ac:dyDescent="0.25">
      <c r="A2665" t="s">
        <v>4790</v>
      </c>
      <c r="B2665" t="s">
        <v>38</v>
      </c>
      <c r="C2665" s="1">
        <v>45973.6875</v>
      </c>
      <c r="D2665" t="s">
        <v>5146</v>
      </c>
    </row>
    <row r="2666" spans="1:4" x14ac:dyDescent="0.25">
      <c r="A2666" t="s">
        <v>4791</v>
      </c>
      <c r="B2666" t="s">
        <v>38</v>
      </c>
      <c r="C2666" s="1">
        <v>45969.604861111111</v>
      </c>
      <c r="D2666" t="s">
        <v>5146</v>
      </c>
    </row>
    <row r="2667" spans="1:4" x14ac:dyDescent="0.25">
      <c r="A2667" t="s">
        <v>87</v>
      </c>
      <c r="B2667" t="s">
        <v>38</v>
      </c>
      <c r="C2667" s="1">
        <v>46036.558333333334</v>
      </c>
      <c r="D2667" t="s">
        <v>5146</v>
      </c>
    </row>
    <row r="2668" spans="1:4" x14ac:dyDescent="0.25">
      <c r="A2668" t="s">
        <v>4792</v>
      </c>
      <c r="B2668" t="s">
        <v>38</v>
      </c>
      <c r="C2668" s="1">
        <v>45973.688194444447</v>
      </c>
      <c r="D2668" t="s">
        <v>5146</v>
      </c>
    </row>
    <row r="2669" spans="1:4" x14ac:dyDescent="0.25">
      <c r="A2669" t="s">
        <v>4793</v>
      </c>
      <c r="B2669" t="s">
        <v>38</v>
      </c>
      <c r="C2669" s="1">
        <v>45973.688194444447</v>
      </c>
      <c r="D2669" t="s">
        <v>5146</v>
      </c>
    </row>
    <row r="2670" spans="1:4" x14ac:dyDescent="0.25">
      <c r="A2670" t="s">
        <v>4794</v>
      </c>
      <c r="B2670" t="s">
        <v>38</v>
      </c>
      <c r="C2670" s="1">
        <v>46003.974305555559</v>
      </c>
      <c r="D2670" t="s">
        <v>5146</v>
      </c>
    </row>
    <row r="2671" spans="1:4" x14ac:dyDescent="0.25">
      <c r="A2671" t="s">
        <v>88</v>
      </c>
      <c r="B2671" t="s">
        <v>38</v>
      </c>
      <c r="C2671" s="1">
        <v>46002.65625</v>
      </c>
      <c r="D2671" t="s">
        <v>5146</v>
      </c>
    </row>
    <row r="2672" spans="1:4" x14ac:dyDescent="0.25">
      <c r="A2672" t="s">
        <v>4795</v>
      </c>
      <c r="B2672" t="s">
        <v>38</v>
      </c>
      <c r="C2672" s="1">
        <v>45969.609027777777</v>
      </c>
      <c r="D2672" t="s">
        <v>5146</v>
      </c>
    </row>
    <row r="2673" spans="1:4" x14ac:dyDescent="0.25">
      <c r="A2673" t="s">
        <v>4796</v>
      </c>
      <c r="B2673" t="s">
        <v>38</v>
      </c>
      <c r="C2673" s="1">
        <v>45973.688888888886</v>
      </c>
      <c r="D2673" t="s">
        <v>5146</v>
      </c>
    </row>
    <row r="2674" spans="1:4" x14ac:dyDescent="0.25">
      <c r="A2674" t="s">
        <v>4797</v>
      </c>
      <c r="B2674" t="s">
        <v>38</v>
      </c>
      <c r="C2674" s="1">
        <v>45969.611805555556</v>
      </c>
      <c r="D2674" t="s">
        <v>5146</v>
      </c>
    </row>
    <row r="2675" spans="1:4" x14ac:dyDescent="0.25">
      <c r="A2675" t="s">
        <v>4798</v>
      </c>
      <c r="B2675" t="s">
        <v>38</v>
      </c>
      <c r="C2675" s="1">
        <v>45969.613888888889</v>
      </c>
      <c r="D2675" t="s">
        <v>5146</v>
      </c>
    </row>
    <row r="2676" spans="1:4" x14ac:dyDescent="0.25">
      <c r="A2676" t="s">
        <v>4799</v>
      </c>
      <c r="B2676" t="s">
        <v>38</v>
      </c>
      <c r="C2676" s="1">
        <v>45969.617361111108</v>
      </c>
      <c r="D2676" t="s">
        <v>5146</v>
      </c>
    </row>
    <row r="2677" spans="1:4" x14ac:dyDescent="0.25">
      <c r="A2677" t="s">
        <v>4800</v>
      </c>
      <c r="B2677" t="s">
        <v>39</v>
      </c>
      <c r="C2677" s="1">
        <v>45969.620138888888</v>
      </c>
      <c r="D2677" t="s">
        <v>5146</v>
      </c>
    </row>
    <row r="2678" spans="1:4" x14ac:dyDescent="0.25">
      <c r="A2678" t="s">
        <v>4801</v>
      </c>
      <c r="B2678" t="s">
        <v>38</v>
      </c>
      <c r="C2678" s="1">
        <v>45973.689583333333</v>
      </c>
      <c r="D2678" t="s">
        <v>5146</v>
      </c>
    </row>
    <row r="2679" spans="1:4" x14ac:dyDescent="0.25">
      <c r="A2679" t="s">
        <v>4802</v>
      </c>
      <c r="B2679" t="s">
        <v>38</v>
      </c>
      <c r="C2679" s="1">
        <v>45973.69027777778</v>
      </c>
      <c r="D2679" t="s">
        <v>5146</v>
      </c>
    </row>
    <row r="2680" spans="1:4" x14ac:dyDescent="0.25">
      <c r="A2680" t="s">
        <v>4803</v>
      </c>
      <c r="B2680" t="s">
        <v>38</v>
      </c>
      <c r="C2680" s="1">
        <v>45973.690972222219</v>
      </c>
      <c r="D2680" t="s">
        <v>5146</v>
      </c>
    </row>
    <row r="2681" spans="1:4" x14ac:dyDescent="0.25">
      <c r="A2681" t="s">
        <v>4804</v>
      </c>
      <c r="B2681" t="s">
        <v>39</v>
      </c>
      <c r="C2681" s="1">
        <v>46021.46597222222</v>
      </c>
      <c r="D2681" t="s">
        <v>5146</v>
      </c>
    </row>
    <row r="2682" spans="1:4" x14ac:dyDescent="0.25">
      <c r="A2682" t="s">
        <v>4805</v>
      </c>
      <c r="B2682" t="s">
        <v>38</v>
      </c>
      <c r="C2682" s="1">
        <v>45973.691666666666</v>
      </c>
      <c r="D2682" t="s">
        <v>5146</v>
      </c>
    </row>
    <row r="2683" spans="1:4" x14ac:dyDescent="0.25">
      <c r="A2683" t="s">
        <v>4806</v>
      </c>
      <c r="B2683" t="s">
        <v>38</v>
      </c>
      <c r="C2683" s="1">
        <v>46043.745138888888</v>
      </c>
      <c r="D2683" t="s">
        <v>5146</v>
      </c>
    </row>
    <row r="2684" spans="1:4" x14ac:dyDescent="0.25">
      <c r="A2684" t="s">
        <v>4807</v>
      </c>
      <c r="B2684" t="s">
        <v>38</v>
      </c>
      <c r="C2684" s="1">
        <v>45973.692361111112</v>
      </c>
      <c r="D2684" t="s">
        <v>5146</v>
      </c>
    </row>
    <row r="2685" spans="1:4" x14ac:dyDescent="0.25">
      <c r="A2685" t="s">
        <v>4808</v>
      </c>
      <c r="B2685" t="s">
        <v>38</v>
      </c>
      <c r="C2685" s="1">
        <v>45973.518055555556</v>
      </c>
      <c r="D2685" t="s">
        <v>5146</v>
      </c>
    </row>
    <row r="2686" spans="1:4" x14ac:dyDescent="0.25">
      <c r="A2686" t="s">
        <v>4809</v>
      </c>
      <c r="B2686" t="s">
        <v>38</v>
      </c>
      <c r="C2686" s="1">
        <v>45973.692361111112</v>
      </c>
      <c r="D2686" t="s">
        <v>5146</v>
      </c>
    </row>
    <row r="2687" spans="1:4" x14ac:dyDescent="0.25">
      <c r="A2687" t="s">
        <v>4810</v>
      </c>
      <c r="B2687" t="s">
        <v>38</v>
      </c>
      <c r="C2687" s="1">
        <v>45973.693055555559</v>
      </c>
      <c r="D2687" t="s">
        <v>5146</v>
      </c>
    </row>
    <row r="2688" spans="1:4" x14ac:dyDescent="0.25">
      <c r="A2688" t="s">
        <v>4811</v>
      </c>
      <c r="B2688" t="s">
        <v>38</v>
      </c>
      <c r="C2688" s="1">
        <v>45973.693055555559</v>
      </c>
      <c r="D2688" t="s">
        <v>5146</v>
      </c>
    </row>
    <row r="2689" spans="1:4" x14ac:dyDescent="0.25">
      <c r="A2689" t="s">
        <v>4812</v>
      </c>
      <c r="B2689" t="s">
        <v>38</v>
      </c>
      <c r="C2689" s="1">
        <v>45973.693055555559</v>
      </c>
      <c r="D2689" t="s">
        <v>5146</v>
      </c>
    </row>
    <row r="2690" spans="1:4" x14ac:dyDescent="0.25">
      <c r="A2690" t="s">
        <v>4813</v>
      </c>
      <c r="B2690" t="s">
        <v>38</v>
      </c>
      <c r="C2690" s="1">
        <v>45973.693749999999</v>
      </c>
      <c r="D2690" t="s">
        <v>5146</v>
      </c>
    </row>
    <row r="2691" spans="1:4" x14ac:dyDescent="0.25">
      <c r="A2691" t="s">
        <v>4814</v>
      </c>
      <c r="B2691" t="s">
        <v>38</v>
      </c>
      <c r="C2691" s="1">
        <v>45973.694444444445</v>
      </c>
      <c r="D2691" t="s">
        <v>5146</v>
      </c>
    </row>
    <row r="2692" spans="1:4" x14ac:dyDescent="0.25">
      <c r="A2692" t="s">
        <v>79</v>
      </c>
      <c r="B2692" t="s">
        <v>38</v>
      </c>
      <c r="C2692" s="1">
        <v>46024.804166666669</v>
      </c>
      <c r="D2692" t="s">
        <v>5146</v>
      </c>
    </row>
    <row r="2693" spans="1:4" x14ac:dyDescent="0.25">
      <c r="A2693" t="s">
        <v>4815</v>
      </c>
      <c r="B2693" t="s">
        <v>38</v>
      </c>
      <c r="C2693" s="1">
        <v>45973.694444444445</v>
      </c>
      <c r="D2693" t="s">
        <v>5146</v>
      </c>
    </row>
    <row r="2694" spans="1:4" x14ac:dyDescent="0.25">
      <c r="A2694" t="s">
        <v>4816</v>
      </c>
      <c r="B2694" t="s">
        <v>38</v>
      </c>
      <c r="C2694" s="1">
        <v>45969.647916666669</v>
      </c>
      <c r="D2694" t="s">
        <v>5146</v>
      </c>
    </row>
    <row r="2695" spans="1:4" x14ac:dyDescent="0.25">
      <c r="A2695" t="s">
        <v>4817</v>
      </c>
      <c r="B2695" t="s">
        <v>38</v>
      </c>
      <c r="C2695" s="1">
        <v>45969.649305555555</v>
      </c>
      <c r="D2695" t="s">
        <v>5146</v>
      </c>
    </row>
    <row r="2696" spans="1:4" x14ac:dyDescent="0.25">
      <c r="A2696" t="s">
        <v>75</v>
      </c>
      <c r="B2696" t="s">
        <v>38</v>
      </c>
      <c r="C2696" s="1">
        <v>46036.678472222222</v>
      </c>
      <c r="D2696" t="s">
        <v>5146</v>
      </c>
    </row>
    <row r="2697" spans="1:4" x14ac:dyDescent="0.25">
      <c r="A2697" t="s">
        <v>4818</v>
      </c>
      <c r="B2697" t="s">
        <v>38</v>
      </c>
      <c r="C2697" s="1">
        <v>45969.65</v>
      </c>
      <c r="D2697" t="s">
        <v>5146</v>
      </c>
    </row>
    <row r="2698" spans="1:4" x14ac:dyDescent="0.25">
      <c r="A2698" t="s">
        <v>4819</v>
      </c>
      <c r="B2698" t="s">
        <v>39</v>
      </c>
      <c r="C2698" s="1">
        <v>45981.401388888888</v>
      </c>
      <c r="D2698" t="s">
        <v>5146</v>
      </c>
    </row>
    <row r="2699" spans="1:4" x14ac:dyDescent="0.25">
      <c r="A2699" t="s">
        <v>4820</v>
      </c>
      <c r="B2699" t="s">
        <v>38</v>
      </c>
      <c r="C2699" s="1">
        <v>45973.695138888892</v>
      </c>
      <c r="D2699" t="s">
        <v>5146</v>
      </c>
    </row>
    <row r="2700" spans="1:4" x14ac:dyDescent="0.25">
      <c r="A2700" t="s">
        <v>4821</v>
      </c>
      <c r="B2700" t="s">
        <v>38</v>
      </c>
      <c r="C2700" s="1">
        <v>45973.695833333331</v>
      </c>
      <c r="D2700" t="s">
        <v>5146</v>
      </c>
    </row>
    <row r="2701" spans="1:4" x14ac:dyDescent="0.25">
      <c r="A2701" t="s">
        <v>4822</v>
      </c>
      <c r="B2701" t="s">
        <v>39</v>
      </c>
      <c r="C2701" s="1">
        <v>45969.655555555553</v>
      </c>
      <c r="D2701" t="s">
        <v>5146</v>
      </c>
    </row>
    <row r="2702" spans="1:4" x14ac:dyDescent="0.25">
      <c r="A2702" t="s">
        <v>4823</v>
      </c>
      <c r="B2702" t="s">
        <v>38</v>
      </c>
      <c r="C2702" s="1">
        <v>45973.697222222225</v>
      </c>
      <c r="D2702" t="s">
        <v>5146</v>
      </c>
    </row>
    <row r="2703" spans="1:4" x14ac:dyDescent="0.25">
      <c r="A2703" t="s">
        <v>4824</v>
      </c>
      <c r="B2703" t="s">
        <v>38</v>
      </c>
      <c r="C2703" s="1">
        <v>45973.697222222225</v>
      </c>
      <c r="D2703" t="s">
        <v>5146</v>
      </c>
    </row>
    <row r="2704" spans="1:4" x14ac:dyDescent="0.25">
      <c r="A2704" t="s">
        <v>4825</v>
      </c>
      <c r="B2704" t="s">
        <v>38</v>
      </c>
      <c r="C2704" s="1">
        <v>45992.774305555555</v>
      </c>
      <c r="D2704" t="s">
        <v>5146</v>
      </c>
    </row>
    <row r="2705" spans="1:4" x14ac:dyDescent="0.25">
      <c r="A2705" t="s">
        <v>4826</v>
      </c>
      <c r="B2705" t="s">
        <v>38</v>
      </c>
      <c r="C2705" s="1">
        <v>45973.697916666664</v>
      </c>
      <c r="D2705" t="s">
        <v>5146</v>
      </c>
    </row>
    <row r="2706" spans="1:4" x14ac:dyDescent="0.25">
      <c r="A2706" t="s">
        <v>4827</v>
      </c>
      <c r="B2706" t="s">
        <v>38</v>
      </c>
      <c r="C2706" s="1">
        <v>45973.697916666664</v>
      </c>
      <c r="D2706" t="s">
        <v>5146</v>
      </c>
    </row>
    <row r="2707" spans="1:4" x14ac:dyDescent="0.25">
      <c r="A2707" t="s">
        <v>4828</v>
      </c>
      <c r="B2707" t="s">
        <v>38</v>
      </c>
      <c r="C2707" s="1">
        <v>45973.697916666664</v>
      </c>
      <c r="D2707" t="s">
        <v>5146</v>
      </c>
    </row>
    <row r="2708" spans="1:4" x14ac:dyDescent="0.25">
      <c r="A2708" t="s">
        <v>77</v>
      </c>
      <c r="B2708" t="s">
        <v>38</v>
      </c>
      <c r="C2708" s="1">
        <v>46024.78125</v>
      </c>
      <c r="D2708" t="s">
        <v>5146</v>
      </c>
    </row>
    <row r="2709" spans="1:4" x14ac:dyDescent="0.25">
      <c r="A2709" t="s">
        <v>4829</v>
      </c>
      <c r="B2709" t="s">
        <v>38</v>
      </c>
      <c r="C2709" s="1">
        <v>45973.698611111111</v>
      </c>
      <c r="D2709" t="s">
        <v>5146</v>
      </c>
    </row>
    <row r="2710" spans="1:4" x14ac:dyDescent="0.25">
      <c r="A2710" t="s">
        <v>4830</v>
      </c>
      <c r="B2710" t="s">
        <v>38</v>
      </c>
      <c r="C2710" s="1">
        <v>45973.698611111111</v>
      </c>
      <c r="D2710" t="s">
        <v>5146</v>
      </c>
    </row>
    <row r="2711" spans="1:4" x14ac:dyDescent="0.25">
      <c r="A2711" t="s">
        <v>4831</v>
      </c>
      <c r="B2711" t="s">
        <v>38</v>
      </c>
      <c r="C2711" s="1">
        <v>45973.699305555558</v>
      </c>
      <c r="D2711" t="s">
        <v>5146</v>
      </c>
    </row>
    <row r="2712" spans="1:4" x14ac:dyDescent="0.25">
      <c r="A2712" t="s">
        <v>4832</v>
      </c>
      <c r="B2712" t="s">
        <v>38</v>
      </c>
      <c r="C2712" s="1">
        <v>45980.661805555559</v>
      </c>
      <c r="D2712" t="s">
        <v>5146</v>
      </c>
    </row>
    <row r="2713" spans="1:4" x14ac:dyDescent="0.25">
      <c r="A2713" t="s">
        <v>4833</v>
      </c>
      <c r="B2713" t="s">
        <v>38</v>
      </c>
      <c r="C2713" s="1">
        <v>45969.70416666667</v>
      </c>
      <c r="D2713" t="s">
        <v>5146</v>
      </c>
    </row>
    <row r="2714" spans="1:4" x14ac:dyDescent="0.25">
      <c r="A2714" t="s">
        <v>4834</v>
      </c>
      <c r="B2714" t="s">
        <v>38</v>
      </c>
      <c r="C2714" s="1">
        <v>45969.703472222223</v>
      </c>
      <c r="D2714" t="s">
        <v>5146</v>
      </c>
    </row>
    <row r="2715" spans="1:4" x14ac:dyDescent="0.25">
      <c r="A2715" t="s">
        <v>4835</v>
      </c>
      <c r="B2715" t="s">
        <v>38</v>
      </c>
      <c r="C2715" s="1">
        <v>45971.426388888889</v>
      </c>
      <c r="D2715" t="s">
        <v>5146</v>
      </c>
    </row>
    <row r="2716" spans="1:4" x14ac:dyDescent="0.25">
      <c r="A2716" t="s">
        <v>4836</v>
      </c>
      <c r="B2716" t="s">
        <v>38</v>
      </c>
      <c r="C2716" s="1">
        <v>45971.429166666669</v>
      </c>
      <c r="D2716" t="s">
        <v>5146</v>
      </c>
    </row>
    <row r="2717" spans="1:4" x14ac:dyDescent="0.25">
      <c r="A2717" t="s">
        <v>4837</v>
      </c>
      <c r="B2717" t="s">
        <v>38</v>
      </c>
      <c r="C2717" s="1">
        <v>45971.429861111108</v>
      </c>
      <c r="D2717" t="s">
        <v>5146</v>
      </c>
    </row>
    <row r="2718" spans="1:4" x14ac:dyDescent="0.25">
      <c r="A2718" t="s">
        <v>4838</v>
      </c>
      <c r="B2718" t="s">
        <v>38</v>
      </c>
      <c r="C2718" s="1">
        <v>45971.429861111108</v>
      </c>
      <c r="D2718" t="s">
        <v>5146</v>
      </c>
    </row>
    <row r="2719" spans="1:4" x14ac:dyDescent="0.25">
      <c r="A2719" t="s">
        <v>4839</v>
      </c>
      <c r="B2719" t="s">
        <v>38</v>
      </c>
      <c r="C2719" s="1">
        <v>45971.429861111108</v>
      </c>
      <c r="D2719" t="s">
        <v>5146</v>
      </c>
    </row>
    <row r="2720" spans="1:4" x14ac:dyDescent="0.25">
      <c r="A2720" t="s">
        <v>4840</v>
      </c>
      <c r="B2720" t="s">
        <v>38</v>
      </c>
      <c r="C2720" s="1">
        <v>45971.429861111108</v>
      </c>
      <c r="D2720" t="s">
        <v>5146</v>
      </c>
    </row>
    <row r="2721" spans="1:4" x14ac:dyDescent="0.25">
      <c r="A2721" t="s">
        <v>4841</v>
      </c>
      <c r="B2721" t="s">
        <v>38</v>
      </c>
      <c r="C2721" s="1">
        <v>45971.424305555556</v>
      </c>
      <c r="D2721" t="s">
        <v>5146</v>
      </c>
    </row>
    <row r="2722" spans="1:4" x14ac:dyDescent="0.25">
      <c r="A2722" t="s">
        <v>72</v>
      </c>
      <c r="B2722" t="s">
        <v>38</v>
      </c>
      <c r="C2722" s="1">
        <v>45996.646527777775</v>
      </c>
      <c r="D2722" t="s">
        <v>5146</v>
      </c>
    </row>
    <row r="2723" spans="1:4" x14ac:dyDescent="0.25">
      <c r="A2723" t="s">
        <v>4842</v>
      </c>
      <c r="B2723" t="s">
        <v>38</v>
      </c>
      <c r="C2723" s="1">
        <v>45969.707638888889</v>
      </c>
      <c r="D2723" t="s">
        <v>5146</v>
      </c>
    </row>
    <row r="2724" spans="1:4" x14ac:dyDescent="0.25">
      <c r="A2724" t="s">
        <v>4843</v>
      </c>
      <c r="B2724" t="s">
        <v>38</v>
      </c>
      <c r="C2724" s="1">
        <v>45971.425000000003</v>
      </c>
      <c r="D2724" t="s">
        <v>5146</v>
      </c>
    </row>
    <row r="2725" spans="1:4" x14ac:dyDescent="0.25">
      <c r="A2725" t="s">
        <v>4844</v>
      </c>
      <c r="B2725" t="s">
        <v>38</v>
      </c>
      <c r="C2725" s="1">
        <v>45969.707638888889</v>
      </c>
      <c r="D2725" t="s">
        <v>5146</v>
      </c>
    </row>
    <row r="2726" spans="1:4" x14ac:dyDescent="0.25">
      <c r="A2726" t="s">
        <v>4845</v>
      </c>
      <c r="B2726" t="s">
        <v>38</v>
      </c>
      <c r="C2726" s="1">
        <v>45971.425000000003</v>
      </c>
      <c r="D2726" t="s">
        <v>5146</v>
      </c>
    </row>
    <row r="2727" spans="1:4" x14ac:dyDescent="0.25">
      <c r="A2727" t="s">
        <v>4846</v>
      </c>
      <c r="B2727" t="s">
        <v>38</v>
      </c>
      <c r="C2727" s="1">
        <v>45969.705555555556</v>
      </c>
      <c r="D2727" t="s">
        <v>5146</v>
      </c>
    </row>
    <row r="2728" spans="1:4" x14ac:dyDescent="0.25">
      <c r="A2728" t="s">
        <v>4847</v>
      </c>
      <c r="B2728" t="s">
        <v>38</v>
      </c>
      <c r="C2728" s="1">
        <v>45971.424305555556</v>
      </c>
      <c r="D2728" t="s">
        <v>5146</v>
      </c>
    </row>
    <row r="2729" spans="1:4" x14ac:dyDescent="0.25">
      <c r="A2729" t="s">
        <v>73</v>
      </c>
      <c r="B2729" t="s">
        <v>38</v>
      </c>
      <c r="C2729" s="1">
        <v>46024.793749999997</v>
      </c>
      <c r="D2729" t="s">
        <v>5146</v>
      </c>
    </row>
    <row r="2730" spans="1:4" x14ac:dyDescent="0.25">
      <c r="A2730" t="s">
        <v>4848</v>
      </c>
      <c r="B2730" t="s">
        <v>38</v>
      </c>
      <c r="C2730" s="1">
        <v>45971.424305555556</v>
      </c>
      <c r="D2730" t="s">
        <v>5146</v>
      </c>
    </row>
    <row r="2731" spans="1:4" x14ac:dyDescent="0.25">
      <c r="A2731" t="s">
        <v>4849</v>
      </c>
      <c r="B2731" t="s">
        <v>38</v>
      </c>
      <c r="C2731" s="1">
        <v>45969.702777777777</v>
      </c>
      <c r="D2731" t="s">
        <v>5146</v>
      </c>
    </row>
    <row r="2732" spans="1:4" x14ac:dyDescent="0.25">
      <c r="A2732" t="s">
        <v>4850</v>
      </c>
      <c r="B2732" t="s">
        <v>39</v>
      </c>
      <c r="C2732" s="1">
        <v>45969.702777777777</v>
      </c>
      <c r="D2732" t="s">
        <v>5146</v>
      </c>
    </row>
    <row r="2733" spans="1:4" x14ac:dyDescent="0.25">
      <c r="A2733" t="s">
        <v>4851</v>
      </c>
      <c r="B2733" t="s">
        <v>38</v>
      </c>
      <c r="C2733" s="1">
        <v>45971.422222222223</v>
      </c>
      <c r="D2733" t="s">
        <v>5146</v>
      </c>
    </row>
    <row r="2734" spans="1:4" x14ac:dyDescent="0.25">
      <c r="A2734" t="s">
        <v>4852</v>
      </c>
      <c r="B2734" t="s">
        <v>38</v>
      </c>
      <c r="C2734" s="1">
        <v>45969.751388888886</v>
      </c>
      <c r="D2734" t="s">
        <v>5146</v>
      </c>
    </row>
    <row r="2735" spans="1:4" x14ac:dyDescent="0.25">
      <c r="A2735" t="s">
        <v>4853</v>
      </c>
      <c r="B2735" t="s">
        <v>38</v>
      </c>
      <c r="C2735" s="1">
        <v>45969.681944444441</v>
      </c>
      <c r="D2735" t="s">
        <v>5146</v>
      </c>
    </row>
    <row r="2736" spans="1:4" x14ac:dyDescent="0.25">
      <c r="A2736" t="s">
        <v>4854</v>
      </c>
      <c r="B2736" t="s">
        <v>39</v>
      </c>
      <c r="C2736" s="1">
        <v>45971.472916666666</v>
      </c>
      <c r="D2736" t="s">
        <v>5146</v>
      </c>
    </row>
    <row r="2737" spans="1:4" x14ac:dyDescent="0.25">
      <c r="A2737" t="s">
        <v>4855</v>
      </c>
      <c r="B2737" t="s">
        <v>38</v>
      </c>
      <c r="C2737" s="1">
        <v>45969.751388888886</v>
      </c>
      <c r="D2737" t="s">
        <v>5146</v>
      </c>
    </row>
    <row r="2738" spans="1:4" x14ac:dyDescent="0.25">
      <c r="A2738" t="s">
        <v>4856</v>
      </c>
      <c r="B2738" t="s">
        <v>38</v>
      </c>
      <c r="C2738" s="1">
        <v>45969.751388888886</v>
      </c>
      <c r="D2738" t="s">
        <v>5146</v>
      </c>
    </row>
    <row r="2739" spans="1:4" x14ac:dyDescent="0.25">
      <c r="A2739" t="s">
        <v>65</v>
      </c>
      <c r="B2739" t="s">
        <v>38</v>
      </c>
      <c r="C2739" s="1">
        <v>45995.620833333334</v>
      </c>
      <c r="D2739" t="s">
        <v>5146</v>
      </c>
    </row>
    <row r="2740" spans="1:4" x14ac:dyDescent="0.25">
      <c r="A2740" t="s">
        <v>4857</v>
      </c>
      <c r="B2740" t="s">
        <v>38</v>
      </c>
      <c r="C2740" s="1">
        <v>45969.751388888886</v>
      </c>
      <c r="D2740" t="s">
        <v>5146</v>
      </c>
    </row>
    <row r="2741" spans="1:4" x14ac:dyDescent="0.25">
      <c r="A2741" t="s">
        <v>66</v>
      </c>
      <c r="B2741" t="s">
        <v>38</v>
      </c>
      <c r="C2741" s="1">
        <v>46024.800000000003</v>
      </c>
      <c r="D2741" t="s">
        <v>5146</v>
      </c>
    </row>
    <row r="2742" spans="1:4" x14ac:dyDescent="0.25">
      <c r="A2742" t="s">
        <v>4858</v>
      </c>
      <c r="B2742" t="s">
        <v>38</v>
      </c>
      <c r="C2742" s="1">
        <v>45969.752083333333</v>
      </c>
      <c r="D2742" t="s">
        <v>5146</v>
      </c>
    </row>
    <row r="2743" spans="1:4" x14ac:dyDescent="0.25">
      <c r="A2743" t="s">
        <v>4859</v>
      </c>
      <c r="B2743" t="s">
        <v>38</v>
      </c>
      <c r="C2743" s="1">
        <v>45969.752083333333</v>
      </c>
      <c r="D2743" t="s">
        <v>5146</v>
      </c>
    </row>
    <row r="2744" spans="1:4" x14ac:dyDescent="0.25">
      <c r="A2744" t="s">
        <v>4860</v>
      </c>
      <c r="B2744" t="s">
        <v>38</v>
      </c>
      <c r="C2744" s="1">
        <v>45969.748611111114</v>
      </c>
      <c r="D2744" t="s">
        <v>5146</v>
      </c>
    </row>
    <row r="2745" spans="1:4" x14ac:dyDescent="0.25">
      <c r="A2745" t="s">
        <v>68</v>
      </c>
      <c r="B2745" t="s">
        <v>38</v>
      </c>
      <c r="C2745" s="1">
        <v>46022.570138888892</v>
      </c>
      <c r="D2745" t="s">
        <v>5146</v>
      </c>
    </row>
    <row r="2746" spans="1:4" x14ac:dyDescent="0.25">
      <c r="A2746" t="s">
        <v>4861</v>
      </c>
      <c r="B2746" t="s">
        <v>38</v>
      </c>
      <c r="C2746" s="1">
        <v>45969.748611111114</v>
      </c>
      <c r="D2746" t="s">
        <v>5146</v>
      </c>
    </row>
    <row r="2747" spans="1:4" x14ac:dyDescent="0.25">
      <c r="A2747" t="s">
        <v>4862</v>
      </c>
      <c r="B2747" t="s">
        <v>39</v>
      </c>
      <c r="C2747" s="1">
        <v>45969.700694444444</v>
      </c>
      <c r="D2747" t="s">
        <v>5146</v>
      </c>
    </row>
    <row r="2748" spans="1:4" x14ac:dyDescent="0.25">
      <c r="A2748" t="s">
        <v>4863</v>
      </c>
      <c r="B2748" t="s">
        <v>38</v>
      </c>
      <c r="C2748" s="1">
        <v>45969.748611111114</v>
      </c>
      <c r="D2748" t="s">
        <v>5146</v>
      </c>
    </row>
    <row r="2749" spans="1:4" x14ac:dyDescent="0.25">
      <c r="A2749" t="s">
        <v>4864</v>
      </c>
      <c r="B2749" t="s">
        <v>38</v>
      </c>
      <c r="C2749" s="1">
        <v>45969.749305555553</v>
      </c>
      <c r="D2749" t="s">
        <v>5146</v>
      </c>
    </row>
    <row r="2750" spans="1:4" x14ac:dyDescent="0.25">
      <c r="A2750" t="s">
        <v>4865</v>
      </c>
      <c r="B2750" t="s">
        <v>38</v>
      </c>
      <c r="C2750" s="1">
        <v>45969.749305555553</v>
      </c>
      <c r="D2750" t="s">
        <v>5146</v>
      </c>
    </row>
    <row r="2751" spans="1:4" x14ac:dyDescent="0.25">
      <c r="A2751" t="s">
        <v>4866</v>
      </c>
      <c r="B2751" t="s">
        <v>38</v>
      </c>
      <c r="C2751" s="1">
        <v>45969.749305555553</v>
      </c>
      <c r="D2751" t="s">
        <v>5146</v>
      </c>
    </row>
    <row r="2752" spans="1:4" x14ac:dyDescent="0.25">
      <c r="A2752" t="s">
        <v>4867</v>
      </c>
      <c r="B2752" t="s">
        <v>38</v>
      </c>
      <c r="C2752" s="1">
        <v>46003.979861111111</v>
      </c>
      <c r="D2752" t="s">
        <v>5146</v>
      </c>
    </row>
    <row r="2753" spans="1:4" x14ac:dyDescent="0.25">
      <c r="A2753" t="s">
        <v>4868</v>
      </c>
      <c r="B2753" t="s">
        <v>38</v>
      </c>
      <c r="C2753" s="1">
        <v>45969.749305555553</v>
      </c>
      <c r="D2753" t="s">
        <v>5146</v>
      </c>
    </row>
    <row r="2754" spans="1:4" x14ac:dyDescent="0.25">
      <c r="A2754" t="s">
        <v>4869</v>
      </c>
      <c r="B2754" t="s">
        <v>38</v>
      </c>
      <c r="C2754" s="1">
        <v>45969.75</v>
      </c>
      <c r="D2754" t="s">
        <v>5146</v>
      </c>
    </row>
    <row r="2755" spans="1:4" x14ac:dyDescent="0.25">
      <c r="A2755" t="s">
        <v>4870</v>
      </c>
      <c r="B2755" t="s">
        <v>38</v>
      </c>
      <c r="C2755" s="1">
        <v>45969.75</v>
      </c>
      <c r="D2755" t="s">
        <v>5146</v>
      </c>
    </row>
    <row r="2756" spans="1:4" x14ac:dyDescent="0.25">
      <c r="A2756" t="s">
        <v>4871</v>
      </c>
      <c r="B2756" t="s">
        <v>38</v>
      </c>
      <c r="C2756" s="1">
        <v>45969.75</v>
      </c>
      <c r="D2756" t="s">
        <v>5146</v>
      </c>
    </row>
    <row r="2757" spans="1:4" x14ac:dyDescent="0.25">
      <c r="A2757" t="s">
        <v>4872</v>
      </c>
      <c r="B2757" t="s">
        <v>38</v>
      </c>
      <c r="C2757" s="1">
        <v>45980.475694444445</v>
      </c>
      <c r="D2757" t="s">
        <v>5146</v>
      </c>
    </row>
    <row r="2758" spans="1:4" x14ac:dyDescent="0.25">
      <c r="A2758" t="s">
        <v>4873</v>
      </c>
      <c r="B2758" t="s">
        <v>38</v>
      </c>
      <c r="C2758" s="1">
        <v>45969.700694444444</v>
      </c>
      <c r="D2758" t="s">
        <v>5146</v>
      </c>
    </row>
    <row r="2759" spans="1:4" x14ac:dyDescent="0.25">
      <c r="A2759" t="s">
        <v>4874</v>
      </c>
      <c r="B2759" t="s">
        <v>38</v>
      </c>
      <c r="C2759" s="1">
        <v>45968.688888888886</v>
      </c>
      <c r="D2759" t="s">
        <v>5146</v>
      </c>
    </row>
    <row r="2760" spans="1:4" x14ac:dyDescent="0.25">
      <c r="A2760" t="s">
        <v>4875</v>
      </c>
      <c r="B2760" t="s">
        <v>39</v>
      </c>
      <c r="C2760" s="1">
        <v>45969.750694444447</v>
      </c>
      <c r="D2760" t="s">
        <v>5146</v>
      </c>
    </row>
    <row r="2761" spans="1:4" x14ac:dyDescent="0.25">
      <c r="A2761" t="s">
        <v>4876</v>
      </c>
      <c r="B2761" t="s">
        <v>38</v>
      </c>
      <c r="C2761" s="1">
        <v>45969.746527777781</v>
      </c>
      <c r="D2761" t="s">
        <v>5146</v>
      </c>
    </row>
    <row r="2762" spans="1:4" x14ac:dyDescent="0.25">
      <c r="A2762" t="s">
        <v>4877</v>
      </c>
      <c r="B2762" t="s">
        <v>39</v>
      </c>
      <c r="C2762" s="1">
        <v>45969.746527777781</v>
      </c>
      <c r="D2762" t="s">
        <v>5146</v>
      </c>
    </row>
    <row r="2763" spans="1:4" x14ac:dyDescent="0.25">
      <c r="A2763" t="s">
        <v>4878</v>
      </c>
      <c r="B2763" t="s">
        <v>38</v>
      </c>
      <c r="C2763" s="1">
        <v>45973.709027777775</v>
      </c>
      <c r="D2763" t="s">
        <v>5146</v>
      </c>
    </row>
    <row r="2764" spans="1:4" x14ac:dyDescent="0.25">
      <c r="A2764" t="s">
        <v>4879</v>
      </c>
      <c r="B2764" t="s">
        <v>38</v>
      </c>
      <c r="C2764" s="1">
        <v>45990.595833333333</v>
      </c>
      <c r="D2764" t="s">
        <v>5146</v>
      </c>
    </row>
    <row r="2765" spans="1:4" x14ac:dyDescent="0.25">
      <c r="A2765" t="s">
        <v>4880</v>
      </c>
      <c r="B2765" t="s">
        <v>39</v>
      </c>
      <c r="C2765" s="1">
        <v>45968.427083333336</v>
      </c>
      <c r="D2765" t="s">
        <v>5146</v>
      </c>
    </row>
    <row r="2766" spans="1:4" x14ac:dyDescent="0.25">
      <c r="A2766" t="s">
        <v>4881</v>
      </c>
      <c r="B2766" t="s">
        <v>38</v>
      </c>
      <c r="C2766" s="1">
        <v>45968.787499999999</v>
      </c>
      <c r="D2766" t="s">
        <v>5146</v>
      </c>
    </row>
    <row r="2767" spans="1:4" x14ac:dyDescent="0.25">
      <c r="A2767" t="s">
        <v>4882</v>
      </c>
      <c r="B2767" t="s">
        <v>38</v>
      </c>
      <c r="C2767" s="1">
        <v>45969.74722222222</v>
      </c>
      <c r="D2767" t="s">
        <v>5146</v>
      </c>
    </row>
    <row r="2768" spans="1:4" x14ac:dyDescent="0.25">
      <c r="A2768" t="s">
        <v>4883</v>
      </c>
      <c r="B2768" t="s">
        <v>38</v>
      </c>
      <c r="C2768" s="1">
        <v>45969.74722222222</v>
      </c>
      <c r="D2768" t="s">
        <v>5146</v>
      </c>
    </row>
    <row r="2769" spans="1:4" x14ac:dyDescent="0.25">
      <c r="A2769" t="s">
        <v>45</v>
      </c>
      <c r="B2769" t="s">
        <v>38</v>
      </c>
      <c r="C2769" s="1">
        <v>45994.436111111114</v>
      </c>
      <c r="D2769" t="s">
        <v>5146</v>
      </c>
    </row>
    <row r="2770" spans="1:4" x14ac:dyDescent="0.25">
      <c r="A2770" t="s">
        <v>4884</v>
      </c>
      <c r="B2770" t="s">
        <v>38</v>
      </c>
      <c r="C2770" s="1">
        <v>45969.634027777778</v>
      </c>
      <c r="D2770" t="s">
        <v>5146</v>
      </c>
    </row>
    <row r="2771" spans="1:4" x14ac:dyDescent="0.25">
      <c r="A2771" t="s">
        <v>4885</v>
      </c>
      <c r="B2771" t="s">
        <v>38</v>
      </c>
      <c r="C2771" s="1">
        <v>45969.747916666667</v>
      </c>
      <c r="D2771" t="s">
        <v>5146</v>
      </c>
    </row>
    <row r="2772" spans="1:4" x14ac:dyDescent="0.25">
      <c r="A2772" t="s">
        <v>4886</v>
      </c>
      <c r="B2772" t="s">
        <v>38</v>
      </c>
      <c r="C2772" s="1">
        <v>45969.747916666667</v>
      </c>
      <c r="D2772" t="s">
        <v>5146</v>
      </c>
    </row>
    <row r="2773" spans="1:4" x14ac:dyDescent="0.25">
      <c r="A2773" t="s">
        <v>4887</v>
      </c>
      <c r="B2773" t="s">
        <v>38</v>
      </c>
      <c r="C2773" s="1">
        <v>45969.748611111114</v>
      </c>
      <c r="D2773" t="s">
        <v>5146</v>
      </c>
    </row>
    <row r="2774" spans="1:4" x14ac:dyDescent="0.25">
      <c r="A2774" t="s">
        <v>4888</v>
      </c>
      <c r="B2774" t="s">
        <v>38</v>
      </c>
      <c r="C2774" s="1">
        <v>45969.746527777781</v>
      </c>
      <c r="D2774" t="s">
        <v>5146</v>
      </c>
    </row>
    <row r="2775" spans="1:4" x14ac:dyDescent="0.25">
      <c r="A2775" t="s">
        <v>4889</v>
      </c>
      <c r="B2775" t="s">
        <v>38</v>
      </c>
      <c r="C2775" s="1">
        <v>45969.746527777781</v>
      </c>
      <c r="D2775" t="s">
        <v>5146</v>
      </c>
    </row>
    <row r="2776" spans="1:4" x14ac:dyDescent="0.25">
      <c r="A2776" t="s">
        <v>52</v>
      </c>
      <c r="B2776" t="s">
        <v>39</v>
      </c>
      <c r="C2776" s="1">
        <v>46029.736805555556</v>
      </c>
      <c r="D2776" t="s">
        <v>5146</v>
      </c>
    </row>
    <row r="2777" spans="1:4" x14ac:dyDescent="0.25">
      <c r="A2777" t="s">
        <v>4890</v>
      </c>
      <c r="B2777" t="s">
        <v>38</v>
      </c>
      <c r="C2777" s="1">
        <v>46038.539583333331</v>
      </c>
      <c r="D2777" t="s">
        <v>5146</v>
      </c>
    </row>
    <row r="2778" spans="1:4" x14ac:dyDescent="0.25">
      <c r="A2778" t="s">
        <v>4891</v>
      </c>
      <c r="B2778" t="s">
        <v>38</v>
      </c>
      <c r="C2778" s="1">
        <v>45969.745833333334</v>
      </c>
      <c r="D2778" t="s">
        <v>5146</v>
      </c>
    </row>
    <row r="2779" spans="1:4" x14ac:dyDescent="0.25">
      <c r="A2779" t="s">
        <v>4892</v>
      </c>
      <c r="B2779" t="s">
        <v>38</v>
      </c>
      <c r="C2779" s="1">
        <v>46003.980555555558</v>
      </c>
      <c r="D2779" t="s">
        <v>5146</v>
      </c>
    </row>
    <row r="2780" spans="1:4" x14ac:dyDescent="0.25">
      <c r="A2780" t="s">
        <v>4893</v>
      </c>
      <c r="B2780" t="s">
        <v>38</v>
      </c>
      <c r="C2780" s="1">
        <v>45969.745833333334</v>
      </c>
      <c r="D2780" t="s">
        <v>5146</v>
      </c>
    </row>
    <row r="2781" spans="1:4" x14ac:dyDescent="0.25">
      <c r="A2781" t="s">
        <v>53</v>
      </c>
      <c r="B2781" t="s">
        <v>38</v>
      </c>
      <c r="C2781" s="1">
        <v>46024.788888888892</v>
      </c>
      <c r="D2781" t="s">
        <v>5146</v>
      </c>
    </row>
    <row r="2782" spans="1:4" x14ac:dyDescent="0.25">
      <c r="A2782" t="s">
        <v>4894</v>
      </c>
      <c r="B2782" t="s">
        <v>38</v>
      </c>
      <c r="C2782" s="1">
        <v>45989.53125</v>
      </c>
      <c r="D2782" t="s">
        <v>5146</v>
      </c>
    </row>
    <row r="2783" spans="1:4" x14ac:dyDescent="0.25">
      <c r="A2783" t="s">
        <v>4895</v>
      </c>
      <c r="B2783" t="s">
        <v>38</v>
      </c>
      <c r="C2783" s="1">
        <v>45965.517361111109</v>
      </c>
      <c r="D2783" t="s">
        <v>5146</v>
      </c>
    </row>
    <row r="2784" spans="1:4" x14ac:dyDescent="0.25">
      <c r="A2784" t="s">
        <v>4896</v>
      </c>
      <c r="B2784" t="s">
        <v>38</v>
      </c>
      <c r="C2784" s="1">
        <v>45969.745138888888</v>
      </c>
      <c r="D2784" t="s">
        <v>5146</v>
      </c>
    </row>
    <row r="2785" spans="1:4" x14ac:dyDescent="0.25">
      <c r="A2785" t="s">
        <v>4897</v>
      </c>
      <c r="B2785" t="s">
        <v>38</v>
      </c>
      <c r="C2785" s="1">
        <v>45969.744444444441</v>
      </c>
      <c r="D2785" t="s">
        <v>5146</v>
      </c>
    </row>
    <row r="2786" spans="1:4" x14ac:dyDescent="0.25">
      <c r="A2786" t="s">
        <v>54</v>
      </c>
      <c r="B2786" t="s">
        <v>38</v>
      </c>
      <c r="C2786" s="1">
        <v>45996.581944444442</v>
      </c>
      <c r="D2786" t="s">
        <v>5146</v>
      </c>
    </row>
    <row r="2787" spans="1:4" x14ac:dyDescent="0.25">
      <c r="A2787" t="s">
        <v>4898</v>
      </c>
      <c r="B2787" t="s">
        <v>38</v>
      </c>
      <c r="C2787" s="1">
        <v>45969.744444444441</v>
      </c>
      <c r="D2787" t="s">
        <v>5146</v>
      </c>
    </row>
    <row r="2788" spans="1:4" x14ac:dyDescent="0.25">
      <c r="A2788" t="s">
        <v>4899</v>
      </c>
      <c r="B2788" t="s">
        <v>39</v>
      </c>
      <c r="C2788" s="1">
        <v>45980.878472222219</v>
      </c>
      <c r="D2788" t="s">
        <v>5146</v>
      </c>
    </row>
    <row r="2789" spans="1:4" x14ac:dyDescent="0.25">
      <c r="A2789" t="s">
        <v>57</v>
      </c>
      <c r="B2789" t="s">
        <v>38</v>
      </c>
      <c r="C2789" s="1">
        <v>45994.604166666664</v>
      </c>
      <c r="D2789" t="s">
        <v>5146</v>
      </c>
    </row>
    <row r="2790" spans="1:4" x14ac:dyDescent="0.25">
      <c r="A2790" t="s">
        <v>4900</v>
      </c>
      <c r="B2790" t="s">
        <v>38</v>
      </c>
      <c r="C2790" s="1">
        <v>45969.743750000001</v>
      </c>
      <c r="D2790" t="s">
        <v>5146</v>
      </c>
    </row>
    <row r="2791" spans="1:4" x14ac:dyDescent="0.25">
      <c r="A2791" t="s">
        <v>4901</v>
      </c>
      <c r="B2791" t="s">
        <v>38</v>
      </c>
      <c r="C2791" s="1">
        <v>45969.743055555555</v>
      </c>
      <c r="D2791" t="s">
        <v>5146</v>
      </c>
    </row>
    <row r="2792" spans="1:4" x14ac:dyDescent="0.25">
      <c r="A2792" t="s">
        <v>4902</v>
      </c>
      <c r="B2792" t="s">
        <v>38</v>
      </c>
      <c r="C2792" s="1">
        <v>45969.743055555555</v>
      </c>
      <c r="D2792" t="s">
        <v>5146</v>
      </c>
    </row>
    <row r="2793" spans="1:4" x14ac:dyDescent="0.25">
      <c r="A2793" t="s">
        <v>4903</v>
      </c>
      <c r="B2793" t="s">
        <v>38</v>
      </c>
      <c r="C2793" s="1">
        <v>45969.743055555555</v>
      </c>
      <c r="D2793" t="s">
        <v>5146</v>
      </c>
    </row>
    <row r="2794" spans="1:4" x14ac:dyDescent="0.25">
      <c r="A2794" t="s">
        <v>4904</v>
      </c>
      <c r="B2794" t="s">
        <v>38</v>
      </c>
      <c r="C2794" s="1">
        <v>45969.743055555555</v>
      </c>
      <c r="D2794" t="s">
        <v>5146</v>
      </c>
    </row>
    <row r="2795" spans="1:4" x14ac:dyDescent="0.25">
      <c r="A2795" t="s">
        <v>4905</v>
      </c>
      <c r="B2795" t="s">
        <v>38</v>
      </c>
      <c r="C2795" s="1">
        <v>45969.743055555555</v>
      </c>
      <c r="D2795" t="s">
        <v>5146</v>
      </c>
    </row>
    <row r="2796" spans="1:4" x14ac:dyDescent="0.25">
      <c r="A2796" t="s">
        <v>4906</v>
      </c>
      <c r="B2796" t="s">
        <v>38</v>
      </c>
      <c r="C2796" s="1">
        <v>45969.742361111108</v>
      </c>
      <c r="D2796" t="s">
        <v>5146</v>
      </c>
    </row>
    <row r="2797" spans="1:4" x14ac:dyDescent="0.25">
      <c r="A2797" t="s">
        <v>4907</v>
      </c>
      <c r="B2797" t="s">
        <v>38</v>
      </c>
      <c r="C2797" s="1">
        <v>45994.757638888892</v>
      </c>
      <c r="D2797" t="s">
        <v>5146</v>
      </c>
    </row>
    <row r="2798" spans="1:4" x14ac:dyDescent="0.25">
      <c r="A2798" t="s">
        <v>4908</v>
      </c>
      <c r="B2798" t="s">
        <v>38</v>
      </c>
      <c r="C2798" s="1">
        <v>45969.742361111108</v>
      </c>
      <c r="D2798" t="s">
        <v>5146</v>
      </c>
    </row>
    <row r="2799" spans="1:4" x14ac:dyDescent="0.25">
      <c r="A2799" t="s">
        <v>4909</v>
      </c>
      <c r="B2799" t="s">
        <v>38</v>
      </c>
      <c r="C2799" s="1">
        <v>45969.607638888891</v>
      </c>
      <c r="D2799" t="s">
        <v>5146</v>
      </c>
    </row>
    <row r="2800" spans="1:4" x14ac:dyDescent="0.25">
      <c r="A2800" t="s">
        <v>4910</v>
      </c>
      <c r="B2800" t="s">
        <v>38</v>
      </c>
      <c r="C2800" s="1">
        <v>46036.666666666664</v>
      </c>
      <c r="D2800" t="s">
        <v>5146</v>
      </c>
    </row>
    <row r="2801" spans="1:4" x14ac:dyDescent="0.25">
      <c r="A2801" t="s">
        <v>4911</v>
      </c>
      <c r="B2801" t="s">
        <v>38</v>
      </c>
      <c r="C2801" s="1">
        <v>45969.742361111108</v>
      </c>
      <c r="D2801" t="s">
        <v>5146</v>
      </c>
    </row>
    <row r="2802" spans="1:4" x14ac:dyDescent="0.25">
      <c r="A2802" t="s">
        <v>4912</v>
      </c>
      <c r="B2802" t="s">
        <v>38</v>
      </c>
      <c r="C2802" s="1">
        <v>46024.779861111114</v>
      </c>
      <c r="D2802" t="s">
        <v>5146</v>
      </c>
    </row>
    <row r="2803" spans="1:4" x14ac:dyDescent="0.25">
      <c r="A2803" t="s">
        <v>4913</v>
      </c>
      <c r="B2803" t="s">
        <v>38</v>
      </c>
      <c r="C2803" s="1">
        <v>46024.790277777778</v>
      </c>
      <c r="D2803" t="s">
        <v>5146</v>
      </c>
    </row>
    <row r="2804" spans="1:4" x14ac:dyDescent="0.25">
      <c r="A2804" t="s">
        <v>4914</v>
      </c>
      <c r="B2804" t="s">
        <v>38</v>
      </c>
      <c r="C2804" s="1">
        <v>46024.788888888892</v>
      </c>
      <c r="D2804" t="s">
        <v>5146</v>
      </c>
    </row>
    <row r="2805" spans="1:4" x14ac:dyDescent="0.25">
      <c r="A2805" t="s">
        <v>4915</v>
      </c>
      <c r="B2805" t="s">
        <v>38</v>
      </c>
      <c r="C2805" s="1">
        <v>46024.793055555558</v>
      </c>
      <c r="D2805" t="s">
        <v>5146</v>
      </c>
    </row>
    <row r="2806" spans="1:4" x14ac:dyDescent="0.25">
      <c r="A2806" t="s">
        <v>4916</v>
      </c>
      <c r="B2806" t="s">
        <v>38</v>
      </c>
      <c r="C2806" s="1">
        <v>46024.803472222222</v>
      </c>
      <c r="D2806" t="s">
        <v>5146</v>
      </c>
    </row>
    <row r="2807" spans="1:4" x14ac:dyDescent="0.25">
      <c r="A2807" t="s">
        <v>4917</v>
      </c>
      <c r="B2807" t="s">
        <v>38</v>
      </c>
      <c r="C2807" s="1">
        <v>45969.741666666669</v>
      </c>
      <c r="D2807" t="s">
        <v>5146</v>
      </c>
    </row>
    <row r="2808" spans="1:4" x14ac:dyDescent="0.25">
      <c r="A2808" t="s">
        <v>4918</v>
      </c>
      <c r="B2808" t="s">
        <v>38</v>
      </c>
      <c r="C2808" s="1">
        <v>45993.691666666666</v>
      </c>
      <c r="D2808" t="s">
        <v>5146</v>
      </c>
    </row>
    <row r="2809" spans="1:4" x14ac:dyDescent="0.25">
      <c r="A2809" t="s">
        <v>4919</v>
      </c>
      <c r="B2809" t="s">
        <v>38</v>
      </c>
      <c r="C2809" s="1">
        <v>45997.493055555555</v>
      </c>
      <c r="D2809" t="s">
        <v>5146</v>
      </c>
    </row>
    <row r="2810" spans="1:4" x14ac:dyDescent="0.25">
      <c r="A2810" t="s">
        <v>4920</v>
      </c>
      <c r="B2810" t="s">
        <v>38</v>
      </c>
      <c r="C2810" s="1">
        <v>45993.645833333336</v>
      </c>
      <c r="D2810" t="s">
        <v>5146</v>
      </c>
    </row>
    <row r="2811" spans="1:4" x14ac:dyDescent="0.25">
      <c r="A2811" t="s">
        <v>4921</v>
      </c>
      <c r="B2811" t="s">
        <v>38</v>
      </c>
      <c r="C2811" s="1">
        <v>45983.772222222222</v>
      </c>
      <c r="D2811" t="s">
        <v>5146</v>
      </c>
    </row>
    <row r="2812" spans="1:4" x14ac:dyDescent="0.25">
      <c r="A2812" t="s">
        <v>4922</v>
      </c>
      <c r="B2812" t="s">
        <v>38</v>
      </c>
      <c r="C2812" s="1">
        <v>45969.741666666669</v>
      </c>
      <c r="D2812" t="s">
        <v>5146</v>
      </c>
    </row>
    <row r="2813" spans="1:4" x14ac:dyDescent="0.25">
      <c r="A2813" t="s">
        <v>4923</v>
      </c>
      <c r="B2813" t="s">
        <v>38</v>
      </c>
      <c r="C2813" s="1">
        <v>45969.604166666664</v>
      </c>
      <c r="D2813" t="s">
        <v>5146</v>
      </c>
    </row>
    <row r="2814" spans="1:4" x14ac:dyDescent="0.25">
      <c r="A2814" t="s">
        <v>4924</v>
      </c>
      <c r="B2814" t="s">
        <v>38</v>
      </c>
      <c r="C2814" s="1">
        <v>46036.649305555555</v>
      </c>
      <c r="D2814" t="s">
        <v>5146</v>
      </c>
    </row>
    <row r="2815" spans="1:4" x14ac:dyDescent="0.25">
      <c r="A2815" t="s">
        <v>4925</v>
      </c>
      <c r="B2815" t="s">
        <v>38</v>
      </c>
      <c r="C2815" s="1">
        <v>45969.740972222222</v>
      </c>
      <c r="D2815" t="s">
        <v>5146</v>
      </c>
    </row>
    <row r="2816" spans="1:4" x14ac:dyDescent="0.25">
      <c r="A2816" t="s">
        <v>4926</v>
      </c>
      <c r="B2816" t="s">
        <v>38</v>
      </c>
      <c r="C2816" s="1">
        <v>45969.581944444442</v>
      </c>
      <c r="D2816" t="s">
        <v>5146</v>
      </c>
    </row>
    <row r="2817" spans="1:4" x14ac:dyDescent="0.25">
      <c r="A2817" t="s">
        <v>4927</v>
      </c>
      <c r="B2817" t="s">
        <v>38</v>
      </c>
      <c r="C2817" s="1">
        <v>45969.578472222223</v>
      </c>
      <c r="D2817" t="s">
        <v>5146</v>
      </c>
    </row>
    <row r="2818" spans="1:4" x14ac:dyDescent="0.25">
      <c r="A2818" t="s">
        <v>4928</v>
      </c>
      <c r="B2818" t="s">
        <v>38</v>
      </c>
      <c r="C2818" s="1">
        <v>45969.740972222222</v>
      </c>
      <c r="D2818" t="s">
        <v>5146</v>
      </c>
    </row>
    <row r="2819" spans="1:4" x14ac:dyDescent="0.25">
      <c r="A2819" t="s">
        <v>4929</v>
      </c>
      <c r="B2819" t="s">
        <v>39</v>
      </c>
      <c r="C2819" s="1">
        <v>45968.438194444447</v>
      </c>
      <c r="D2819" t="s">
        <v>5146</v>
      </c>
    </row>
    <row r="2820" spans="1:4" x14ac:dyDescent="0.25">
      <c r="A2820" t="s">
        <v>4930</v>
      </c>
      <c r="B2820" t="s">
        <v>38</v>
      </c>
      <c r="C2820" s="1">
        <v>46003.984722222223</v>
      </c>
      <c r="D2820" t="s">
        <v>5146</v>
      </c>
    </row>
    <row r="2821" spans="1:4" x14ac:dyDescent="0.25">
      <c r="A2821" t="s">
        <v>4931</v>
      </c>
      <c r="B2821" t="s">
        <v>38</v>
      </c>
      <c r="C2821" s="1">
        <v>45969.575694444444</v>
      </c>
      <c r="D2821" t="s">
        <v>5146</v>
      </c>
    </row>
    <row r="2822" spans="1:4" x14ac:dyDescent="0.25">
      <c r="A2822" t="s">
        <v>4932</v>
      </c>
      <c r="B2822" t="s">
        <v>38</v>
      </c>
      <c r="C2822" s="1">
        <v>45971.495138888888</v>
      </c>
      <c r="D2822" t="s">
        <v>5146</v>
      </c>
    </row>
    <row r="2823" spans="1:4" x14ac:dyDescent="0.25">
      <c r="A2823" t="s">
        <v>4933</v>
      </c>
      <c r="B2823" t="s">
        <v>38</v>
      </c>
      <c r="C2823" s="1">
        <v>45969.740277777775</v>
      </c>
      <c r="D2823" t="s">
        <v>5146</v>
      </c>
    </row>
    <row r="2824" spans="1:4" x14ac:dyDescent="0.25">
      <c r="A2824" t="s">
        <v>4934</v>
      </c>
      <c r="B2824" t="s">
        <v>38</v>
      </c>
      <c r="C2824" s="1">
        <v>45969.740277777775</v>
      </c>
      <c r="D2824" t="s">
        <v>5146</v>
      </c>
    </row>
    <row r="2825" spans="1:4" x14ac:dyDescent="0.25">
      <c r="A2825" t="s">
        <v>4935</v>
      </c>
      <c r="B2825" t="s">
        <v>38</v>
      </c>
      <c r="C2825" s="1">
        <v>45969.739583333336</v>
      </c>
      <c r="D2825" t="s">
        <v>5146</v>
      </c>
    </row>
    <row r="2826" spans="1:4" x14ac:dyDescent="0.25">
      <c r="A2826" t="s">
        <v>4936</v>
      </c>
      <c r="B2826" t="s">
        <v>38</v>
      </c>
      <c r="C2826" s="1">
        <v>45972.609027777777</v>
      </c>
      <c r="D2826" t="s">
        <v>5146</v>
      </c>
    </row>
    <row r="2827" spans="1:4" x14ac:dyDescent="0.25">
      <c r="A2827" t="s">
        <v>4937</v>
      </c>
      <c r="B2827" t="s">
        <v>38</v>
      </c>
      <c r="C2827" s="1">
        <v>45969.739583333336</v>
      </c>
      <c r="D2827" t="s">
        <v>5146</v>
      </c>
    </row>
    <row r="2828" spans="1:4" x14ac:dyDescent="0.25">
      <c r="A2828" t="s">
        <v>4938</v>
      </c>
      <c r="B2828" t="s">
        <v>38</v>
      </c>
      <c r="C2828" s="1">
        <v>45969.738888888889</v>
      </c>
      <c r="D2828" t="s">
        <v>5146</v>
      </c>
    </row>
    <row r="2829" spans="1:4" x14ac:dyDescent="0.25">
      <c r="A2829" t="s">
        <v>4939</v>
      </c>
      <c r="B2829" t="s">
        <v>38</v>
      </c>
      <c r="C2829" s="1">
        <v>45969.563194444447</v>
      </c>
      <c r="D2829" t="s">
        <v>5146</v>
      </c>
    </row>
    <row r="2830" spans="1:4" x14ac:dyDescent="0.25">
      <c r="A2830" t="s">
        <v>4940</v>
      </c>
      <c r="B2830" t="s">
        <v>38</v>
      </c>
      <c r="C2830" s="1">
        <v>45969.5625</v>
      </c>
      <c r="D2830" t="s">
        <v>5146</v>
      </c>
    </row>
    <row r="2831" spans="1:4" x14ac:dyDescent="0.25">
      <c r="A2831" t="s">
        <v>4941</v>
      </c>
      <c r="B2831" t="s">
        <v>38</v>
      </c>
      <c r="C2831" s="1">
        <v>45992.469444444447</v>
      </c>
      <c r="D2831" t="s">
        <v>5146</v>
      </c>
    </row>
    <row r="2832" spans="1:4" x14ac:dyDescent="0.25">
      <c r="A2832" t="s">
        <v>4942</v>
      </c>
      <c r="B2832" t="s">
        <v>38</v>
      </c>
      <c r="C2832" s="1">
        <v>45969.738888888889</v>
      </c>
      <c r="D2832" t="s">
        <v>5146</v>
      </c>
    </row>
    <row r="2833" spans="1:4" x14ac:dyDescent="0.25">
      <c r="A2833" t="s">
        <v>4943</v>
      </c>
      <c r="B2833" t="s">
        <v>38</v>
      </c>
      <c r="C2833" s="1">
        <v>45969.738194444442</v>
      </c>
      <c r="D2833" t="s">
        <v>5146</v>
      </c>
    </row>
    <row r="2834" spans="1:4" x14ac:dyDescent="0.25">
      <c r="A2834" t="s">
        <v>4944</v>
      </c>
      <c r="B2834" t="s">
        <v>38</v>
      </c>
      <c r="C2834" s="1">
        <v>45992.72152777778</v>
      </c>
      <c r="D2834" t="s">
        <v>5146</v>
      </c>
    </row>
    <row r="2835" spans="1:4" x14ac:dyDescent="0.25">
      <c r="A2835" t="s">
        <v>4945</v>
      </c>
      <c r="B2835" t="s">
        <v>38</v>
      </c>
      <c r="C2835" s="1">
        <v>45972.609722222223</v>
      </c>
      <c r="D2835" t="s">
        <v>5146</v>
      </c>
    </row>
    <row r="2836" spans="1:4" x14ac:dyDescent="0.25">
      <c r="A2836" t="s">
        <v>4946</v>
      </c>
      <c r="B2836" t="s">
        <v>38</v>
      </c>
      <c r="C2836" s="1">
        <v>45972.625</v>
      </c>
      <c r="D2836" t="s">
        <v>5146</v>
      </c>
    </row>
    <row r="2837" spans="1:4" x14ac:dyDescent="0.25">
      <c r="A2837" t="s">
        <v>4947</v>
      </c>
      <c r="B2837" t="s">
        <v>38</v>
      </c>
      <c r="C2837" s="1">
        <v>45972.631944444445</v>
      </c>
      <c r="D2837" t="s">
        <v>5146</v>
      </c>
    </row>
    <row r="2838" spans="1:4" x14ac:dyDescent="0.25">
      <c r="A2838" t="s">
        <v>4948</v>
      </c>
      <c r="B2838" t="s">
        <v>38</v>
      </c>
      <c r="C2838" s="1">
        <v>45969.737500000003</v>
      </c>
      <c r="D2838" t="s">
        <v>5146</v>
      </c>
    </row>
    <row r="2839" spans="1:4" x14ac:dyDescent="0.25">
      <c r="A2839" t="s">
        <v>4949</v>
      </c>
      <c r="B2839" t="s">
        <v>38</v>
      </c>
      <c r="C2839" s="1">
        <v>45975.789583333331</v>
      </c>
      <c r="D2839" t="s">
        <v>5146</v>
      </c>
    </row>
    <row r="2840" spans="1:4" x14ac:dyDescent="0.25">
      <c r="A2840" t="s">
        <v>4950</v>
      </c>
      <c r="B2840" t="s">
        <v>38</v>
      </c>
      <c r="C2840" s="1">
        <v>45976.59097222222</v>
      </c>
      <c r="D2840" t="s">
        <v>5146</v>
      </c>
    </row>
    <row r="2841" spans="1:4" x14ac:dyDescent="0.25">
      <c r="A2841" t="s">
        <v>4951</v>
      </c>
      <c r="B2841" t="s">
        <v>38</v>
      </c>
      <c r="C2841" s="1">
        <v>45969.73541666667</v>
      </c>
      <c r="D2841" t="s">
        <v>5146</v>
      </c>
    </row>
    <row r="2842" spans="1:4" x14ac:dyDescent="0.25">
      <c r="A2842" t="s">
        <v>4952</v>
      </c>
      <c r="B2842" t="s">
        <v>38</v>
      </c>
      <c r="C2842" s="1">
        <v>45971.683333333334</v>
      </c>
      <c r="D2842" t="s">
        <v>5146</v>
      </c>
    </row>
    <row r="2843" spans="1:4" x14ac:dyDescent="0.25">
      <c r="A2843" t="s">
        <v>4953</v>
      </c>
      <c r="B2843" t="s">
        <v>38</v>
      </c>
      <c r="C2843" s="1">
        <v>45992.555555555555</v>
      </c>
      <c r="D2843" t="s">
        <v>5146</v>
      </c>
    </row>
    <row r="2844" spans="1:4" x14ac:dyDescent="0.25">
      <c r="A2844" t="s">
        <v>4954</v>
      </c>
      <c r="B2844" t="s">
        <v>38</v>
      </c>
      <c r="C2844" s="1">
        <v>45980.6</v>
      </c>
      <c r="D2844" t="s">
        <v>5146</v>
      </c>
    </row>
    <row r="2845" spans="1:4" x14ac:dyDescent="0.25">
      <c r="A2845" t="s">
        <v>4955</v>
      </c>
      <c r="B2845" t="s">
        <v>38</v>
      </c>
      <c r="C2845" s="1">
        <v>45971.699305555558</v>
      </c>
      <c r="D2845" t="s">
        <v>5146</v>
      </c>
    </row>
    <row r="2846" spans="1:4" x14ac:dyDescent="0.25">
      <c r="A2846" t="s">
        <v>4956</v>
      </c>
      <c r="B2846" t="s">
        <v>38</v>
      </c>
      <c r="C2846" s="1">
        <v>45971.577777777777</v>
      </c>
      <c r="D2846" t="s">
        <v>5146</v>
      </c>
    </row>
    <row r="2847" spans="1:4" x14ac:dyDescent="0.25">
      <c r="A2847" t="s">
        <v>4957</v>
      </c>
      <c r="B2847" t="s">
        <v>38</v>
      </c>
      <c r="C2847" s="1">
        <v>45969.73333333333</v>
      </c>
      <c r="D2847" t="s">
        <v>5146</v>
      </c>
    </row>
    <row r="2848" spans="1:4" x14ac:dyDescent="0.25">
      <c r="A2848" t="s">
        <v>4958</v>
      </c>
      <c r="B2848" t="s">
        <v>38</v>
      </c>
      <c r="C2848" s="1">
        <v>45969.73333333333</v>
      </c>
      <c r="D2848" t="s">
        <v>5146</v>
      </c>
    </row>
    <row r="2849" spans="1:4" x14ac:dyDescent="0.25">
      <c r="A2849" t="s">
        <v>4959</v>
      </c>
      <c r="B2849" t="s">
        <v>38</v>
      </c>
      <c r="C2849" s="1">
        <v>45986.705555555556</v>
      </c>
      <c r="D2849" t="s">
        <v>5146</v>
      </c>
    </row>
    <row r="2850" spans="1:4" x14ac:dyDescent="0.25">
      <c r="A2850" t="s">
        <v>4960</v>
      </c>
      <c r="B2850" t="s">
        <v>38</v>
      </c>
      <c r="C2850" s="1">
        <v>45969.73333333333</v>
      </c>
      <c r="D2850" t="s">
        <v>5146</v>
      </c>
    </row>
    <row r="2851" spans="1:4" x14ac:dyDescent="0.25">
      <c r="A2851" t="s">
        <v>4961</v>
      </c>
      <c r="B2851" t="s">
        <v>38</v>
      </c>
      <c r="C2851" s="1">
        <v>45969.660416666666</v>
      </c>
      <c r="D2851" t="s">
        <v>5146</v>
      </c>
    </row>
    <row r="2852" spans="1:4" x14ac:dyDescent="0.25">
      <c r="A2852" t="s">
        <v>4962</v>
      </c>
      <c r="B2852" t="s">
        <v>38</v>
      </c>
      <c r="C2852" s="1">
        <v>45969.732638888891</v>
      </c>
      <c r="D2852" t="s">
        <v>5146</v>
      </c>
    </row>
    <row r="2853" spans="1:4" x14ac:dyDescent="0.25">
      <c r="A2853" t="s">
        <v>4963</v>
      </c>
      <c r="B2853" t="s">
        <v>38</v>
      </c>
      <c r="C2853" s="1">
        <v>45972.643750000003</v>
      </c>
      <c r="D2853" t="s">
        <v>5146</v>
      </c>
    </row>
    <row r="2854" spans="1:4" x14ac:dyDescent="0.25">
      <c r="A2854" t="s">
        <v>4964</v>
      </c>
      <c r="B2854" t="s">
        <v>38</v>
      </c>
      <c r="C2854" s="1">
        <v>45971.488888888889</v>
      </c>
      <c r="D2854" t="s">
        <v>5146</v>
      </c>
    </row>
    <row r="2855" spans="1:4" x14ac:dyDescent="0.25">
      <c r="A2855" t="s">
        <v>4965</v>
      </c>
      <c r="B2855" t="s">
        <v>38</v>
      </c>
      <c r="C2855" s="1">
        <v>45966.679861111108</v>
      </c>
      <c r="D2855" t="s">
        <v>5146</v>
      </c>
    </row>
    <row r="2856" spans="1:4" x14ac:dyDescent="0.25">
      <c r="A2856" t="s">
        <v>4966</v>
      </c>
      <c r="B2856" t="s">
        <v>38</v>
      </c>
      <c r="C2856" s="1">
        <v>45968.762499999997</v>
      </c>
      <c r="D2856" t="s">
        <v>5146</v>
      </c>
    </row>
    <row r="2857" spans="1:4" x14ac:dyDescent="0.25">
      <c r="A2857" t="s">
        <v>4967</v>
      </c>
      <c r="B2857" t="s">
        <v>38</v>
      </c>
      <c r="C2857" s="1">
        <v>46030.652083333334</v>
      </c>
      <c r="D2857" t="s">
        <v>5146</v>
      </c>
    </row>
    <row r="2858" spans="1:4" x14ac:dyDescent="0.25">
      <c r="A2858" t="s">
        <v>4968</v>
      </c>
      <c r="B2858" t="s">
        <v>38</v>
      </c>
      <c r="C2858" s="1">
        <v>45966.775694444441</v>
      </c>
      <c r="D2858" t="s">
        <v>5146</v>
      </c>
    </row>
    <row r="2859" spans="1:4" x14ac:dyDescent="0.25">
      <c r="A2859" t="s">
        <v>4969</v>
      </c>
      <c r="B2859" t="s">
        <v>38</v>
      </c>
      <c r="C2859" s="1">
        <v>45968.751388888886</v>
      </c>
      <c r="D2859" t="s">
        <v>5146</v>
      </c>
    </row>
    <row r="2860" spans="1:4" x14ac:dyDescent="0.25">
      <c r="A2860" t="s">
        <v>4970</v>
      </c>
      <c r="B2860" t="s">
        <v>38</v>
      </c>
      <c r="C2860" s="1">
        <v>45966.658333333333</v>
      </c>
      <c r="D2860" t="s">
        <v>5146</v>
      </c>
    </row>
    <row r="2861" spans="1:4" x14ac:dyDescent="0.25">
      <c r="A2861" t="s">
        <v>4971</v>
      </c>
      <c r="B2861" t="s">
        <v>38</v>
      </c>
      <c r="C2861" s="1">
        <v>45992.507638888892</v>
      </c>
      <c r="D2861" t="s">
        <v>5146</v>
      </c>
    </row>
    <row r="2862" spans="1:4" x14ac:dyDescent="0.25">
      <c r="A2862" t="s">
        <v>4972</v>
      </c>
      <c r="B2862" t="s">
        <v>38</v>
      </c>
      <c r="C2862" s="1">
        <v>45985.529166666667</v>
      </c>
      <c r="D2862" t="s">
        <v>5146</v>
      </c>
    </row>
    <row r="2863" spans="1:4" x14ac:dyDescent="0.25">
      <c r="A2863" t="s">
        <v>4973</v>
      </c>
      <c r="B2863" t="s">
        <v>38</v>
      </c>
      <c r="C2863" s="1">
        <v>46006.484722222223</v>
      </c>
      <c r="D2863" t="s">
        <v>5146</v>
      </c>
    </row>
    <row r="2864" spans="1:4" x14ac:dyDescent="0.25">
      <c r="A2864" t="s">
        <v>4974</v>
      </c>
      <c r="B2864" t="s">
        <v>38</v>
      </c>
      <c r="C2864" s="1">
        <v>45972.479166666664</v>
      </c>
      <c r="D2864" t="s">
        <v>5146</v>
      </c>
    </row>
    <row r="2865" spans="1:4" x14ac:dyDescent="0.25">
      <c r="A2865" t="s">
        <v>4975</v>
      </c>
      <c r="B2865" t="s">
        <v>38</v>
      </c>
      <c r="C2865" s="1">
        <v>45969.720138888886</v>
      </c>
      <c r="D2865" t="s">
        <v>5146</v>
      </c>
    </row>
    <row r="2866" spans="1:4" x14ac:dyDescent="0.25">
      <c r="A2866" t="s">
        <v>4976</v>
      </c>
      <c r="B2866" t="s">
        <v>38</v>
      </c>
      <c r="C2866" s="1">
        <v>45971.597222222219</v>
      </c>
      <c r="D2866" t="s">
        <v>5146</v>
      </c>
    </row>
    <row r="2867" spans="1:4" x14ac:dyDescent="0.25">
      <c r="A2867" t="s">
        <v>4977</v>
      </c>
      <c r="B2867" t="s">
        <v>38</v>
      </c>
      <c r="C2867" s="1">
        <v>45967.741666666669</v>
      </c>
      <c r="D2867" t="s">
        <v>5146</v>
      </c>
    </row>
    <row r="2868" spans="1:4" x14ac:dyDescent="0.25">
      <c r="A2868" t="s">
        <v>4978</v>
      </c>
      <c r="B2868" t="s">
        <v>38</v>
      </c>
      <c r="C2868" s="1">
        <v>45971.662499999999</v>
      </c>
      <c r="D2868" t="s">
        <v>5146</v>
      </c>
    </row>
    <row r="2869" spans="1:4" x14ac:dyDescent="0.25">
      <c r="A2869" t="s">
        <v>4979</v>
      </c>
      <c r="B2869" t="s">
        <v>38</v>
      </c>
      <c r="C2869" s="1">
        <v>45973.584027777775</v>
      </c>
      <c r="D2869" t="s">
        <v>5146</v>
      </c>
    </row>
    <row r="2870" spans="1:4" x14ac:dyDescent="0.25">
      <c r="A2870" t="s">
        <v>4980</v>
      </c>
      <c r="B2870" t="s">
        <v>38</v>
      </c>
      <c r="C2870" s="1">
        <v>45973.569444444445</v>
      </c>
      <c r="D2870" t="s">
        <v>5146</v>
      </c>
    </row>
    <row r="2871" spans="1:4" x14ac:dyDescent="0.25">
      <c r="A2871" t="s">
        <v>4981</v>
      </c>
      <c r="B2871" t="s">
        <v>39</v>
      </c>
      <c r="C2871" s="1">
        <v>46029.741666666669</v>
      </c>
      <c r="D2871" t="s">
        <v>5146</v>
      </c>
    </row>
    <row r="2872" spans="1:4" x14ac:dyDescent="0.25">
      <c r="A2872" t="s">
        <v>4982</v>
      </c>
      <c r="B2872" t="s">
        <v>38</v>
      </c>
      <c r="C2872" s="1">
        <v>45978.542361111111</v>
      </c>
      <c r="D2872" t="s">
        <v>5146</v>
      </c>
    </row>
    <row r="2873" spans="1:4" x14ac:dyDescent="0.25">
      <c r="A2873" t="s">
        <v>4983</v>
      </c>
      <c r="B2873" t="s">
        <v>39</v>
      </c>
      <c r="C2873" s="1">
        <v>45999.503472222219</v>
      </c>
      <c r="D2873" t="s">
        <v>5146</v>
      </c>
    </row>
    <row r="2874" spans="1:4" x14ac:dyDescent="0.25">
      <c r="A2874" t="s">
        <v>4984</v>
      </c>
      <c r="B2874" t="s">
        <v>39</v>
      </c>
      <c r="C2874" s="1">
        <v>46029.741666666669</v>
      </c>
      <c r="D2874" t="s">
        <v>5146</v>
      </c>
    </row>
    <row r="2875" spans="1:4" x14ac:dyDescent="0.25">
      <c r="A2875" t="s">
        <v>4985</v>
      </c>
      <c r="B2875" t="s">
        <v>38</v>
      </c>
      <c r="C2875" s="1">
        <v>45971.482638888891</v>
      </c>
      <c r="D2875" t="s">
        <v>5146</v>
      </c>
    </row>
    <row r="2876" spans="1:4" x14ac:dyDescent="0.25">
      <c r="A2876" t="s">
        <v>4986</v>
      </c>
      <c r="B2876" t="s">
        <v>38</v>
      </c>
      <c r="C2876" s="1">
        <v>45969.48333333333</v>
      </c>
      <c r="D2876" t="s">
        <v>5146</v>
      </c>
    </row>
    <row r="2877" spans="1:4" x14ac:dyDescent="0.25">
      <c r="A2877" t="s">
        <v>4987</v>
      </c>
      <c r="B2877" t="s">
        <v>38</v>
      </c>
      <c r="C2877" s="1">
        <v>45968.775000000001</v>
      </c>
      <c r="D2877" t="s">
        <v>5146</v>
      </c>
    </row>
    <row r="2878" spans="1:4" x14ac:dyDescent="0.25">
      <c r="A2878" t="s">
        <v>4988</v>
      </c>
      <c r="B2878" t="s">
        <v>39</v>
      </c>
      <c r="C2878" s="1">
        <v>46029.741666666669</v>
      </c>
      <c r="D2878" t="s">
        <v>5146</v>
      </c>
    </row>
    <row r="2879" spans="1:4" x14ac:dyDescent="0.25">
      <c r="A2879" t="s">
        <v>4989</v>
      </c>
      <c r="B2879" t="s">
        <v>38</v>
      </c>
      <c r="C2879" s="1">
        <v>45967.659722222219</v>
      </c>
      <c r="D2879" t="s">
        <v>5146</v>
      </c>
    </row>
    <row r="2880" spans="1:4" x14ac:dyDescent="0.25">
      <c r="A2880" t="s">
        <v>4990</v>
      </c>
      <c r="B2880" t="s">
        <v>38</v>
      </c>
      <c r="C2880" s="1">
        <v>45973.478472222225</v>
      </c>
      <c r="D2880" t="s">
        <v>5146</v>
      </c>
    </row>
    <row r="2881" spans="1:4" x14ac:dyDescent="0.25">
      <c r="A2881" t="s">
        <v>4991</v>
      </c>
      <c r="B2881" t="s">
        <v>38</v>
      </c>
      <c r="C2881" s="1">
        <v>45972.586111111108</v>
      </c>
      <c r="D2881" t="s">
        <v>5146</v>
      </c>
    </row>
    <row r="2882" spans="1:4" x14ac:dyDescent="0.25">
      <c r="A2882" t="s">
        <v>4992</v>
      </c>
      <c r="B2882" t="s">
        <v>39</v>
      </c>
      <c r="C2882" s="1">
        <v>46029.740972222222</v>
      </c>
      <c r="D2882" t="s">
        <v>5146</v>
      </c>
    </row>
    <row r="2883" spans="1:4" x14ac:dyDescent="0.25">
      <c r="A2883" t="s">
        <v>4993</v>
      </c>
      <c r="B2883" t="s">
        <v>38</v>
      </c>
      <c r="C2883" s="1">
        <v>45972.59097222222</v>
      </c>
      <c r="D2883" t="s">
        <v>5146</v>
      </c>
    </row>
    <row r="2884" spans="1:4" x14ac:dyDescent="0.25">
      <c r="A2884" t="s">
        <v>4994</v>
      </c>
      <c r="B2884" t="s">
        <v>38</v>
      </c>
      <c r="C2884" s="1">
        <v>45972.57916666667</v>
      </c>
      <c r="D2884" t="s">
        <v>5146</v>
      </c>
    </row>
    <row r="2885" spans="1:4" x14ac:dyDescent="0.25">
      <c r="A2885" t="s">
        <v>4995</v>
      </c>
      <c r="B2885" t="s">
        <v>38</v>
      </c>
      <c r="C2885" s="1">
        <v>45971.60833333333</v>
      </c>
      <c r="D2885" t="s">
        <v>5146</v>
      </c>
    </row>
    <row r="2886" spans="1:4" x14ac:dyDescent="0.25">
      <c r="A2886" t="s">
        <v>4996</v>
      </c>
      <c r="B2886" t="s">
        <v>38</v>
      </c>
      <c r="C2886" s="1">
        <v>45972.597916666666</v>
      </c>
      <c r="D2886" t="s">
        <v>5146</v>
      </c>
    </row>
    <row r="2887" spans="1:4" x14ac:dyDescent="0.25">
      <c r="A2887" t="s">
        <v>4997</v>
      </c>
      <c r="B2887" t="s">
        <v>38</v>
      </c>
      <c r="C2887" s="1">
        <v>45968.64166666667</v>
      </c>
      <c r="D2887" t="s">
        <v>5146</v>
      </c>
    </row>
    <row r="2888" spans="1:4" x14ac:dyDescent="0.25">
      <c r="A2888" t="s">
        <v>4998</v>
      </c>
      <c r="B2888" t="s">
        <v>38</v>
      </c>
      <c r="C2888" s="1">
        <v>45978.580555555556</v>
      </c>
      <c r="D2888" t="s">
        <v>5146</v>
      </c>
    </row>
    <row r="2889" spans="1:4" x14ac:dyDescent="0.25">
      <c r="A2889" t="s">
        <v>4999</v>
      </c>
      <c r="B2889" t="s">
        <v>38</v>
      </c>
      <c r="C2889" s="1">
        <v>45982.522916666669</v>
      </c>
      <c r="D2889" t="s">
        <v>5146</v>
      </c>
    </row>
    <row r="2890" spans="1:4" x14ac:dyDescent="0.25">
      <c r="A2890" t="s">
        <v>5000</v>
      </c>
      <c r="B2890" t="s">
        <v>38</v>
      </c>
      <c r="C2890" s="1">
        <v>45972.647916666669</v>
      </c>
      <c r="D2890" t="s">
        <v>5146</v>
      </c>
    </row>
    <row r="2891" spans="1:4" x14ac:dyDescent="0.25">
      <c r="A2891" t="s">
        <v>5001</v>
      </c>
      <c r="B2891" t="s">
        <v>38</v>
      </c>
      <c r="C2891" s="1">
        <v>45969.63958333333</v>
      </c>
      <c r="D2891" t="s">
        <v>5146</v>
      </c>
    </row>
    <row r="2892" spans="1:4" x14ac:dyDescent="0.25">
      <c r="A2892" t="s">
        <v>5002</v>
      </c>
      <c r="B2892" t="s">
        <v>38</v>
      </c>
      <c r="C2892" s="1">
        <v>45972.463888888888</v>
      </c>
      <c r="D2892" t="s">
        <v>5146</v>
      </c>
    </row>
    <row r="2893" spans="1:4" x14ac:dyDescent="0.25">
      <c r="A2893" t="s">
        <v>5003</v>
      </c>
      <c r="B2893" t="s">
        <v>38</v>
      </c>
      <c r="C2893" s="1">
        <v>45982.70208333333</v>
      </c>
      <c r="D2893" t="s">
        <v>5146</v>
      </c>
    </row>
    <row r="2894" spans="1:4" x14ac:dyDescent="0.25">
      <c r="A2894" t="s">
        <v>5004</v>
      </c>
      <c r="B2894" t="s">
        <v>38</v>
      </c>
      <c r="C2894" s="1">
        <v>45979.713194444441</v>
      </c>
      <c r="D2894" t="s">
        <v>5146</v>
      </c>
    </row>
    <row r="2895" spans="1:4" x14ac:dyDescent="0.25">
      <c r="A2895" t="s">
        <v>5005</v>
      </c>
      <c r="B2895" t="s">
        <v>38</v>
      </c>
      <c r="C2895" s="1">
        <v>45972.46875</v>
      </c>
      <c r="D2895" t="s">
        <v>5146</v>
      </c>
    </row>
    <row r="2896" spans="1:4" x14ac:dyDescent="0.25">
      <c r="A2896" t="s">
        <v>5006</v>
      </c>
      <c r="B2896" t="s">
        <v>38</v>
      </c>
      <c r="C2896" s="1">
        <v>45980.556944444441</v>
      </c>
      <c r="D2896" t="s">
        <v>5146</v>
      </c>
    </row>
    <row r="2897" spans="1:4" x14ac:dyDescent="0.25">
      <c r="A2897" t="s">
        <v>5007</v>
      </c>
      <c r="B2897" t="s">
        <v>38</v>
      </c>
      <c r="C2897" s="1">
        <v>45971.667361111111</v>
      </c>
      <c r="D2897" t="s">
        <v>5146</v>
      </c>
    </row>
    <row r="2898" spans="1:4" x14ac:dyDescent="0.25">
      <c r="A2898" t="s">
        <v>5008</v>
      </c>
      <c r="B2898" t="s">
        <v>38</v>
      </c>
      <c r="C2898" s="1">
        <v>45973.59375</v>
      </c>
      <c r="D2898" t="s">
        <v>5146</v>
      </c>
    </row>
    <row r="2899" spans="1:4" x14ac:dyDescent="0.25">
      <c r="A2899" t="s">
        <v>5009</v>
      </c>
      <c r="B2899" t="s">
        <v>38</v>
      </c>
      <c r="C2899" s="1">
        <v>45972.679166666669</v>
      </c>
      <c r="D2899" t="s">
        <v>5146</v>
      </c>
    </row>
    <row r="2900" spans="1:4" x14ac:dyDescent="0.25">
      <c r="A2900" t="s">
        <v>5010</v>
      </c>
      <c r="B2900" t="s">
        <v>38</v>
      </c>
      <c r="C2900" s="1">
        <v>45978.5</v>
      </c>
      <c r="D2900" t="s">
        <v>5146</v>
      </c>
    </row>
    <row r="2901" spans="1:4" x14ac:dyDescent="0.25">
      <c r="A2901" t="s">
        <v>5011</v>
      </c>
      <c r="B2901" t="s">
        <v>39</v>
      </c>
      <c r="C2901" s="1">
        <v>46029.740972222222</v>
      </c>
      <c r="D2901" t="s">
        <v>5146</v>
      </c>
    </row>
    <row r="2902" spans="1:4" x14ac:dyDescent="0.25">
      <c r="A2902" t="s">
        <v>5012</v>
      </c>
      <c r="B2902" t="s">
        <v>38</v>
      </c>
      <c r="C2902" s="1">
        <v>45973.771527777775</v>
      </c>
      <c r="D2902" t="s">
        <v>5146</v>
      </c>
    </row>
    <row r="2903" spans="1:4" x14ac:dyDescent="0.25">
      <c r="A2903" t="s">
        <v>5013</v>
      </c>
      <c r="B2903" t="s">
        <v>39</v>
      </c>
      <c r="C2903" s="1">
        <v>46029.740972222222</v>
      </c>
      <c r="D2903" t="s">
        <v>5146</v>
      </c>
    </row>
    <row r="2904" spans="1:4" x14ac:dyDescent="0.25">
      <c r="A2904" t="s">
        <v>5014</v>
      </c>
      <c r="B2904" t="s">
        <v>38</v>
      </c>
      <c r="C2904" s="1">
        <v>45974.546527777777</v>
      </c>
      <c r="D2904" t="s">
        <v>5146</v>
      </c>
    </row>
    <row r="2905" spans="1:4" x14ac:dyDescent="0.25">
      <c r="A2905" t="s">
        <v>5015</v>
      </c>
      <c r="B2905" t="s">
        <v>38</v>
      </c>
      <c r="C2905" s="1">
        <v>45973.490277777775</v>
      </c>
      <c r="D2905" t="s">
        <v>5146</v>
      </c>
    </row>
    <row r="2906" spans="1:4" x14ac:dyDescent="0.25">
      <c r="A2906" t="s">
        <v>5016</v>
      </c>
      <c r="B2906" t="s">
        <v>38</v>
      </c>
      <c r="C2906" s="1">
        <v>45978.522222222222</v>
      </c>
      <c r="D2906" t="s">
        <v>5146</v>
      </c>
    </row>
    <row r="2907" spans="1:4" x14ac:dyDescent="0.25">
      <c r="A2907" t="s">
        <v>5017</v>
      </c>
      <c r="B2907" t="s">
        <v>38</v>
      </c>
      <c r="C2907" s="1">
        <v>45981.492361111108</v>
      </c>
      <c r="D2907" t="s">
        <v>5146</v>
      </c>
    </row>
    <row r="2908" spans="1:4" x14ac:dyDescent="0.25">
      <c r="A2908" t="s">
        <v>5018</v>
      </c>
      <c r="B2908" t="s">
        <v>39</v>
      </c>
      <c r="C2908" s="1">
        <v>46029.740277777775</v>
      </c>
      <c r="D2908" t="s">
        <v>5146</v>
      </c>
    </row>
    <row r="2909" spans="1:4" x14ac:dyDescent="0.25">
      <c r="A2909" t="s">
        <v>5019</v>
      </c>
      <c r="B2909" t="s">
        <v>38</v>
      </c>
      <c r="C2909" s="1">
        <v>45973.590277777781</v>
      </c>
      <c r="D2909" t="s">
        <v>5146</v>
      </c>
    </row>
    <row r="2910" spans="1:4" x14ac:dyDescent="0.25">
      <c r="A2910" t="s">
        <v>5020</v>
      </c>
      <c r="B2910" t="s">
        <v>38</v>
      </c>
      <c r="C2910" s="1">
        <v>45979.65625</v>
      </c>
      <c r="D2910" t="s">
        <v>5146</v>
      </c>
    </row>
    <row r="2911" spans="1:4" x14ac:dyDescent="0.25">
      <c r="A2911" t="s">
        <v>5021</v>
      </c>
      <c r="B2911" t="s">
        <v>39</v>
      </c>
      <c r="C2911" s="1">
        <v>46029.740277777775</v>
      </c>
      <c r="D2911" t="s">
        <v>5146</v>
      </c>
    </row>
    <row r="2912" spans="1:4" x14ac:dyDescent="0.25">
      <c r="A2912" t="s">
        <v>5022</v>
      </c>
      <c r="B2912" t="s">
        <v>38</v>
      </c>
      <c r="C2912" s="1">
        <v>45969.647916666669</v>
      </c>
      <c r="D2912" t="s">
        <v>5146</v>
      </c>
    </row>
    <row r="2913" spans="1:4" x14ac:dyDescent="0.25">
      <c r="A2913" t="s">
        <v>5023</v>
      </c>
      <c r="B2913" t="s">
        <v>38</v>
      </c>
      <c r="C2913" s="1">
        <v>45974.606944444444</v>
      </c>
      <c r="D2913" t="s">
        <v>5146</v>
      </c>
    </row>
    <row r="2914" spans="1:4" x14ac:dyDescent="0.25">
      <c r="A2914" t="s">
        <v>5024</v>
      </c>
      <c r="B2914" t="s">
        <v>38</v>
      </c>
      <c r="C2914" s="1">
        <v>45983.564583333333</v>
      </c>
      <c r="D2914" t="s">
        <v>5146</v>
      </c>
    </row>
    <row r="2915" spans="1:4" x14ac:dyDescent="0.25">
      <c r="A2915" t="s">
        <v>5025</v>
      </c>
      <c r="B2915" t="s">
        <v>39</v>
      </c>
      <c r="C2915" s="1">
        <v>46029.740277777775</v>
      </c>
      <c r="D2915" t="s">
        <v>5146</v>
      </c>
    </row>
    <row r="2916" spans="1:4" x14ac:dyDescent="0.25">
      <c r="A2916" t="s">
        <v>5026</v>
      </c>
      <c r="B2916" t="s">
        <v>38</v>
      </c>
      <c r="C2916" s="1">
        <v>45987.659722222219</v>
      </c>
      <c r="D2916" t="s">
        <v>5146</v>
      </c>
    </row>
    <row r="2917" spans="1:4" x14ac:dyDescent="0.25">
      <c r="A2917" t="s">
        <v>5027</v>
      </c>
      <c r="B2917" t="s">
        <v>38</v>
      </c>
      <c r="C2917" s="1">
        <v>46006.45416666667</v>
      </c>
      <c r="D2917" t="s">
        <v>5146</v>
      </c>
    </row>
    <row r="2918" spans="1:4" x14ac:dyDescent="0.25">
      <c r="A2918" t="s">
        <v>5028</v>
      </c>
      <c r="B2918" t="s">
        <v>38</v>
      </c>
      <c r="C2918" s="1">
        <v>45988.695138888892</v>
      </c>
      <c r="D2918" t="s">
        <v>5146</v>
      </c>
    </row>
    <row r="2919" spans="1:4" x14ac:dyDescent="0.25">
      <c r="A2919" t="s">
        <v>5029</v>
      </c>
      <c r="B2919" t="s">
        <v>38</v>
      </c>
      <c r="C2919" s="1">
        <v>45979.661111111112</v>
      </c>
      <c r="D2919" t="s">
        <v>5146</v>
      </c>
    </row>
    <row r="2920" spans="1:4" x14ac:dyDescent="0.25">
      <c r="A2920" t="s">
        <v>5030</v>
      </c>
      <c r="B2920" t="s">
        <v>38</v>
      </c>
      <c r="C2920" s="1">
        <v>45969.370138888888</v>
      </c>
      <c r="D2920" t="s">
        <v>5146</v>
      </c>
    </row>
    <row r="2921" spans="1:4" x14ac:dyDescent="0.25">
      <c r="A2921" t="s">
        <v>5031</v>
      </c>
      <c r="B2921" t="s">
        <v>38</v>
      </c>
      <c r="C2921" s="1">
        <v>45973.577777777777</v>
      </c>
      <c r="D2921" t="s">
        <v>5146</v>
      </c>
    </row>
    <row r="2922" spans="1:4" x14ac:dyDescent="0.25">
      <c r="A2922" t="s">
        <v>5032</v>
      </c>
      <c r="B2922" t="s">
        <v>39</v>
      </c>
      <c r="C2922" s="1">
        <v>46029.740277777775</v>
      </c>
      <c r="D2922" t="s">
        <v>5146</v>
      </c>
    </row>
    <row r="2923" spans="1:4" x14ac:dyDescent="0.25">
      <c r="A2923" t="s">
        <v>5033</v>
      </c>
      <c r="B2923" t="s">
        <v>38</v>
      </c>
      <c r="C2923" s="1">
        <v>45990.59375</v>
      </c>
      <c r="D2923" t="s">
        <v>5146</v>
      </c>
    </row>
    <row r="2924" spans="1:4" x14ac:dyDescent="0.25">
      <c r="A2924" t="s">
        <v>5034</v>
      </c>
      <c r="B2924" t="s">
        <v>38</v>
      </c>
      <c r="C2924" s="1">
        <v>45974.446527777778</v>
      </c>
      <c r="D2924" t="s">
        <v>5146</v>
      </c>
    </row>
    <row r="2925" spans="1:4" x14ac:dyDescent="0.25">
      <c r="A2925" t="s">
        <v>5035</v>
      </c>
      <c r="B2925" t="s">
        <v>38</v>
      </c>
      <c r="C2925" s="1">
        <v>45975.677083333336</v>
      </c>
      <c r="D2925" t="s">
        <v>5146</v>
      </c>
    </row>
    <row r="2926" spans="1:4" x14ac:dyDescent="0.25">
      <c r="A2926" t="s">
        <v>5036</v>
      </c>
      <c r="B2926" t="s">
        <v>38</v>
      </c>
      <c r="C2926" s="1">
        <v>45992.740972222222</v>
      </c>
      <c r="D2926" t="s">
        <v>5146</v>
      </c>
    </row>
    <row r="2927" spans="1:4" x14ac:dyDescent="0.25">
      <c r="A2927" t="s">
        <v>5037</v>
      </c>
      <c r="B2927" t="s">
        <v>38</v>
      </c>
      <c r="C2927" s="1">
        <v>45972.742361111108</v>
      </c>
      <c r="D2927" t="s">
        <v>5146</v>
      </c>
    </row>
    <row r="2928" spans="1:4" x14ac:dyDescent="0.25">
      <c r="A2928" t="s">
        <v>5038</v>
      </c>
      <c r="B2928" t="s">
        <v>38</v>
      </c>
      <c r="C2928" s="1">
        <v>45978.686111111114</v>
      </c>
      <c r="D2928" t="s">
        <v>5146</v>
      </c>
    </row>
    <row r="2929" spans="1:4" x14ac:dyDescent="0.25">
      <c r="A2929" t="s">
        <v>5039</v>
      </c>
      <c r="B2929" t="s">
        <v>38</v>
      </c>
      <c r="C2929" s="1">
        <v>45974.598611111112</v>
      </c>
      <c r="D2929" t="s">
        <v>5146</v>
      </c>
    </row>
    <row r="2930" spans="1:4" x14ac:dyDescent="0.25">
      <c r="A2930" t="s">
        <v>5040</v>
      </c>
      <c r="B2930" t="s">
        <v>39</v>
      </c>
      <c r="C2930" s="1">
        <v>46029.739583333336</v>
      </c>
      <c r="D2930" t="s">
        <v>5146</v>
      </c>
    </row>
    <row r="2931" spans="1:4" x14ac:dyDescent="0.25">
      <c r="A2931" t="s">
        <v>5041</v>
      </c>
      <c r="B2931" t="s">
        <v>38</v>
      </c>
      <c r="C2931" s="1">
        <v>45980.545138888891</v>
      </c>
      <c r="D2931" t="s">
        <v>5146</v>
      </c>
    </row>
    <row r="2932" spans="1:4" x14ac:dyDescent="0.25">
      <c r="A2932" t="s">
        <v>5042</v>
      </c>
      <c r="B2932" t="s">
        <v>39</v>
      </c>
      <c r="C2932" s="1">
        <v>46029.739583333336</v>
      </c>
      <c r="D2932" t="s">
        <v>5146</v>
      </c>
    </row>
    <row r="2933" spans="1:4" x14ac:dyDescent="0.25">
      <c r="A2933" t="s">
        <v>5043</v>
      </c>
      <c r="B2933" t="s">
        <v>38</v>
      </c>
      <c r="C2933" s="1">
        <v>45981.679166666669</v>
      </c>
      <c r="D2933" t="s">
        <v>5146</v>
      </c>
    </row>
    <row r="2934" spans="1:4" x14ac:dyDescent="0.25">
      <c r="A2934" t="s">
        <v>5044</v>
      </c>
      <c r="B2934" t="s">
        <v>38</v>
      </c>
      <c r="C2934" s="1">
        <v>45974.464583333334</v>
      </c>
      <c r="D2934" t="s">
        <v>5146</v>
      </c>
    </row>
    <row r="2935" spans="1:4" x14ac:dyDescent="0.25">
      <c r="A2935" t="s">
        <v>5045</v>
      </c>
      <c r="B2935" t="s">
        <v>38</v>
      </c>
      <c r="C2935" s="1">
        <v>46031.556250000001</v>
      </c>
      <c r="D2935" t="s">
        <v>5146</v>
      </c>
    </row>
    <row r="2936" spans="1:4" x14ac:dyDescent="0.25">
      <c r="A2936" t="s">
        <v>5046</v>
      </c>
      <c r="B2936" t="s">
        <v>38</v>
      </c>
      <c r="C2936" s="1">
        <v>45973.583333333336</v>
      </c>
      <c r="D2936" t="s">
        <v>5146</v>
      </c>
    </row>
    <row r="2937" spans="1:4" x14ac:dyDescent="0.25">
      <c r="A2937" t="s">
        <v>5047</v>
      </c>
      <c r="B2937" t="s">
        <v>38</v>
      </c>
      <c r="C2937" s="1">
        <v>45976.588194444441</v>
      </c>
      <c r="D2937" t="s">
        <v>5146</v>
      </c>
    </row>
    <row r="2938" spans="1:4" x14ac:dyDescent="0.25">
      <c r="A2938" t="s">
        <v>5048</v>
      </c>
      <c r="B2938" t="s">
        <v>38</v>
      </c>
      <c r="C2938" s="1">
        <v>46031.556250000001</v>
      </c>
      <c r="D2938" t="s">
        <v>5146</v>
      </c>
    </row>
    <row r="2939" spans="1:4" x14ac:dyDescent="0.25">
      <c r="A2939" t="s">
        <v>5049</v>
      </c>
      <c r="B2939" t="s">
        <v>38</v>
      </c>
      <c r="C2939" s="1">
        <v>45976.594444444447</v>
      </c>
      <c r="D2939" t="s">
        <v>5146</v>
      </c>
    </row>
    <row r="2940" spans="1:4" x14ac:dyDescent="0.25">
      <c r="A2940" t="s">
        <v>5050</v>
      </c>
      <c r="B2940" t="s">
        <v>38</v>
      </c>
      <c r="C2940" s="1">
        <v>45979.661111111112</v>
      </c>
      <c r="D2940" t="s">
        <v>5146</v>
      </c>
    </row>
    <row r="2941" spans="1:4" x14ac:dyDescent="0.25">
      <c r="A2941" t="s">
        <v>5051</v>
      </c>
      <c r="B2941" t="s">
        <v>38</v>
      </c>
      <c r="C2941" s="1">
        <v>45995.769444444442</v>
      </c>
      <c r="D2941" t="s">
        <v>5146</v>
      </c>
    </row>
    <row r="2942" spans="1:4" x14ac:dyDescent="0.25">
      <c r="A2942" t="s">
        <v>5052</v>
      </c>
      <c r="B2942" t="s">
        <v>38</v>
      </c>
      <c r="C2942" s="1">
        <v>46031.555555555555</v>
      </c>
      <c r="D2942" t="s">
        <v>5146</v>
      </c>
    </row>
    <row r="2943" spans="1:4" x14ac:dyDescent="0.25">
      <c r="A2943" t="s">
        <v>5053</v>
      </c>
      <c r="B2943" t="s">
        <v>38</v>
      </c>
      <c r="C2943" s="1">
        <v>45992.668055555558</v>
      </c>
      <c r="D2943" t="s">
        <v>5146</v>
      </c>
    </row>
    <row r="2944" spans="1:4" x14ac:dyDescent="0.25">
      <c r="A2944" t="s">
        <v>5054</v>
      </c>
      <c r="B2944" t="s">
        <v>38</v>
      </c>
      <c r="C2944" s="1">
        <v>45982.679166666669</v>
      </c>
      <c r="D2944" t="s">
        <v>5146</v>
      </c>
    </row>
    <row r="2945" spans="1:4" x14ac:dyDescent="0.25">
      <c r="A2945" t="s">
        <v>5055</v>
      </c>
      <c r="B2945" t="s">
        <v>38</v>
      </c>
      <c r="C2945" s="1">
        <v>45995.615972222222</v>
      </c>
      <c r="D2945" t="s">
        <v>5146</v>
      </c>
    </row>
    <row r="2946" spans="1:4" x14ac:dyDescent="0.25">
      <c r="A2946" t="s">
        <v>5056</v>
      </c>
      <c r="B2946" t="s">
        <v>38</v>
      </c>
      <c r="C2946" s="1">
        <v>45981.772222222222</v>
      </c>
      <c r="D2946" t="s">
        <v>5146</v>
      </c>
    </row>
    <row r="2947" spans="1:4" x14ac:dyDescent="0.25">
      <c r="A2947" t="s">
        <v>5057</v>
      </c>
      <c r="B2947" t="s">
        <v>38</v>
      </c>
      <c r="C2947" s="1">
        <v>45979.664583333331</v>
      </c>
      <c r="D2947" t="s">
        <v>5146</v>
      </c>
    </row>
    <row r="2948" spans="1:4" x14ac:dyDescent="0.25">
      <c r="A2948" t="s">
        <v>5058</v>
      </c>
      <c r="B2948" t="s">
        <v>38</v>
      </c>
      <c r="C2948" s="1">
        <v>45978.739583333336</v>
      </c>
      <c r="D2948" t="s">
        <v>5146</v>
      </c>
    </row>
    <row r="2949" spans="1:4" x14ac:dyDescent="0.25">
      <c r="A2949" t="s">
        <v>5059</v>
      </c>
      <c r="B2949" t="s">
        <v>38</v>
      </c>
      <c r="C2949" s="1">
        <v>45983.8</v>
      </c>
      <c r="D2949" t="s">
        <v>5146</v>
      </c>
    </row>
    <row r="2950" spans="1:4" x14ac:dyDescent="0.25">
      <c r="A2950" t="s">
        <v>5060</v>
      </c>
      <c r="B2950" t="s">
        <v>38</v>
      </c>
      <c r="C2950" s="1">
        <v>45979.668055555558</v>
      </c>
      <c r="D2950" t="s">
        <v>5146</v>
      </c>
    </row>
    <row r="2951" spans="1:4" x14ac:dyDescent="0.25">
      <c r="A2951" t="s">
        <v>5061</v>
      </c>
      <c r="B2951" t="s">
        <v>38</v>
      </c>
      <c r="C2951" s="1">
        <v>45980.676388888889</v>
      </c>
      <c r="D2951" t="s">
        <v>5146</v>
      </c>
    </row>
    <row r="2952" spans="1:4" x14ac:dyDescent="0.25">
      <c r="A2952" t="s">
        <v>5062</v>
      </c>
      <c r="B2952" t="s">
        <v>38</v>
      </c>
      <c r="C2952" s="1">
        <v>45985.535416666666</v>
      </c>
      <c r="D2952" t="s">
        <v>5146</v>
      </c>
    </row>
    <row r="2953" spans="1:4" x14ac:dyDescent="0.25">
      <c r="A2953" t="s">
        <v>5063</v>
      </c>
      <c r="B2953" t="s">
        <v>38</v>
      </c>
      <c r="C2953" s="1">
        <v>45992.663888888892</v>
      </c>
      <c r="D2953" t="s">
        <v>5146</v>
      </c>
    </row>
    <row r="2954" spans="1:4" x14ac:dyDescent="0.25">
      <c r="A2954" t="s">
        <v>5064</v>
      </c>
      <c r="B2954" t="s">
        <v>38</v>
      </c>
      <c r="C2954" s="1">
        <v>45981.690972222219</v>
      </c>
      <c r="D2954" t="s">
        <v>5146</v>
      </c>
    </row>
    <row r="2955" spans="1:4" x14ac:dyDescent="0.25">
      <c r="A2955" t="s">
        <v>5065</v>
      </c>
      <c r="B2955" t="s">
        <v>38</v>
      </c>
      <c r="C2955" s="1">
        <v>45981.768750000003</v>
      </c>
      <c r="D2955" t="s">
        <v>5146</v>
      </c>
    </row>
    <row r="2956" spans="1:4" x14ac:dyDescent="0.25">
      <c r="A2956" t="s">
        <v>5066</v>
      </c>
      <c r="B2956" t="s">
        <v>38</v>
      </c>
      <c r="C2956" s="1">
        <v>45981.60833333333</v>
      </c>
      <c r="D2956" t="s">
        <v>5146</v>
      </c>
    </row>
    <row r="2957" spans="1:4" x14ac:dyDescent="0.25">
      <c r="A2957" t="s">
        <v>5067</v>
      </c>
      <c r="B2957" t="s">
        <v>38</v>
      </c>
      <c r="C2957" s="1">
        <v>45987.765277777777</v>
      </c>
      <c r="D2957" t="s">
        <v>5146</v>
      </c>
    </row>
    <row r="2958" spans="1:4" x14ac:dyDescent="0.25">
      <c r="A2958" t="s">
        <v>5068</v>
      </c>
      <c r="B2958" t="s">
        <v>38</v>
      </c>
      <c r="C2958" s="1">
        <v>45986.50277777778</v>
      </c>
      <c r="D2958" t="s">
        <v>5146</v>
      </c>
    </row>
    <row r="2959" spans="1:4" x14ac:dyDescent="0.25">
      <c r="A2959" t="s">
        <v>5069</v>
      </c>
      <c r="B2959" t="s">
        <v>38</v>
      </c>
      <c r="C2959" s="1">
        <v>46000.574999999997</v>
      </c>
      <c r="D2959" t="s">
        <v>5146</v>
      </c>
    </row>
    <row r="2960" spans="1:4" x14ac:dyDescent="0.25">
      <c r="A2960" t="s">
        <v>5070</v>
      </c>
      <c r="B2960" t="s">
        <v>38</v>
      </c>
      <c r="C2960" s="1">
        <v>45979.595833333333</v>
      </c>
      <c r="D2960" t="s">
        <v>5146</v>
      </c>
    </row>
    <row r="2961" spans="1:4" x14ac:dyDescent="0.25">
      <c r="A2961" t="s">
        <v>5071</v>
      </c>
      <c r="B2961" t="s">
        <v>38</v>
      </c>
      <c r="C2961" s="1">
        <v>46031.554861111108</v>
      </c>
      <c r="D2961" t="s">
        <v>5146</v>
      </c>
    </row>
    <row r="2962" spans="1:4" x14ac:dyDescent="0.25">
      <c r="A2962" t="s">
        <v>5072</v>
      </c>
      <c r="B2962" t="s">
        <v>38</v>
      </c>
      <c r="C2962" s="1">
        <v>46028.595833333333</v>
      </c>
      <c r="D2962" t="s">
        <v>5146</v>
      </c>
    </row>
    <row r="2963" spans="1:4" x14ac:dyDescent="0.25">
      <c r="A2963" t="s">
        <v>5073</v>
      </c>
      <c r="B2963" t="s">
        <v>39</v>
      </c>
      <c r="C2963" s="1">
        <v>46029.738194444442</v>
      </c>
      <c r="D2963" t="s">
        <v>5146</v>
      </c>
    </row>
    <row r="2964" spans="1:4" x14ac:dyDescent="0.25">
      <c r="A2964" t="s">
        <v>5074</v>
      </c>
      <c r="B2964" t="s">
        <v>38</v>
      </c>
      <c r="C2964" s="1">
        <v>45979.678472222222</v>
      </c>
      <c r="D2964" t="s">
        <v>5146</v>
      </c>
    </row>
    <row r="2965" spans="1:4" x14ac:dyDescent="0.25">
      <c r="A2965" t="s">
        <v>5075</v>
      </c>
      <c r="B2965" t="s">
        <v>38</v>
      </c>
      <c r="C2965" s="1">
        <v>46031.554166666669</v>
      </c>
      <c r="D2965" t="s">
        <v>5146</v>
      </c>
    </row>
    <row r="2966" spans="1:4" x14ac:dyDescent="0.25">
      <c r="A2966" t="s">
        <v>5076</v>
      </c>
      <c r="B2966" t="s">
        <v>39</v>
      </c>
      <c r="C2966" s="1">
        <v>46029.738194444442</v>
      </c>
      <c r="D2966" t="s">
        <v>5146</v>
      </c>
    </row>
    <row r="2967" spans="1:4" x14ac:dyDescent="0.25">
      <c r="A2967" t="s">
        <v>5077</v>
      </c>
      <c r="B2967" t="s">
        <v>38</v>
      </c>
      <c r="C2967" s="1">
        <v>45983.609722222223</v>
      </c>
      <c r="D2967" t="s">
        <v>5146</v>
      </c>
    </row>
    <row r="2968" spans="1:4" x14ac:dyDescent="0.25">
      <c r="A2968" t="s">
        <v>5078</v>
      </c>
      <c r="B2968" t="s">
        <v>38</v>
      </c>
      <c r="C2968" s="1">
        <v>45983.602083333331</v>
      </c>
      <c r="D2968" t="s">
        <v>5146</v>
      </c>
    </row>
    <row r="2969" spans="1:4" x14ac:dyDescent="0.25">
      <c r="A2969" t="s">
        <v>5079</v>
      </c>
      <c r="B2969" t="s">
        <v>38</v>
      </c>
      <c r="C2969" s="1">
        <v>45980.650694444441</v>
      </c>
      <c r="D2969" t="s">
        <v>5146</v>
      </c>
    </row>
    <row r="2970" spans="1:4" x14ac:dyDescent="0.25">
      <c r="A2970" t="s">
        <v>5080</v>
      </c>
      <c r="B2970" t="s">
        <v>38</v>
      </c>
      <c r="C2970" s="1">
        <v>45981.645833333336</v>
      </c>
      <c r="D2970" t="s">
        <v>5146</v>
      </c>
    </row>
    <row r="2971" spans="1:4" x14ac:dyDescent="0.25">
      <c r="A2971" t="s">
        <v>5081</v>
      </c>
      <c r="B2971" t="s">
        <v>38</v>
      </c>
      <c r="C2971" s="1">
        <v>45978.505555555559</v>
      </c>
      <c r="D2971" t="s">
        <v>5146</v>
      </c>
    </row>
    <row r="2972" spans="1:4" x14ac:dyDescent="0.25">
      <c r="A2972" t="s">
        <v>5082</v>
      </c>
      <c r="B2972" t="s">
        <v>38</v>
      </c>
      <c r="C2972" s="1">
        <v>45980.647916666669</v>
      </c>
      <c r="D2972" t="s">
        <v>5146</v>
      </c>
    </row>
    <row r="2973" spans="1:4" x14ac:dyDescent="0.25">
      <c r="A2973" t="s">
        <v>5083</v>
      </c>
      <c r="B2973" t="s">
        <v>38</v>
      </c>
      <c r="C2973" s="1">
        <v>45979.500694444447</v>
      </c>
      <c r="D2973" t="s">
        <v>5146</v>
      </c>
    </row>
    <row r="2974" spans="1:4" x14ac:dyDescent="0.25">
      <c r="A2974" t="s">
        <v>5084</v>
      </c>
      <c r="B2974" t="s">
        <v>38</v>
      </c>
      <c r="C2974" s="1">
        <v>45990.598611111112</v>
      </c>
      <c r="D2974" t="s">
        <v>5146</v>
      </c>
    </row>
    <row r="2975" spans="1:4" x14ac:dyDescent="0.25">
      <c r="A2975" t="s">
        <v>5085</v>
      </c>
      <c r="B2975" t="s">
        <v>38</v>
      </c>
      <c r="C2975" s="1">
        <v>45979.538888888892</v>
      </c>
      <c r="D2975" t="s">
        <v>5146</v>
      </c>
    </row>
    <row r="2976" spans="1:4" x14ac:dyDescent="0.25">
      <c r="A2976" t="s">
        <v>5086</v>
      </c>
      <c r="B2976" t="s">
        <v>38</v>
      </c>
      <c r="C2976" s="1">
        <v>45980.640972222223</v>
      </c>
      <c r="D2976" t="s">
        <v>5146</v>
      </c>
    </row>
    <row r="2977" spans="1:4" x14ac:dyDescent="0.25">
      <c r="A2977" t="s">
        <v>5087</v>
      </c>
      <c r="B2977" t="s">
        <v>38</v>
      </c>
      <c r="C2977" s="1">
        <v>45990.552083333336</v>
      </c>
      <c r="D2977" t="s">
        <v>5146</v>
      </c>
    </row>
    <row r="2978" spans="1:4" x14ac:dyDescent="0.25">
      <c r="A2978" t="s">
        <v>5088</v>
      </c>
      <c r="B2978" t="s">
        <v>38</v>
      </c>
      <c r="C2978" s="1">
        <v>45979.532638888886</v>
      </c>
      <c r="D2978" t="s">
        <v>5146</v>
      </c>
    </row>
    <row r="2979" spans="1:4" x14ac:dyDescent="0.25">
      <c r="A2979" t="s">
        <v>5089</v>
      </c>
      <c r="B2979" t="s">
        <v>38</v>
      </c>
      <c r="C2979" s="1">
        <v>45979.506249999999</v>
      </c>
      <c r="D2979" t="s">
        <v>5146</v>
      </c>
    </row>
    <row r="2980" spans="1:4" x14ac:dyDescent="0.25">
      <c r="A2980" t="s">
        <v>5090</v>
      </c>
      <c r="B2980" t="s">
        <v>38</v>
      </c>
      <c r="C2980" s="1">
        <v>45980.615972222222</v>
      </c>
      <c r="D2980" t="s">
        <v>5146</v>
      </c>
    </row>
    <row r="2981" spans="1:4" x14ac:dyDescent="0.25">
      <c r="A2981" t="s">
        <v>5091</v>
      </c>
      <c r="B2981" t="s">
        <v>38</v>
      </c>
      <c r="C2981" s="1">
        <v>45980.469444444447</v>
      </c>
      <c r="D2981" t="s">
        <v>5146</v>
      </c>
    </row>
    <row r="2982" spans="1:4" x14ac:dyDescent="0.25">
      <c r="A2982" t="s">
        <v>5092</v>
      </c>
      <c r="B2982" t="s">
        <v>38</v>
      </c>
      <c r="C2982" s="1">
        <v>45987.503472222219</v>
      </c>
      <c r="D2982" t="s">
        <v>5146</v>
      </c>
    </row>
    <row r="2983" spans="1:4" x14ac:dyDescent="0.25">
      <c r="A2983" t="s">
        <v>5093</v>
      </c>
      <c r="B2983" t="s">
        <v>38</v>
      </c>
      <c r="C2983" s="1">
        <v>45978.691666666666</v>
      </c>
      <c r="D2983" t="s">
        <v>5146</v>
      </c>
    </row>
    <row r="2984" spans="1:4" x14ac:dyDescent="0.25">
      <c r="A2984" t="s">
        <v>5094</v>
      </c>
      <c r="B2984" t="s">
        <v>38</v>
      </c>
      <c r="C2984" s="1">
        <v>45988.609722222223</v>
      </c>
      <c r="D2984" t="s">
        <v>5146</v>
      </c>
    </row>
    <row r="2985" spans="1:4" x14ac:dyDescent="0.25">
      <c r="A2985" t="s">
        <v>5095</v>
      </c>
      <c r="B2985" t="s">
        <v>38</v>
      </c>
      <c r="C2985" s="1">
        <v>45999.443749999999</v>
      </c>
      <c r="D2985" t="s">
        <v>5146</v>
      </c>
    </row>
    <row r="2986" spans="1:4" x14ac:dyDescent="0.25">
      <c r="A2986" t="s">
        <v>5096</v>
      </c>
      <c r="B2986" t="s">
        <v>38</v>
      </c>
      <c r="C2986" s="1">
        <v>45999.448611111111</v>
      </c>
      <c r="D2986" t="s">
        <v>5146</v>
      </c>
    </row>
    <row r="2987" spans="1:4" x14ac:dyDescent="0.25">
      <c r="A2987" t="s">
        <v>5097</v>
      </c>
      <c r="B2987" t="s">
        <v>38</v>
      </c>
      <c r="C2987" s="1">
        <v>45986.490277777775</v>
      </c>
      <c r="D2987" t="s">
        <v>5146</v>
      </c>
    </row>
    <row r="2988" spans="1:4" x14ac:dyDescent="0.25">
      <c r="A2988" t="s">
        <v>5098</v>
      </c>
      <c r="B2988" t="s">
        <v>38</v>
      </c>
      <c r="C2988" s="1">
        <v>45987.535416666666</v>
      </c>
      <c r="D2988" t="s">
        <v>5146</v>
      </c>
    </row>
    <row r="2989" spans="1:4" x14ac:dyDescent="0.25">
      <c r="A2989" t="s">
        <v>5099</v>
      </c>
      <c r="B2989" t="s">
        <v>38</v>
      </c>
      <c r="C2989" s="1">
        <v>45989.449305555558</v>
      </c>
      <c r="D2989" t="s">
        <v>5146</v>
      </c>
    </row>
    <row r="2990" spans="1:4" x14ac:dyDescent="0.25">
      <c r="A2990" t="s">
        <v>5100</v>
      </c>
      <c r="B2990" t="s">
        <v>38</v>
      </c>
      <c r="C2990" s="1">
        <v>45987.549305555556</v>
      </c>
      <c r="D2990" t="s">
        <v>5146</v>
      </c>
    </row>
    <row r="2991" spans="1:4" x14ac:dyDescent="0.25">
      <c r="A2991" t="s">
        <v>5101</v>
      </c>
      <c r="B2991" t="s">
        <v>38</v>
      </c>
      <c r="C2991" s="1">
        <v>46028.704861111109</v>
      </c>
      <c r="D2991" t="s">
        <v>5146</v>
      </c>
    </row>
    <row r="2992" spans="1:4" x14ac:dyDescent="0.25">
      <c r="A2992" t="s">
        <v>5102</v>
      </c>
      <c r="B2992" t="s">
        <v>39</v>
      </c>
      <c r="C2992" s="1">
        <v>46030.746527777781</v>
      </c>
      <c r="D2992" t="s">
        <v>5146</v>
      </c>
    </row>
    <row r="2993" spans="1:4" x14ac:dyDescent="0.25">
      <c r="A2993" t="s">
        <v>5103</v>
      </c>
      <c r="B2993" t="s">
        <v>38</v>
      </c>
      <c r="C2993" s="1">
        <v>45989.591666666667</v>
      </c>
      <c r="D2993" t="s">
        <v>5146</v>
      </c>
    </row>
    <row r="2994" spans="1:4" x14ac:dyDescent="0.25">
      <c r="A2994" t="s">
        <v>5104</v>
      </c>
      <c r="B2994" t="s">
        <v>38</v>
      </c>
      <c r="C2994" s="1">
        <v>45980.625</v>
      </c>
      <c r="D2994" t="s">
        <v>5146</v>
      </c>
    </row>
    <row r="2995" spans="1:4" x14ac:dyDescent="0.25">
      <c r="A2995" t="s">
        <v>5105</v>
      </c>
      <c r="B2995" t="s">
        <v>38</v>
      </c>
      <c r="C2995" s="1">
        <v>45986.772222222222</v>
      </c>
      <c r="D2995" t="s">
        <v>5146</v>
      </c>
    </row>
    <row r="2996" spans="1:4" x14ac:dyDescent="0.25">
      <c r="A2996" t="s">
        <v>5106</v>
      </c>
      <c r="B2996" t="s">
        <v>38</v>
      </c>
      <c r="C2996" s="1">
        <v>45985.724305555559</v>
      </c>
      <c r="D2996" t="s">
        <v>5146</v>
      </c>
    </row>
    <row r="2997" spans="1:4" x14ac:dyDescent="0.25">
      <c r="A2997" t="s">
        <v>5107</v>
      </c>
      <c r="B2997" t="s">
        <v>38</v>
      </c>
      <c r="C2997" s="1">
        <v>46036.65902777778</v>
      </c>
      <c r="D2997" t="s">
        <v>5146</v>
      </c>
    </row>
    <row r="2998" spans="1:4" x14ac:dyDescent="0.25">
      <c r="A2998" t="s">
        <v>5108</v>
      </c>
      <c r="B2998" t="s">
        <v>38</v>
      </c>
      <c r="C2998" s="1">
        <v>45991.822222222225</v>
      </c>
      <c r="D2998" t="s">
        <v>5146</v>
      </c>
    </row>
    <row r="2999" spans="1:4" x14ac:dyDescent="0.25">
      <c r="A2999" t="s">
        <v>5109</v>
      </c>
      <c r="B2999" t="s">
        <v>39</v>
      </c>
      <c r="C2999" s="1">
        <v>45989.506944444445</v>
      </c>
      <c r="D2999" t="s">
        <v>5146</v>
      </c>
    </row>
    <row r="3000" spans="1:4" x14ac:dyDescent="0.25">
      <c r="A3000" t="s">
        <v>5110</v>
      </c>
      <c r="B3000" t="s">
        <v>38</v>
      </c>
      <c r="C3000" s="1">
        <v>45993.480555555558</v>
      </c>
      <c r="D3000" t="s">
        <v>5146</v>
      </c>
    </row>
    <row r="3001" spans="1:4" x14ac:dyDescent="0.25">
      <c r="A3001" t="s">
        <v>5111</v>
      </c>
      <c r="B3001" t="s">
        <v>38</v>
      </c>
      <c r="C3001" s="1">
        <v>45991.831944444442</v>
      </c>
      <c r="D3001" t="s">
        <v>5146</v>
      </c>
    </row>
    <row r="3002" spans="1:4" x14ac:dyDescent="0.25">
      <c r="A3002" t="s">
        <v>5112</v>
      </c>
      <c r="B3002" t="s">
        <v>38</v>
      </c>
      <c r="C3002" s="1">
        <v>45987.567361111112</v>
      </c>
      <c r="D3002" t="s">
        <v>5146</v>
      </c>
    </row>
    <row r="3003" spans="1:4" x14ac:dyDescent="0.25">
      <c r="A3003" t="s">
        <v>5113</v>
      </c>
      <c r="B3003" t="s">
        <v>38</v>
      </c>
      <c r="C3003" s="1">
        <v>45987.568749999999</v>
      </c>
      <c r="D3003" t="s">
        <v>5146</v>
      </c>
    </row>
    <row r="3004" spans="1:4" x14ac:dyDescent="0.25">
      <c r="A3004" t="s">
        <v>5114</v>
      </c>
      <c r="B3004" t="s">
        <v>38</v>
      </c>
      <c r="C3004" s="1">
        <v>45982.615277777775</v>
      </c>
      <c r="D3004" t="s">
        <v>5146</v>
      </c>
    </row>
    <row r="3005" spans="1:4" x14ac:dyDescent="0.25">
      <c r="A3005" t="s">
        <v>5115</v>
      </c>
      <c r="B3005" t="s">
        <v>38</v>
      </c>
      <c r="C3005" s="1">
        <v>46028.59097222222</v>
      </c>
      <c r="D3005" t="s">
        <v>5146</v>
      </c>
    </row>
    <row r="3006" spans="1:4" x14ac:dyDescent="0.25">
      <c r="A3006" t="s">
        <v>5116</v>
      </c>
      <c r="B3006" t="s">
        <v>38</v>
      </c>
      <c r="C3006" s="1">
        <v>45985.499305555553</v>
      </c>
      <c r="D3006" t="s">
        <v>5146</v>
      </c>
    </row>
    <row r="3007" spans="1:4" x14ac:dyDescent="0.25">
      <c r="A3007" t="s">
        <v>5117</v>
      </c>
      <c r="B3007" t="s">
        <v>39</v>
      </c>
      <c r="C3007" s="1">
        <v>45993.481249999997</v>
      </c>
      <c r="D3007" t="s">
        <v>5146</v>
      </c>
    </row>
    <row r="3008" spans="1:4" x14ac:dyDescent="0.25">
      <c r="A3008" t="s">
        <v>5118</v>
      </c>
      <c r="B3008" t="s">
        <v>38</v>
      </c>
      <c r="C3008" s="1">
        <v>45983.647222222222</v>
      </c>
      <c r="D3008" t="s">
        <v>5146</v>
      </c>
    </row>
    <row r="3009" spans="1:4" x14ac:dyDescent="0.25">
      <c r="A3009" t="s">
        <v>5119</v>
      </c>
      <c r="B3009" t="s">
        <v>38</v>
      </c>
      <c r="C3009" s="1">
        <v>45992.506944444445</v>
      </c>
      <c r="D3009" t="s">
        <v>5146</v>
      </c>
    </row>
    <row r="3010" spans="1:4" x14ac:dyDescent="0.25">
      <c r="A3010" t="s">
        <v>5120</v>
      </c>
      <c r="B3010" t="s">
        <v>38</v>
      </c>
      <c r="C3010" s="1">
        <v>46022.556944444441</v>
      </c>
      <c r="D3010" t="s">
        <v>5146</v>
      </c>
    </row>
    <row r="3011" spans="1:4" x14ac:dyDescent="0.25">
      <c r="A3011" t="s">
        <v>5121</v>
      </c>
      <c r="B3011" t="s">
        <v>38</v>
      </c>
      <c r="C3011" s="1">
        <v>45983.740277777775</v>
      </c>
      <c r="D3011" t="s">
        <v>5146</v>
      </c>
    </row>
    <row r="3012" spans="1:4" x14ac:dyDescent="0.25">
      <c r="A3012" t="s">
        <v>5122</v>
      </c>
      <c r="B3012" t="s">
        <v>38</v>
      </c>
      <c r="C3012" s="1">
        <v>45983.715277777781</v>
      </c>
      <c r="D3012" t="s">
        <v>5146</v>
      </c>
    </row>
    <row r="3013" spans="1:4" x14ac:dyDescent="0.25">
      <c r="A3013" t="s">
        <v>5123</v>
      </c>
      <c r="B3013" t="s">
        <v>38</v>
      </c>
      <c r="C3013" s="1">
        <v>45988.761111111111</v>
      </c>
      <c r="D3013" t="s">
        <v>5146</v>
      </c>
    </row>
    <row r="3014" spans="1:4" x14ac:dyDescent="0.25">
      <c r="A3014" t="s">
        <v>5124</v>
      </c>
      <c r="B3014" t="s">
        <v>38</v>
      </c>
      <c r="C3014" s="1">
        <v>45983.719444444447</v>
      </c>
      <c r="D3014" t="s">
        <v>5146</v>
      </c>
    </row>
    <row r="3015" spans="1:4" x14ac:dyDescent="0.25">
      <c r="A3015" t="s">
        <v>5125</v>
      </c>
      <c r="B3015" t="s">
        <v>38</v>
      </c>
      <c r="C3015" s="1">
        <v>45987.734027777777</v>
      </c>
      <c r="D3015" t="s">
        <v>5146</v>
      </c>
    </row>
    <row r="3016" spans="1:4" x14ac:dyDescent="0.25">
      <c r="A3016" t="s">
        <v>5126</v>
      </c>
      <c r="B3016" t="s">
        <v>38</v>
      </c>
      <c r="C3016" s="1">
        <v>45983.736805555556</v>
      </c>
      <c r="D3016" t="s">
        <v>5146</v>
      </c>
    </row>
    <row r="3017" spans="1:4" x14ac:dyDescent="0.25">
      <c r="A3017" t="s">
        <v>5127</v>
      </c>
      <c r="B3017" t="s">
        <v>38</v>
      </c>
      <c r="C3017" s="1">
        <v>45995.554861111108</v>
      </c>
      <c r="D3017" t="s">
        <v>5146</v>
      </c>
    </row>
    <row r="3018" spans="1:4" x14ac:dyDescent="0.25">
      <c r="A3018" t="s">
        <v>5128</v>
      </c>
      <c r="B3018" t="s">
        <v>38</v>
      </c>
      <c r="C3018" s="1">
        <v>45983.726388888892</v>
      </c>
      <c r="D3018" t="s">
        <v>5146</v>
      </c>
    </row>
    <row r="3019" spans="1:4" x14ac:dyDescent="0.25">
      <c r="A3019" t="s">
        <v>5129</v>
      </c>
      <c r="B3019" t="s">
        <v>38</v>
      </c>
      <c r="C3019" s="1">
        <v>45983.722916666666</v>
      </c>
      <c r="D3019" t="s">
        <v>5146</v>
      </c>
    </row>
    <row r="3020" spans="1:4" x14ac:dyDescent="0.25">
      <c r="A3020" t="s">
        <v>5130</v>
      </c>
      <c r="B3020" t="s">
        <v>39</v>
      </c>
      <c r="C3020" s="1">
        <v>46029.737500000003</v>
      </c>
      <c r="D3020" t="s">
        <v>5146</v>
      </c>
    </row>
    <row r="3021" spans="1:4" x14ac:dyDescent="0.25">
      <c r="A3021" t="s">
        <v>5131</v>
      </c>
      <c r="B3021" t="s">
        <v>38</v>
      </c>
      <c r="C3021" s="1">
        <v>45992.718055555553</v>
      </c>
      <c r="D3021" t="s">
        <v>5146</v>
      </c>
    </row>
    <row r="3022" spans="1:4" x14ac:dyDescent="0.25">
      <c r="A3022" t="s">
        <v>5132</v>
      </c>
      <c r="B3022" t="s">
        <v>38</v>
      </c>
      <c r="C3022" s="1">
        <v>45992.753472222219</v>
      </c>
      <c r="D3022" t="s">
        <v>5146</v>
      </c>
    </row>
    <row r="3023" spans="1:4" x14ac:dyDescent="0.25">
      <c r="A3023" t="s">
        <v>5133</v>
      </c>
      <c r="B3023" t="s">
        <v>38</v>
      </c>
      <c r="C3023" s="1">
        <v>45986.671527777777</v>
      </c>
      <c r="D3023" t="s">
        <v>5146</v>
      </c>
    </row>
    <row r="3024" spans="1:4" x14ac:dyDescent="0.25">
      <c r="A3024" t="s">
        <v>5134</v>
      </c>
      <c r="B3024" t="s">
        <v>38</v>
      </c>
      <c r="C3024" s="1">
        <v>45986.684027777781</v>
      </c>
      <c r="D3024" t="s">
        <v>5146</v>
      </c>
    </row>
    <row r="3025" spans="1:4" x14ac:dyDescent="0.25">
      <c r="A3025" t="s">
        <v>5135</v>
      </c>
      <c r="B3025" t="s">
        <v>38</v>
      </c>
      <c r="C3025" s="1">
        <v>46024.807638888888</v>
      </c>
      <c r="D3025" t="s">
        <v>5146</v>
      </c>
    </row>
    <row r="3026" spans="1:4" x14ac:dyDescent="0.25">
      <c r="A3026" t="s">
        <v>5136</v>
      </c>
      <c r="B3026" t="s">
        <v>38</v>
      </c>
      <c r="C3026" s="1">
        <v>45986.665972222225</v>
      </c>
      <c r="D3026" t="s">
        <v>5146</v>
      </c>
    </row>
    <row r="3027" spans="1:4" x14ac:dyDescent="0.25">
      <c r="A3027" t="s">
        <v>5137</v>
      </c>
      <c r="B3027" t="s">
        <v>38</v>
      </c>
      <c r="C3027" s="1">
        <v>46000.455555555556</v>
      </c>
      <c r="D3027" t="s">
        <v>5146</v>
      </c>
    </row>
    <row r="3028" spans="1:4" x14ac:dyDescent="0.25">
      <c r="A3028" t="s">
        <v>5138</v>
      </c>
      <c r="B3028" t="s">
        <v>38</v>
      </c>
      <c r="C3028" s="1">
        <v>45985.571527777778</v>
      </c>
      <c r="D3028" t="s">
        <v>5146</v>
      </c>
    </row>
    <row r="3029" spans="1:4" x14ac:dyDescent="0.25">
      <c r="A3029" t="s">
        <v>5139</v>
      </c>
      <c r="B3029" t="s">
        <v>38</v>
      </c>
      <c r="C3029" s="1">
        <v>45986.522916666669</v>
      </c>
      <c r="D3029" t="s">
        <v>5146</v>
      </c>
    </row>
    <row r="3030" spans="1:4" x14ac:dyDescent="0.25">
      <c r="A3030" t="s">
        <v>5140</v>
      </c>
      <c r="B3030" t="s">
        <v>38</v>
      </c>
      <c r="C3030" s="1">
        <v>45986.478472222225</v>
      </c>
      <c r="D3030" t="s">
        <v>5146</v>
      </c>
    </row>
    <row r="3031" spans="1:4" x14ac:dyDescent="0.25">
      <c r="A3031" t="s">
        <v>5141</v>
      </c>
      <c r="B3031" t="s">
        <v>38</v>
      </c>
      <c r="C3031" s="1">
        <v>46021.698611111111</v>
      </c>
      <c r="D3031" t="s">
        <v>5146</v>
      </c>
    </row>
    <row r="3032" spans="1:4" x14ac:dyDescent="0.25">
      <c r="A3032" t="s">
        <v>5142</v>
      </c>
      <c r="B3032" t="s">
        <v>38</v>
      </c>
      <c r="C3032" s="1">
        <v>45983.681250000001</v>
      </c>
      <c r="D3032" t="s">
        <v>5146</v>
      </c>
    </row>
    <row r="3033" spans="1:4" x14ac:dyDescent="0.25">
      <c r="A3033" t="s">
        <v>5143</v>
      </c>
      <c r="B3033" t="s">
        <v>38</v>
      </c>
      <c r="C3033" s="1">
        <v>45994.745833333334</v>
      </c>
      <c r="D3033" t="s">
        <v>5146</v>
      </c>
    </row>
    <row r="3034" spans="1:4" x14ac:dyDescent="0.25">
      <c r="A3034" t="s">
        <v>5144</v>
      </c>
      <c r="B3034" t="s">
        <v>38</v>
      </c>
      <c r="C3034" s="1">
        <v>46007.725694444445</v>
      </c>
      <c r="D3034" t="s">
        <v>5146</v>
      </c>
    </row>
    <row r="3035" spans="1:4" x14ac:dyDescent="0.25">
      <c r="A3035" t="s">
        <v>5145</v>
      </c>
      <c r="B3035" t="s">
        <v>38</v>
      </c>
      <c r="C3035" s="1">
        <v>45798.611805555556</v>
      </c>
      <c r="D3035" t="s">
        <v>5146</v>
      </c>
    </row>
    <row r="3036" spans="1:4" x14ac:dyDescent="0.25">
      <c r="A3036" t="s">
        <v>5147</v>
      </c>
      <c r="B3036" t="s">
        <v>38</v>
      </c>
      <c r="C3036" s="1">
        <v>45814.642361111109</v>
      </c>
      <c r="D3036" t="s">
        <v>5146</v>
      </c>
    </row>
    <row r="3037" spans="1:4" x14ac:dyDescent="0.25">
      <c r="A3037" t="s">
        <v>5148</v>
      </c>
      <c r="B3037" t="s">
        <v>38</v>
      </c>
      <c r="C3037" s="1">
        <v>45799.626388888886</v>
      </c>
      <c r="D3037" t="s">
        <v>5146</v>
      </c>
    </row>
    <row r="3038" spans="1:4" x14ac:dyDescent="0.25">
      <c r="A3038" t="s">
        <v>5149</v>
      </c>
      <c r="B3038" t="s">
        <v>38</v>
      </c>
      <c r="C3038" s="1">
        <v>45775.796527777777</v>
      </c>
      <c r="D3038" t="s">
        <v>5146</v>
      </c>
    </row>
    <row r="3039" spans="1:4" x14ac:dyDescent="0.25">
      <c r="A3039" t="s">
        <v>5150</v>
      </c>
      <c r="B3039" t="s">
        <v>38</v>
      </c>
      <c r="C3039" s="1">
        <v>45856.663194444445</v>
      </c>
      <c r="D3039" t="s">
        <v>5146</v>
      </c>
    </row>
    <row r="3040" spans="1:4" x14ac:dyDescent="0.25">
      <c r="A3040" t="s">
        <v>5151</v>
      </c>
      <c r="B3040" t="s">
        <v>38</v>
      </c>
      <c r="C3040" s="1">
        <v>45796.714583333334</v>
      </c>
      <c r="D3040" t="s">
        <v>5146</v>
      </c>
    </row>
    <row r="3041" spans="1:4" x14ac:dyDescent="0.25">
      <c r="A3041" t="s">
        <v>5152</v>
      </c>
      <c r="B3041" t="s">
        <v>38</v>
      </c>
      <c r="C3041" s="1">
        <v>45782.732638888891</v>
      </c>
      <c r="D3041" t="s">
        <v>5146</v>
      </c>
    </row>
    <row r="3042" spans="1:4" x14ac:dyDescent="0.25">
      <c r="A3042" t="s">
        <v>5153</v>
      </c>
      <c r="B3042" t="s">
        <v>38</v>
      </c>
      <c r="C3042" s="1">
        <v>45812.754166666666</v>
      </c>
      <c r="D3042" t="s">
        <v>5146</v>
      </c>
    </row>
    <row r="3043" spans="1:4" x14ac:dyDescent="0.25">
      <c r="A3043" t="s">
        <v>5154</v>
      </c>
      <c r="B3043" t="s">
        <v>38</v>
      </c>
      <c r="C3043" s="1">
        <v>45814.789583333331</v>
      </c>
      <c r="D3043" t="s">
        <v>5146</v>
      </c>
    </row>
    <row r="3044" spans="1:4" x14ac:dyDescent="0.25">
      <c r="A3044" t="s">
        <v>5155</v>
      </c>
      <c r="B3044" t="s">
        <v>38</v>
      </c>
      <c r="C3044" s="1">
        <v>45849.54583333333</v>
      </c>
      <c r="D3044" t="s">
        <v>5146</v>
      </c>
    </row>
    <row r="3045" spans="1:4" x14ac:dyDescent="0.25">
      <c r="A3045" t="s">
        <v>5156</v>
      </c>
      <c r="B3045" t="s">
        <v>38</v>
      </c>
      <c r="C3045" s="1">
        <v>45779.50277777778</v>
      </c>
      <c r="D3045" t="s">
        <v>5146</v>
      </c>
    </row>
    <row r="3046" spans="1:4" x14ac:dyDescent="0.25">
      <c r="A3046" t="s">
        <v>5157</v>
      </c>
      <c r="B3046" t="s">
        <v>38</v>
      </c>
      <c r="C3046" s="1">
        <v>45784.560416666667</v>
      </c>
      <c r="D3046" t="s">
        <v>5146</v>
      </c>
    </row>
    <row r="3047" spans="1:4" x14ac:dyDescent="0.25">
      <c r="A3047" t="s">
        <v>635</v>
      </c>
      <c r="B3047" t="s">
        <v>1239</v>
      </c>
      <c r="C3047" s="1">
        <v>46051.685416666667</v>
      </c>
      <c r="D3047" t="s">
        <v>5146</v>
      </c>
    </row>
    <row r="3048" spans="1:4" x14ac:dyDescent="0.25">
      <c r="A3048" t="s">
        <v>5158</v>
      </c>
      <c r="B3048" t="s">
        <v>38</v>
      </c>
      <c r="C3048" s="1">
        <v>45840.843055555553</v>
      </c>
      <c r="D3048" t="s">
        <v>5146</v>
      </c>
    </row>
    <row r="3049" spans="1:4" x14ac:dyDescent="0.25">
      <c r="A3049" t="s">
        <v>5159</v>
      </c>
      <c r="B3049" t="s">
        <v>38</v>
      </c>
      <c r="C3049" s="1">
        <v>45800.763888888891</v>
      </c>
      <c r="D3049" t="s">
        <v>5146</v>
      </c>
    </row>
    <row r="3050" spans="1:4" x14ac:dyDescent="0.25">
      <c r="A3050" t="s">
        <v>5160</v>
      </c>
      <c r="B3050" t="s">
        <v>38</v>
      </c>
      <c r="C3050" s="1">
        <v>45803.532638888886</v>
      </c>
      <c r="D3050" t="s">
        <v>5146</v>
      </c>
    </row>
    <row r="3051" spans="1:4" x14ac:dyDescent="0.25">
      <c r="A3051" t="s">
        <v>5161</v>
      </c>
      <c r="B3051" t="s">
        <v>38</v>
      </c>
      <c r="C3051" s="1">
        <v>45799.615972222222</v>
      </c>
      <c r="D3051" t="s">
        <v>5146</v>
      </c>
    </row>
    <row r="3052" spans="1:4" x14ac:dyDescent="0.25">
      <c r="A3052" t="s">
        <v>5162</v>
      </c>
      <c r="B3052" t="s">
        <v>38</v>
      </c>
      <c r="C3052" s="1">
        <v>45848.465277777781</v>
      </c>
      <c r="D3052" t="s">
        <v>5146</v>
      </c>
    </row>
    <row r="3053" spans="1:4" x14ac:dyDescent="0.25">
      <c r="A3053" t="s">
        <v>5163</v>
      </c>
      <c r="B3053" t="s">
        <v>38</v>
      </c>
      <c r="C3053" s="1">
        <v>45797.788194444445</v>
      </c>
      <c r="D3053" t="s">
        <v>5146</v>
      </c>
    </row>
    <row r="3054" spans="1:4" x14ac:dyDescent="0.25">
      <c r="A3054" t="s">
        <v>5164</v>
      </c>
      <c r="B3054" t="s">
        <v>38</v>
      </c>
      <c r="C3054" s="1">
        <v>45801.636111111111</v>
      </c>
      <c r="D3054" t="s">
        <v>5146</v>
      </c>
    </row>
    <row r="3055" spans="1:4" x14ac:dyDescent="0.25">
      <c r="A3055" t="s">
        <v>5165</v>
      </c>
      <c r="B3055" t="s">
        <v>38</v>
      </c>
      <c r="C3055" s="1">
        <v>45804.712500000001</v>
      </c>
      <c r="D3055" t="s">
        <v>5146</v>
      </c>
    </row>
    <row r="3056" spans="1:4" x14ac:dyDescent="0.25">
      <c r="A3056" t="s">
        <v>5166</v>
      </c>
      <c r="B3056" t="s">
        <v>38</v>
      </c>
      <c r="C3056" s="1">
        <v>45810.768055555556</v>
      </c>
      <c r="D3056" t="s">
        <v>5146</v>
      </c>
    </row>
    <row r="3057" spans="1:4" x14ac:dyDescent="0.25">
      <c r="A3057" t="s">
        <v>5167</v>
      </c>
      <c r="B3057" t="s">
        <v>38</v>
      </c>
      <c r="C3057" s="1">
        <v>45833.838194444441</v>
      </c>
      <c r="D3057" t="s">
        <v>5146</v>
      </c>
    </row>
    <row r="3058" spans="1:4" x14ac:dyDescent="0.25">
      <c r="A3058" t="s">
        <v>5168</v>
      </c>
      <c r="B3058" t="s">
        <v>38</v>
      </c>
      <c r="C3058" s="1">
        <v>45810.580555555556</v>
      </c>
      <c r="D3058" t="s">
        <v>5146</v>
      </c>
    </row>
    <row r="3059" spans="1:4" x14ac:dyDescent="0.25">
      <c r="A3059" t="s">
        <v>598</v>
      </c>
      <c r="B3059" t="s">
        <v>1129</v>
      </c>
      <c r="C3059" s="1">
        <v>46051.587500000001</v>
      </c>
      <c r="D3059" t="s">
        <v>5146</v>
      </c>
    </row>
    <row r="3060" spans="1:4" x14ac:dyDescent="0.25">
      <c r="A3060" t="s">
        <v>599</v>
      </c>
      <c r="B3060" t="s">
        <v>1129</v>
      </c>
      <c r="C3060" s="1">
        <v>46051.856249999997</v>
      </c>
      <c r="D3060" t="s">
        <v>5146</v>
      </c>
    </row>
    <row r="3061" spans="1:4" x14ac:dyDescent="0.25">
      <c r="A3061" t="s">
        <v>5169</v>
      </c>
      <c r="B3061" t="s">
        <v>38</v>
      </c>
      <c r="C3061" s="1">
        <v>45818.711805555555</v>
      </c>
      <c r="D3061" t="s">
        <v>5146</v>
      </c>
    </row>
    <row r="3062" spans="1:4" x14ac:dyDescent="0.25">
      <c r="A3062" t="s">
        <v>5170</v>
      </c>
      <c r="B3062" t="s">
        <v>38</v>
      </c>
      <c r="C3062" s="1">
        <v>45806.487500000003</v>
      </c>
      <c r="D3062" t="s">
        <v>5146</v>
      </c>
    </row>
    <row r="3063" spans="1:4" x14ac:dyDescent="0.25">
      <c r="A3063" t="s">
        <v>600</v>
      </c>
      <c r="B3063" t="s">
        <v>1129</v>
      </c>
      <c r="C3063" s="1">
        <v>46051.494444444441</v>
      </c>
      <c r="D3063" t="s">
        <v>5146</v>
      </c>
    </row>
    <row r="3064" spans="1:4" x14ac:dyDescent="0.25">
      <c r="A3064" t="s">
        <v>5171</v>
      </c>
      <c r="B3064" t="s">
        <v>38</v>
      </c>
      <c r="C3064" s="1">
        <v>45806.636805555558</v>
      </c>
      <c r="D3064" t="s">
        <v>5146</v>
      </c>
    </row>
    <row r="3065" spans="1:4" x14ac:dyDescent="0.25">
      <c r="A3065" t="s">
        <v>5172</v>
      </c>
      <c r="B3065" t="s">
        <v>38</v>
      </c>
      <c r="C3065" s="1">
        <v>45814.661111111112</v>
      </c>
      <c r="D3065" t="s">
        <v>5146</v>
      </c>
    </row>
    <row r="3066" spans="1:4" x14ac:dyDescent="0.25">
      <c r="A3066" t="s">
        <v>5173</v>
      </c>
      <c r="B3066" t="s">
        <v>38</v>
      </c>
      <c r="C3066" s="1">
        <v>45811.710416666669</v>
      </c>
      <c r="D3066" t="s">
        <v>5146</v>
      </c>
    </row>
    <row r="3067" spans="1:4" x14ac:dyDescent="0.25">
      <c r="A3067" t="s">
        <v>5174</v>
      </c>
      <c r="B3067" t="s">
        <v>38</v>
      </c>
      <c r="C3067" s="1">
        <v>45842.595138888886</v>
      </c>
      <c r="D3067" t="s">
        <v>5146</v>
      </c>
    </row>
    <row r="3068" spans="1:4" x14ac:dyDescent="0.25">
      <c r="A3068" t="s">
        <v>5175</v>
      </c>
      <c r="B3068" t="s">
        <v>38</v>
      </c>
      <c r="C3068" s="1">
        <v>45842.655555555553</v>
      </c>
      <c r="D3068" t="s">
        <v>5146</v>
      </c>
    </row>
    <row r="3069" spans="1:4" x14ac:dyDescent="0.25">
      <c r="A3069" t="s">
        <v>5176</v>
      </c>
      <c r="B3069" t="s">
        <v>38</v>
      </c>
      <c r="C3069" s="1">
        <v>45840.754861111112</v>
      </c>
      <c r="D3069" t="s">
        <v>5146</v>
      </c>
    </row>
    <row r="3070" spans="1:4" x14ac:dyDescent="0.25">
      <c r="A3070" t="s">
        <v>5177</v>
      </c>
      <c r="B3070" t="s">
        <v>38</v>
      </c>
      <c r="C3070" s="1">
        <v>45821.688194444447</v>
      </c>
      <c r="D3070" t="s">
        <v>5146</v>
      </c>
    </row>
    <row r="3071" spans="1:4" x14ac:dyDescent="0.25">
      <c r="A3071" t="s">
        <v>5178</v>
      </c>
      <c r="B3071" t="s">
        <v>38</v>
      </c>
      <c r="C3071" s="1">
        <v>45871.554166666669</v>
      </c>
      <c r="D3071" t="s">
        <v>5146</v>
      </c>
    </row>
    <row r="3072" spans="1:4" x14ac:dyDescent="0.25">
      <c r="A3072" t="s">
        <v>5179</v>
      </c>
      <c r="B3072" t="s">
        <v>38</v>
      </c>
      <c r="C3072" s="1">
        <v>45877.482638888891</v>
      </c>
      <c r="D3072" t="s">
        <v>5146</v>
      </c>
    </row>
    <row r="3073" spans="1:4" x14ac:dyDescent="0.25">
      <c r="A3073" t="s">
        <v>5180</v>
      </c>
      <c r="B3073" t="s">
        <v>38</v>
      </c>
      <c r="C3073" s="1">
        <v>45824.710416666669</v>
      </c>
      <c r="D3073" t="s">
        <v>5146</v>
      </c>
    </row>
    <row r="3074" spans="1:4" x14ac:dyDescent="0.25">
      <c r="A3074" t="s">
        <v>5181</v>
      </c>
      <c r="B3074" t="s">
        <v>38</v>
      </c>
      <c r="C3074" s="1">
        <v>45848.615277777775</v>
      </c>
      <c r="D3074" t="s">
        <v>5146</v>
      </c>
    </row>
    <row r="3075" spans="1:4" x14ac:dyDescent="0.25">
      <c r="A3075" t="s">
        <v>5182</v>
      </c>
      <c r="B3075" t="s">
        <v>38</v>
      </c>
      <c r="C3075" s="1">
        <v>45833.521527777775</v>
      </c>
      <c r="D3075" t="s">
        <v>5146</v>
      </c>
    </row>
    <row r="3076" spans="1:4" x14ac:dyDescent="0.25">
      <c r="A3076" t="s">
        <v>5183</v>
      </c>
      <c r="B3076" t="s">
        <v>38</v>
      </c>
      <c r="C3076" s="1">
        <v>45883.488888888889</v>
      </c>
      <c r="D3076" t="s">
        <v>5146</v>
      </c>
    </row>
    <row r="3077" spans="1:4" x14ac:dyDescent="0.25">
      <c r="A3077" t="s">
        <v>5184</v>
      </c>
      <c r="B3077" t="s">
        <v>38</v>
      </c>
      <c r="C3077" s="1">
        <v>46003.847916666666</v>
      </c>
      <c r="D3077" t="s">
        <v>5146</v>
      </c>
    </row>
    <row r="3078" spans="1:4" x14ac:dyDescent="0.25">
      <c r="A3078" t="s">
        <v>5185</v>
      </c>
      <c r="B3078" t="s">
        <v>38</v>
      </c>
      <c r="C3078" s="1">
        <v>45825.433333333334</v>
      </c>
      <c r="D3078" t="s">
        <v>5146</v>
      </c>
    </row>
    <row r="3079" spans="1:4" x14ac:dyDescent="0.25">
      <c r="A3079" t="s">
        <v>5186</v>
      </c>
      <c r="B3079" t="s">
        <v>38</v>
      </c>
      <c r="C3079" s="1">
        <v>45849.054166666669</v>
      </c>
      <c r="D3079" t="s">
        <v>5146</v>
      </c>
    </row>
    <row r="3080" spans="1:4" x14ac:dyDescent="0.25">
      <c r="A3080" t="s">
        <v>5187</v>
      </c>
      <c r="B3080" t="s">
        <v>38</v>
      </c>
      <c r="C3080" s="1">
        <v>45831.530555555553</v>
      </c>
      <c r="D3080" t="s">
        <v>5146</v>
      </c>
    </row>
    <row r="3081" spans="1:4" x14ac:dyDescent="0.25">
      <c r="A3081" t="s">
        <v>5188</v>
      </c>
      <c r="B3081" t="s">
        <v>38</v>
      </c>
      <c r="C3081" s="1">
        <v>45882.634027777778</v>
      </c>
      <c r="D3081" t="s">
        <v>5146</v>
      </c>
    </row>
    <row r="3082" spans="1:4" x14ac:dyDescent="0.25">
      <c r="A3082" t="s">
        <v>605</v>
      </c>
      <c r="B3082" t="s">
        <v>38</v>
      </c>
      <c r="C3082" s="1">
        <v>46050.731249999997</v>
      </c>
      <c r="D3082" t="s">
        <v>5146</v>
      </c>
    </row>
    <row r="3083" spans="1:4" x14ac:dyDescent="0.25">
      <c r="A3083" t="s">
        <v>5189</v>
      </c>
      <c r="B3083" t="s">
        <v>38</v>
      </c>
      <c r="C3083" s="1">
        <v>45833.464583333334</v>
      </c>
      <c r="D3083" t="s">
        <v>5146</v>
      </c>
    </row>
    <row r="3084" spans="1:4" x14ac:dyDescent="0.25">
      <c r="A3084" t="s">
        <v>5190</v>
      </c>
      <c r="B3084" t="s">
        <v>38</v>
      </c>
      <c r="C3084" s="1">
        <v>45857.8125</v>
      </c>
      <c r="D3084" t="s">
        <v>5146</v>
      </c>
    </row>
    <row r="3085" spans="1:4" x14ac:dyDescent="0.25">
      <c r="A3085" t="s">
        <v>5191</v>
      </c>
      <c r="B3085" t="s">
        <v>38</v>
      </c>
      <c r="C3085" s="1">
        <v>45899.774305555555</v>
      </c>
      <c r="D3085" t="s">
        <v>5146</v>
      </c>
    </row>
    <row r="3086" spans="1:4" x14ac:dyDescent="0.25">
      <c r="A3086" t="s">
        <v>5192</v>
      </c>
      <c r="B3086" t="s">
        <v>38</v>
      </c>
      <c r="C3086" s="1">
        <v>45835.540277777778</v>
      </c>
      <c r="D3086" t="s">
        <v>5146</v>
      </c>
    </row>
    <row r="3087" spans="1:4" x14ac:dyDescent="0.25">
      <c r="A3087" t="s">
        <v>5193</v>
      </c>
      <c r="B3087" t="s">
        <v>38</v>
      </c>
      <c r="C3087" s="1">
        <v>45860.699305555558</v>
      </c>
      <c r="D3087" t="s">
        <v>5146</v>
      </c>
    </row>
    <row r="3088" spans="1:4" x14ac:dyDescent="0.25">
      <c r="A3088" t="s">
        <v>5194</v>
      </c>
      <c r="B3088" t="s">
        <v>38</v>
      </c>
      <c r="C3088" s="1">
        <v>45841.791666666664</v>
      </c>
      <c r="D3088" t="s">
        <v>5146</v>
      </c>
    </row>
    <row r="3089" spans="1:4" x14ac:dyDescent="0.25">
      <c r="A3089" t="s">
        <v>5195</v>
      </c>
      <c r="B3089" t="s">
        <v>39</v>
      </c>
      <c r="C3089" s="1">
        <v>45849.095138888886</v>
      </c>
      <c r="D3089" t="s">
        <v>5146</v>
      </c>
    </row>
    <row r="3090" spans="1:4" x14ac:dyDescent="0.25">
      <c r="A3090" t="s">
        <v>5196</v>
      </c>
      <c r="B3090" t="s">
        <v>38</v>
      </c>
      <c r="C3090" s="1">
        <v>45873.8</v>
      </c>
      <c r="D3090" t="s">
        <v>5146</v>
      </c>
    </row>
    <row r="3091" spans="1:4" x14ac:dyDescent="0.25">
      <c r="A3091" t="s">
        <v>5197</v>
      </c>
      <c r="B3091" t="s">
        <v>38</v>
      </c>
      <c r="C3091" s="1">
        <v>45996.441666666666</v>
      </c>
      <c r="D3091" t="s">
        <v>5146</v>
      </c>
    </row>
    <row r="3092" spans="1:4" x14ac:dyDescent="0.25">
      <c r="A3092" t="s">
        <v>5198</v>
      </c>
      <c r="B3092" t="s">
        <v>38</v>
      </c>
      <c r="C3092" s="1">
        <v>46003.850694444445</v>
      </c>
      <c r="D3092" t="s">
        <v>5146</v>
      </c>
    </row>
    <row r="3093" spans="1:4" x14ac:dyDescent="0.25">
      <c r="A3093" t="s">
        <v>5199</v>
      </c>
      <c r="B3093" t="s">
        <v>38</v>
      </c>
      <c r="C3093" s="1">
        <v>45888.655555555553</v>
      </c>
      <c r="D3093" t="s">
        <v>5146</v>
      </c>
    </row>
    <row r="3094" spans="1:4" x14ac:dyDescent="0.25">
      <c r="A3094" t="s">
        <v>5200</v>
      </c>
      <c r="B3094" t="s">
        <v>38</v>
      </c>
      <c r="C3094" s="1">
        <v>45887.59652777778</v>
      </c>
      <c r="D3094" t="s">
        <v>5146</v>
      </c>
    </row>
    <row r="3095" spans="1:4" x14ac:dyDescent="0.25">
      <c r="A3095" t="s">
        <v>5201</v>
      </c>
      <c r="B3095" t="s">
        <v>38</v>
      </c>
      <c r="C3095" s="1">
        <v>45871.52847222222</v>
      </c>
      <c r="D3095" t="s">
        <v>5146</v>
      </c>
    </row>
    <row r="3096" spans="1:4" x14ac:dyDescent="0.25">
      <c r="A3096" t="s">
        <v>5202</v>
      </c>
      <c r="B3096" t="s">
        <v>38</v>
      </c>
      <c r="C3096" s="1">
        <v>45881.709027777775</v>
      </c>
      <c r="D3096" t="s">
        <v>5146</v>
      </c>
    </row>
    <row r="3097" spans="1:4" x14ac:dyDescent="0.25">
      <c r="A3097" t="s">
        <v>5203</v>
      </c>
      <c r="B3097" t="s">
        <v>38</v>
      </c>
      <c r="C3097" s="1">
        <v>45881.7</v>
      </c>
      <c r="D3097" t="s">
        <v>5146</v>
      </c>
    </row>
    <row r="3098" spans="1:4" x14ac:dyDescent="0.25">
      <c r="A3098" t="s">
        <v>5204</v>
      </c>
      <c r="B3098" t="s">
        <v>38</v>
      </c>
      <c r="C3098" s="1">
        <v>45855.456944444442</v>
      </c>
      <c r="D3098" t="s">
        <v>5146</v>
      </c>
    </row>
    <row r="3099" spans="1:4" x14ac:dyDescent="0.25">
      <c r="A3099" t="s">
        <v>5205</v>
      </c>
      <c r="B3099" t="s">
        <v>39</v>
      </c>
      <c r="C3099" s="1">
        <v>45857.436111111114</v>
      </c>
      <c r="D3099" t="s">
        <v>5146</v>
      </c>
    </row>
    <row r="3100" spans="1:4" x14ac:dyDescent="0.25">
      <c r="A3100" t="s">
        <v>5206</v>
      </c>
      <c r="B3100" t="s">
        <v>38</v>
      </c>
      <c r="C3100" s="1">
        <v>45875.674305555556</v>
      </c>
      <c r="D3100" t="s">
        <v>5146</v>
      </c>
    </row>
    <row r="3101" spans="1:4" x14ac:dyDescent="0.25">
      <c r="A3101" t="s">
        <v>5207</v>
      </c>
      <c r="B3101" t="s">
        <v>38</v>
      </c>
      <c r="C3101" s="1">
        <v>45888.625</v>
      </c>
      <c r="D3101" t="s">
        <v>5146</v>
      </c>
    </row>
    <row r="3102" spans="1:4" x14ac:dyDescent="0.25">
      <c r="A3102" t="s">
        <v>5208</v>
      </c>
      <c r="B3102" t="s">
        <v>38</v>
      </c>
      <c r="C3102" s="1">
        <v>45861.711805555555</v>
      </c>
      <c r="D3102" t="s">
        <v>5146</v>
      </c>
    </row>
    <row r="3103" spans="1:4" x14ac:dyDescent="0.25">
      <c r="A3103" t="s">
        <v>5209</v>
      </c>
      <c r="B3103" t="s">
        <v>38</v>
      </c>
      <c r="C3103" s="1">
        <v>45863.518055555556</v>
      </c>
      <c r="D3103" t="s">
        <v>5146</v>
      </c>
    </row>
    <row r="3104" spans="1:4" x14ac:dyDescent="0.25">
      <c r="A3104" t="s">
        <v>5210</v>
      </c>
      <c r="B3104" t="s">
        <v>38</v>
      </c>
      <c r="C3104" s="1">
        <v>45862.486111111109</v>
      </c>
      <c r="D3104" t="s">
        <v>5146</v>
      </c>
    </row>
    <row r="3105" spans="1:4" x14ac:dyDescent="0.25">
      <c r="A3105" t="s">
        <v>5211</v>
      </c>
      <c r="B3105" t="s">
        <v>38</v>
      </c>
      <c r="C3105" s="1">
        <v>45885.633333333331</v>
      </c>
      <c r="D3105" t="s">
        <v>5146</v>
      </c>
    </row>
    <row r="3106" spans="1:4" x14ac:dyDescent="0.25">
      <c r="A3106" t="s">
        <v>5212</v>
      </c>
      <c r="B3106" t="s">
        <v>38</v>
      </c>
      <c r="C3106" s="1">
        <v>45878.595138888886</v>
      </c>
      <c r="D3106" t="s">
        <v>5146</v>
      </c>
    </row>
    <row r="3107" spans="1:4" x14ac:dyDescent="0.25">
      <c r="A3107" t="s">
        <v>5213</v>
      </c>
      <c r="B3107" t="s">
        <v>38</v>
      </c>
      <c r="C3107" s="1">
        <v>45887.786111111112</v>
      </c>
      <c r="D3107" t="s">
        <v>5146</v>
      </c>
    </row>
    <row r="3108" spans="1:4" x14ac:dyDescent="0.25">
      <c r="A3108" t="s">
        <v>5214</v>
      </c>
      <c r="B3108" t="s">
        <v>38</v>
      </c>
      <c r="C3108" s="1">
        <v>45861.605555555558</v>
      </c>
      <c r="D3108" t="s">
        <v>5146</v>
      </c>
    </row>
    <row r="3109" spans="1:4" x14ac:dyDescent="0.25">
      <c r="A3109" t="s">
        <v>5215</v>
      </c>
      <c r="B3109" t="s">
        <v>38</v>
      </c>
      <c r="C3109" s="1">
        <v>45910.675000000003</v>
      </c>
      <c r="D3109" t="s">
        <v>5146</v>
      </c>
    </row>
    <row r="3110" spans="1:4" x14ac:dyDescent="0.25">
      <c r="A3110" t="s">
        <v>5216</v>
      </c>
      <c r="B3110" t="s">
        <v>38</v>
      </c>
      <c r="C3110" s="1">
        <v>45867.503472222219</v>
      </c>
      <c r="D3110" t="s">
        <v>5146</v>
      </c>
    </row>
    <row r="3111" spans="1:4" x14ac:dyDescent="0.25">
      <c r="A3111" t="s">
        <v>5217</v>
      </c>
      <c r="B3111" t="s">
        <v>38</v>
      </c>
      <c r="C3111" s="1">
        <v>45876.55972222222</v>
      </c>
      <c r="D3111" t="s">
        <v>5146</v>
      </c>
    </row>
    <row r="3112" spans="1:4" x14ac:dyDescent="0.25">
      <c r="A3112" t="s">
        <v>5218</v>
      </c>
      <c r="B3112" t="s">
        <v>38</v>
      </c>
      <c r="C3112" s="1">
        <v>45868.509722222225</v>
      </c>
      <c r="D3112" t="s">
        <v>5146</v>
      </c>
    </row>
    <row r="3113" spans="1:4" x14ac:dyDescent="0.25">
      <c r="A3113" t="s">
        <v>5219</v>
      </c>
      <c r="B3113" t="s">
        <v>38</v>
      </c>
      <c r="C3113" s="1">
        <v>45867.738888888889</v>
      </c>
      <c r="D3113" t="s">
        <v>5146</v>
      </c>
    </row>
    <row r="3114" spans="1:4" x14ac:dyDescent="0.25">
      <c r="A3114" t="s">
        <v>5220</v>
      </c>
      <c r="B3114" t="s">
        <v>38</v>
      </c>
      <c r="C3114" s="1">
        <v>45875.577777777777</v>
      </c>
      <c r="D3114" t="s">
        <v>5146</v>
      </c>
    </row>
    <row r="3115" spans="1:4" x14ac:dyDescent="0.25">
      <c r="A3115" t="s">
        <v>5221</v>
      </c>
      <c r="B3115" t="s">
        <v>38</v>
      </c>
      <c r="C3115" s="1">
        <v>45870.756249999999</v>
      </c>
      <c r="D3115" t="s">
        <v>5146</v>
      </c>
    </row>
    <row r="3116" spans="1:4" x14ac:dyDescent="0.25">
      <c r="A3116" t="s">
        <v>5222</v>
      </c>
      <c r="B3116" t="s">
        <v>38</v>
      </c>
      <c r="C3116" s="1">
        <v>45885.679861111108</v>
      </c>
      <c r="D3116" t="s">
        <v>5146</v>
      </c>
    </row>
    <row r="3117" spans="1:4" x14ac:dyDescent="0.25">
      <c r="A3117" t="s">
        <v>5223</v>
      </c>
      <c r="B3117" t="s">
        <v>38</v>
      </c>
      <c r="C3117" s="1">
        <v>45882.786805555559</v>
      </c>
      <c r="D3117" t="s">
        <v>5146</v>
      </c>
    </row>
    <row r="3118" spans="1:4" x14ac:dyDescent="0.25">
      <c r="A3118" t="s">
        <v>5224</v>
      </c>
      <c r="B3118" t="s">
        <v>38</v>
      </c>
      <c r="C3118" s="1">
        <v>45887.953472222223</v>
      </c>
      <c r="D3118" t="s">
        <v>5146</v>
      </c>
    </row>
    <row r="3119" spans="1:4" x14ac:dyDescent="0.25">
      <c r="A3119" t="s">
        <v>5225</v>
      </c>
      <c r="B3119" t="s">
        <v>38</v>
      </c>
      <c r="C3119" s="1">
        <v>45883.695138888892</v>
      </c>
      <c r="D3119" t="s">
        <v>5146</v>
      </c>
    </row>
    <row r="3120" spans="1:4" x14ac:dyDescent="0.25">
      <c r="A3120" t="s">
        <v>5226</v>
      </c>
      <c r="B3120" t="s">
        <v>38</v>
      </c>
      <c r="C3120" s="1">
        <v>45883.755555555559</v>
      </c>
      <c r="D3120" t="s">
        <v>5146</v>
      </c>
    </row>
    <row r="3121" spans="1:4" x14ac:dyDescent="0.25">
      <c r="A3121" t="s">
        <v>5227</v>
      </c>
      <c r="B3121" t="s">
        <v>38</v>
      </c>
      <c r="C3121" s="1">
        <v>45888.531944444447</v>
      </c>
      <c r="D3121" t="s">
        <v>5146</v>
      </c>
    </row>
    <row r="3122" spans="1:4" x14ac:dyDescent="0.25">
      <c r="A3122" t="s">
        <v>5228</v>
      </c>
      <c r="B3122" t="s">
        <v>38</v>
      </c>
      <c r="C3122" s="1">
        <v>45881.605555555558</v>
      </c>
      <c r="D3122" t="s">
        <v>5146</v>
      </c>
    </row>
    <row r="3123" spans="1:4" x14ac:dyDescent="0.25">
      <c r="A3123" t="s">
        <v>5229</v>
      </c>
      <c r="B3123" t="s">
        <v>38</v>
      </c>
      <c r="C3123" s="1">
        <v>45880.546527777777</v>
      </c>
      <c r="D3123" t="s">
        <v>5146</v>
      </c>
    </row>
    <row r="3124" spans="1:4" x14ac:dyDescent="0.25">
      <c r="A3124" t="s">
        <v>559</v>
      </c>
      <c r="B3124" t="s">
        <v>38</v>
      </c>
      <c r="C3124" s="1">
        <v>46050.541666666664</v>
      </c>
      <c r="D3124" t="s">
        <v>5146</v>
      </c>
    </row>
    <row r="3125" spans="1:4" x14ac:dyDescent="0.25">
      <c r="A3125" t="s">
        <v>5230</v>
      </c>
      <c r="B3125" t="s">
        <v>38</v>
      </c>
      <c r="C3125" s="1">
        <v>46003.912499999999</v>
      </c>
      <c r="D3125" t="s">
        <v>5146</v>
      </c>
    </row>
    <row r="3126" spans="1:4" x14ac:dyDescent="0.25">
      <c r="A3126" t="s">
        <v>560</v>
      </c>
      <c r="B3126" t="s">
        <v>1129</v>
      </c>
      <c r="C3126" s="1">
        <v>46050.607638888891</v>
      </c>
      <c r="D3126" t="s">
        <v>5146</v>
      </c>
    </row>
    <row r="3127" spans="1:4" x14ac:dyDescent="0.25">
      <c r="A3127" t="s">
        <v>5231</v>
      </c>
      <c r="B3127" t="s">
        <v>38</v>
      </c>
      <c r="C3127" s="1">
        <v>46003.911111111112</v>
      </c>
      <c r="D3127" t="s">
        <v>5146</v>
      </c>
    </row>
    <row r="3128" spans="1:4" x14ac:dyDescent="0.25">
      <c r="A3128" t="s">
        <v>562</v>
      </c>
      <c r="B3128" t="s">
        <v>1073</v>
      </c>
      <c r="C3128" s="1">
        <v>46049.500694444447</v>
      </c>
      <c r="D3128" t="s">
        <v>5146</v>
      </c>
    </row>
    <row r="3129" spans="1:4" x14ac:dyDescent="0.25">
      <c r="A3129" t="s">
        <v>5232</v>
      </c>
      <c r="B3129" t="s">
        <v>38</v>
      </c>
      <c r="C3129" s="1">
        <v>45883.725694444445</v>
      </c>
      <c r="D3129" t="s">
        <v>5146</v>
      </c>
    </row>
    <row r="3130" spans="1:4" x14ac:dyDescent="0.25">
      <c r="A3130" t="s">
        <v>5233</v>
      </c>
      <c r="B3130" t="s">
        <v>38</v>
      </c>
      <c r="C3130" s="1">
        <v>45888.527777777781</v>
      </c>
      <c r="D3130" t="s">
        <v>5146</v>
      </c>
    </row>
    <row r="3131" spans="1:4" x14ac:dyDescent="0.25">
      <c r="A3131" t="s">
        <v>5234</v>
      </c>
      <c r="B3131" t="s">
        <v>38</v>
      </c>
      <c r="C3131" s="1">
        <v>46003.913194444445</v>
      </c>
      <c r="D3131" t="s">
        <v>5146</v>
      </c>
    </row>
    <row r="3132" spans="1:4" x14ac:dyDescent="0.25">
      <c r="A3132" t="s">
        <v>565</v>
      </c>
      <c r="B3132" t="s">
        <v>1239</v>
      </c>
      <c r="C3132" s="1">
        <v>46047.423611111109</v>
      </c>
      <c r="D3132" t="s">
        <v>5146</v>
      </c>
    </row>
    <row r="3133" spans="1:4" x14ac:dyDescent="0.25">
      <c r="A3133" t="s">
        <v>5235</v>
      </c>
      <c r="B3133" t="s">
        <v>38</v>
      </c>
      <c r="C3133" s="1">
        <v>45898.480555555558</v>
      </c>
      <c r="D3133" t="s">
        <v>5146</v>
      </c>
    </row>
    <row r="3134" spans="1:4" x14ac:dyDescent="0.25">
      <c r="A3134" t="s">
        <v>5236</v>
      </c>
      <c r="B3134" t="s">
        <v>38</v>
      </c>
      <c r="C3134" s="1">
        <v>46003.931250000001</v>
      </c>
      <c r="D3134" t="s">
        <v>5146</v>
      </c>
    </row>
    <row r="3135" spans="1:4" x14ac:dyDescent="0.25">
      <c r="A3135" t="s">
        <v>5237</v>
      </c>
      <c r="B3135" t="s">
        <v>38</v>
      </c>
      <c r="C3135" s="1">
        <v>45898.692361111112</v>
      </c>
      <c r="D3135" t="s">
        <v>5146</v>
      </c>
    </row>
    <row r="3136" spans="1:4" x14ac:dyDescent="0.25">
      <c r="A3136" t="s">
        <v>5238</v>
      </c>
      <c r="B3136" t="s">
        <v>38</v>
      </c>
      <c r="C3136" s="1">
        <v>45891.615277777775</v>
      </c>
      <c r="D3136" t="s">
        <v>5146</v>
      </c>
    </row>
    <row r="3137" spans="1:4" x14ac:dyDescent="0.25">
      <c r="A3137" t="s">
        <v>5239</v>
      </c>
      <c r="B3137" t="s">
        <v>38</v>
      </c>
      <c r="C3137" s="1">
        <v>46003.92291666667</v>
      </c>
      <c r="D3137" t="s">
        <v>5146</v>
      </c>
    </row>
    <row r="3138" spans="1:4" x14ac:dyDescent="0.25">
      <c r="A3138" t="s">
        <v>5240</v>
      </c>
      <c r="B3138" t="s">
        <v>38</v>
      </c>
      <c r="C3138" s="1">
        <v>46003.925000000003</v>
      </c>
      <c r="D3138" t="s">
        <v>5146</v>
      </c>
    </row>
    <row r="3139" spans="1:4" x14ac:dyDescent="0.25">
      <c r="A3139" t="s">
        <v>5241</v>
      </c>
      <c r="B3139" t="s">
        <v>38</v>
      </c>
      <c r="C3139" s="1">
        <v>46003.925694444442</v>
      </c>
      <c r="D3139" t="s">
        <v>5146</v>
      </c>
    </row>
    <row r="3140" spans="1:4" x14ac:dyDescent="0.25">
      <c r="A3140" t="s">
        <v>5242</v>
      </c>
      <c r="B3140" t="s">
        <v>38</v>
      </c>
      <c r="C3140" s="1">
        <v>46003.927083333336</v>
      </c>
      <c r="D3140" t="s">
        <v>5146</v>
      </c>
    </row>
    <row r="3141" spans="1:4" x14ac:dyDescent="0.25">
      <c r="A3141" t="s">
        <v>5243</v>
      </c>
      <c r="B3141" t="s">
        <v>38</v>
      </c>
      <c r="C3141" s="1">
        <v>46003.929861111108</v>
      </c>
      <c r="D3141" t="s">
        <v>5146</v>
      </c>
    </row>
    <row r="3142" spans="1:4" x14ac:dyDescent="0.25">
      <c r="A3142" t="s">
        <v>5244</v>
      </c>
      <c r="B3142" t="s">
        <v>38</v>
      </c>
      <c r="C3142" s="1">
        <v>46003.932638888888</v>
      </c>
      <c r="D3142" t="s">
        <v>5146</v>
      </c>
    </row>
    <row r="3143" spans="1:4" x14ac:dyDescent="0.25">
      <c r="A3143" t="s">
        <v>5245</v>
      </c>
      <c r="B3143" t="s">
        <v>38</v>
      </c>
      <c r="C3143" s="1">
        <v>46003.935416666667</v>
      </c>
      <c r="D3143" t="s">
        <v>5146</v>
      </c>
    </row>
    <row r="3144" spans="1:4" x14ac:dyDescent="0.25">
      <c r="A3144" t="s">
        <v>5246</v>
      </c>
      <c r="B3144" t="s">
        <v>39</v>
      </c>
      <c r="C3144" s="1">
        <v>45911.722916666666</v>
      </c>
      <c r="D3144" t="s">
        <v>5146</v>
      </c>
    </row>
    <row r="3145" spans="1:4" x14ac:dyDescent="0.25">
      <c r="A3145" t="s">
        <v>5247</v>
      </c>
      <c r="B3145" t="s">
        <v>38</v>
      </c>
      <c r="C3145" s="1">
        <v>46003.94027777778</v>
      </c>
      <c r="D3145" t="s">
        <v>5146</v>
      </c>
    </row>
    <row r="3146" spans="1:4" x14ac:dyDescent="0.25">
      <c r="A3146" t="s">
        <v>5248</v>
      </c>
      <c r="B3146" t="s">
        <v>38</v>
      </c>
      <c r="C3146" s="1">
        <v>45902.620138888888</v>
      </c>
      <c r="D3146" t="s">
        <v>5146</v>
      </c>
    </row>
    <row r="3147" spans="1:4" x14ac:dyDescent="0.25">
      <c r="A3147" t="s">
        <v>5249</v>
      </c>
      <c r="B3147" t="s">
        <v>38</v>
      </c>
      <c r="C3147" s="1">
        <v>46003.922222222223</v>
      </c>
      <c r="D3147" t="s">
        <v>5146</v>
      </c>
    </row>
    <row r="3148" spans="1:4" x14ac:dyDescent="0.25">
      <c r="A3148" t="s">
        <v>5250</v>
      </c>
      <c r="B3148" t="s">
        <v>38</v>
      </c>
      <c r="C3148" s="1">
        <v>46003.838888888888</v>
      </c>
      <c r="D3148" t="s">
        <v>5146</v>
      </c>
    </row>
    <row r="3149" spans="1:4" x14ac:dyDescent="0.25">
      <c r="A3149" t="s">
        <v>5251</v>
      </c>
      <c r="B3149" t="s">
        <v>38</v>
      </c>
      <c r="C3149" s="1">
        <v>46003.839583333334</v>
      </c>
      <c r="D3149" t="s">
        <v>5146</v>
      </c>
    </row>
    <row r="3150" spans="1:4" x14ac:dyDescent="0.25">
      <c r="A3150" t="s">
        <v>5252</v>
      </c>
      <c r="B3150" t="s">
        <v>38</v>
      </c>
      <c r="C3150" s="1">
        <v>46003.840277777781</v>
      </c>
      <c r="D3150" t="s">
        <v>5146</v>
      </c>
    </row>
    <row r="3151" spans="1:4" x14ac:dyDescent="0.25">
      <c r="A3151" t="s">
        <v>5253</v>
      </c>
      <c r="B3151" t="s">
        <v>38</v>
      </c>
      <c r="C3151" s="1">
        <v>46003.84097222222</v>
      </c>
      <c r="D3151" t="s">
        <v>5146</v>
      </c>
    </row>
    <row r="3152" spans="1:4" x14ac:dyDescent="0.25">
      <c r="A3152" t="s">
        <v>5254</v>
      </c>
      <c r="B3152" t="s">
        <v>39</v>
      </c>
      <c r="C3152" s="1">
        <v>45917.685416666667</v>
      </c>
      <c r="D3152" t="s">
        <v>5146</v>
      </c>
    </row>
    <row r="3153" spans="1:4" x14ac:dyDescent="0.25">
      <c r="A3153" t="s">
        <v>5255</v>
      </c>
      <c r="B3153" t="s">
        <v>38</v>
      </c>
      <c r="C3153" s="1">
        <v>46003.845138888886</v>
      </c>
      <c r="D3153" t="s">
        <v>5146</v>
      </c>
    </row>
    <row r="3154" spans="1:4" x14ac:dyDescent="0.25">
      <c r="A3154" t="s">
        <v>5256</v>
      </c>
      <c r="B3154" t="s">
        <v>39</v>
      </c>
      <c r="C3154" s="1">
        <v>45909.67291666667</v>
      </c>
      <c r="D3154" t="s">
        <v>5146</v>
      </c>
    </row>
    <row r="3155" spans="1:4" x14ac:dyDescent="0.25">
      <c r="A3155" t="s">
        <v>5257</v>
      </c>
      <c r="B3155" t="s">
        <v>38</v>
      </c>
      <c r="C3155" s="1">
        <v>46003.852083333331</v>
      </c>
      <c r="D3155" t="s">
        <v>5146</v>
      </c>
    </row>
    <row r="3156" spans="1:4" x14ac:dyDescent="0.25">
      <c r="A3156" t="s">
        <v>5258</v>
      </c>
      <c r="B3156" t="s">
        <v>39</v>
      </c>
      <c r="C3156" s="1">
        <v>45922.504861111112</v>
      </c>
      <c r="D3156" t="s">
        <v>5146</v>
      </c>
    </row>
    <row r="3157" spans="1:4" x14ac:dyDescent="0.25">
      <c r="A3157" t="s">
        <v>5259</v>
      </c>
      <c r="B3157" t="s">
        <v>38</v>
      </c>
      <c r="C3157" s="1">
        <v>46003.852777777778</v>
      </c>
      <c r="D3157" t="s">
        <v>5146</v>
      </c>
    </row>
    <row r="3158" spans="1:4" x14ac:dyDescent="0.25">
      <c r="A3158" t="s">
        <v>5260</v>
      </c>
      <c r="B3158" t="s">
        <v>38</v>
      </c>
      <c r="C3158" s="1">
        <v>46003.854166666664</v>
      </c>
      <c r="D3158" t="s">
        <v>5146</v>
      </c>
    </row>
    <row r="3159" spans="1:4" x14ac:dyDescent="0.25">
      <c r="A3159" t="s">
        <v>5261</v>
      </c>
      <c r="B3159" t="s">
        <v>38</v>
      </c>
      <c r="C3159" s="1">
        <v>46003.95208333333</v>
      </c>
      <c r="D3159" t="s">
        <v>5146</v>
      </c>
    </row>
    <row r="3160" spans="1:4" x14ac:dyDescent="0.25">
      <c r="A3160" t="s">
        <v>5262</v>
      </c>
      <c r="B3160" t="s">
        <v>38</v>
      </c>
      <c r="C3160" s="1">
        <v>46003.861111111109</v>
      </c>
      <c r="D3160" t="s">
        <v>5146</v>
      </c>
    </row>
    <row r="3161" spans="1:4" x14ac:dyDescent="0.25">
      <c r="A3161" t="s">
        <v>578</v>
      </c>
      <c r="B3161" t="s">
        <v>30</v>
      </c>
      <c r="C3161" s="1">
        <v>46049.40347222222</v>
      </c>
      <c r="D3161" t="s">
        <v>5146</v>
      </c>
    </row>
    <row r="3162" spans="1:4" x14ac:dyDescent="0.25">
      <c r="A3162" t="s">
        <v>5263</v>
      </c>
      <c r="B3162" t="s">
        <v>38</v>
      </c>
      <c r="C3162" s="1">
        <v>46003.862500000003</v>
      </c>
      <c r="D3162" t="s">
        <v>5146</v>
      </c>
    </row>
    <row r="3163" spans="1:4" x14ac:dyDescent="0.25">
      <c r="A3163" t="s">
        <v>5264</v>
      </c>
      <c r="B3163" t="s">
        <v>38</v>
      </c>
      <c r="C3163" s="1">
        <v>46003.863194444442</v>
      </c>
      <c r="D3163" t="s">
        <v>5146</v>
      </c>
    </row>
    <row r="3164" spans="1:4" x14ac:dyDescent="0.25">
      <c r="A3164" t="s">
        <v>5265</v>
      </c>
      <c r="B3164" t="s">
        <v>38</v>
      </c>
      <c r="C3164" s="1">
        <v>46003.863194444442</v>
      </c>
      <c r="D3164" t="s">
        <v>5146</v>
      </c>
    </row>
    <row r="3165" spans="1:4" x14ac:dyDescent="0.25">
      <c r="A3165" t="s">
        <v>5266</v>
      </c>
      <c r="B3165" t="s">
        <v>38</v>
      </c>
      <c r="C3165" s="1">
        <v>46004.311805555553</v>
      </c>
      <c r="D3165" t="s">
        <v>5146</v>
      </c>
    </row>
    <row r="3166" spans="1:4" x14ac:dyDescent="0.25">
      <c r="A3166" t="s">
        <v>5267</v>
      </c>
      <c r="B3166" t="s">
        <v>38</v>
      </c>
      <c r="C3166" s="1">
        <v>46004.34652777778</v>
      </c>
      <c r="D3166" t="s">
        <v>5146</v>
      </c>
    </row>
    <row r="3167" spans="1:4" x14ac:dyDescent="0.25">
      <c r="A3167" t="s">
        <v>5268</v>
      </c>
      <c r="B3167" t="s">
        <v>38</v>
      </c>
      <c r="C3167" s="1">
        <v>45929.701388888891</v>
      </c>
      <c r="D3167" t="s">
        <v>5146</v>
      </c>
    </row>
    <row r="3168" spans="1:4" x14ac:dyDescent="0.25">
      <c r="A3168" t="s">
        <v>5269</v>
      </c>
      <c r="B3168" t="s">
        <v>38</v>
      </c>
      <c r="C3168" s="1">
        <v>45929.606944444444</v>
      </c>
      <c r="D3168" t="s">
        <v>5146</v>
      </c>
    </row>
    <row r="3169" spans="1:4" x14ac:dyDescent="0.25">
      <c r="A3169" t="s">
        <v>5270</v>
      </c>
      <c r="B3169" t="s">
        <v>38</v>
      </c>
      <c r="C3169" s="1">
        <v>46004.347222222219</v>
      </c>
      <c r="D3169" t="s">
        <v>5146</v>
      </c>
    </row>
    <row r="3170" spans="1:4" x14ac:dyDescent="0.25">
      <c r="A3170" t="s">
        <v>5271</v>
      </c>
      <c r="B3170" t="s">
        <v>38</v>
      </c>
      <c r="C3170" s="1">
        <v>46004.354166666664</v>
      </c>
      <c r="D3170" t="s">
        <v>5146</v>
      </c>
    </row>
    <row r="3171" spans="1:4" x14ac:dyDescent="0.25">
      <c r="A3171" t="s">
        <v>5272</v>
      </c>
      <c r="B3171" t="s">
        <v>38</v>
      </c>
      <c r="C3171" s="1">
        <v>46004.352083333331</v>
      </c>
      <c r="D3171" t="s">
        <v>5146</v>
      </c>
    </row>
    <row r="3172" spans="1:4" x14ac:dyDescent="0.25">
      <c r="A3172" t="s">
        <v>586</v>
      </c>
      <c r="B3172" t="s">
        <v>38</v>
      </c>
      <c r="C3172" s="1">
        <v>46049.55</v>
      </c>
      <c r="D3172" t="s">
        <v>5146</v>
      </c>
    </row>
    <row r="3173" spans="1:4" x14ac:dyDescent="0.25">
      <c r="A3173" t="s">
        <v>5273</v>
      </c>
      <c r="B3173" t="s">
        <v>38</v>
      </c>
      <c r="C3173" s="1">
        <v>46004.355555555558</v>
      </c>
      <c r="D3173" t="s">
        <v>5146</v>
      </c>
    </row>
    <row r="3174" spans="1:4" x14ac:dyDescent="0.25">
      <c r="A3174" t="s">
        <v>5274</v>
      </c>
      <c r="B3174" t="s">
        <v>38</v>
      </c>
      <c r="C3174" s="1">
        <v>46004.356249999997</v>
      </c>
      <c r="D3174" t="s">
        <v>5146</v>
      </c>
    </row>
    <row r="3175" spans="1:4" x14ac:dyDescent="0.25">
      <c r="A3175" t="s">
        <v>5275</v>
      </c>
      <c r="B3175" t="s">
        <v>38</v>
      </c>
      <c r="C3175" s="1">
        <v>46004.356249999997</v>
      </c>
      <c r="D3175" t="s">
        <v>5146</v>
      </c>
    </row>
    <row r="3176" spans="1:4" x14ac:dyDescent="0.25">
      <c r="A3176" t="s">
        <v>588</v>
      </c>
      <c r="B3176" t="s">
        <v>1239</v>
      </c>
      <c r="C3176" s="1">
        <v>46044.802083333336</v>
      </c>
      <c r="D3176" t="s">
        <v>5146</v>
      </c>
    </row>
    <row r="3177" spans="1:4" x14ac:dyDescent="0.25">
      <c r="A3177" t="s">
        <v>5276</v>
      </c>
      <c r="B3177" t="s">
        <v>38</v>
      </c>
      <c r="C3177" s="1">
        <v>46004.357638888891</v>
      </c>
      <c r="D3177" t="s">
        <v>5146</v>
      </c>
    </row>
    <row r="3178" spans="1:4" x14ac:dyDescent="0.25">
      <c r="A3178" t="s">
        <v>5277</v>
      </c>
      <c r="B3178" t="s">
        <v>38</v>
      </c>
      <c r="C3178" s="1">
        <v>46004.35833333333</v>
      </c>
      <c r="D3178" t="s">
        <v>5146</v>
      </c>
    </row>
    <row r="3179" spans="1:4" x14ac:dyDescent="0.25">
      <c r="A3179" t="s">
        <v>5278</v>
      </c>
      <c r="B3179" t="s">
        <v>38</v>
      </c>
      <c r="C3179" s="1">
        <v>46004.362500000003</v>
      </c>
      <c r="D3179" t="s">
        <v>5146</v>
      </c>
    </row>
    <row r="3180" spans="1:4" x14ac:dyDescent="0.25">
      <c r="A3180" t="s">
        <v>5279</v>
      </c>
      <c r="B3180" t="s">
        <v>38</v>
      </c>
      <c r="C3180" s="1">
        <v>46004.363194444442</v>
      </c>
      <c r="D3180" t="s">
        <v>5146</v>
      </c>
    </row>
    <row r="3181" spans="1:4" x14ac:dyDescent="0.25">
      <c r="A3181" t="s">
        <v>5280</v>
      </c>
      <c r="B3181" t="s">
        <v>39</v>
      </c>
      <c r="C3181" s="1">
        <v>45931.697916666664</v>
      </c>
      <c r="D3181" t="s">
        <v>5146</v>
      </c>
    </row>
    <row r="3182" spans="1:4" x14ac:dyDescent="0.25">
      <c r="A3182" t="s">
        <v>5281</v>
      </c>
      <c r="B3182" t="s">
        <v>38</v>
      </c>
      <c r="C3182" s="1">
        <v>46004.365972222222</v>
      </c>
      <c r="D3182" t="s">
        <v>5146</v>
      </c>
    </row>
    <row r="3183" spans="1:4" x14ac:dyDescent="0.25">
      <c r="A3183" t="s">
        <v>5282</v>
      </c>
      <c r="B3183" t="s">
        <v>38</v>
      </c>
      <c r="C3183" s="1">
        <v>46003.933333333334</v>
      </c>
      <c r="D3183" t="s">
        <v>5146</v>
      </c>
    </row>
    <row r="3184" spans="1:4" x14ac:dyDescent="0.25">
      <c r="A3184" t="s">
        <v>5283</v>
      </c>
      <c r="B3184" t="s">
        <v>38</v>
      </c>
      <c r="C3184" s="1">
        <v>45929.703472222223</v>
      </c>
      <c r="D3184" t="s">
        <v>5146</v>
      </c>
    </row>
    <row r="3185" spans="1:4" x14ac:dyDescent="0.25">
      <c r="A3185" t="s">
        <v>5284</v>
      </c>
      <c r="B3185" t="s">
        <v>38</v>
      </c>
      <c r="C3185" s="1">
        <v>46004.367361111108</v>
      </c>
      <c r="D3185" t="s">
        <v>5146</v>
      </c>
    </row>
    <row r="3186" spans="1:4" x14ac:dyDescent="0.25">
      <c r="A3186" t="s">
        <v>5285</v>
      </c>
      <c r="B3186" t="s">
        <v>38</v>
      </c>
      <c r="C3186" s="1">
        <v>46004.368055555555</v>
      </c>
      <c r="D3186" t="s">
        <v>5146</v>
      </c>
    </row>
    <row r="3187" spans="1:4" x14ac:dyDescent="0.25">
      <c r="A3187" t="s">
        <v>5286</v>
      </c>
      <c r="B3187" t="s">
        <v>38</v>
      </c>
      <c r="C3187" s="1">
        <v>46004.369444444441</v>
      </c>
      <c r="D3187" t="s">
        <v>5146</v>
      </c>
    </row>
    <row r="3188" spans="1:4" x14ac:dyDescent="0.25">
      <c r="A3188" t="s">
        <v>5287</v>
      </c>
      <c r="B3188" t="s">
        <v>39</v>
      </c>
      <c r="C3188" s="1">
        <v>45929.431250000001</v>
      </c>
      <c r="D3188" t="s">
        <v>5146</v>
      </c>
    </row>
    <row r="3189" spans="1:4" x14ac:dyDescent="0.25">
      <c r="A3189" t="s">
        <v>5288</v>
      </c>
      <c r="B3189" t="s">
        <v>38</v>
      </c>
      <c r="C3189" s="1">
        <v>46004.368750000001</v>
      </c>
      <c r="D3189" t="s">
        <v>5146</v>
      </c>
    </row>
    <row r="3190" spans="1:4" x14ac:dyDescent="0.25">
      <c r="A3190" t="s">
        <v>5289</v>
      </c>
      <c r="B3190" t="s">
        <v>38</v>
      </c>
      <c r="C3190" s="1">
        <v>45973.786111111112</v>
      </c>
      <c r="D3190" t="s">
        <v>5146</v>
      </c>
    </row>
    <row r="3191" spans="1:4" x14ac:dyDescent="0.25">
      <c r="A3191" t="s">
        <v>5290</v>
      </c>
      <c r="B3191" t="s">
        <v>38</v>
      </c>
      <c r="C3191" s="1">
        <v>45973.807638888888</v>
      </c>
      <c r="D3191" t="s">
        <v>5146</v>
      </c>
    </row>
    <row r="3192" spans="1:4" x14ac:dyDescent="0.25">
      <c r="A3192" t="s">
        <v>5291</v>
      </c>
      <c r="B3192" t="s">
        <v>38</v>
      </c>
      <c r="C3192" s="1">
        <v>46003.941666666666</v>
      </c>
      <c r="D3192" t="s">
        <v>5146</v>
      </c>
    </row>
    <row r="3193" spans="1:4" x14ac:dyDescent="0.25">
      <c r="A3193" t="s">
        <v>5292</v>
      </c>
      <c r="B3193" t="s">
        <v>38</v>
      </c>
      <c r="C3193" s="1">
        <v>46003.895833333336</v>
      </c>
      <c r="D3193" t="s">
        <v>5146</v>
      </c>
    </row>
    <row r="3194" spans="1:4" x14ac:dyDescent="0.25">
      <c r="A3194" t="s">
        <v>5293</v>
      </c>
      <c r="B3194" t="s">
        <v>38</v>
      </c>
      <c r="C3194" s="1">
        <v>46003.895138888889</v>
      </c>
      <c r="D3194" t="s">
        <v>5146</v>
      </c>
    </row>
    <row r="3195" spans="1:4" x14ac:dyDescent="0.25">
      <c r="A3195" t="s">
        <v>5294</v>
      </c>
      <c r="B3195" t="s">
        <v>38</v>
      </c>
      <c r="C3195" s="1">
        <v>45971.751388888886</v>
      </c>
      <c r="D3195" t="s">
        <v>5146</v>
      </c>
    </row>
    <row r="3196" spans="1:4" x14ac:dyDescent="0.25">
      <c r="A3196" t="s">
        <v>5295</v>
      </c>
      <c r="B3196" t="s">
        <v>38</v>
      </c>
      <c r="C3196" s="1">
        <v>46003.902777777781</v>
      </c>
      <c r="D3196" t="s">
        <v>5146</v>
      </c>
    </row>
    <row r="3197" spans="1:4" x14ac:dyDescent="0.25">
      <c r="A3197" t="s">
        <v>5296</v>
      </c>
      <c r="B3197" t="s">
        <v>38</v>
      </c>
      <c r="C3197" s="1">
        <v>45973.57916666667</v>
      </c>
      <c r="D3197" t="s">
        <v>5146</v>
      </c>
    </row>
    <row r="3198" spans="1:4" x14ac:dyDescent="0.25">
      <c r="A3198" t="s">
        <v>5297</v>
      </c>
      <c r="B3198" t="s">
        <v>38</v>
      </c>
      <c r="C3198" s="1">
        <v>46003.943749999999</v>
      </c>
      <c r="D3198" t="s">
        <v>5146</v>
      </c>
    </row>
    <row r="3199" spans="1:4" x14ac:dyDescent="0.25">
      <c r="A3199" t="s">
        <v>5298</v>
      </c>
      <c r="B3199" t="s">
        <v>38</v>
      </c>
      <c r="C3199" s="1">
        <v>46003.947222222225</v>
      </c>
      <c r="D3199" t="s">
        <v>5146</v>
      </c>
    </row>
    <row r="3200" spans="1:4" x14ac:dyDescent="0.25">
      <c r="A3200" t="s">
        <v>5299</v>
      </c>
      <c r="B3200" t="s">
        <v>38</v>
      </c>
      <c r="C3200" s="1">
        <v>46003.948611111111</v>
      </c>
      <c r="D3200" t="s">
        <v>5146</v>
      </c>
    </row>
    <row r="3201" spans="1:4" x14ac:dyDescent="0.25">
      <c r="A3201" t="s">
        <v>5300</v>
      </c>
      <c r="B3201" t="s">
        <v>38</v>
      </c>
      <c r="C3201" s="1">
        <v>46003.952777777777</v>
      </c>
      <c r="D3201" t="s">
        <v>5146</v>
      </c>
    </row>
    <row r="3202" spans="1:4" x14ac:dyDescent="0.25">
      <c r="A3202" t="s">
        <v>5301</v>
      </c>
      <c r="B3202" t="s">
        <v>38</v>
      </c>
      <c r="C3202" s="1">
        <v>46003.955555555556</v>
      </c>
      <c r="D3202" t="s">
        <v>5146</v>
      </c>
    </row>
    <row r="3203" spans="1:4" x14ac:dyDescent="0.25">
      <c r="A3203" t="s">
        <v>5302</v>
      </c>
      <c r="B3203" t="s">
        <v>38</v>
      </c>
      <c r="C3203" s="1">
        <v>45973.709722222222</v>
      </c>
      <c r="D3203" t="s">
        <v>5146</v>
      </c>
    </row>
    <row r="3204" spans="1:4" x14ac:dyDescent="0.25">
      <c r="A3204" t="s">
        <v>5303</v>
      </c>
      <c r="B3204" t="s">
        <v>38</v>
      </c>
      <c r="C3204" s="1">
        <v>46003.957638888889</v>
      </c>
      <c r="D3204" t="s">
        <v>5146</v>
      </c>
    </row>
    <row r="3205" spans="1:4" x14ac:dyDescent="0.25">
      <c r="A3205" t="s">
        <v>5304</v>
      </c>
      <c r="B3205" t="s">
        <v>38</v>
      </c>
      <c r="C3205" s="1">
        <v>45973.787499999999</v>
      </c>
      <c r="D3205" t="s">
        <v>5146</v>
      </c>
    </row>
    <row r="3206" spans="1:4" x14ac:dyDescent="0.25">
      <c r="A3206" t="s">
        <v>5305</v>
      </c>
      <c r="B3206" t="s">
        <v>38</v>
      </c>
      <c r="C3206" s="1">
        <v>46003.961805555555</v>
      </c>
      <c r="D3206" t="s">
        <v>5146</v>
      </c>
    </row>
    <row r="3207" spans="1:4" x14ac:dyDescent="0.25">
      <c r="A3207" t="s">
        <v>5306</v>
      </c>
      <c r="B3207" t="s">
        <v>38</v>
      </c>
      <c r="C3207" s="1">
        <v>46003.961805555555</v>
      </c>
      <c r="D3207" t="s">
        <v>5146</v>
      </c>
    </row>
    <row r="3208" spans="1:4" x14ac:dyDescent="0.25">
      <c r="A3208" t="s">
        <v>5307</v>
      </c>
      <c r="B3208" t="s">
        <v>38</v>
      </c>
      <c r="C3208" s="1">
        <v>46003.963194444441</v>
      </c>
      <c r="D3208" t="s">
        <v>5146</v>
      </c>
    </row>
    <row r="3209" spans="1:4" x14ac:dyDescent="0.25">
      <c r="A3209" t="s">
        <v>544</v>
      </c>
      <c r="B3209" t="s">
        <v>38</v>
      </c>
      <c r="C3209" s="1">
        <v>46046.469444444447</v>
      </c>
      <c r="D3209" t="s">
        <v>5146</v>
      </c>
    </row>
    <row r="3210" spans="1:4" x14ac:dyDescent="0.25">
      <c r="A3210" t="s">
        <v>545</v>
      </c>
      <c r="B3210" t="s">
        <v>38</v>
      </c>
      <c r="C3210" s="1">
        <v>46046.525000000001</v>
      </c>
      <c r="D3210" t="s">
        <v>5146</v>
      </c>
    </row>
    <row r="3211" spans="1:4" x14ac:dyDescent="0.25">
      <c r="A3211" t="s">
        <v>5308</v>
      </c>
      <c r="B3211" t="s">
        <v>38</v>
      </c>
      <c r="C3211" s="1">
        <v>46003.963888888888</v>
      </c>
      <c r="D3211" t="s">
        <v>5146</v>
      </c>
    </row>
    <row r="3212" spans="1:4" x14ac:dyDescent="0.25">
      <c r="A3212" t="s">
        <v>5309</v>
      </c>
      <c r="B3212" t="s">
        <v>38</v>
      </c>
      <c r="C3212" s="1">
        <v>46003.964583333334</v>
      </c>
      <c r="D3212" t="s">
        <v>5146</v>
      </c>
    </row>
    <row r="3213" spans="1:4" x14ac:dyDescent="0.25">
      <c r="A3213" t="s">
        <v>5310</v>
      </c>
      <c r="B3213" t="s">
        <v>38</v>
      </c>
      <c r="C3213" s="1">
        <v>46003.96597222222</v>
      </c>
      <c r="D3213" t="s">
        <v>5146</v>
      </c>
    </row>
    <row r="3214" spans="1:4" x14ac:dyDescent="0.25">
      <c r="A3214" t="s">
        <v>5311</v>
      </c>
      <c r="B3214" t="s">
        <v>38</v>
      </c>
      <c r="C3214" s="1">
        <v>46003.967361111114</v>
      </c>
      <c r="D3214" t="s">
        <v>5146</v>
      </c>
    </row>
    <row r="3215" spans="1:4" x14ac:dyDescent="0.25">
      <c r="A3215" t="s">
        <v>5312</v>
      </c>
      <c r="B3215" t="s">
        <v>38</v>
      </c>
      <c r="C3215" s="1">
        <v>46003.968055555553</v>
      </c>
      <c r="D3215" t="s">
        <v>5146</v>
      </c>
    </row>
    <row r="3216" spans="1:4" x14ac:dyDescent="0.25">
      <c r="A3216" t="s">
        <v>5313</v>
      </c>
      <c r="B3216" t="s">
        <v>38</v>
      </c>
      <c r="C3216" s="1">
        <v>46003.968055555553</v>
      </c>
      <c r="D3216" t="s">
        <v>5146</v>
      </c>
    </row>
    <row r="3217" spans="1:4" x14ac:dyDescent="0.25">
      <c r="A3217" t="s">
        <v>5314</v>
      </c>
      <c r="B3217" t="s">
        <v>38</v>
      </c>
      <c r="C3217" s="1">
        <v>46003.970138888886</v>
      </c>
      <c r="D3217" t="s">
        <v>5146</v>
      </c>
    </row>
    <row r="3218" spans="1:4" x14ac:dyDescent="0.25">
      <c r="A3218" t="s">
        <v>548</v>
      </c>
      <c r="B3218" t="s">
        <v>38</v>
      </c>
      <c r="C3218" s="1">
        <v>46044.482638888891</v>
      </c>
      <c r="D3218" t="s">
        <v>5146</v>
      </c>
    </row>
    <row r="3219" spans="1:4" x14ac:dyDescent="0.25">
      <c r="A3219" t="s">
        <v>5315</v>
      </c>
      <c r="B3219" t="s">
        <v>38</v>
      </c>
      <c r="C3219" s="1">
        <v>46003.97152777778</v>
      </c>
      <c r="D3219" t="s">
        <v>5146</v>
      </c>
    </row>
    <row r="3220" spans="1:4" x14ac:dyDescent="0.25">
      <c r="A3220" t="s">
        <v>5316</v>
      </c>
      <c r="B3220" t="s">
        <v>38</v>
      </c>
      <c r="C3220" s="1">
        <v>46003.97152777778</v>
      </c>
      <c r="D3220" t="s">
        <v>5146</v>
      </c>
    </row>
    <row r="3221" spans="1:4" x14ac:dyDescent="0.25">
      <c r="A3221" t="s">
        <v>5317</v>
      </c>
      <c r="B3221" t="s">
        <v>39</v>
      </c>
      <c r="C3221" s="1">
        <v>45944.706250000003</v>
      </c>
      <c r="D3221" t="s">
        <v>5146</v>
      </c>
    </row>
    <row r="3222" spans="1:4" x14ac:dyDescent="0.25">
      <c r="A3222" t="s">
        <v>5318</v>
      </c>
      <c r="B3222" t="s">
        <v>38</v>
      </c>
      <c r="C3222" s="1">
        <v>46003.972916666666</v>
      </c>
      <c r="D3222" t="s">
        <v>5146</v>
      </c>
    </row>
    <row r="3223" spans="1:4" x14ac:dyDescent="0.25">
      <c r="A3223" t="s">
        <v>5319</v>
      </c>
      <c r="B3223" t="s">
        <v>38</v>
      </c>
      <c r="C3223" s="1">
        <v>45969.4375</v>
      </c>
      <c r="D3223" t="s">
        <v>5146</v>
      </c>
    </row>
    <row r="3224" spans="1:4" x14ac:dyDescent="0.25">
      <c r="A3224" t="s">
        <v>5320</v>
      </c>
      <c r="B3224" t="s">
        <v>39</v>
      </c>
      <c r="C3224" s="1">
        <v>45978.444444444445</v>
      </c>
      <c r="D3224" t="s">
        <v>5146</v>
      </c>
    </row>
    <row r="3225" spans="1:4" x14ac:dyDescent="0.25">
      <c r="A3225" t="s">
        <v>5321</v>
      </c>
      <c r="B3225" t="s">
        <v>38</v>
      </c>
      <c r="C3225" s="1">
        <v>46003.975694444445</v>
      </c>
      <c r="D3225" t="s">
        <v>5146</v>
      </c>
    </row>
    <row r="3226" spans="1:4" x14ac:dyDescent="0.25">
      <c r="A3226" t="s">
        <v>5322</v>
      </c>
      <c r="B3226" t="s">
        <v>38</v>
      </c>
      <c r="C3226" s="1">
        <v>46003.974999999999</v>
      </c>
      <c r="D3226" t="s">
        <v>5146</v>
      </c>
    </row>
    <row r="3227" spans="1:4" x14ac:dyDescent="0.25">
      <c r="A3227" t="s">
        <v>5323</v>
      </c>
      <c r="B3227" t="s">
        <v>38</v>
      </c>
      <c r="C3227" s="1">
        <v>46003.974999999999</v>
      </c>
      <c r="D3227" t="s">
        <v>5146</v>
      </c>
    </row>
    <row r="3228" spans="1:4" x14ac:dyDescent="0.25">
      <c r="A3228" t="s">
        <v>5324</v>
      </c>
      <c r="B3228" t="s">
        <v>38</v>
      </c>
      <c r="C3228" s="1">
        <v>46003.974999999999</v>
      </c>
      <c r="D3228" t="s">
        <v>5146</v>
      </c>
    </row>
    <row r="3229" spans="1:4" x14ac:dyDescent="0.25">
      <c r="A3229" t="s">
        <v>5325</v>
      </c>
      <c r="B3229" t="s">
        <v>38</v>
      </c>
      <c r="C3229" s="1">
        <v>46003.975694444445</v>
      </c>
      <c r="D3229" t="s">
        <v>5146</v>
      </c>
    </row>
    <row r="3230" spans="1:4" x14ac:dyDescent="0.25">
      <c r="A3230" t="s">
        <v>5326</v>
      </c>
      <c r="B3230" t="s">
        <v>39</v>
      </c>
      <c r="C3230" s="1">
        <v>45964.71875</v>
      </c>
      <c r="D3230" t="s">
        <v>5146</v>
      </c>
    </row>
    <row r="3231" spans="1:4" x14ac:dyDescent="0.25">
      <c r="A3231" t="s">
        <v>5327</v>
      </c>
      <c r="B3231" t="s">
        <v>38</v>
      </c>
      <c r="C3231" s="1">
        <v>45973.804861111108</v>
      </c>
      <c r="D3231" t="s">
        <v>5146</v>
      </c>
    </row>
    <row r="3232" spans="1:4" x14ac:dyDescent="0.25">
      <c r="A3232" t="s">
        <v>5328</v>
      </c>
      <c r="B3232" t="s">
        <v>38</v>
      </c>
      <c r="C3232" s="1">
        <v>46003.976388888892</v>
      </c>
      <c r="D3232" t="s">
        <v>5146</v>
      </c>
    </row>
    <row r="3233" spans="1:4" x14ac:dyDescent="0.25">
      <c r="A3233" t="s">
        <v>5329</v>
      </c>
      <c r="B3233" t="s">
        <v>38</v>
      </c>
      <c r="C3233" s="1">
        <v>46003.975694444445</v>
      </c>
      <c r="D3233" t="s">
        <v>5146</v>
      </c>
    </row>
    <row r="3234" spans="1:4" x14ac:dyDescent="0.25">
      <c r="A3234" t="s">
        <v>5330</v>
      </c>
      <c r="B3234" t="s">
        <v>38</v>
      </c>
      <c r="C3234" s="1">
        <v>46003.977083333331</v>
      </c>
      <c r="D3234" t="s">
        <v>5146</v>
      </c>
    </row>
    <row r="3235" spans="1:4" x14ac:dyDescent="0.25">
      <c r="A3235" t="s">
        <v>5331</v>
      </c>
      <c r="B3235" t="s">
        <v>38</v>
      </c>
      <c r="C3235" s="1">
        <v>45973.787499999999</v>
      </c>
      <c r="D3235" t="s">
        <v>5146</v>
      </c>
    </row>
    <row r="3236" spans="1:4" x14ac:dyDescent="0.25">
      <c r="A3236" t="s">
        <v>5332</v>
      </c>
      <c r="B3236" t="s">
        <v>38</v>
      </c>
      <c r="C3236" s="1">
        <v>45969.495138888888</v>
      </c>
      <c r="D3236" t="s">
        <v>5146</v>
      </c>
    </row>
    <row r="3237" spans="1:4" x14ac:dyDescent="0.25">
      <c r="A3237" t="s">
        <v>5333</v>
      </c>
      <c r="B3237" t="s">
        <v>38</v>
      </c>
      <c r="C3237" s="1">
        <v>46003.978472222225</v>
      </c>
      <c r="D3237" t="s">
        <v>5146</v>
      </c>
    </row>
    <row r="3238" spans="1:4" x14ac:dyDescent="0.25">
      <c r="A3238" t="s">
        <v>5334</v>
      </c>
      <c r="B3238" t="s">
        <v>38</v>
      </c>
      <c r="C3238" s="1">
        <v>46004.495138888888</v>
      </c>
      <c r="D3238" t="s">
        <v>5146</v>
      </c>
    </row>
    <row r="3239" spans="1:4" x14ac:dyDescent="0.25">
      <c r="A3239" t="s">
        <v>5335</v>
      </c>
      <c r="B3239" t="s">
        <v>38</v>
      </c>
      <c r="C3239" s="1">
        <v>46003.980555555558</v>
      </c>
      <c r="D3239" t="s">
        <v>5146</v>
      </c>
    </row>
    <row r="3240" spans="1:4" x14ac:dyDescent="0.25">
      <c r="A3240" t="s">
        <v>5336</v>
      </c>
      <c r="B3240" t="s">
        <v>38</v>
      </c>
      <c r="C3240" s="1">
        <v>46003.981249999997</v>
      </c>
      <c r="D3240" t="s">
        <v>5146</v>
      </c>
    </row>
    <row r="3241" spans="1:4" x14ac:dyDescent="0.25">
      <c r="A3241" t="s">
        <v>5337</v>
      </c>
      <c r="B3241" t="s">
        <v>38</v>
      </c>
      <c r="C3241" s="1">
        <v>46003.98333333333</v>
      </c>
      <c r="D3241" t="s">
        <v>5146</v>
      </c>
    </row>
    <row r="3242" spans="1:4" x14ac:dyDescent="0.25">
      <c r="A3242" t="s">
        <v>5338</v>
      </c>
      <c r="B3242" t="s">
        <v>39</v>
      </c>
      <c r="C3242" s="1">
        <v>45964.533333333333</v>
      </c>
      <c r="D3242" t="s">
        <v>5146</v>
      </c>
    </row>
    <row r="3243" spans="1:4" x14ac:dyDescent="0.25">
      <c r="A3243" t="s">
        <v>5339</v>
      </c>
      <c r="B3243" t="s">
        <v>38</v>
      </c>
      <c r="C3243" s="1">
        <v>46003.98333333333</v>
      </c>
      <c r="D3243" t="s">
        <v>5146</v>
      </c>
    </row>
    <row r="3244" spans="1:4" x14ac:dyDescent="0.25">
      <c r="A3244" t="s">
        <v>5340</v>
      </c>
      <c r="B3244" t="s">
        <v>38</v>
      </c>
      <c r="C3244" s="1">
        <v>45973.776388888888</v>
      </c>
      <c r="D3244" t="s">
        <v>5146</v>
      </c>
    </row>
    <row r="3245" spans="1:4" x14ac:dyDescent="0.25">
      <c r="A3245" t="s">
        <v>5341</v>
      </c>
      <c r="B3245" t="s">
        <v>38</v>
      </c>
      <c r="C3245" s="1">
        <v>45989.65902777778</v>
      </c>
      <c r="D3245" t="s">
        <v>5146</v>
      </c>
    </row>
    <row r="3246" spans="1:4" x14ac:dyDescent="0.25">
      <c r="A3246" t="s">
        <v>5342</v>
      </c>
      <c r="B3246" t="s">
        <v>39</v>
      </c>
      <c r="C3246" s="1">
        <v>45967.444444444445</v>
      </c>
      <c r="D3246" t="s">
        <v>5146</v>
      </c>
    </row>
    <row r="3247" spans="1:4" x14ac:dyDescent="0.25">
      <c r="A3247" t="s">
        <v>5343</v>
      </c>
      <c r="B3247" t="s">
        <v>38</v>
      </c>
      <c r="C3247" s="1">
        <v>45987.745138888888</v>
      </c>
      <c r="D3247" t="s">
        <v>5146</v>
      </c>
    </row>
    <row r="3248" spans="1:4" x14ac:dyDescent="0.25">
      <c r="A3248" t="s">
        <v>5344</v>
      </c>
      <c r="B3248" t="s">
        <v>38</v>
      </c>
      <c r="C3248" s="1">
        <v>45964.600694444445</v>
      </c>
      <c r="D3248" t="s">
        <v>5146</v>
      </c>
    </row>
    <row r="3249" spans="1:4" x14ac:dyDescent="0.25">
      <c r="A3249" t="s">
        <v>5345</v>
      </c>
      <c r="B3249" t="s">
        <v>38</v>
      </c>
      <c r="C3249" s="1">
        <v>45973.779861111114</v>
      </c>
      <c r="D3249" t="s">
        <v>5146</v>
      </c>
    </row>
    <row r="3250" spans="1:4" x14ac:dyDescent="0.25">
      <c r="A3250" t="s">
        <v>5346</v>
      </c>
      <c r="B3250" t="s">
        <v>38</v>
      </c>
      <c r="C3250" s="1">
        <v>46003.98541666667</v>
      </c>
      <c r="D3250" t="s">
        <v>5146</v>
      </c>
    </row>
    <row r="3251" spans="1:4" x14ac:dyDescent="0.25">
      <c r="A3251" t="s">
        <v>5347</v>
      </c>
      <c r="B3251" t="s">
        <v>38</v>
      </c>
      <c r="C3251" s="1">
        <v>45992.813194444447</v>
      </c>
      <c r="D3251" t="s">
        <v>5146</v>
      </c>
    </row>
    <row r="3252" spans="1:4" x14ac:dyDescent="0.25">
      <c r="A3252" t="s">
        <v>5348</v>
      </c>
      <c r="B3252" t="s">
        <v>38</v>
      </c>
      <c r="C3252" s="1">
        <v>46003.98541666667</v>
      </c>
      <c r="D3252" t="s">
        <v>5146</v>
      </c>
    </row>
    <row r="3253" spans="1:4" x14ac:dyDescent="0.25">
      <c r="A3253" t="s">
        <v>5349</v>
      </c>
      <c r="B3253" t="s">
        <v>38</v>
      </c>
      <c r="C3253" s="1">
        <v>45969.588888888888</v>
      </c>
      <c r="D3253" t="s">
        <v>5146</v>
      </c>
    </row>
    <row r="3254" spans="1:4" x14ac:dyDescent="0.25">
      <c r="A3254" t="s">
        <v>5350</v>
      </c>
      <c r="B3254" t="s">
        <v>38</v>
      </c>
      <c r="C3254" s="1">
        <v>46003.986111111109</v>
      </c>
      <c r="D3254" t="s">
        <v>5146</v>
      </c>
    </row>
    <row r="3255" spans="1:4" x14ac:dyDescent="0.25">
      <c r="A3255" t="s">
        <v>5351</v>
      </c>
      <c r="B3255" t="s">
        <v>38</v>
      </c>
      <c r="C3255" s="1">
        <v>45962.445138888892</v>
      </c>
      <c r="D3255" t="s">
        <v>5146</v>
      </c>
    </row>
    <row r="3256" spans="1:4" x14ac:dyDescent="0.25">
      <c r="A3256" t="s">
        <v>5352</v>
      </c>
      <c r="B3256" t="s">
        <v>38</v>
      </c>
      <c r="C3256" s="1">
        <v>45973.52847222222</v>
      </c>
      <c r="D3256" t="s">
        <v>5146</v>
      </c>
    </row>
    <row r="3257" spans="1:4" x14ac:dyDescent="0.25">
      <c r="A3257" t="s">
        <v>5353</v>
      </c>
      <c r="B3257" t="s">
        <v>38</v>
      </c>
      <c r="C3257" s="1">
        <v>45973.527083333334</v>
      </c>
      <c r="D3257" t="s">
        <v>5146</v>
      </c>
    </row>
    <row r="3258" spans="1:4" x14ac:dyDescent="0.25">
      <c r="A3258" t="s">
        <v>539</v>
      </c>
      <c r="B3258" t="s">
        <v>38</v>
      </c>
      <c r="C3258" s="1">
        <v>46043.500694444447</v>
      </c>
      <c r="D3258" t="s">
        <v>5146</v>
      </c>
    </row>
    <row r="3259" spans="1:4" x14ac:dyDescent="0.25">
      <c r="A3259" t="s">
        <v>5354</v>
      </c>
      <c r="B3259" t="s">
        <v>38</v>
      </c>
      <c r="C3259" s="1">
        <v>45973.531944444447</v>
      </c>
      <c r="D3259" t="s">
        <v>5146</v>
      </c>
    </row>
    <row r="3260" spans="1:4" x14ac:dyDescent="0.25">
      <c r="A3260" t="s">
        <v>5355</v>
      </c>
      <c r="B3260" t="s">
        <v>38</v>
      </c>
      <c r="C3260" s="1">
        <v>45968.589583333334</v>
      </c>
      <c r="D3260" t="s">
        <v>5146</v>
      </c>
    </row>
    <row r="3261" spans="1:4" x14ac:dyDescent="0.25">
      <c r="A3261" t="s">
        <v>5356</v>
      </c>
      <c r="B3261" t="s">
        <v>39</v>
      </c>
      <c r="C3261" s="1">
        <v>45967.760416666664</v>
      </c>
      <c r="D3261" t="s">
        <v>5146</v>
      </c>
    </row>
    <row r="3262" spans="1:4" x14ac:dyDescent="0.25">
      <c r="A3262" t="s">
        <v>5357</v>
      </c>
      <c r="B3262" t="s">
        <v>38</v>
      </c>
      <c r="C3262" s="1">
        <v>45971.304861111108</v>
      </c>
      <c r="D3262" t="s">
        <v>5146</v>
      </c>
    </row>
    <row r="3263" spans="1:4" x14ac:dyDescent="0.25">
      <c r="A3263" t="s">
        <v>5358</v>
      </c>
      <c r="B3263" t="s">
        <v>38</v>
      </c>
      <c r="C3263" s="1">
        <v>45973.50277777778</v>
      </c>
      <c r="D3263" t="s">
        <v>5146</v>
      </c>
    </row>
    <row r="3264" spans="1:4" x14ac:dyDescent="0.25">
      <c r="A3264" t="s">
        <v>5359</v>
      </c>
      <c r="B3264" t="s">
        <v>38</v>
      </c>
      <c r="C3264" s="1">
        <v>45968.763194444444</v>
      </c>
      <c r="D3264" t="s">
        <v>5146</v>
      </c>
    </row>
    <row r="3265" spans="1:4" x14ac:dyDescent="0.25">
      <c r="A3265" t="s">
        <v>5360</v>
      </c>
      <c r="B3265" t="s">
        <v>38</v>
      </c>
      <c r="C3265" s="1">
        <v>45994.788194444445</v>
      </c>
      <c r="D3265" t="s">
        <v>5146</v>
      </c>
    </row>
    <row r="3266" spans="1:4" x14ac:dyDescent="0.25">
      <c r="A3266" t="s">
        <v>5361</v>
      </c>
      <c r="B3266" t="s">
        <v>38</v>
      </c>
      <c r="C3266" s="1">
        <v>45973.613888888889</v>
      </c>
      <c r="D3266" t="s">
        <v>5146</v>
      </c>
    </row>
    <row r="3267" spans="1:4" x14ac:dyDescent="0.25">
      <c r="A3267" t="s">
        <v>5362</v>
      </c>
      <c r="B3267" t="s">
        <v>38</v>
      </c>
      <c r="C3267" s="1">
        <v>45968.602777777778</v>
      </c>
      <c r="D3267" t="s">
        <v>5146</v>
      </c>
    </row>
    <row r="3268" spans="1:4" x14ac:dyDescent="0.25">
      <c r="A3268" t="s">
        <v>5363</v>
      </c>
      <c r="B3268" t="s">
        <v>38</v>
      </c>
      <c r="C3268" s="1">
        <v>45967.750694444447</v>
      </c>
      <c r="D3268" t="s">
        <v>5146</v>
      </c>
    </row>
    <row r="3269" spans="1:4" x14ac:dyDescent="0.25">
      <c r="A3269" t="s">
        <v>5364</v>
      </c>
      <c r="B3269" t="s">
        <v>38</v>
      </c>
      <c r="C3269" s="1">
        <v>45978.470833333333</v>
      </c>
      <c r="D3269" t="s">
        <v>5146</v>
      </c>
    </row>
    <row r="3270" spans="1:4" x14ac:dyDescent="0.25">
      <c r="A3270" t="s">
        <v>5365</v>
      </c>
      <c r="B3270" t="s">
        <v>39</v>
      </c>
      <c r="C3270" s="1">
        <v>46029.740972222222</v>
      </c>
      <c r="D3270" t="s">
        <v>5146</v>
      </c>
    </row>
    <row r="3271" spans="1:4" x14ac:dyDescent="0.25">
      <c r="A3271" t="s">
        <v>5366</v>
      </c>
      <c r="B3271" t="s">
        <v>38</v>
      </c>
      <c r="C3271" s="1">
        <v>45973.568055555559</v>
      </c>
      <c r="D3271" t="s">
        <v>5146</v>
      </c>
    </row>
    <row r="3272" spans="1:4" x14ac:dyDescent="0.25">
      <c r="A3272" t="s">
        <v>5367</v>
      </c>
      <c r="B3272" t="s">
        <v>38</v>
      </c>
      <c r="C3272" s="1">
        <v>45973.568749999999</v>
      </c>
      <c r="D3272" t="s">
        <v>5146</v>
      </c>
    </row>
    <row r="3273" spans="1:4" x14ac:dyDescent="0.25">
      <c r="A3273" t="s">
        <v>531</v>
      </c>
      <c r="B3273" t="s">
        <v>30</v>
      </c>
      <c r="C3273" s="1">
        <v>46044.540277777778</v>
      </c>
      <c r="D3273" t="s">
        <v>5146</v>
      </c>
    </row>
    <row r="3274" spans="1:4" x14ac:dyDescent="0.25">
      <c r="A3274" t="s">
        <v>5368</v>
      </c>
      <c r="B3274" t="s">
        <v>38</v>
      </c>
      <c r="C3274" s="1">
        <v>45987.716666666667</v>
      </c>
      <c r="D3274" t="s">
        <v>5146</v>
      </c>
    </row>
    <row r="3275" spans="1:4" x14ac:dyDescent="0.25">
      <c r="A3275" t="s">
        <v>5369</v>
      </c>
      <c r="B3275" t="s">
        <v>38</v>
      </c>
      <c r="C3275" s="1">
        <v>45973.569444444445</v>
      </c>
      <c r="D3275" t="s">
        <v>5146</v>
      </c>
    </row>
    <row r="3276" spans="1:4" x14ac:dyDescent="0.25">
      <c r="A3276" t="s">
        <v>5370</v>
      </c>
      <c r="B3276" t="s">
        <v>38</v>
      </c>
      <c r="C3276" s="1">
        <v>45973.570138888892</v>
      </c>
      <c r="D3276" t="s">
        <v>5146</v>
      </c>
    </row>
    <row r="3277" spans="1:4" x14ac:dyDescent="0.25">
      <c r="A3277" t="s">
        <v>5371</v>
      </c>
      <c r="B3277" t="s">
        <v>38</v>
      </c>
      <c r="C3277" s="1">
        <v>45974.64166666667</v>
      </c>
      <c r="D3277" t="s">
        <v>5146</v>
      </c>
    </row>
    <row r="3278" spans="1:4" x14ac:dyDescent="0.25">
      <c r="A3278" t="s">
        <v>5372</v>
      </c>
      <c r="B3278" t="s">
        <v>38</v>
      </c>
      <c r="C3278" s="1">
        <v>45974.504861111112</v>
      </c>
      <c r="D3278" t="s">
        <v>5146</v>
      </c>
    </row>
    <row r="3279" spans="1:4" x14ac:dyDescent="0.25">
      <c r="A3279" t="s">
        <v>5373</v>
      </c>
      <c r="B3279" t="s">
        <v>38</v>
      </c>
      <c r="C3279" s="1">
        <v>46027.464583333334</v>
      </c>
      <c r="D3279" t="s">
        <v>5146</v>
      </c>
    </row>
    <row r="3280" spans="1:4" x14ac:dyDescent="0.25">
      <c r="A3280" t="s">
        <v>529</v>
      </c>
      <c r="B3280" t="s">
        <v>38</v>
      </c>
      <c r="C3280" s="1">
        <v>46044.537499999999</v>
      </c>
      <c r="D3280" t="s">
        <v>5146</v>
      </c>
    </row>
    <row r="3281" spans="1:4" x14ac:dyDescent="0.25">
      <c r="A3281" t="s">
        <v>5374</v>
      </c>
      <c r="B3281" t="s">
        <v>38</v>
      </c>
      <c r="C3281" s="1">
        <v>45974.70208333333</v>
      </c>
      <c r="D3281" t="s">
        <v>5146</v>
      </c>
    </row>
    <row r="3282" spans="1:4" x14ac:dyDescent="0.25">
      <c r="A3282" t="s">
        <v>5375</v>
      </c>
      <c r="B3282" t="s">
        <v>38</v>
      </c>
      <c r="C3282" s="1">
        <v>45974.719444444447</v>
      </c>
      <c r="D3282" t="s">
        <v>5146</v>
      </c>
    </row>
    <row r="3283" spans="1:4" x14ac:dyDescent="0.25">
      <c r="A3283" t="s">
        <v>5376</v>
      </c>
      <c r="B3283" t="s">
        <v>38</v>
      </c>
      <c r="C3283" s="1">
        <v>45987.632638888892</v>
      </c>
      <c r="D3283" t="s">
        <v>5146</v>
      </c>
    </row>
    <row r="3284" spans="1:4" x14ac:dyDescent="0.25">
      <c r="A3284" t="s">
        <v>5377</v>
      </c>
      <c r="B3284" t="s">
        <v>39</v>
      </c>
      <c r="C3284" s="1">
        <v>46029.738194444442</v>
      </c>
      <c r="D3284" t="s">
        <v>5146</v>
      </c>
    </row>
    <row r="3285" spans="1:4" x14ac:dyDescent="0.25">
      <c r="A3285" t="s">
        <v>5378</v>
      </c>
      <c r="B3285" t="s">
        <v>38</v>
      </c>
      <c r="C3285" s="1">
        <v>45982.465277777781</v>
      </c>
      <c r="D3285" t="s">
        <v>5146</v>
      </c>
    </row>
    <row r="3286" spans="1:4" x14ac:dyDescent="0.25">
      <c r="A3286" t="s">
        <v>524</v>
      </c>
      <c r="B3286" t="s">
        <v>38</v>
      </c>
      <c r="C3286" s="1">
        <v>46044.459722222222</v>
      </c>
      <c r="D3286" t="s">
        <v>5146</v>
      </c>
    </row>
    <row r="3287" spans="1:4" x14ac:dyDescent="0.25">
      <c r="A3287" t="s">
        <v>5379</v>
      </c>
      <c r="B3287" t="s">
        <v>38</v>
      </c>
      <c r="C3287" s="1">
        <v>46022.553472222222</v>
      </c>
      <c r="D3287" t="s">
        <v>5146</v>
      </c>
    </row>
    <row r="3288" spans="1:4" x14ac:dyDescent="0.25">
      <c r="A3288" t="s">
        <v>5380</v>
      </c>
      <c r="B3288" t="s">
        <v>38</v>
      </c>
      <c r="C3288" s="1">
        <v>45979.444444444445</v>
      </c>
      <c r="D3288" t="s">
        <v>5146</v>
      </c>
    </row>
    <row r="3289" spans="1:4" x14ac:dyDescent="0.25">
      <c r="A3289" t="s">
        <v>5381</v>
      </c>
      <c r="B3289" t="s">
        <v>38</v>
      </c>
      <c r="C3289" s="1">
        <v>46022.553472222222</v>
      </c>
      <c r="D3289" t="s">
        <v>5146</v>
      </c>
    </row>
    <row r="3290" spans="1:4" x14ac:dyDescent="0.25">
      <c r="A3290" t="s">
        <v>5382</v>
      </c>
      <c r="B3290" t="s">
        <v>38</v>
      </c>
      <c r="C3290" s="1">
        <v>45981.606944444444</v>
      </c>
      <c r="D3290" t="s">
        <v>5146</v>
      </c>
    </row>
    <row r="3291" spans="1:4" x14ac:dyDescent="0.25">
      <c r="A3291" t="s">
        <v>5383</v>
      </c>
      <c r="B3291" t="s">
        <v>38</v>
      </c>
      <c r="C3291" s="1">
        <v>45988.595138888886</v>
      </c>
      <c r="D3291" t="s">
        <v>5146</v>
      </c>
    </row>
    <row r="3292" spans="1:4" x14ac:dyDescent="0.25">
      <c r="A3292" t="s">
        <v>5384</v>
      </c>
      <c r="B3292" t="s">
        <v>38</v>
      </c>
      <c r="C3292" s="1">
        <v>46044.519444444442</v>
      </c>
      <c r="D3292" t="s">
        <v>5146</v>
      </c>
    </row>
    <row r="3293" spans="1:4" x14ac:dyDescent="0.25">
      <c r="A3293" t="s">
        <v>5385</v>
      </c>
      <c r="B3293" t="s">
        <v>38</v>
      </c>
      <c r="C3293" s="1">
        <v>45981.529166666667</v>
      </c>
      <c r="D3293" t="s">
        <v>5146</v>
      </c>
    </row>
    <row r="3294" spans="1:4" x14ac:dyDescent="0.25">
      <c r="A3294" t="s">
        <v>517</v>
      </c>
      <c r="B3294" t="s">
        <v>38</v>
      </c>
      <c r="C3294" s="1">
        <v>46044.532638888886</v>
      </c>
      <c r="D3294" t="s">
        <v>5146</v>
      </c>
    </row>
    <row r="3295" spans="1:4" x14ac:dyDescent="0.25">
      <c r="A3295" t="s">
        <v>5386</v>
      </c>
      <c r="B3295" t="s">
        <v>38</v>
      </c>
      <c r="C3295" s="1">
        <v>45985.638888888891</v>
      </c>
      <c r="D3295" t="s">
        <v>5146</v>
      </c>
    </row>
    <row r="3296" spans="1:4" x14ac:dyDescent="0.25">
      <c r="A3296" t="s">
        <v>5387</v>
      </c>
      <c r="B3296" t="s">
        <v>38</v>
      </c>
      <c r="C3296" s="1">
        <v>45986.727083333331</v>
      </c>
      <c r="D3296" t="s">
        <v>5146</v>
      </c>
    </row>
    <row r="3297" spans="1:4" x14ac:dyDescent="0.25">
      <c r="A3297" t="s">
        <v>5388</v>
      </c>
      <c r="B3297" t="s">
        <v>38</v>
      </c>
      <c r="C3297" s="1">
        <v>45986.815972222219</v>
      </c>
      <c r="D3297" t="s">
        <v>5146</v>
      </c>
    </row>
    <row r="3298" spans="1:4" x14ac:dyDescent="0.25">
      <c r="A3298" t="s">
        <v>5389</v>
      </c>
      <c r="B3298" t="s">
        <v>38</v>
      </c>
      <c r="C3298" s="1">
        <v>45986.554166666669</v>
      </c>
      <c r="D3298" t="s">
        <v>5146</v>
      </c>
    </row>
    <row r="3299" spans="1:4" x14ac:dyDescent="0.25">
      <c r="A3299" t="s">
        <v>5390</v>
      </c>
      <c r="B3299" t="s">
        <v>38</v>
      </c>
      <c r="C3299" s="1">
        <v>45985.53125</v>
      </c>
      <c r="D3299" t="s">
        <v>5146</v>
      </c>
    </row>
    <row r="3300" spans="1:4" x14ac:dyDescent="0.25">
      <c r="A3300" t="s">
        <v>5391</v>
      </c>
      <c r="B3300" t="s">
        <v>38</v>
      </c>
      <c r="C3300" s="1">
        <v>46027.751388888886</v>
      </c>
      <c r="D3300" t="s">
        <v>5146</v>
      </c>
    </row>
    <row r="3301" spans="1:4" x14ac:dyDescent="0.25">
      <c r="A3301" t="s">
        <v>5392</v>
      </c>
      <c r="B3301" t="s">
        <v>38</v>
      </c>
      <c r="C3301" s="1">
        <v>45987.564583333333</v>
      </c>
      <c r="D3301" t="s">
        <v>5146</v>
      </c>
    </row>
    <row r="3302" spans="1:4" x14ac:dyDescent="0.25">
      <c r="A3302" t="s">
        <v>5393</v>
      </c>
      <c r="B3302" t="s">
        <v>38</v>
      </c>
      <c r="C3302" s="1">
        <v>46036.69027777778</v>
      </c>
      <c r="D3302" t="s">
        <v>5146</v>
      </c>
    </row>
    <row r="3303" spans="1:4" x14ac:dyDescent="0.25">
      <c r="A3303" t="s">
        <v>5394</v>
      </c>
      <c r="B3303" t="s">
        <v>38</v>
      </c>
      <c r="C3303" s="1">
        <v>45988.784722222219</v>
      </c>
      <c r="D3303" t="s">
        <v>5146</v>
      </c>
    </row>
    <row r="3304" spans="1:4" x14ac:dyDescent="0.25">
      <c r="A3304" t="s">
        <v>5395</v>
      </c>
      <c r="B3304" t="s">
        <v>38</v>
      </c>
      <c r="C3304" s="1">
        <v>45986.579861111109</v>
      </c>
      <c r="D3304" t="s">
        <v>5146</v>
      </c>
    </row>
    <row r="3305" spans="1:4" x14ac:dyDescent="0.25">
      <c r="A3305" t="s">
        <v>5396</v>
      </c>
      <c r="B3305" t="s">
        <v>38</v>
      </c>
      <c r="C3305" s="1">
        <v>46044.520833333336</v>
      </c>
      <c r="D3305" t="s">
        <v>5146</v>
      </c>
    </row>
    <row r="3306" spans="1:4" x14ac:dyDescent="0.25">
      <c r="A3306" t="s">
        <v>5397</v>
      </c>
      <c r="B3306" t="s">
        <v>39</v>
      </c>
      <c r="C3306" s="1">
        <v>45989.380555555559</v>
      </c>
      <c r="D3306" t="s">
        <v>5146</v>
      </c>
    </row>
    <row r="3307" spans="1:4" x14ac:dyDescent="0.25">
      <c r="A3307" t="s">
        <v>5398</v>
      </c>
      <c r="B3307" t="s">
        <v>38</v>
      </c>
      <c r="C3307" s="1">
        <v>45992.686805555553</v>
      </c>
      <c r="D3307" t="s">
        <v>5146</v>
      </c>
    </row>
    <row r="3308" spans="1:4" x14ac:dyDescent="0.25">
      <c r="A3308" t="s">
        <v>5399</v>
      </c>
      <c r="B3308" t="s">
        <v>38</v>
      </c>
      <c r="C3308" s="1">
        <v>45987.574999999997</v>
      </c>
      <c r="D3308" t="s">
        <v>5146</v>
      </c>
    </row>
    <row r="3309" spans="1:4" x14ac:dyDescent="0.25">
      <c r="A3309" t="s">
        <v>5400</v>
      </c>
      <c r="B3309" t="s">
        <v>38</v>
      </c>
      <c r="C3309" s="1">
        <v>45988.581944444442</v>
      </c>
      <c r="D3309" t="s">
        <v>5146</v>
      </c>
    </row>
    <row r="3310" spans="1:4" x14ac:dyDescent="0.25">
      <c r="A3310" t="s">
        <v>5401</v>
      </c>
      <c r="B3310" t="s">
        <v>38</v>
      </c>
      <c r="C3310" s="1">
        <v>46006.499305555553</v>
      </c>
      <c r="D3310" t="s">
        <v>5146</v>
      </c>
    </row>
    <row r="3311" spans="1:4" x14ac:dyDescent="0.25">
      <c r="A3311" t="s">
        <v>513</v>
      </c>
      <c r="B3311" t="s">
        <v>38</v>
      </c>
      <c r="C3311" s="1">
        <v>46042.446527777778</v>
      </c>
      <c r="D3311" t="s">
        <v>5146</v>
      </c>
    </row>
    <row r="3312" spans="1:4" x14ac:dyDescent="0.25">
      <c r="A3312" t="s">
        <v>5402</v>
      </c>
      <c r="B3312" t="s">
        <v>38</v>
      </c>
      <c r="C3312" s="1">
        <v>46036.535416666666</v>
      </c>
      <c r="D3312" t="s">
        <v>5146</v>
      </c>
    </row>
    <row r="3313" spans="1:4" x14ac:dyDescent="0.25">
      <c r="A3313" t="s">
        <v>5403</v>
      </c>
      <c r="B3313" t="s">
        <v>38</v>
      </c>
      <c r="C3313" s="1">
        <v>45993.868055555555</v>
      </c>
      <c r="D3313" t="s">
        <v>5146</v>
      </c>
    </row>
    <row r="3314" spans="1:4" x14ac:dyDescent="0.25">
      <c r="A3314" t="s">
        <v>5404</v>
      </c>
      <c r="B3314" t="s">
        <v>38</v>
      </c>
      <c r="C3314" s="1">
        <v>45992.758333333331</v>
      </c>
      <c r="D3314" t="s">
        <v>5146</v>
      </c>
    </row>
    <row r="3315" spans="1:4" x14ac:dyDescent="0.25">
      <c r="A3315" t="s">
        <v>5405</v>
      </c>
      <c r="B3315" t="s">
        <v>38</v>
      </c>
      <c r="C3315" s="1">
        <v>45992.785416666666</v>
      </c>
      <c r="D3315" t="s">
        <v>5146</v>
      </c>
    </row>
    <row r="3316" spans="1:4" x14ac:dyDescent="0.25">
      <c r="A3316" t="s">
        <v>5406</v>
      </c>
      <c r="B3316" t="s">
        <v>38</v>
      </c>
      <c r="C3316" s="1">
        <v>46036.538194444445</v>
      </c>
      <c r="D3316" t="s">
        <v>5146</v>
      </c>
    </row>
    <row r="3317" spans="1:4" x14ac:dyDescent="0.25">
      <c r="A3317" t="s">
        <v>5407</v>
      </c>
      <c r="B3317" t="s">
        <v>38</v>
      </c>
      <c r="C3317" s="1">
        <v>46036.538194444445</v>
      </c>
      <c r="D3317" t="s">
        <v>5146</v>
      </c>
    </row>
    <row r="3318" spans="1:4" x14ac:dyDescent="0.25">
      <c r="A3318" t="s">
        <v>489</v>
      </c>
      <c r="B3318" t="s">
        <v>38</v>
      </c>
      <c r="C3318" s="1">
        <v>46042.568055555559</v>
      </c>
      <c r="D3318" t="s">
        <v>5146</v>
      </c>
    </row>
    <row r="3319" spans="1:4" x14ac:dyDescent="0.25">
      <c r="A3319" t="s">
        <v>5408</v>
      </c>
      <c r="B3319" t="s">
        <v>38</v>
      </c>
      <c r="C3319" s="1">
        <v>46036.538888888892</v>
      </c>
      <c r="D3319" t="s">
        <v>5146</v>
      </c>
    </row>
    <row r="3320" spans="1:4" x14ac:dyDescent="0.25">
      <c r="A3320" t="s">
        <v>491</v>
      </c>
      <c r="B3320" t="s">
        <v>38</v>
      </c>
      <c r="C3320" s="1">
        <v>46043.469444444447</v>
      </c>
      <c r="D3320" t="s">
        <v>5146</v>
      </c>
    </row>
    <row r="3321" spans="1:4" x14ac:dyDescent="0.25">
      <c r="A3321" t="s">
        <v>64</v>
      </c>
      <c r="B3321" t="s">
        <v>38</v>
      </c>
      <c r="C3321" s="1">
        <v>45996.569444444445</v>
      </c>
      <c r="D3321" t="s">
        <v>5146</v>
      </c>
    </row>
    <row r="3322" spans="1:4" x14ac:dyDescent="0.25">
      <c r="A3322" t="s">
        <v>63</v>
      </c>
      <c r="B3322" t="s">
        <v>38</v>
      </c>
      <c r="C3322" s="1">
        <v>46036.688194444447</v>
      </c>
      <c r="D3322" t="s">
        <v>5146</v>
      </c>
    </row>
    <row r="3323" spans="1:4" x14ac:dyDescent="0.25">
      <c r="A3323" t="s">
        <v>80</v>
      </c>
      <c r="B3323" t="s">
        <v>38</v>
      </c>
      <c r="C3323" s="1">
        <v>45995.543749999997</v>
      </c>
      <c r="D3323" t="s">
        <v>5146</v>
      </c>
    </row>
    <row r="3324" spans="1:4" x14ac:dyDescent="0.25">
      <c r="A3324" t="s">
        <v>91</v>
      </c>
      <c r="B3324" t="s">
        <v>38</v>
      </c>
      <c r="C3324" s="1">
        <v>46036.54583333333</v>
      </c>
      <c r="D3324" t="s">
        <v>5146</v>
      </c>
    </row>
    <row r="3325" spans="1:4" x14ac:dyDescent="0.25">
      <c r="A3325" t="s">
        <v>92</v>
      </c>
      <c r="B3325" t="s">
        <v>38</v>
      </c>
      <c r="C3325" s="1">
        <v>46036.54583333333</v>
      </c>
      <c r="D3325" t="s">
        <v>5146</v>
      </c>
    </row>
    <row r="3326" spans="1:4" x14ac:dyDescent="0.25">
      <c r="A3326" t="s">
        <v>107</v>
      </c>
      <c r="B3326" t="s">
        <v>38</v>
      </c>
      <c r="C3326" s="1">
        <v>46036.546527777777</v>
      </c>
      <c r="D3326" t="s">
        <v>5146</v>
      </c>
    </row>
    <row r="3327" spans="1:4" x14ac:dyDescent="0.25">
      <c r="A3327" t="s">
        <v>106</v>
      </c>
      <c r="B3327" t="s">
        <v>38</v>
      </c>
      <c r="C3327" s="1">
        <v>46036.546527777777</v>
      </c>
      <c r="D3327" t="s">
        <v>5146</v>
      </c>
    </row>
    <row r="3328" spans="1:4" x14ac:dyDescent="0.25">
      <c r="A3328" t="s">
        <v>103</v>
      </c>
      <c r="B3328" t="s">
        <v>38</v>
      </c>
      <c r="C3328" s="1">
        <v>46036.54791666667</v>
      </c>
      <c r="D3328" t="s">
        <v>5146</v>
      </c>
    </row>
    <row r="3329" spans="1:4" x14ac:dyDescent="0.25">
      <c r="A3329" t="s">
        <v>101</v>
      </c>
      <c r="B3329" t="s">
        <v>38</v>
      </c>
      <c r="C3329" s="1">
        <v>46000.570833333331</v>
      </c>
      <c r="D3329" t="s">
        <v>5146</v>
      </c>
    </row>
    <row r="3330" spans="1:4" x14ac:dyDescent="0.25">
      <c r="A3330" t="s">
        <v>100</v>
      </c>
      <c r="B3330" t="s">
        <v>38</v>
      </c>
      <c r="C3330" s="1">
        <v>45997.623611111114</v>
      </c>
      <c r="D3330" t="s">
        <v>5146</v>
      </c>
    </row>
    <row r="3331" spans="1:4" x14ac:dyDescent="0.25">
      <c r="A3331" t="s">
        <v>118</v>
      </c>
      <c r="B3331" t="s">
        <v>38</v>
      </c>
      <c r="C3331" s="1">
        <v>46036.552777777775</v>
      </c>
      <c r="D3331" t="s">
        <v>5146</v>
      </c>
    </row>
    <row r="3332" spans="1:4" x14ac:dyDescent="0.25">
      <c r="A3332" t="s">
        <v>132</v>
      </c>
      <c r="B3332" t="s">
        <v>38</v>
      </c>
      <c r="C3332" s="1">
        <v>46036.554861111108</v>
      </c>
      <c r="D3332" t="s">
        <v>5146</v>
      </c>
    </row>
    <row r="3333" spans="1:4" x14ac:dyDescent="0.25">
      <c r="A3333" t="s">
        <v>123</v>
      </c>
      <c r="B3333" t="s">
        <v>38</v>
      </c>
      <c r="C3333" s="1">
        <v>46036.557638888888</v>
      </c>
      <c r="D3333" t="s">
        <v>5146</v>
      </c>
    </row>
    <row r="3334" spans="1:4" x14ac:dyDescent="0.25">
      <c r="A3334" t="s">
        <v>150</v>
      </c>
      <c r="B3334" t="s">
        <v>38</v>
      </c>
      <c r="C3334" s="1">
        <v>46036.558333333334</v>
      </c>
      <c r="D3334" t="s">
        <v>5146</v>
      </c>
    </row>
    <row r="3335" spans="1:4" x14ac:dyDescent="0.25">
      <c r="A3335" t="s">
        <v>144</v>
      </c>
      <c r="B3335" t="s">
        <v>38</v>
      </c>
      <c r="C3335" s="1">
        <v>46036.560416666667</v>
      </c>
      <c r="D3335" t="s">
        <v>5146</v>
      </c>
    </row>
    <row r="3336" spans="1:4" x14ac:dyDescent="0.25">
      <c r="A3336" t="s">
        <v>143</v>
      </c>
      <c r="B3336" t="s">
        <v>38</v>
      </c>
      <c r="C3336" s="1">
        <v>46036.560416666667</v>
      </c>
      <c r="D3336" t="s">
        <v>5146</v>
      </c>
    </row>
    <row r="3337" spans="1:4" x14ac:dyDescent="0.25">
      <c r="A3337" t="s">
        <v>142</v>
      </c>
      <c r="B3337" t="s">
        <v>38</v>
      </c>
      <c r="C3337" s="1">
        <v>46036.569444444445</v>
      </c>
      <c r="D3337" t="s">
        <v>5146</v>
      </c>
    </row>
    <row r="3338" spans="1:4" x14ac:dyDescent="0.25">
      <c r="A3338" t="s">
        <v>157</v>
      </c>
      <c r="B3338" t="s">
        <v>38</v>
      </c>
      <c r="C3338" s="1">
        <v>46036.561111111114</v>
      </c>
      <c r="D3338" t="s">
        <v>5146</v>
      </c>
    </row>
    <row r="3339" spans="1:4" x14ac:dyDescent="0.25">
      <c r="A3339" t="s">
        <v>154</v>
      </c>
      <c r="B3339" t="s">
        <v>38</v>
      </c>
      <c r="C3339" s="1">
        <v>46036.561805555553</v>
      </c>
      <c r="D3339" t="s">
        <v>5146</v>
      </c>
    </row>
    <row r="3340" spans="1:4" x14ac:dyDescent="0.25">
      <c r="A3340" t="s">
        <v>160</v>
      </c>
      <c r="B3340" t="s">
        <v>38</v>
      </c>
      <c r="C3340" s="1">
        <v>46036.561805555553</v>
      </c>
      <c r="D3340" t="s">
        <v>5146</v>
      </c>
    </row>
    <row r="3341" spans="1:4" x14ac:dyDescent="0.25">
      <c r="A3341" t="s">
        <v>172</v>
      </c>
      <c r="B3341" t="s">
        <v>38</v>
      </c>
      <c r="C3341" s="1">
        <v>46036.567361111112</v>
      </c>
      <c r="D3341" t="s">
        <v>5146</v>
      </c>
    </row>
    <row r="3342" spans="1:4" x14ac:dyDescent="0.25">
      <c r="A3342" t="s">
        <v>164</v>
      </c>
      <c r="B3342" t="s">
        <v>38</v>
      </c>
      <c r="C3342" s="1">
        <v>46022.656944444447</v>
      </c>
      <c r="D3342" t="s">
        <v>5146</v>
      </c>
    </row>
    <row r="3343" spans="1:4" x14ac:dyDescent="0.25">
      <c r="A3343" t="s">
        <v>188</v>
      </c>
      <c r="B3343" t="s">
        <v>38</v>
      </c>
      <c r="C3343" s="1">
        <v>46007.709722222222</v>
      </c>
      <c r="D3343" t="s">
        <v>5146</v>
      </c>
    </row>
    <row r="3344" spans="1:4" x14ac:dyDescent="0.25">
      <c r="A3344" t="s">
        <v>185</v>
      </c>
      <c r="B3344" t="s">
        <v>38</v>
      </c>
      <c r="C3344" s="1">
        <v>46036.570138888892</v>
      </c>
      <c r="D3344" t="s">
        <v>5146</v>
      </c>
    </row>
    <row r="3345" spans="1:4" x14ac:dyDescent="0.25">
      <c r="A3345" t="s">
        <v>191</v>
      </c>
      <c r="B3345" t="s">
        <v>38</v>
      </c>
      <c r="C3345" s="1">
        <v>46036.570833333331</v>
      </c>
      <c r="D3345" t="s">
        <v>5146</v>
      </c>
    </row>
    <row r="3346" spans="1:4" x14ac:dyDescent="0.25">
      <c r="A3346" t="s">
        <v>527</v>
      </c>
      <c r="B3346" t="s">
        <v>38</v>
      </c>
      <c r="C3346" s="1">
        <v>46043.484722222223</v>
      </c>
      <c r="D3346" t="s">
        <v>5146</v>
      </c>
    </row>
    <row r="3347" spans="1:4" x14ac:dyDescent="0.25">
      <c r="A3347" t="s">
        <v>221</v>
      </c>
      <c r="B3347" t="s">
        <v>38</v>
      </c>
      <c r="C3347" s="1">
        <v>46036.581250000003</v>
      </c>
      <c r="D3347" t="s">
        <v>5146</v>
      </c>
    </row>
    <row r="3348" spans="1:4" x14ac:dyDescent="0.25">
      <c r="A3348" t="s">
        <v>220</v>
      </c>
      <c r="B3348" t="s">
        <v>38</v>
      </c>
      <c r="C3348" s="1">
        <v>46036.581250000003</v>
      </c>
      <c r="D3348" t="s">
        <v>5146</v>
      </c>
    </row>
    <row r="3349" spans="1:4" x14ac:dyDescent="0.25">
      <c r="A3349" t="s">
        <v>336</v>
      </c>
      <c r="B3349" t="s">
        <v>38</v>
      </c>
      <c r="C3349" s="1">
        <v>46036.685416666667</v>
      </c>
      <c r="D3349" t="s">
        <v>5146</v>
      </c>
    </row>
    <row r="3350" spans="1:4" x14ac:dyDescent="0.25">
      <c r="A3350" t="s">
        <v>198</v>
      </c>
      <c r="B3350" t="s">
        <v>38</v>
      </c>
      <c r="C3350" s="1">
        <v>46036.578472222223</v>
      </c>
      <c r="D3350" t="s">
        <v>5146</v>
      </c>
    </row>
    <row r="3351" spans="1:4" x14ac:dyDescent="0.25">
      <c r="A3351" t="s">
        <v>219</v>
      </c>
      <c r="B3351" t="s">
        <v>38</v>
      </c>
      <c r="C3351" s="1">
        <v>46036.69027777778</v>
      </c>
      <c r="D3351" t="s">
        <v>5146</v>
      </c>
    </row>
    <row r="3352" spans="1:4" x14ac:dyDescent="0.25">
      <c r="A3352" t="s">
        <v>207</v>
      </c>
      <c r="B3352" t="s">
        <v>38</v>
      </c>
      <c r="C3352" s="1">
        <v>46013.584722222222</v>
      </c>
      <c r="D3352" t="s">
        <v>5146</v>
      </c>
    </row>
    <row r="3353" spans="1:4" x14ac:dyDescent="0.25">
      <c r="A3353" t="s">
        <v>211</v>
      </c>
      <c r="B3353" t="s">
        <v>38</v>
      </c>
      <c r="C3353" s="1">
        <v>46036.57916666667</v>
      </c>
      <c r="D3353" t="s">
        <v>5146</v>
      </c>
    </row>
    <row r="3354" spans="1:4" x14ac:dyDescent="0.25">
      <c r="A3354" t="s">
        <v>210</v>
      </c>
      <c r="B3354" t="s">
        <v>38</v>
      </c>
      <c r="C3354" s="1">
        <v>46036.579861111109</v>
      </c>
      <c r="D3354" t="s">
        <v>5146</v>
      </c>
    </row>
    <row r="3355" spans="1:4" x14ac:dyDescent="0.25">
      <c r="A3355" t="s">
        <v>243</v>
      </c>
      <c r="B3355" t="s">
        <v>38</v>
      </c>
      <c r="C3355" s="1">
        <v>46027.680555555555</v>
      </c>
      <c r="D3355" t="s">
        <v>5146</v>
      </c>
    </row>
    <row r="3356" spans="1:4" x14ac:dyDescent="0.25">
      <c r="A3356" t="s">
        <v>217</v>
      </c>
      <c r="B3356" t="s">
        <v>38</v>
      </c>
      <c r="C3356" s="1">
        <v>46010.665277777778</v>
      </c>
      <c r="D3356" t="s">
        <v>5146</v>
      </c>
    </row>
    <row r="3357" spans="1:4" x14ac:dyDescent="0.25">
      <c r="A3357" t="s">
        <v>216</v>
      </c>
      <c r="B3357" t="s">
        <v>38</v>
      </c>
      <c r="C3357" s="1">
        <v>46036.579861111109</v>
      </c>
      <c r="D3357" t="s">
        <v>5146</v>
      </c>
    </row>
    <row r="3358" spans="1:4" x14ac:dyDescent="0.25">
      <c r="A3358" t="s">
        <v>213</v>
      </c>
      <c r="B3358" t="s">
        <v>38</v>
      </c>
      <c r="C3358" s="1">
        <v>46036.580555555556</v>
      </c>
      <c r="D3358" t="s">
        <v>5146</v>
      </c>
    </row>
    <row r="3359" spans="1:4" x14ac:dyDescent="0.25">
      <c r="A3359" t="s">
        <v>233</v>
      </c>
      <c r="B3359" t="s">
        <v>38</v>
      </c>
      <c r="C3359" s="1">
        <v>46031.585416666669</v>
      </c>
      <c r="D3359" t="s">
        <v>5146</v>
      </c>
    </row>
    <row r="3360" spans="1:4" x14ac:dyDescent="0.25">
      <c r="A3360" t="s">
        <v>249</v>
      </c>
      <c r="B3360" t="s">
        <v>38</v>
      </c>
      <c r="C3360" s="1">
        <v>46036.586805555555</v>
      </c>
      <c r="D3360" t="s">
        <v>5146</v>
      </c>
    </row>
    <row r="3361" spans="1:4" x14ac:dyDescent="0.25">
      <c r="A3361" t="s">
        <v>248</v>
      </c>
      <c r="B3361" t="s">
        <v>38</v>
      </c>
      <c r="C3361" s="1">
        <v>46036.587500000001</v>
      </c>
      <c r="D3361" t="s">
        <v>5146</v>
      </c>
    </row>
    <row r="3362" spans="1:4" x14ac:dyDescent="0.25">
      <c r="A3362" t="s">
        <v>245</v>
      </c>
      <c r="B3362" t="s">
        <v>38</v>
      </c>
      <c r="C3362" s="1">
        <v>46036.587500000001</v>
      </c>
      <c r="D3362" t="s">
        <v>5146</v>
      </c>
    </row>
    <row r="3363" spans="1:4" x14ac:dyDescent="0.25">
      <c r="A3363" t="s">
        <v>256</v>
      </c>
      <c r="B3363" t="s">
        <v>38</v>
      </c>
      <c r="C3363" s="1">
        <v>46036.587500000001</v>
      </c>
      <c r="D3363" t="s">
        <v>5146</v>
      </c>
    </row>
    <row r="3364" spans="1:4" x14ac:dyDescent="0.25">
      <c r="A3364" t="s">
        <v>254</v>
      </c>
      <c r="B3364" t="s">
        <v>38</v>
      </c>
      <c r="C3364" s="1">
        <v>46036.589583333334</v>
      </c>
      <c r="D3364" t="s">
        <v>5146</v>
      </c>
    </row>
    <row r="3365" spans="1:4" x14ac:dyDescent="0.25">
      <c r="A3365" t="s">
        <v>252</v>
      </c>
      <c r="B3365" t="s">
        <v>38</v>
      </c>
      <c r="C3365" s="1">
        <v>46036.590277777781</v>
      </c>
      <c r="D3365" t="s">
        <v>5146</v>
      </c>
    </row>
    <row r="3366" spans="1:4" x14ac:dyDescent="0.25">
      <c r="A3366" t="s">
        <v>277</v>
      </c>
      <c r="B3366" t="s">
        <v>38</v>
      </c>
      <c r="C3366" s="1">
        <v>46036.681944444441</v>
      </c>
      <c r="D3366" t="s">
        <v>5146</v>
      </c>
    </row>
    <row r="3367" spans="1:4" x14ac:dyDescent="0.25">
      <c r="A3367" t="s">
        <v>259</v>
      </c>
      <c r="B3367" t="s">
        <v>38</v>
      </c>
      <c r="C3367" s="1">
        <v>46036.677083333336</v>
      </c>
      <c r="D3367" t="s">
        <v>5146</v>
      </c>
    </row>
    <row r="3368" spans="1:4" x14ac:dyDescent="0.25">
      <c r="A3368" t="s">
        <v>284</v>
      </c>
      <c r="B3368" t="s">
        <v>38</v>
      </c>
      <c r="C3368" s="1">
        <v>46036.679861111108</v>
      </c>
      <c r="D3368" t="s">
        <v>5146</v>
      </c>
    </row>
    <row r="3369" spans="1:4" x14ac:dyDescent="0.25">
      <c r="A3369" t="s">
        <v>287</v>
      </c>
      <c r="B3369" t="s">
        <v>38</v>
      </c>
      <c r="C3369" s="1">
        <v>46036.680555555555</v>
      </c>
      <c r="D3369" t="s">
        <v>5146</v>
      </c>
    </row>
    <row r="3370" spans="1:4" x14ac:dyDescent="0.25">
      <c r="A3370" t="s">
        <v>294</v>
      </c>
      <c r="B3370" t="s">
        <v>38</v>
      </c>
      <c r="C3370" s="1">
        <v>46036.680555555555</v>
      </c>
      <c r="D3370" t="s">
        <v>5146</v>
      </c>
    </row>
    <row r="3371" spans="1:4" x14ac:dyDescent="0.25">
      <c r="A3371" t="s">
        <v>296</v>
      </c>
      <c r="B3371" t="s">
        <v>38</v>
      </c>
      <c r="C3371" s="1">
        <v>46036.681250000001</v>
      </c>
      <c r="D3371" t="s">
        <v>5146</v>
      </c>
    </row>
    <row r="3372" spans="1:4" x14ac:dyDescent="0.25">
      <c r="A3372" t="s">
        <v>299</v>
      </c>
      <c r="B3372" t="s">
        <v>39</v>
      </c>
      <c r="C3372" s="1">
        <v>46043.50277777778</v>
      </c>
      <c r="D3372" t="s">
        <v>5146</v>
      </c>
    </row>
    <row r="3373" spans="1:4" x14ac:dyDescent="0.25">
      <c r="A3373" t="s">
        <v>310</v>
      </c>
      <c r="B3373" t="s">
        <v>38</v>
      </c>
      <c r="C3373" s="1">
        <v>46036.681944444441</v>
      </c>
      <c r="D3373" t="s">
        <v>5146</v>
      </c>
    </row>
    <row r="3374" spans="1:4" x14ac:dyDescent="0.25">
      <c r="A3374" t="s">
        <v>309</v>
      </c>
      <c r="B3374" t="s">
        <v>38</v>
      </c>
      <c r="C3374" s="1">
        <v>46021.661805555559</v>
      </c>
      <c r="D3374" t="s">
        <v>5146</v>
      </c>
    </row>
    <row r="3375" spans="1:4" x14ac:dyDescent="0.25">
      <c r="A3375" t="s">
        <v>318</v>
      </c>
      <c r="B3375" t="s">
        <v>38</v>
      </c>
      <c r="C3375" s="1">
        <v>46036.68472222222</v>
      </c>
      <c r="D3375" t="s">
        <v>5146</v>
      </c>
    </row>
    <row r="3376" spans="1:4" x14ac:dyDescent="0.25">
      <c r="A3376" t="s">
        <v>314</v>
      </c>
      <c r="B3376" t="s">
        <v>38</v>
      </c>
      <c r="C3376" s="1">
        <v>46036.68472222222</v>
      </c>
      <c r="D3376" t="s">
        <v>5146</v>
      </c>
    </row>
    <row r="3377" spans="1:4" x14ac:dyDescent="0.25">
      <c r="A3377" t="s">
        <v>312</v>
      </c>
      <c r="B3377" t="s">
        <v>38</v>
      </c>
      <c r="C3377" s="1">
        <v>46036.685416666667</v>
      </c>
      <c r="D3377" t="s">
        <v>5146</v>
      </c>
    </row>
    <row r="3378" spans="1:4" x14ac:dyDescent="0.25">
      <c r="A3378" t="s">
        <v>321</v>
      </c>
      <c r="B3378" t="s">
        <v>38</v>
      </c>
      <c r="C3378" s="1">
        <v>46039.507638888892</v>
      </c>
      <c r="D3378" t="s">
        <v>5146</v>
      </c>
    </row>
    <row r="3379" spans="1:4" x14ac:dyDescent="0.25">
      <c r="A3379" t="s">
        <v>320</v>
      </c>
      <c r="B3379" t="s">
        <v>38</v>
      </c>
      <c r="C3379" s="1">
        <v>46025.738888888889</v>
      </c>
      <c r="D3379" t="s">
        <v>5146</v>
      </c>
    </row>
    <row r="3380" spans="1:4" x14ac:dyDescent="0.25">
      <c r="A3380" t="s">
        <v>325</v>
      </c>
      <c r="B3380" t="s">
        <v>38</v>
      </c>
      <c r="C3380" s="1">
        <v>46036.685416666667</v>
      </c>
      <c r="D3380" t="s">
        <v>5146</v>
      </c>
    </row>
    <row r="3381" spans="1:4" x14ac:dyDescent="0.25">
      <c r="A3381" t="s">
        <v>332</v>
      </c>
      <c r="B3381" t="s">
        <v>38</v>
      </c>
      <c r="C3381" s="1">
        <v>46034.728472222225</v>
      </c>
      <c r="D3381" t="s">
        <v>5146</v>
      </c>
    </row>
    <row r="3382" spans="1:4" x14ac:dyDescent="0.25">
      <c r="A3382" t="s">
        <v>331</v>
      </c>
      <c r="B3382" t="s">
        <v>38</v>
      </c>
      <c r="C3382" s="1">
        <v>46036.686111111114</v>
      </c>
      <c r="D3382" t="s">
        <v>5146</v>
      </c>
    </row>
    <row r="3383" spans="1:4" x14ac:dyDescent="0.25">
      <c r="A3383" t="s">
        <v>330</v>
      </c>
      <c r="B3383" t="s">
        <v>38</v>
      </c>
      <c r="C3383" s="1">
        <v>46036.686111111114</v>
      </c>
      <c r="D3383" t="s">
        <v>5146</v>
      </c>
    </row>
    <row r="3384" spans="1:4" x14ac:dyDescent="0.25">
      <c r="A3384" t="s">
        <v>339</v>
      </c>
      <c r="B3384" t="s">
        <v>38</v>
      </c>
      <c r="C3384" s="1">
        <v>46039.515277777777</v>
      </c>
      <c r="D3384" t="s">
        <v>5146</v>
      </c>
    </row>
    <row r="3385" spans="1:4" x14ac:dyDescent="0.25">
      <c r="A3385" t="s">
        <v>340</v>
      </c>
      <c r="B3385" t="s">
        <v>38</v>
      </c>
      <c r="C3385" s="1">
        <v>46039.517361111109</v>
      </c>
      <c r="D3385" t="s">
        <v>5146</v>
      </c>
    </row>
    <row r="3386" spans="1:4" x14ac:dyDescent="0.25">
      <c r="A3386" t="s">
        <v>348</v>
      </c>
      <c r="B3386" t="s">
        <v>38</v>
      </c>
      <c r="C3386" s="1">
        <v>46039.522222222222</v>
      </c>
      <c r="D3386" t="s">
        <v>5146</v>
      </c>
    </row>
    <row r="3387" spans="1:4" x14ac:dyDescent="0.25">
      <c r="A3387" t="s">
        <v>347</v>
      </c>
      <c r="B3387" t="s">
        <v>38</v>
      </c>
      <c r="C3387" s="1">
        <v>46039.520833333336</v>
      </c>
      <c r="D3387" t="s">
        <v>5146</v>
      </c>
    </row>
    <row r="3388" spans="1:4" x14ac:dyDescent="0.25">
      <c r="A3388" t="s">
        <v>346</v>
      </c>
      <c r="B3388" t="s">
        <v>38</v>
      </c>
      <c r="C3388" s="1">
        <v>46039.554166666669</v>
      </c>
      <c r="D3388" t="s">
        <v>5146</v>
      </c>
    </row>
    <row r="3389" spans="1:4" x14ac:dyDescent="0.25">
      <c r="A3389" t="s">
        <v>354</v>
      </c>
      <c r="B3389" t="s">
        <v>38</v>
      </c>
      <c r="C3389" s="1">
        <v>46039.556250000001</v>
      </c>
      <c r="D3389" t="s">
        <v>5146</v>
      </c>
    </row>
    <row r="3390" spans="1:4" x14ac:dyDescent="0.25">
      <c r="A3390" t="s">
        <v>369</v>
      </c>
      <c r="B3390" t="s">
        <v>39</v>
      </c>
      <c r="C3390" s="1">
        <v>46034.650694444441</v>
      </c>
      <c r="D3390" t="s">
        <v>5146</v>
      </c>
    </row>
    <row r="3391" spans="1:4" x14ac:dyDescent="0.25">
      <c r="A3391" t="s">
        <v>366</v>
      </c>
      <c r="B3391" t="s">
        <v>39</v>
      </c>
      <c r="C3391" s="1">
        <v>46028.869444444441</v>
      </c>
      <c r="D3391" t="s">
        <v>5146</v>
      </c>
    </row>
    <row r="3392" spans="1:4" x14ac:dyDescent="0.25">
      <c r="A3392" t="s">
        <v>376</v>
      </c>
      <c r="B3392" t="s">
        <v>38</v>
      </c>
      <c r="C3392" s="1">
        <v>46029.59652777778</v>
      </c>
      <c r="D3392" t="s">
        <v>5146</v>
      </c>
    </row>
    <row r="3393" spans="1:4" x14ac:dyDescent="0.25">
      <c r="A3393" t="s">
        <v>385</v>
      </c>
      <c r="B3393" t="s">
        <v>38</v>
      </c>
      <c r="C3393" s="1">
        <v>46029.748611111114</v>
      </c>
      <c r="D3393" t="s">
        <v>5146</v>
      </c>
    </row>
    <row r="3394" spans="1:4" x14ac:dyDescent="0.25">
      <c r="A3394" t="s">
        <v>384</v>
      </c>
      <c r="B3394" t="s">
        <v>38</v>
      </c>
      <c r="C3394" s="1">
        <v>46043.50277777778</v>
      </c>
      <c r="D3394" t="s">
        <v>5146</v>
      </c>
    </row>
    <row r="3395" spans="1:4" x14ac:dyDescent="0.25">
      <c r="A3395" t="s">
        <v>383</v>
      </c>
      <c r="B3395" t="s">
        <v>38</v>
      </c>
      <c r="C3395" s="1">
        <v>46028.591666666667</v>
      </c>
      <c r="D3395" t="s">
        <v>5146</v>
      </c>
    </row>
    <row r="3396" spans="1:4" x14ac:dyDescent="0.25">
      <c r="A3396" t="s">
        <v>382</v>
      </c>
      <c r="B3396" t="s">
        <v>39</v>
      </c>
      <c r="C3396" s="1">
        <v>46050.5</v>
      </c>
      <c r="D3396" t="s">
        <v>5146</v>
      </c>
    </row>
    <row r="3397" spans="1:4" x14ac:dyDescent="0.25">
      <c r="A3397" t="s">
        <v>381</v>
      </c>
      <c r="B3397" t="s">
        <v>38</v>
      </c>
      <c r="C3397" s="1">
        <v>46029.447916666664</v>
      </c>
      <c r="D3397" t="s">
        <v>5146</v>
      </c>
    </row>
    <row r="3398" spans="1:4" x14ac:dyDescent="0.25">
      <c r="A3398" t="s">
        <v>380</v>
      </c>
      <c r="B3398" t="s">
        <v>38</v>
      </c>
      <c r="C3398" s="1">
        <v>46039.667361111111</v>
      </c>
      <c r="D3398" t="s">
        <v>5146</v>
      </c>
    </row>
    <row r="3399" spans="1:4" x14ac:dyDescent="0.25">
      <c r="A3399" t="s">
        <v>379</v>
      </c>
      <c r="B3399" t="s">
        <v>39</v>
      </c>
      <c r="C3399" s="1">
        <v>46049.513194444444</v>
      </c>
      <c r="D3399" t="s">
        <v>5146</v>
      </c>
    </row>
    <row r="3400" spans="1:4" x14ac:dyDescent="0.25">
      <c r="A3400" t="s">
        <v>387</v>
      </c>
      <c r="B3400" t="s">
        <v>38</v>
      </c>
      <c r="C3400" s="1">
        <v>46043.501388888886</v>
      </c>
      <c r="D3400" t="s">
        <v>5146</v>
      </c>
    </row>
    <row r="3401" spans="1:4" x14ac:dyDescent="0.25">
      <c r="A3401" t="s">
        <v>386</v>
      </c>
      <c r="B3401" t="s">
        <v>38</v>
      </c>
      <c r="C3401" s="1">
        <v>46029.583333333336</v>
      </c>
      <c r="D3401" t="s">
        <v>5146</v>
      </c>
    </row>
    <row r="3402" spans="1:4" x14ac:dyDescent="0.25">
      <c r="A3402" t="s">
        <v>475</v>
      </c>
      <c r="B3402" t="s">
        <v>38</v>
      </c>
      <c r="C3402" s="1">
        <v>46039.709722222222</v>
      </c>
      <c r="D3402" t="s">
        <v>5146</v>
      </c>
    </row>
    <row r="3403" spans="1:4" x14ac:dyDescent="0.25">
      <c r="A3403" t="s">
        <v>389</v>
      </c>
      <c r="B3403" t="s">
        <v>39</v>
      </c>
      <c r="C3403" s="1">
        <v>46042.806944444441</v>
      </c>
      <c r="D3403" t="s">
        <v>5146</v>
      </c>
    </row>
    <row r="3404" spans="1:4" x14ac:dyDescent="0.25">
      <c r="A3404" t="s">
        <v>394</v>
      </c>
      <c r="B3404" t="s">
        <v>38</v>
      </c>
      <c r="C3404" s="1">
        <v>46039.710416666669</v>
      </c>
      <c r="D3404" t="s">
        <v>5146</v>
      </c>
    </row>
    <row r="3405" spans="1:4" x14ac:dyDescent="0.25">
      <c r="A3405" t="s">
        <v>405</v>
      </c>
      <c r="B3405" t="s">
        <v>38</v>
      </c>
      <c r="C3405" s="1">
        <v>46039.693749999999</v>
      </c>
      <c r="D3405" t="s">
        <v>5146</v>
      </c>
    </row>
    <row r="3406" spans="1:4" x14ac:dyDescent="0.25">
      <c r="A3406" t="s">
        <v>404</v>
      </c>
      <c r="B3406" t="s">
        <v>38</v>
      </c>
      <c r="C3406" s="1">
        <v>46036.506944444445</v>
      </c>
      <c r="D3406" t="s">
        <v>5146</v>
      </c>
    </row>
    <row r="3407" spans="1:4" x14ac:dyDescent="0.25">
      <c r="A3407" t="s">
        <v>481</v>
      </c>
      <c r="B3407" t="s">
        <v>38</v>
      </c>
      <c r="C3407" s="1">
        <v>46042.453472222223</v>
      </c>
      <c r="D3407" t="s">
        <v>5146</v>
      </c>
    </row>
    <row r="3408" spans="1:4" x14ac:dyDescent="0.25">
      <c r="A3408" t="s">
        <v>482</v>
      </c>
      <c r="B3408" t="s">
        <v>38</v>
      </c>
      <c r="C3408" s="1">
        <v>46039.708333333336</v>
      </c>
      <c r="D3408" t="s">
        <v>5146</v>
      </c>
    </row>
    <row r="3409" spans="1:4" x14ac:dyDescent="0.25">
      <c r="A3409" t="s">
        <v>402</v>
      </c>
      <c r="B3409" t="s">
        <v>1129</v>
      </c>
      <c r="C3409" s="1">
        <v>46041.426388888889</v>
      </c>
      <c r="D3409" t="s">
        <v>5146</v>
      </c>
    </row>
    <row r="3410" spans="1:4" x14ac:dyDescent="0.25">
      <c r="A3410" t="s">
        <v>397</v>
      </c>
      <c r="B3410" t="s">
        <v>38</v>
      </c>
      <c r="C3410" s="1">
        <v>46035.724305555559</v>
      </c>
      <c r="D3410" t="s">
        <v>5146</v>
      </c>
    </row>
    <row r="3411" spans="1:4" x14ac:dyDescent="0.25">
      <c r="A3411" t="s">
        <v>423</v>
      </c>
      <c r="B3411" t="s">
        <v>38</v>
      </c>
      <c r="C3411" s="1">
        <v>46031.48333333333</v>
      </c>
      <c r="D3411" t="s">
        <v>5146</v>
      </c>
    </row>
    <row r="3412" spans="1:4" x14ac:dyDescent="0.25">
      <c r="A3412" t="s">
        <v>421</v>
      </c>
      <c r="B3412" t="s">
        <v>38</v>
      </c>
      <c r="C3412" s="1">
        <v>46031.473611111112</v>
      </c>
      <c r="D3412" t="s">
        <v>5146</v>
      </c>
    </row>
    <row r="3413" spans="1:4" x14ac:dyDescent="0.25">
      <c r="A3413" t="s">
        <v>418</v>
      </c>
      <c r="B3413" t="s">
        <v>38</v>
      </c>
      <c r="C3413" s="1">
        <v>46039.697222222225</v>
      </c>
      <c r="D3413" t="s">
        <v>5146</v>
      </c>
    </row>
    <row r="3414" spans="1:4" x14ac:dyDescent="0.25">
      <c r="A3414" t="s">
        <v>434</v>
      </c>
      <c r="B3414" t="s">
        <v>38</v>
      </c>
      <c r="C3414" s="1">
        <v>46039.698611111111</v>
      </c>
      <c r="D3414" t="s">
        <v>5146</v>
      </c>
    </row>
    <row r="3415" spans="1:4" x14ac:dyDescent="0.25">
      <c r="A3415" t="s">
        <v>431</v>
      </c>
      <c r="B3415" t="s">
        <v>38</v>
      </c>
      <c r="C3415" s="1">
        <v>46039.698611111111</v>
      </c>
      <c r="D3415" t="s">
        <v>5146</v>
      </c>
    </row>
    <row r="3416" spans="1:4" x14ac:dyDescent="0.25">
      <c r="A3416" t="s">
        <v>446</v>
      </c>
      <c r="B3416" t="s">
        <v>38</v>
      </c>
      <c r="C3416" s="1">
        <v>46049.519444444442</v>
      </c>
      <c r="D3416" t="s">
        <v>5146</v>
      </c>
    </row>
    <row r="3417" spans="1:4" x14ac:dyDescent="0.25">
      <c r="A3417" t="s">
        <v>452</v>
      </c>
      <c r="B3417" t="s">
        <v>38</v>
      </c>
      <c r="C3417" s="1">
        <v>46042.647222222222</v>
      </c>
      <c r="D3417" t="s">
        <v>5146</v>
      </c>
    </row>
    <row r="3418" spans="1:4" x14ac:dyDescent="0.25">
      <c r="A3418" t="s">
        <v>454</v>
      </c>
      <c r="B3418" t="s">
        <v>38</v>
      </c>
      <c r="C3418" s="1">
        <v>46041.444444444445</v>
      </c>
      <c r="D3418" t="s">
        <v>5146</v>
      </c>
    </row>
    <row r="3419" spans="1:4" x14ac:dyDescent="0.25">
      <c r="A3419" t="s">
        <v>453</v>
      </c>
      <c r="B3419" t="s">
        <v>38</v>
      </c>
      <c r="C3419" s="1">
        <v>46039.489583333336</v>
      </c>
      <c r="D3419" t="s">
        <v>5146</v>
      </c>
    </row>
    <row r="3420" spans="1:4" x14ac:dyDescent="0.25">
      <c r="A3420" t="s">
        <v>464</v>
      </c>
      <c r="B3420" t="s">
        <v>38</v>
      </c>
      <c r="C3420" s="1">
        <v>46044.435416666667</v>
      </c>
      <c r="D3420" t="s">
        <v>5146</v>
      </c>
    </row>
    <row r="3421" spans="1:4" x14ac:dyDescent="0.25">
      <c r="A3421" t="s">
        <v>468</v>
      </c>
      <c r="B3421" t="s">
        <v>38</v>
      </c>
      <c r="C3421" s="1">
        <v>46041.474999999999</v>
      </c>
      <c r="D3421" t="s">
        <v>5146</v>
      </c>
    </row>
    <row r="3422" spans="1:4" x14ac:dyDescent="0.25">
      <c r="A3422" t="s">
        <v>5409</v>
      </c>
      <c r="B3422" t="s">
        <v>38</v>
      </c>
      <c r="C3422" s="1">
        <v>45836.684027777781</v>
      </c>
      <c r="D3422" t="s">
        <v>5146</v>
      </c>
    </row>
    <row r="3423" spans="1:4" x14ac:dyDescent="0.25">
      <c r="A3423" t="s">
        <v>622</v>
      </c>
      <c r="B3423" t="s">
        <v>1239</v>
      </c>
      <c r="C3423" s="1">
        <v>46051.523611111108</v>
      </c>
      <c r="D3423" t="s">
        <v>5146</v>
      </c>
    </row>
    <row r="3424" spans="1:4" x14ac:dyDescent="0.25">
      <c r="A3424" t="s">
        <v>5410</v>
      </c>
      <c r="B3424" t="s">
        <v>38</v>
      </c>
      <c r="C3424" s="1">
        <v>45881.702777777777</v>
      </c>
      <c r="D3424" t="s">
        <v>5146</v>
      </c>
    </row>
    <row r="3425" spans="1:4" x14ac:dyDescent="0.25">
      <c r="A3425" t="s">
        <v>595</v>
      </c>
      <c r="B3425" t="s">
        <v>5638</v>
      </c>
      <c r="C3425" s="1">
        <v>46051.463888888888</v>
      </c>
      <c r="D3425" t="s">
        <v>5146</v>
      </c>
    </row>
    <row r="3426" spans="1:4" x14ac:dyDescent="0.25">
      <c r="A3426" t="s">
        <v>5411</v>
      </c>
      <c r="B3426" t="s">
        <v>38</v>
      </c>
      <c r="C3426" s="1">
        <v>45860.454861111109</v>
      </c>
      <c r="D3426" t="s">
        <v>5146</v>
      </c>
    </row>
    <row r="3427" spans="1:4" x14ac:dyDescent="0.25">
      <c r="A3427" t="s">
        <v>5412</v>
      </c>
      <c r="B3427" t="s">
        <v>38</v>
      </c>
      <c r="C3427" s="1">
        <v>45901.648611111108</v>
      </c>
      <c r="D3427" t="s">
        <v>5146</v>
      </c>
    </row>
    <row r="3428" spans="1:4" x14ac:dyDescent="0.25">
      <c r="A3428" t="s">
        <v>5413</v>
      </c>
      <c r="B3428" t="s">
        <v>38</v>
      </c>
      <c r="C3428" s="1">
        <v>45901.728472222225</v>
      </c>
      <c r="D3428" t="s">
        <v>5146</v>
      </c>
    </row>
    <row r="3429" spans="1:4" x14ac:dyDescent="0.25">
      <c r="A3429" t="s">
        <v>5414</v>
      </c>
      <c r="B3429" t="s">
        <v>38</v>
      </c>
      <c r="C3429" s="1">
        <v>46003.93472222222</v>
      </c>
      <c r="D3429" t="s">
        <v>5146</v>
      </c>
    </row>
    <row r="3430" spans="1:4" x14ac:dyDescent="0.25">
      <c r="A3430" t="s">
        <v>5415</v>
      </c>
      <c r="B3430" t="s">
        <v>38</v>
      </c>
      <c r="C3430" s="1">
        <v>45943.831944444442</v>
      </c>
      <c r="D3430" t="s">
        <v>5146</v>
      </c>
    </row>
    <row r="3431" spans="1:4" x14ac:dyDescent="0.25">
      <c r="A3431" t="s">
        <v>5416</v>
      </c>
      <c r="B3431" t="s">
        <v>38</v>
      </c>
      <c r="C3431" s="1">
        <v>45943.821527777778</v>
      </c>
      <c r="D3431" t="s">
        <v>5146</v>
      </c>
    </row>
    <row r="3432" spans="1:4" x14ac:dyDescent="0.25">
      <c r="A3432" t="s">
        <v>5417</v>
      </c>
      <c r="B3432" t="s">
        <v>38</v>
      </c>
      <c r="C3432" s="1">
        <v>45943.820833333331</v>
      </c>
      <c r="D3432" t="s">
        <v>5146</v>
      </c>
    </row>
    <row r="3433" spans="1:4" x14ac:dyDescent="0.25">
      <c r="A3433" t="s">
        <v>85</v>
      </c>
      <c r="B3433" t="s">
        <v>38</v>
      </c>
      <c r="C3433" s="1">
        <v>45997.263194444444</v>
      </c>
      <c r="D3433" t="s">
        <v>5146</v>
      </c>
    </row>
    <row r="3434" spans="1:4" x14ac:dyDescent="0.25">
      <c r="A3434" t="s">
        <v>222</v>
      </c>
      <c r="B3434" t="s">
        <v>38</v>
      </c>
      <c r="C3434" s="1">
        <v>46009.623611111114</v>
      </c>
      <c r="D3434" t="s">
        <v>5146</v>
      </c>
    </row>
    <row r="3435" spans="1:4" x14ac:dyDescent="0.25">
      <c r="A3435" t="s">
        <v>235</v>
      </c>
      <c r="B3435" t="s">
        <v>38</v>
      </c>
      <c r="C3435" s="1">
        <v>46036.581944444442</v>
      </c>
      <c r="D3435" t="s">
        <v>5146</v>
      </c>
    </row>
    <row r="3436" spans="1:4" x14ac:dyDescent="0.25">
      <c r="A3436" t="s">
        <v>239</v>
      </c>
      <c r="B3436" t="s">
        <v>38</v>
      </c>
      <c r="C3436" s="1">
        <v>46036.586805555555</v>
      </c>
      <c r="D3436" t="s">
        <v>5146</v>
      </c>
    </row>
    <row r="3437" spans="1:4" x14ac:dyDescent="0.25">
      <c r="A3437" t="s">
        <v>250</v>
      </c>
      <c r="B3437" t="s">
        <v>38</v>
      </c>
      <c r="C3437" s="1">
        <v>46037.438888888886</v>
      </c>
      <c r="D3437" t="s">
        <v>5146</v>
      </c>
    </row>
    <row r="3438" spans="1:4" x14ac:dyDescent="0.25">
      <c r="A3438" t="s">
        <v>265</v>
      </c>
      <c r="B3438" t="s">
        <v>38</v>
      </c>
      <c r="C3438" s="1">
        <v>46036.591666666667</v>
      </c>
      <c r="D3438" t="s">
        <v>5146</v>
      </c>
    </row>
    <row r="3439" spans="1:4" x14ac:dyDescent="0.25">
      <c r="A3439" t="s">
        <v>257</v>
      </c>
      <c r="B3439" t="s">
        <v>38</v>
      </c>
      <c r="C3439" s="1">
        <v>46039.50277777778</v>
      </c>
      <c r="D3439" t="s">
        <v>5146</v>
      </c>
    </row>
    <row r="3440" spans="1:4" x14ac:dyDescent="0.25">
      <c r="A3440" t="s">
        <v>282</v>
      </c>
      <c r="B3440" t="s">
        <v>38</v>
      </c>
      <c r="C3440" s="1">
        <v>46049.704861111109</v>
      </c>
      <c r="D3440" t="s">
        <v>5146</v>
      </c>
    </row>
    <row r="3441" spans="1:4" x14ac:dyDescent="0.25">
      <c r="A3441" t="s">
        <v>291</v>
      </c>
      <c r="B3441" t="s">
        <v>38</v>
      </c>
      <c r="C3441" s="1">
        <v>46018.613888888889</v>
      </c>
      <c r="D3441" t="s">
        <v>5146</v>
      </c>
    </row>
    <row r="3442" spans="1:4" x14ac:dyDescent="0.25">
      <c r="A3442" t="s">
        <v>308</v>
      </c>
      <c r="B3442" t="s">
        <v>38</v>
      </c>
      <c r="C3442" s="1">
        <v>46043.441666666666</v>
      </c>
      <c r="D3442" t="s">
        <v>5146</v>
      </c>
    </row>
    <row r="3443" spans="1:4" x14ac:dyDescent="0.25">
      <c r="A3443" t="s">
        <v>350</v>
      </c>
      <c r="B3443" t="s">
        <v>38</v>
      </c>
      <c r="C3443" s="1">
        <v>46039.519444444442</v>
      </c>
      <c r="D3443" t="s">
        <v>5146</v>
      </c>
    </row>
    <row r="3444" spans="1:4" x14ac:dyDescent="0.25">
      <c r="A3444" t="s">
        <v>392</v>
      </c>
      <c r="B3444" t="s">
        <v>38</v>
      </c>
      <c r="C3444" s="1">
        <v>46030.478472222225</v>
      </c>
      <c r="D3444" t="s">
        <v>5146</v>
      </c>
    </row>
    <row r="3445" spans="1:4" x14ac:dyDescent="0.25">
      <c r="A3445" t="s">
        <v>409</v>
      </c>
      <c r="B3445" t="s">
        <v>38</v>
      </c>
      <c r="C3445" s="1">
        <v>46041.439583333333</v>
      </c>
      <c r="D3445" t="s">
        <v>5146</v>
      </c>
    </row>
    <row r="3446" spans="1:4" x14ac:dyDescent="0.25">
      <c r="A3446" t="s">
        <v>479</v>
      </c>
      <c r="B3446" t="s">
        <v>38</v>
      </c>
      <c r="C3446" s="1">
        <v>46039.709027777775</v>
      </c>
      <c r="D3446" t="s">
        <v>5146</v>
      </c>
    </row>
    <row r="3447" spans="1:4" x14ac:dyDescent="0.25">
      <c r="A3447" t="s">
        <v>5418</v>
      </c>
      <c r="B3447" t="s">
        <v>38</v>
      </c>
      <c r="C3447" s="1">
        <v>45900.095833333333</v>
      </c>
      <c r="D3447" t="s">
        <v>5146</v>
      </c>
    </row>
    <row r="3448" spans="1:4" x14ac:dyDescent="0.25">
      <c r="A3448" t="s">
        <v>5419</v>
      </c>
      <c r="B3448" t="s">
        <v>38</v>
      </c>
      <c r="C3448" s="1">
        <v>45834.461111111108</v>
      </c>
      <c r="D3448" t="s">
        <v>5146</v>
      </c>
    </row>
    <row r="3449" spans="1:4" x14ac:dyDescent="0.25">
      <c r="A3449" t="s">
        <v>5420</v>
      </c>
      <c r="B3449" t="s">
        <v>38</v>
      </c>
      <c r="C3449" s="1">
        <v>45836.574305555558</v>
      </c>
      <c r="D3449" t="s">
        <v>5146</v>
      </c>
    </row>
    <row r="3450" spans="1:4" x14ac:dyDescent="0.25">
      <c r="A3450" t="s">
        <v>5421</v>
      </c>
      <c r="B3450" t="s">
        <v>38</v>
      </c>
      <c r="C3450" s="1">
        <v>45782.729166666664</v>
      </c>
      <c r="D3450" t="s">
        <v>5146</v>
      </c>
    </row>
    <row r="3451" spans="1:4" x14ac:dyDescent="0.25">
      <c r="A3451" t="s">
        <v>5422</v>
      </c>
      <c r="B3451" t="s">
        <v>39</v>
      </c>
      <c r="C3451" s="1">
        <v>45818.532638888886</v>
      </c>
      <c r="D3451" t="s">
        <v>5146</v>
      </c>
    </row>
    <row r="3452" spans="1:4" x14ac:dyDescent="0.25">
      <c r="A3452" t="s">
        <v>5423</v>
      </c>
      <c r="B3452" t="s">
        <v>38</v>
      </c>
      <c r="C3452" s="1">
        <v>45819.643055555556</v>
      </c>
      <c r="D3452" t="s">
        <v>5146</v>
      </c>
    </row>
    <row r="3453" spans="1:4" x14ac:dyDescent="0.25">
      <c r="A3453" t="s">
        <v>5424</v>
      </c>
      <c r="B3453" t="s">
        <v>38</v>
      </c>
      <c r="C3453" s="1">
        <v>45829.429861111108</v>
      </c>
      <c r="D3453" t="s">
        <v>5146</v>
      </c>
    </row>
    <row r="3454" spans="1:4" x14ac:dyDescent="0.25">
      <c r="A3454" t="s">
        <v>5425</v>
      </c>
      <c r="B3454" t="s">
        <v>38</v>
      </c>
      <c r="C3454" s="1">
        <v>45824.636805555558</v>
      </c>
      <c r="D3454" t="s">
        <v>5146</v>
      </c>
    </row>
    <row r="3455" spans="1:4" x14ac:dyDescent="0.25">
      <c r="A3455" t="s">
        <v>5426</v>
      </c>
      <c r="B3455" t="s">
        <v>38</v>
      </c>
      <c r="C3455" s="1">
        <v>45846.576388888891</v>
      </c>
      <c r="D3455" t="s">
        <v>5146</v>
      </c>
    </row>
    <row r="3456" spans="1:4" x14ac:dyDescent="0.25">
      <c r="A3456" t="s">
        <v>5427</v>
      </c>
      <c r="B3456" t="s">
        <v>38</v>
      </c>
      <c r="C3456" s="1">
        <v>45871.665972222225</v>
      </c>
      <c r="D3456" t="s">
        <v>5146</v>
      </c>
    </row>
    <row r="3457" spans="1:4" x14ac:dyDescent="0.25">
      <c r="A3457" t="s">
        <v>5428</v>
      </c>
      <c r="B3457" t="s">
        <v>39</v>
      </c>
      <c r="C3457" s="1">
        <v>45876.48333333333</v>
      </c>
      <c r="D3457" t="s">
        <v>5146</v>
      </c>
    </row>
    <row r="3458" spans="1:4" x14ac:dyDescent="0.25">
      <c r="A3458" t="s">
        <v>5429</v>
      </c>
      <c r="B3458" t="s">
        <v>39</v>
      </c>
      <c r="C3458" s="1">
        <v>45908.561111111114</v>
      </c>
      <c r="D3458" t="s">
        <v>5146</v>
      </c>
    </row>
    <row r="3459" spans="1:4" x14ac:dyDescent="0.25">
      <c r="A3459" t="s">
        <v>5430</v>
      </c>
      <c r="B3459" t="s">
        <v>38</v>
      </c>
      <c r="C3459" s="1">
        <v>45889.572916666664</v>
      </c>
      <c r="D3459" t="s">
        <v>5146</v>
      </c>
    </row>
    <row r="3460" spans="1:4" x14ac:dyDescent="0.25">
      <c r="A3460" t="s">
        <v>5431</v>
      </c>
      <c r="B3460" t="s">
        <v>38</v>
      </c>
      <c r="C3460" s="1">
        <v>45943.826388888891</v>
      </c>
      <c r="D3460" t="s">
        <v>5146</v>
      </c>
    </row>
    <row r="3461" spans="1:4" x14ac:dyDescent="0.25">
      <c r="A3461" t="s">
        <v>5432</v>
      </c>
      <c r="B3461" t="s">
        <v>38</v>
      </c>
      <c r="C3461" s="1">
        <v>45973.530555555553</v>
      </c>
      <c r="D3461" t="s">
        <v>5146</v>
      </c>
    </row>
    <row r="3462" spans="1:4" x14ac:dyDescent="0.25">
      <c r="A3462" t="s">
        <v>5433</v>
      </c>
      <c r="B3462" t="s">
        <v>38</v>
      </c>
      <c r="C3462" s="1">
        <v>46007.633333333331</v>
      </c>
      <c r="D3462" t="s">
        <v>5146</v>
      </c>
    </row>
    <row r="3463" spans="1:4" x14ac:dyDescent="0.25">
      <c r="A3463" t="s">
        <v>5434</v>
      </c>
      <c r="B3463" t="s">
        <v>38</v>
      </c>
      <c r="C3463" s="1">
        <v>45996.461805555555</v>
      </c>
      <c r="D3463" t="s">
        <v>5146</v>
      </c>
    </row>
    <row r="3464" spans="1:4" x14ac:dyDescent="0.25">
      <c r="A3464" t="s">
        <v>5435</v>
      </c>
      <c r="B3464" t="s">
        <v>38</v>
      </c>
      <c r="C3464" s="1">
        <v>45988.76458333333</v>
      </c>
      <c r="D3464" t="s">
        <v>5146</v>
      </c>
    </row>
    <row r="3465" spans="1:4" x14ac:dyDescent="0.25">
      <c r="A3465" t="s">
        <v>410</v>
      </c>
      <c r="B3465" t="s">
        <v>38</v>
      </c>
      <c r="C3465" s="1">
        <v>46036.661805555559</v>
      </c>
      <c r="D3465" t="s">
        <v>5146</v>
      </c>
    </row>
    <row r="3466" spans="1:4" x14ac:dyDescent="0.25">
      <c r="A3466" t="s">
        <v>5436</v>
      </c>
      <c r="B3466" t="s">
        <v>38</v>
      </c>
      <c r="C3466" s="1">
        <v>45929.572916666664</v>
      </c>
      <c r="D3466" t="s">
        <v>5146</v>
      </c>
    </row>
    <row r="3467" spans="1:4" x14ac:dyDescent="0.25">
      <c r="A3467" t="s">
        <v>5437</v>
      </c>
      <c r="B3467" t="s">
        <v>38</v>
      </c>
      <c r="C3467" s="1">
        <v>45929.572222222225</v>
      </c>
      <c r="D3467" t="s">
        <v>5146</v>
      </c>
    </row>
    <row r="3468" spans="1:4" x14ac:dyDescent="0.25">
      <c r="A3468" t="s">
        <v>623</v>
      </c>
      <c r="B3468" t="s">
        <v>1239</v>
      </c>
      <c r="C3468" s="1">
        <v>46051.957638888889</v>
      </c>
      <c r="D3468" t="s">
        <v>5146</v>
      </c>
    </row>
    <row r="3469" spans="1:4" x14ac:dyDescent="0.25">
      <c r="A3469" t="s">
        <v>5438</v>
      </c>
      <c r="B3469" t="s">
        <v>38</v>
      </c>
      <c r="C3469" s="1">
        <v>45929.425694444442</v>
      </c>
      <c r="D3469" t="s">
        <v>5146</v>
      </c>
    </row>
    <row r="3470" spans="1:4" x14ac:dyDescent="0.25">
      <c r="A3470" t="s">
        <v>625</v>
      </c>
      <c r="B3470" t="s">
        <v>1239</v>
      </c>
      <c r="C3470" s="1">
        <v>46051.95208333333</v>
      </c>
      <c r="D3470" t="s">
        <v>5146</v>
      </c>
    </row>
    <row r="3471" spans="1:4" x14ac:dyDescent="0.25">
      <c r="A3471" t="s">
        <v>5439</v>
      </c>
      <c r="B3471" t="s">
        <v>38</v>
      </c>
      <c r="C3471" s="1">
        <v>45929.571527777778</v>
      </c>
      <c r="D3471" t="s">
        <v>5146</v>
      </c>
    </row>
    <row r="3472" spans="1:4" x14ac:dyDescent="0.25">
      <c r="A3472" t="s">
        <v>628</v>
      </c>
      <c r="B3472" t="s">
        <v>1239</v>
      </c>
      <c r="C3472" s="1">
        <v>46051.940972222219</v>
      </c>
      <c r="D3472" t="s">
        <v>5146</v>
      </c>
    </row>
    <row r="3473" spans="1:4" x14ac:dyDescent="0.25">
      <c r="A3473" t="s">
        <v>5440</v>
      </c>
      <c r="B3473" t="s">
        <v>38</v>
      </c>
      <c r="C3473" s="1">
        <v>45929.571527777778</v>
      </c>
      <c r="D3473" t="s">
        <v>5146</v>
      </c>
    </row>
    <row r="3474" spans="1:4" x14ac:dyDescent="0.25">
      <c r="A3474" t="s">
        <v>5441</v>
      </c>
      <c r="B3474" t="s">
        <v>38</v>
      </c>
      <c r="C3474" s="1">
        <v>45929.571527777778</v>
      </c>
      <c r="D3474" t="s">
        <v>5146</v>
      </c>
    </row>
    <row r="3475" spans="1:4" x14ac:dyDescent="0.25">
      <c r="A3475" t="s">
        <v>5442</v>
      </c>
      <c r="B3475" t="s">
        <v>38</v>
      </c>
      <c r="C3475" s="1">
        <v>45929.571527777778</v>
      </c>
      <c r="D3475" t="s">
        <v>5146</v>
      </c>
    </row>
    <row r="3476" spans="1:4" x14ac:dyDescent="0.25">
      <c r="A3476" t="s">
        <v>5443</v>
      </c>
      <c r="B3476" t="s">
        <v>38</v>
      </c>
      <c r="C3476" s="1">
        <v>45953.382638888892</v>
      </c>
      <c r="D3476" t="s">
        <v>5146</v>
      </c>
    </row>
    <row r="3477" spans="1:4" x14ac:dyDescent="0.25">
      <c r="A3477" t="s">
        <v>5444</v>
      </c>
      <c r="B3477" t="s">
        <v>38</v>
      </c>
      <c r="C3477" s="1">
        <v>45953.381944444445</v>
      </c>
      <c r="D3477" t="s">
        <v>5146</v>
      </c>
    </row>
    <row r="3478" spans="1:4" x14ac:dyDescent="0.25">
      <c r="A3478" t="s">
        <v>5445</v>
      </c>
      <c r="B3478" t="s">
        <v>38</v>
      </c>
      <c r="C3478" s="1">
        <v>45929.570138888892</v>
      </c>
      <c r="D3478" t="s">
        <v>5146</v>
      </c>
    </row>
    <row r="3479" spans="1:4" x14ac:dyDescent="0.25">
      <c r="A3479" t="s">
        <v>5446</v>
      </c>
      <c r="B3479" t="s">
        <v>38</v>
      </c>
      <c r="C3479" s="1">
        <v>45929.569444444445</v>
      </c>
      <c r="D3479" t="s">
        <v>5146</v>
      </c>
    </row>
    <row r="3480" spans="1:4" x14ac:dyDescent="0.25">
      <c r="A3480" t="s">
        <v>5447</v>
      </c>
      <c r="B3480" t="s">
        <v>38</v>
      </c>
      <c r="C3480" s="1">
        <v>45929.569444444445</v>
      </c>
      <c r="D3480" t="s">
        <v>5146</v>
      </c>
    </row>
    <row r="3481" spans="1:4" x14ac:dyDescent="0.25">
      <c r="A3481" t="s">
        <v>5448</v>
      </c>
      <c r="B3481" t="s">
        <v>38</v>
      </c>
      <c r="C3481" s="1">
        <v>45953.381944444445</v>
      </c>
      <c r="D3481" t="s">
        <v>5146</v>
      </c>
    </row>
    <row r="3482" spans="1:4" x14ac:dyDescent="0.25">
      <c r="A3482" t="s">
        <v>5449</v>
      </c>
      <c r="B3482" t="s">
        <v>38</v>
      </c>
      <c r="C3482" s="1">
        <v>45929.568749999999</v>
      </c>
      <c r="D3482" t="s">
        <v>5146</v>
      </c>
    </row>
    <row r="3483" spans="1:4" x14ac:dyDescent="0.25">
      <c r="A3483" t="s">
        <v>5450</v>
      </c>
      <c r="B3483" t="s">
        <v>38</v>
      </c>
      <c r="C3483" s="1">
        <v>45929.568749999999</v>
      </c>
      <c r="D3483" t="s">
        <v>5146</v>
      </c>
    </row>
    <row r="3484" spans="1:4" x14ac:dyDescent="0.25">
      <c r="A3484" t="s">
        <v>5451</v>
      </c>
      <c r="B3484" t="s">
        <v>38</v>
      </c>
      <c r="C3484" s="1">
        <v>45929.568749999999</v>
      </c>
      <c r="D3484" t="s">
        <v>5146</v>
      </c>
    </row>
    <row r="3485" spans="1:4" x14ac:dyDescent="0.25">
      <c r="A3485" t="s">
        <v>5452</v>
      </c>
      <c r="B3485" t="s">
        <v>38</v>
      </c>
      <c r="C3485" s="1">
        <v>45929.567361111112</v>
      </c>
      <c r="D3485" t="s">
        <v>5146</v>
      </c>
    </row>
    <row r="3486" spans="1:4" x14ac:dyDescent="0.25">
      <c r="A3486" t="s">
        <v>5453</v>
      </c>
      <c r="B3486" t="s">
        <v>38</v>
      </c>
      <c r="C3486" s="1">
        <v>45929.567361111112</v>
      </c>
      <c r="D3486" t="s">
        <v>5146</v>
      </c>
    </row>
    <row r="3487" spans="1:4" x14ac:dyDescent="0.25">
      <c r="A3487" t="s">
        <v>5454</v>
      </c>
      <c r="B3487" t="s">
        <v>38</v>
      </c>
      <c r="C3487" s="1">
        <v>45929.567361111112</v>
      </c>
      <c r="D3487" t="s">
        <v>5146</v>
      </c>
    </row>
    <row r="3488" spans="1:4" x14ac:dyDescent="0.25">
      <c r="A3488" t="s">
        <v>5455</v>
      </c>
      <c r="B3488" t="s">
        <v>38</v>
      </c>
      <c r="C3488" s="1">
        <v>45929.567361111112</v>
      </c>
      <c r="D3488" t="s">
        <v>5146</v>
      </c>
    </row>
    <row r="3489" spans="1:4" x14ac:dyDescent="0.25">
      <c r="A3489" t="s">
        <v>5456</v>
      </c>
      <c r="B3489" t="s">
        <v>38</v>
      </c>
      <c r="C3489" s="1">
        <v>45929.566666666666</v>
      </c>
      <c r="D3489" t="s">
        <v>5146</v>
      </c>
    </row>
    <row r="3490" spans="1:4" x14ac:dyDescent="0.25">
      <c r="A3490" t="s">
        <v>5457</v>
      </c>
      <c r="B3490" t="s">
        <v>38</v>
      </c>
      <c r="C3490" s="1">
        <v>45912.552083333336</v>
      </c>
      <c r="D3490" t="s">
        <v>5146</v>
      </c>
    </row>
    <row r="3491" spans="1:4" x14ac:dyDescent="0.25">
      <c r="A3491" t="s">
        <v>5458</v>
      </c>
      <c r="B3491" t="s">
        <v>38</v>
      </c>
      <c r="C3491" s="1">
        <v>45912.551388888889</v>
      </c>
      <c r="D3491" t="s">
        <v>5146</v>
      </c>
    </row>
    <row r="3492" spans="1:4" x14ac:dyDescent="0.25">
      <c r="A3492" t="s">
        <v>5459</v>
      </c>
      <c r="B3492" t="s">
        <v>38</v>
      </c>
      <c r="C3492" s="1">
        <v>45929.565972222219</v>
      </c>
      <c r="D3492" t="s">
        <v>5146</v>
      </c>
    </row>
    <row r="3493" spans="1:4" x14ac:dyDescent="0.25">
      <c r="A3493" t="s">
        <v>5460</v>
      </c>
      <c r="B3493" t="s">
        <v>38</v>
      </c>
      <c r="C3493" s="1">
        <v>45929.565972222219</v>
      </c>
      <c r="D3493" t="s">
        <v>5146</v>
      </c>
    </row>
    <row r="3494" spans="1:4" x14ac:dyDescent="0.25">
      <c r="A3494" t="s">
        <v>5461</v>
      </c>
      <c r="B3494" t="s">
        <v>38</v>
      </c>
      <c r="C3494" s="1">
        <v>45929.565972222219</v>
      </c>
      <c r="D3494" t="s">
        <v>5146</v>
      </c>
    </row>
    <row r="3495" spans="1:4" x14ac:dyDescent="0.25">
      <c r="A3495" t="s">
        <v>5462</v>
      </c>
      <c r="B3495" t="s">
        <v>38</v>
      </c>
      <c r="C3495" s="1">
        <v>45953.381249999999</v>
      </c>
      <c r="D3495" t="s">
        <v>5146</v>
      </c>
    </row>
    <row r="3496" spans="1:4" x14ac:dyDescent="0.25">
      <c r="A3496" t="s">
        <v>5463</v>
      </c>
      <c r="B3496" t="s">
        <v>38</v>
      </c>
      <c r="C3496" s="1">
        <v>45979.647222222222</v>
      </c>
      <c r="D3496" t="s">
        <v>5146</v>
      </c>
    </row>
    <row r="3497" spans="1:4" x14ac:dyDescent="0.25">
      <c r="A3497" t="s">
        <v>5464</v>
      </c>
      <c r="B3497" t="s">
        <v>38</v>
      </c>
      <c r="C3497" s="1">
        <v>45929.565972222219</v>
      </c>
      <c r="D3497" t="s">
        <v>5146</v>
      </c>
    </row>
    <row r="3498" spans="1:4" x14ac:dyDescent="0.25">
      <c r="A3498" t="s">
        <v>5465</v>
      </c>
      <c r="B3498" t="s">
        <v>38</v>
      </c>
      <c r="C3498" s="1">
        <v>45929.56527777778</v>
      </c>
      <c r="D3498" t="s">
        <v>5146</v>
      </c>
    </row>
    <row r="3499" spans="1:4" x14ac:dyDescent="0.25">
      <c r="A3499" t="s">
        <v>5466</v>
      </c>
      <c r="B3499" t="s">
        <v>38</v>
      </c>
      <c r="C3499" s="1">
        <v>45912.548611111109</v>
      </c>
      <c r="D3499" t="s">
        <v>5146</v>
      </c>
    </row>
    <row r="3500" spans="1:4" x14ac:dyDescent="0.25">
      <c r="A3500" t="s">
        <v>5467</v>
      </c>
      <c r="B3500" t="s">
        <v>38</v>
      </c>
      <c r="C3500" s="1">
        <v>45929.56527777778</v>
      </c>
      <c r="D3500" t="s">
        <v>5146</v>
      </c>
    </row>
    <row r="3501" spans="1:4" x14ac:dyDescent="0.25">
      <c r="A3501" t="s">
        <v>5468</v>
      </c>
      <c r="B3501" t="s">
        <v>38</v>
      </c>
      <c r="C3501" s="1">
        <v>45953.380555555559</v>
      </c>
      <c r="D3501" t="s">
        <v>5146</v>
      </c>
    </row>
    <row r="3502" spans="1:4" x14ac:dyDescent="0.25">
      <c r="A3502" t="s">
        <v>5469</v>
      </c>
      <c r="B3502" t="s">
        <v>38</v>
      </c>
      <c r="C3502" s="1">
        <v>45929.56527777778</v>
      </c>
      <c r="D3502" t="s">
        <v>5146</v>
      </c>
    </row>
    <row r="3503" spans="1:4" x14ac:dyDescent="0.25">
      <c r="A3503" t="s">
        <v>5470</v>
      </c>
      <c r="B3503" t="s">
        <v>38</v>
      </c>
      <c r="C3503" s="1">
        <v>45929.564583333333</v>
      </c>
      <c r="D3503" t="s">
        <v>5146</v>
      </c>
    </row>
    <row r="3504" spans="1:4" x14ac:dyDescent="0.25">
      <c r="A3504" t="s">
        <v>5471</v>
      </c>
      <c r="B3504" t="s">
        <v>38</v>
      </c>
      <c r="C3504" s="1">
        <v>45929.564583333333</v>
      </c>
      <c r="D3504" t="s">
        <v>5146</v>
      </c>
    </row>
    <row r="3505" spans="1:4" x14ac:dyDescent="0.25">
      <c r="A3505" t="s">
        <v>5472</v>
      </c>
      <c r="B3505" t="s">
        <v>38</v>
      </c>
      <c r="C3505" s="1">
        <v>45929.564583333333</v>
      </c>
      <c r="D3505" t="s">
        <v>5146</v>
      </c>
    </row>
    <row r="3506" spans="1:4" x14ac:dyDescent="0.25">
      <c r="A3506" t="s">
        <v>5473</v>
      </c>
      <c r="B3506" t="s">
        <v>38</v>
      </c>
      <c r="C3506" s="1">
        <v>45929.564583333333</v>
      </c>
      <c r="D3506" t="s">
        <v>5146</v>
      </c>
    </row>
    <row r="3507" spans="1:4" x14ac:dyDescent="0.25">
      <c r="A3507" t="s">
        <v>5474</v>
      </c>
      <c r="B3507" t="s">
        <v>38</v>
      </c>
      <c r="C3507" s="1">
        <v>45929.563888888886</v>
      </c>
      <c r="D3507" t="s">
        <v>5146</v>
      </c>
    </row>
    <row r="3508" spans="1:4" x14ac:dyDescent="0.25">
      <c r="A3508" t="s">
        <v>5475</v>
      </c>
      <c r="B3508" t="s">
        <v>38</v>
      </c>
      <c r="C3508" s="1">
        <v>45929.563888888886</v>
      </c>
      <c r="D3508" t="s">
        <v>5146</v>
      </c>
    </row>
    <row r="3509" spans="1:4" x14ac:dyDescent="0.25">
      <c r="A3509" t="s">
        <v>5476</v>
      </c>
      <c r="B3509" t="s">
        <v>38</v>
      </c>
      <c r="C3509" s="1">
        <v>45929.563888888886</v>
      </c>
      <c r="D3509" t="s">
        <v>5146</v>
      </c>
    </row>
    <row r="3510" spans="1:4" x14ac:dyDescent="0.25">
      <c r="A3510" t="s">
        <v>5477</v>
      </c>
      <c r="B3510" t="s">
        <v>38</v>
      </c>
      <c r="C3510" s="1">
        <v>45929.563888888886</v>
      </c>
      <c r="D3510" t="s">
        <v>5146</v>
      </c>
    </row>
    <row r="3511" spans="1:4" x14ac:dyDescent="0.25">
      <c r="A3511" t="s">
        <v>5478</v>
      </c>
      <c r="B3511" t="s">
        <v>38</v>
      </c>
      <c r="C3511" s="1">
        <v>45929.463888888888</v>
      </c>
      <c r="D3511" t="s">
        <v>5146</v>
      </c>
    </row>
    <row r="3512" spans="1:4" x14ac:dyDescent="0.25">
      <c r="A3512" t="s">
        <v>5479</v>
      </c>
      <c r="B3512" t="s">
        <v>38</v>
      </c>
      <c r="C3512" s="1">
        <v>45929.563194444447</v>
      </c>
      <c r="D3512" t="s">
        <v>5146</v>
      </c>
    </row>
    <row r="3513" spans="1:4" x14ac:dyDescent="0.25">
      <c r="A3513" t="s">
        <v>5480</v>
      </c>
      <c r="B3513" t="s">
        <v>38</v>
      </c>
      <c r="C3513" s="1">
        <v>45929.5625</v>
      </c>
      <c r="D3513" t="s">
        <v>5146</v>
      </c>
    </row>
    <row r="3514" spans="1:4" x14ac:dyDescent="0.25">
      <c r="A3514" t="s">
        <v>5481</v>
      </c>
      <c r="B3514" t="s">
        <v>38</v>
      </c>
      <c r="C3514" s="1">
        <v>45910.697222222225</v>
      </c>
      <c r="D3514" t="s">
        <v>5146</v>
      </c>
    </row>
    <row r="3515" spans="1:4" x14ac:dyDescent="0.25">
      <c r="A3515" t="s">
        <v>5482</v>
      </c>
      <c r="B3515" t="s">
        <v>38</v>
      </c>
      <c r="C3515" s="1">
        <v>45929.5625</v>
      </c>
      <c r="D3515" t="s">
        <v>5146</v>
      </c>
    </row>
    <row r="3516" spans="1:4" x14ac:dyDescent="0.25">
      <c r="A3516" t="s">
        <v>5483</v>
      </c>
      <c r="B3516" t="s">
        <v>5638</v>
      </c>
      <c r="C3516" s="1">
        <v>46051.392361111109</v>
      </c>
      <c r="D3516" t="s">
        <v>5146</v>
      </c>
    </row>
    <row r="3517" spans="1:4" x14ac:dyDescent="0.25">
      <c r="A3517" t="s">
        <v>5484</v>
      </c>
      <c r="B3517" t="s">
        <v>38</v>
      </c>
      <c r="C3517" s="1">
        <v>45929.5625</v>
      </c>
      <c r="D3517" t="s">
        <v>5146</v>
      </c>
    </row>
    <row r="3518" spans="1:4" x14ac:dyDescent="0.25">
      <c r="A3518" t="s">
        <v>5485</v>
      </c>
      <c r="B3518" t="s">
        <v>38</v>
      </c>
      <c r="C3518" s="1">
        <v>45929.561111111114</v>
      </c>
      <c r="D3518" t="s">
        <v>5146</v>
      </c>
    </row>
    <row r="3519" spans="1:4" x14ac:dyDescent="0.25">
      <c r="A3519" t="s">
        <v>5486</v>
      </c>
      <c r="B3519" t="s">
        <v>38</v>
      </c>
      <c r="C3519" s="1">
        <v>45910.693055555559</v>
      </c>
      <c r="D3519" t="s">
        <v>5146</v>
      </c>
    </row>
    <row r="3520" spans="1:4" x14ac:dyDescent="0.25">
      <c r="A3520" t="s">
        <v>5487</v>
      </c>
      <c r="B3520" t="s">
        <v>38</v>
      </c>
      <c r="C3520" s="1">
        <v>45910.693055555559</v>
      </c>
      <c r="D3520" t="s">
        <v>5146</v>
      </c>
    </row>
    <row r="3521" spans="1:4" x14ac:dyDescent="0.25">
      <c r="A3521" t="s">
        <v>5488</v>
      </c>
      <c r="B3521" t="s">
        <v>38</v>
      </c>
      <c r="C3521" s="1">
        <v>45929.561111111114</v>
      </c>
      <c r="D3521" t="s">
        <v>5146</v>
      </c>
    </row>
    <row r="3522" spans="1:4" x14ac:dyDescent="0.25">
      <c r="A3522" t="s">
        <v>604</v>
      </c>
      <c r="B3522" t="s">
        <v>1129</v>
      </c>
      <c r="C3522" s="1">
        <v>46050.775694444441</v>
      </c>
      <c r="D3522" t="s">
        <v>5146</v>
      </c>
    </row>
    <row r="3523" spans="1:4" x14ac:dyDescent="0.25">
      <c r="A3523" t="s">
        <v>5489</v>
      </c>
      <c r="B3523" t="s">
        <v>38</v>
      </c>
      <c r="C3523" s="1">
        <v>45929.561111111114</v>
      </c>
      <c r="D3523" t="s">
        <v>5146</v>
      </c>
    </row>
    <row r="3524" spans="1:4" x14ac:dyDescent="0.25">
      <c r="A3524" t="s">
        <v>5490</v>
      </c>
      <c r="B3524" t="s">
        <v>38</v>
      </c>
      <c r="C3524" s="1">
        <v>45929.561111111114</v>
      </c>
      <c r="D3524" t="s">
        <v>5146</v>
      </c>
    </row>
    <row r="3525" spans="1:4" x14ac:dyDescent="0.25">
      <c r="A3525" t="s">
        <v>5491</v>
      </c>
      <c r="B3525" t="s">
        <v>38</v>
      </c>
      <c r="C3525" s="1">
        <v>45929.560416666667</v>
      </c>
      <c r="D3525" t="s">
        <v>5146</v>
      </c>
    </row>
    <row r="3526" spans="1:4" x14ac:dyDescent="0.25">
      <c r="A3526" t="s">
        <v>5492</v>
      </c>
      <c r="B3526" t="s">
        <v>38</v>
      </c>
      <c r="C3526" s="1">
        <v>45828.538194444445</v>
      </c>
      <c r="D3526" t="s">
        <v>5146</v>
      </c>
    </row>
    <row r="3527" spans="1:4" x14ac:dyDescent="0.25">
      <c r="A3527" t="s">
        <v>5493</v>
      </c>
      <c r="B3527" t="s">
        <v>38</v>
      </c>
      <c r="C3527" s="1">
        <v>45929.560416666667</v>
      </c>
      <c r="D3527" t="s">
        <v>5146</v>
      </c>
    </row>
    <row r="3528" spans="1:4" x14ac:dyDescent="0.25">
      <c r="A3528" t="s">
        <v>5494</v>
      </c>
      <c r="B3528" t="s">
        <v>38</v>
      </c>
      <c r="C3528" s="1">
        <v>45828.786805555559</v>
      </c>
      <c r="D3528" t="s">
        <v>5146</v>
      </c>
    </row>
    <row r="3529" spans="1:4" x14ac:dyDescent="0.25">
      <c r="A3529" t="s">
        <v>5495</v>
      </c>
      <c r="B3529" t="s">
        <v>38</v>
      </c>
      <c r="C3529" s="1">
        <v>45929.560416666667</v>
      </c>
      <c r="D3529" t="s">
        <v>5146</v>
      </c>
    </row>
    <row r="3530" spans="1:4" x14ac:dyDescent="0.25">
      <c r="A3530" t="s">
        <v>5496</v>
      </c>
      <c r="B3530" t="s">
        <v>38</v>
      </c>
      <c r="C3530" s="1">
        <v>45910.686111111114</v>
      </c>
      <c r="D3530" t="s">
        <v>5146</v>
      </c>
    </row>
    <row r="3531" spans="1:4" x14ac:dyDescent="0.25">
      <c r="A3531" t="s">
        <v>5497</v>
      </c>
      <c r="B3531" t="s">
        <v>38</v>
      </c>
      <c r="C3531" s="1">
        <v>45929.560416666667</v>
      </c>
      <c r="D3531" t="s">
        <v>5146</v>
      </c>
    </row>
    <row r="3532" spans="1:4" x14ac:dyDescent="0.25">
      <c r="A3532" t="s">
        <v>5498</v>
      </c>
      <c r="B3532" t="s">
        <v>38</v>
      </c>
      <c r="C3532" s="1">
        <v>45910.685416666667</v>
      </c>
      <c r="D3532" t="s">
        <v>5146</v>
      </c>
    </row>
    <row r="3533" spans="1:4" x14ac:dyDescent="0.25">
      <c r="A3533" t="s">
        <v>5499</v>
      </c>
      <c r="B3533" t="s">
        <v>38</v>
      </c>
      <c r="C3533" s="1">
        <v>45910.68472222222</v>
      </c>
      <c r="D3533" t="s">
        <v>5146</v>
      </c>
    </row>
    <row r="3534" spans="1:4" x14ac:dyDescent="0.25">
      <c r="A3534" t="s">
        <v>5500</v>
      </c>
      <c r="B3534" t="s">
        <v>38</v>
      </c>
      <c r="C3534" s="1">
        <v>45840.643055555556</v>
      </c>
      <c r="D3534" t="s">
        <v>5146</v>
      </c>
    </row>
    <row r="3535" spans="1:4" x14ac:dyDescent="0.25">
      <c r="A3535" t="s">
        <v>5501</v>
      </c>
      <c r="B3535" t="s">
        <v>38</v>
      </c>
      <c r="C3535" s="1">
        <v>45889.600694444445</v>
      </c>
      <c r="D3535" t="s">
        <v>5146</v>
      </c>
    </row>
    <row r="3536" spans="1:4" x14ac:dyDescent="0.25">
      <c r="A3536" t="s">
        <v>5502</v>
      </c>
      <c r="B3536" t="s">
        <v>38</v>
      </c>
      <c r="C3536" s="1">
        <v>45840.566666666666</v>
      </c>
      <c r="D3536" t="s">
        <v>5146</v>
      </c>
    </row>
    <row r="3537" spans="1:4" x14ac:dyDescent="0.25">
      <c r="A3537" t="s">
        <v>5503</v>
      </c>
      <c r="B3537" t="s">
        <v>38</v>
      </c>
      <c r="C3537" s="1">
        <v>45910.683333333334</v>
      </c>
      <c r="D3537" t="s">
        <v>5146</v>
      </c>
    </row>
    <row r="3538" spans="1:4" x14ac:dyDescent="0.25">
      <c r="A3538" t="s">
        <v>5504</v>
      </c>
      <c r="B3538" t="s">
        <v>38</v>
      </c>
      <c r="C3538" s="1">
        <v>45929.559027777781</v>
      </c>
      <c r="D3538" t="s">
        <v>5146</v>
      </c>
    </row>
    <row r="3539" spans="1:4" x14ac:dyDescent="0.25">
      <c r="A3539" t="s">
        <v>5505</v>
      </c>
      <c r="B3539" t="s">
        <v>38</v>
      </c>
      <c r="C3539" s="1">
        <v>45840.611805555556</v>
      </c>
      <c r="D3539" t="s">
        <v>5146</v>
      </c>
    </row>
    <row r="3540" spans="1:4" x14ac:dyDescent="0.25">
      <c r="A3540" t="s">
        <v>5506</v>
      </c>
      <c r="B3540" t="s">
        <v>38</v>
      </c>
      <c r="C3540" s="1">
        <v>45842.539583333331</v>
      </c>
      <c r="D3540" t="s">
        <v>5146</v>
      </c>
    </row>
    <row r="3541" spans="1:4" x14ac:dyDescent="0.25">
      <c r="A3541" t="s">
        <v>5507</v>
      </c>
      <c r="B3541" t="s">
        <v>38</v>
      </c>
      <c r="C3541" s="1">
        <v>46003.943055555559</v>
      </c>
      <c r="D3541" t="s">
        <v>5146</v>
      </c>
    </row>
    <row r="3542" spans="1:4" x14ac:dyDescent="0.25">
      <c r="A3542" t="s">
        <v>5508</v>
      </c>
      <c r="B3542" t="s">
        <v>38</v>
      </c>
      <c r="C3542" s="1">
        <v>45910.682638888888</v>
      </c>
      <c r="D3542" t="s">
        <v>5146</v>
      </c>
    </row>
    <row r="3543" spans="1:4" x14ac:dyDescent="0.25">
      <c r="A3543" t="s">
        <v>5509</v>
      </c>
      <c r="B3543" t="s">
        <v>38</v>
      </c>
      <c r="C3543" s="1">
        <v>45910.679166666669</v>
      </c>
      <c r="D3543" t="s">
        <v>5146</v>
      </c>
    </row>
    <row r="3544" spans="1:4" x14ac:dyDescent="0.25">
      <c r="A3544" t="s">
        <v>5510</v>
      </c>
      <c r="B3544" t="s">
        <v>38</v>
      </c>
      <c r="C3544" s="1">
        <v>45910.678472222222</v>
      </c>
      <c r="D3544" t="s">
        <v>5146</v>
      </c>
    </row>
    <row r="3545" spans="1:4" x14ac:dyDescent="0.25">
      <c r="A3545" t="s">
        <v>5511</v>
      </c>
      <c r="B3545" t="s">
        <v>38</v>
      </c>
      <c r="C3545" s="1">
        <v>45910.678472222222</v>
      </c>
      <c r="D3545" t="s">
        <v>5146</v>
      </c>
    </row>
    <row r="3546" spans="1:4" x14ac:dyDescent="0.25">
      <c r="A3546" t="s">
        <v>5512</v>
      </c>
      <c r="B3546" t="s">
        <v>38</v>
      </c>
      <c r="C3546" s="1">
        <v>45929.493055555555</v>
      </c>
      <c r="D3546" t="s">
        <v>5146</v>
      </c>
    </row>
    <row r="3547" spans="1:4" x14ac:dyDescent="0.25">
      <c r="A3547" t="s">
        <v>5513</v>
      </c>
      <c r="B3547" t="s">
        <v>38</v>
      </c>
      <c r="C3547" s="1">
        <v>45910.678472222222</v>
      </c>
      <c r="D3547" t="s">
        <v>5146</v>
      </c>
    </row>
    <row r="3548" spans="1:4" x14ac:dyDescent="0.25">
      <c r="A3548" t="s">
        <v>614</v>
      </c>
      <c r="B3548" t="s">
        <v>38</v>
      </c>
      <c r="C3548" s="1">
        <v>46051.470833333333</v>
      </c>
      <c r="D3548" t="s">
        <v>5146</v>
      </c>
    </row>
    <row r="3549" spans="1:4" x14ac:dyDescent="0.25">
      <c r="A3549" t="s">
        <v>5514</v>
      </c>
      <c r="B3549" t="s">
        <v>38</v>
      </c>
      <c r="C3549" s="1">
        <v>45910.677777777775</v>
      </c>
      <c r="D3549" t="s">
        <v>5146</v>
      </c>
    </row>
    <row r="3550" spans="1:4" x14ac:dyDescent="0.25">
      <c r="A3550" t="s">
        <v>615</v>
      </c>
      <c r="B3550" t="s">
        <v>38</v>
      </c>
      <c r="C3550" s="1">
        <v>46051.446527777778</v>
      </c>
      <c r="D3550" t="s">
        <v>5146</v>
      </c>
    </row>
    <row r="3551" spans="1:4" x14ac:dyDescent="0.25">
      <c r="A3551" t="s">
        <v>5515</v>
      </c>
      <c r="B3551" t="s">
        <v>38</v>
      </c>
      <c r="C3551" s="1">
        <v>45910.677777777775</v>
      </c>
      <c r="D3551" t="s">
        <v>5146</v>
      </c>
    </row>
    <row r="3552" spans="1:4" x14ac:dyDescent="0.25">
      <c r="A3552" t="s">
        <v>5516</v>
      </c>
      <c r="B3552" t="s">
        <v>38</v>
      </c>
      <c r="C3552" s="1">
        <v>45849.746527777781</v>
      </c>
      <c r="D3552" t="s">
        <v>5146</v>
      </c>
    </row>
    <row r="3553" spans="1:4" x14ac:dyDescent="0.25">
      <c r="A3553" t="s">
        <v>5517</v>
      </c>
      <c r="B3553" t="s">
        <v>38</v>
      </c>
      <c r="C3553" s="1">
        <v>45910.677777777775</v>
      </c>
      <c r="D3553" t="s">
        <v>5146</v>
      </c>
    </row>
    <row r="3554" spans="1:4" x14ac:dyDescent="0.25">
      <c r="A3554" t="s">
        <v>5518</v>
      </c>
      <c r="B3554" t="s">
        <v>38</v>
      </c>
      <c r="C3554" s="1">
        <v>45910.677083333336</v>
      </c>
      <c r="D3554" t="s">
        <v>5146</v>
      </c>
    </row>
    <row r="3555" spans="1:4" x14ac:dyDescent="0.25">
      <c r="A3555" t="s">
        <v>5519</v>
      </c>
      <c r="B3555" t="s">
        <v>38</v>
      </c>
      <c r="C3555" s="1">
        <v>45910.676388888889</v>
      </c>
      <c r="D3555" t="s">
        <v>5146</v>
      </c>
    </row>
    <row r="3556" spans="1:4" x14ac:dyDescent="0.25">
      <c r="A3556" t="s">
        <v>5520</v>
      </c>
      <c r="B3556" t="s">
        <v>38</v>
      </c>
      <c r="C3556" s="1">
        <v>45910.676388888889</v>
      </c>
      <c r="D3556" t="s">
        <v>5146</v>
      </c>
    </row>
    <row r="3557" spans="1:4" x14ac:dyDescent="0.25">
      <c r="A3557" t="s">
        <v>5521</v>
      </c>
      <c r="B3557" t="s">
        <v>38</v>
      </c>
      <c r="C3557" s="1">
        <v>45910.675694444442</v>
      </c>
      <c r="D3557" t="s">
        <v>5146</v>
      </c>
    </row>
    <row r="3558" spans="1:4" x14ac:dyDescent="0.25">
      <c r="A3558" t="s">
        <v>5522</v>
      </c>
      <c r="B3558" t="s">
        <v>38</v>
      </c>
      <c r="C3558" s="1">
        <v>45857.718055555553</v>
      </c>
      <c r="D3558" t="s">
        <v>5146</v>
      </c>
    </row>
    <row r="3559" spans="1:4" x14ac:dyDescent="0.25">
      <c r="A3559" t="s">
        <v>5523</v>
      </c>
      <c r="B3559" t="s">
        <v>38</v>
      </c>
      <c r="C3559" s="1">
        <v>45910.675694444442</v>
      </c>
      <c r="D3559" t="s">
        <v>5146</v>
      </c>
    </row>
    <row r="3560" spans="1:4" x14ac:dyDescent="0.25">
      <c r="A3560" t="s">
        <v>5524</v>
      </c>
      <c r="B3560" t="s">
        <v>38</v>
      </c>
      <c r="C3560" s="1">
        <v>45929.503472222219</v>
      </c>
      <c r="D3560" t="s">
        <v>5146</v>
      </c>
    </row>
    <row r="3561" spans="1:4" x14ac:dyDescent="0.25">
      <c r="A3561" t="s">
        <v>5525</v>
      </c>
      <c r="B3561" t="s">
        <v>38</v>
      </c>
      <c r="C3561" s="1">
        <v>45910.675000000003</v>
      </c>
      <c r="D3561" t="s">
        <v>5146</v>
      </c>
    </row>
    <row r="3562" spans="1:4" x14ac:dyDescent="0.25">
      <c r="A3562" t="s">
        <v>5526</v>
      </c>
      <c r="B3562" t="s">
        <v>38</v>
      </c>
      <c r="C3562" s="1">
        <v>45910.674305555556</v>
      </c>
      <c r="D3562" t="s">
        <v>5146</v>
      </c>
    </row>
    <row r="3563" spans="1:4" x14ac:dyDescent="0.25">
      <c r="A3563" t="s">
        <v>5527</v>
      </c>
      <c r="B3563" t="s">
        <v>38</v>
      </c>
      <c r="C3563" s="1">
        <v>45910.674305555556</v>
      </c>
      <c r="D3563" t="s">
        <v>5146</v>
      </c>
    </row>
    <row r="3564" spans="1:4" x14ac:dyDescent="0.25">
      <c r="A3564" t="s">
        <v>5528</v>
      </c>
      <c r="B3564" t="s">
        <v>38</v>
      </c>
      <c r="C3564" s="1">
        <v>45910.673611111109</v>
      </c>
      <c r="D3564" t="s">
        <v>5146</v>
      </c>
    </row>
    <row r="3565" spans="1:4" x14ac:dyDescent="0.25">
      <c r="A3565" t="s">
        <v>5529</v>
      </c>
      <c r="B3565" t="s">
        <v>38</v>
      </c>
      <c r="C3565" s="1">
        <v>45910.67291666667</v>
      </c>
      <c r="D3565" t="s">
        <v>5146</v>
      </c>
    </row>
    <row r="3566" spans="1:4" x14ac:dyDescent="0.25">
      <c r="A3566" t="s">
        <v>5530</v>
      </c>
      <c r="B3566" t="s">
        <v>38</v>
      </c>
      <c r="C3566" s="1">
        <v>45910.67291666667</v>
      </c>
      <c r="D3566" t="s">
        <v>5146</v>
      </c>
    </row>
    <row r="3567" spans="1:4" x14ac:dyDescent="0.25">
      <c r="A3567" t="s">
        <v>5531</v>
      </c>
      <c r="B3567" t="s">
        <v>38</v>
      </c>
      <c r="C3567" s="1">
        <v>45929.415277777778</v>
      </c>
      <c r="D3567" t="s">
        <v>5146</v>
      </c>
    </row>
    <row r="3568" spans="1:4" x14ac:dyDescent="0.25">
      <c r="A3568" t="s">
        <v>5532</v>
      </c>
      <c r="B3568" t="s">
        <v>38</v>
      </c>
      <c r="C3568" s="1">
        <v>45929.413194444445</v>
      </c>
      <c r="D3568" t="s">
        <v>5146</v>
      </c>
    </row>
    <row r="3569" spans="1:4" x14ac:dyDescent="0.25">
      <c r="A3569" t="s">
        <v>5533</v>
      </c>
      <c r="B3569" t="s">
        <v>38</v>
      </c>
      <c r="C3569" s="1">
        <v>45910.671527777777</v>
      </c>
      <c r="D3569" t="s">
        <v>5146</v>
      </c>
    </row>
    <row r="3570" spans="1:4" x14ac:dyDescent="0.25">
      <c r="A3570" t="s">
        <v>5534</v>
      </c>
      <c r="B3570" t="s">
        <v>38</v>
      </c>
      <c r="C3570" s="1">
        <v>45910.671527777777</v>
      </c>
      <c r="D3570" t="s">
        <v>5146</v>
      </c>
    </row>
    <row r="3571" spans="1:4" x14ac:dyDescent="0.25">
      <c r="A3571" t="s">
        <v>5535</v>
      </c>
      <c r="B3571" t="s">
        <v>38</v>
      </c>
      <c r="C3571" s="1">
        <v>45910.671527777777</v>
      </c>
      <c r="D3571" t="s">
        <v>5146</v>
      </c>
    </row>
    <row r="3572" spans="1:4" x14ac:dyDescent="0.25">
      <c r="A3572" t="s">
        <v>5536</v>
      </c>
      <c r="B3572" t="s">
        <v>38</v>
      </c>
      <c r="C3572" s="1">
        <v>45910.67083333333</v>
      </c>
      <c r="D3572" t="s">
        <v>5146</v>
      </c>
    </row>
    <row r="3573" spans="1:4" x14ac:dyDescent="0.25">
      <c r="A3573" t="s">
        <v>5537</v>
      </c>
      <c r="B3573" t="s">
        <v>38</v>
      </c>
      <c r="C3573" s="1">
        <v>45910.67083333333</v>
      </c>
      <c r="D3573" t="s">
        <v>5146</v>
      </c>
    </row>
    <row r="3574" spans="1:4" x14ac:dyDescent="0.25">
      <c r="A3574" t="s">
        <v>5538</v>
      </c>
      <c r="B3574" t="s">
        <v>38</v>
      </c>
      <c r="C3574" s="1">
        <v>45910.670138888891</v>
      </c>
      <c r="D3574" t="s">
        <v>5146</v>
      </c>
    </row>
    <row r="3575" spans="1:4" x14ac:dyDescent="0.25">
      <c r="A3575" t="s">
        <v>5539</v>
      </c>
      <c r="B3575" t="s">
        <v>38</v>
      </c>
      <c r="C3575" s="1">
        <v>45910.670138888891</v>
      </c>
      <c r="D3575" t="s">
        <v>5146</v>
      </c>
    </row>
    <row r="3576" spans="1:4" x14ac:dyDescent="0.25">
      <c r="A3576" t="s">
        <v>5540</v>
      </c>
      <c r="B3576" t="s">
        <v>38</v>
      </c>
      <c r="C3576" s="1">
        <v>45910.670138888891</v>
      </c>
      <c r="D3576" t="s">
        <v>5146</v>
      </c>
    </row>
    <row r="3577" spans="1:4" x14ac:dyDescent="0.25">
      <c r="A3577" t="s">
        <v>5541</v>
      </c>
      <c r="B3577" t="s">
        <v>38</v>
      </c>
      <c r="C3577" s="1">
        <v>45910.669444444444</v>
      </c>
      <c r="D3577" t="s">
        <v>5146</v>
      </c>
    </row>
    <row r="3578" spans="1:4" x14ac:dyDescent="0.25">
      <c r="A3578" t="s">
        <v>5542</v>
      </c>
      <c r="B3578" t="s">
        <v>38</v>
      </c>
      <c r="C3578" s="1">
        <v>45881.615277777775</v>
      </c>
      <c r="D3578" t="s">
        <v>5146</v>
      </c>
    </row>
    <row r="3579" spans="1:4" x14ac:dyDescent="0.25">
      <c r="A3579" t="s">
        <v>5543</v>
      </c>
      <c r="B3579" t="s">
        <v>38</v>
      </c>
      <c r="C3579" s="1">
        <v>45910.669444444444</v>
      </c>
      <c r="D3579" t="s">
        <v>5146</v>
      </c>
    </row>
    <row r="3580" spans="1:4" x14ac:dyDescent="0.25">
      <c r="A3580" t="s">
        <v>5544</v>
      </c>
      <c r="B3580" t="s">
        <v>38</v>
      </c>
      <c r="C3580" s="1">
        <v>45910.669444444444</v>
      </c>
      <c r="D3580" t="s">
        <v>5146</v>
      </c>
    </row>
    <row r="3581" spans="1:4" x14ac:dyDescent="0.25">
      <c r="A3581" t="s">
        <v>5545</v>
      </c>
      <c r="B3581" t="s">
        <v>38</v>
      </c>
      <c r="C3581" s="1">
        <v>45910.669444444444</v>
      </c>
      <c r="D3581" t="s">
        <v>5146</v>
      </c>
    </row>
    <row r="3582" spans="1:4" x14ac:dyDescent="0.25">
      <c r="A3582" t="s">
        <v>5546</v>
      </c>
      <c r="B3582" t="s">
        <v>38</v>
      </c>
      <c r="C3582" s="1">
        <v>45910.668749999997</v>
      </c>
      <c r="D3582" t="s">
        <v>5146</v>
      </c>
    </row>
    <row r="3583" spans="1:4" x14ac:dyDescent="0.25">
      <c r="A3583" t="s">
        <v>5547</v>
      </c>
      <c r="B3583" t="s">
        <v>38</v>
      </c>
      <c r="C3583" s="1">
        <v>45910.668749999997</v>
      </c>
      <c r="D3583" t="s">
        <v>5146</v>
      </c>
    </row>
    <row r="3584" spans="1:4" x14ac:dyDescent="0.25">
      <c r="A3584" t="s">
        <v>5548</v>
      </c>
      <c r="B3584" t="s">
        <v>38</v>
      </c>
      <c r="C3584" s="1">
        <v>45910.668749999997</v>
      </c>
      <c r="D3584" t="s">
        <v>5146</v>
      </c>
    </row>
    <row r="3585" spans="1:4" x14ac:dyDescent="0.25">
      <c r="A3585" t="s">
        <v>5549</v>
      </c>
      <c r="B3585" t="s">
        <v>38</v>
      </c>
      <c r="C3585" s="1">
        <v>45910.668749999997</v>
      </c>
      <c r="D3585" t="s">
        <v>5146</v>
      </c>
    </row>
    <row r="3586" spans="1:4" x14ac:dyDescent="0.25">
      <c r="A3586" t="s">
        <v>5550</v>
      </c>
      <c r="B3586" t="s">
        <v>38</v>
      </c>
      <c r="C3586" s="1">
        <v>45910.668055555558</v>
      </c>
      <c r="D3586" t="s">
        <v>5146</v>
      </c>
    </row>
    <row r="3587" spans="1:4" x14ac:dyDescent="0.25">
      <c r="A3587" t="s">
        <v>5551</v>
      </c>
      <c r="B3587" t="s">
        <v>38</v>
      </c>
      <c r="C3587" s="1">
        <v>45910.668055555558</v>
      </c>
      <c r="D3587" t="s">
        <v>5146</v>
      </c>
    </row>
    <row r="3588" spans="1:4" x14ac:dyDescent="0.25">
      <c r="A3588" t="s">
        <v>5552</v>
      </c>
      <c r="B3588" t="s">
        <v>38</v>
      </c>
      <c r="C3588" s="1">
        <v>45910.667361111111</v>
      </c>
      <c r="D3588" t="s">
        <v>5146</v>
      </c>
    </row>
    <row r="3589" spans="1:4" x14ac:dyDescent="0.25">
      <c r="A3589" t="s">
        <v>5553</v>
      </c>
      <c r="B3589" t="s">
        <v>38</v>
      </c>
      <c r="C3589" s="1">
        <v>45910.667361111111</v>
      </c>
      <c r="D3589" t="s">
        <v>5146</v>
      </c>
    </row>
    <row r="3590" spans="1:4" x14ac:dyDescent="0.25">
      <c r="A3590" t="s">
        <v>5554</v>
      </c>
      <c r="B3590" t="s">
        <v>38</v>
      </c>
      <c r="C3590" s="1">
        <v>46003.914583333331</v>
      </c>
      <c r="D3590" t="s">
        <v>5146</v>
      </c>
    </row>
    <row r="3591" spans="1:4" x14ac:dyDescent="0.25">
      <c r="A3591" t="s">
        <v>5555</v>
      </c>
      <c r="B3591" t="s">
        <v>38</v>
      </c>
      <c r="C3591" s="1">
        <v>45890.588888888888</v>
      </c>
      <c r="D3591" t="s">
        <v>5146</v>
      </c>
    </row>
    <row r="3592" spans="1:4" x14ac:dyDescent="0.25">
      <c r="A3592" t="s">
        <v>5556</v>
      </c>
      <c r="B3592" t="s">
        <v>38</v>
      </c>
      <c r="C3592" s="1">
        <v>45910.657638888886</v>
      </c>
      <c r="D3592" t="s">
        <v>5146</v>
      </c>
    </row>
    <row r="3593" spans="1:4" x14ac:dyDescent="0.25">
      <c r="A3593" t="s">
        <v>5557</v>
      </c>
      <c r="B3593" t="s">
        <v>38</v>
      </c>
      <c r="C3593" s="1">
        <v>45894.479166666664</v>
      </c>
      <c r="D3593" t="s">
        <v>5146</v>
      </c>
    </row>
    <row r="3594" spans="1:4" x14ac:dyDescent="0.25">
      <c r="A3594" t="s">
        <v>5558</v>
      </c>
      <c r="B3594" t="s">
        <v>38</v>
      </c>
      <c r="C3594" s="1">
        <v>46003.917361111111</v>
      </c>
      <c r="D3594" t="s">
        <v>5146</v>
      </c>
    </row>
    <row r="3595" spans="1:4" x14ac:dyDescent="0.25">
      <c r="A3595" t="s">
        <v>5559</v>
      </c>
      <c r="B3595" t="s">
        <v>38</v>
      </c>
      <c r="C3595" s="1">
        <v>45910.655555555553</v>
      </c>
      <c r="D3595" t="s">
        <v>5146</v>
      </c>
    </row>
    <row r="3596" spans="1:4" x14ac:dyDescent="0.25">
      <c r="A3596" t="s">
        <v>5560</v>
      </c>
      <c r="B3596" t="s">
        <v>38</v>
      </c>
      <c r="C3596" s="1">
        <v>45910.649305555555</v>
      </c>
      <c r="D3596" t="s">
        <v>5146</v>
      </c>
    </row>
    <row r="3597" spans="1:4" x14ac:dyDescent="0.25">
      <c r="A3597" t="s">
        <v>5561</v>
      </c>
      <c r="B3597" t="s">
        <v>38</v>
      </c>
      <c r="C3597" s="1">
        <v>46003.923611111109</v>
      </c>
      <c r="D3597" t="s">
        <v>5146</v>
      </c>
    </row>
    <row r="3598" spans="1:4" x14ac:dyDescent="0.25">
      <c r="A3598" t="s">
        <v>5562</v>
      </c>
      <c r="B3598" t="s">
        <v>38</v>
      </c>
      <c r="C3598" s="1">
        <v>45910.648611111108</v>
      </c>
      <c r="D3598" t="s">
        <v>5146</v>
      </c>
    </row>
    <row r="3599" spans="1:4" x14ac:dyDescent="0.25">
      <c r="A3599" t="s">
        <v>5563</v>
      </c>
      <c r="B3599" t="s">
        <v>38</v>
      </c>
      <c r="C3599" s="1">
        <v>46003.930555555555</v>
      </c>
      <c r="D3599" t="s">
        <v>5146</v>
      </c>
    </row>
    <row r="3600" spans="1:4" x14ac:dyDescent="0.25">
      <c r="A3600" t="s">
        <v>5564</v>
      </c>
      <c r="B3600" t="s">
        <v>38</v>
      </c>
      <c r="C3600" s="1">
        <v>46003.940972222219</v>
      </c>
      <c r="D3600" t="s">
        <v>5146</v>
      </c>
    </row>
    <row r="3601" spans="1:4" x14ac:dyDescent="0.25">
      <c r="A3601" t="s">
        <v>5565</v>
      </c>
      <c r="B3601" t="s">
        <v>38</v>
      </c>
      <c r="C3601" s="1">
        <v>46003.841666666667</v>
      </c>
      <c r="D3601" t="s">
        <v>5146</v>
      </c>
    </row>
    <row r="3602" spans="1:4" x14ac:dyDescent="0.25">
      <c r="A3602" t="s">
        <v>5566</v>
      </c>
      <c r="B3602" t="s">
        <v>38</v>
      </c>
      <c r="C3602" s="1">
        <v>46003.841666666667</v>
      </c>
      <c r="D3602" t="s">
        <v>5146</v>
      </c>
    </row>
    <row r="3603" spans="1:4" x14ac:dyDescent="0.25">
      <c r="A3603" t="s">
        <v>5567</v>
      </c>
      <c r="B3603" t="s">
        <v>38</v>
      </c>
      <c r="C3603" s="1">
        <v>46003.842361111114</v>
      </c>
      <c r="D3603" t="s">
        <v>5146</v>
      </c>
    </row>
    <row r="3604" spans="1:4" x14ac:dyDescent="0.25">
      <c r="A3604" t="s">
        <v>5568</v>
      </c>
      <c r="B3604" t="s">
        <v>38</v>
      </c>
      <c r="C3604" s="1">
        <v>46003.852083333331</v>
      </c>
      <c r="D3604" t="s">
        <v>5146</v>
      </c>
    </row>
    <row r="3605" spans="1:4" x14ac:dyDescent="0.25">
      <c r="A3605" t="s">
        <v>5569</v>
      </c>
      <c r="B3605" t="s">
        <v>38</v>
      </c>
      <c r="C3605" s="1">
        <v>46003.853472222225</v>
      </c>
      <c r="D3605" t="s">
        <v>5146</v>
      </c>
    </row>
    <row r="3606" spans="1:4" x14ac:dyDescent="0.25">
      <c r="A3606" t="s">
        <v>5570</v>
      </c>
      <c r="B3606" t="s">
        <v>38</v>
      </c>
      <c r="C3606" s="1">
        <v>46003.853472222225</v>
      </c>
      <c r="D3606" t="s">
        <v>5146</v>
      </c>
    </row>
    <row r="3607" spans="1:4" x14ac:dyDescent="0.25">
      <c r="A3607" t="s">
        <v>5571</v>
      </c>
      <c r="B3607" t="s">
        <v>38</v>
      </c>
      <c r="C3607" s="1">
        <v>46003.854166666664</v>
      </c>
      <c r="D3607" t="s">
        <v>5146</v>
      </c>
    </row>
    <row r="3608" spans="1:4" x14ac:dyDescent="0.25">
      <c r="A3608" t="s">
        <v>5572</v>
      </c>
      <c r="B3608" t="s">
        <v>38</v>
      </c>
      <c r="C3608" s="1">
        <v>46003.859027777777</v>
      </c>
      <c r="D3608" t="s">
        <v>5146</v>
      </c>
    </row>
    <row r="3609" spans="1:4" x14ac:dyDescent="0.25">
      <c r="A3609" t="s">
        <v>5573</v>
      </c>
      <c r="B3609" t="s">
        <v>39</v>
      </c>
      <c r="C3609" s="1">
        <v>45911.699305555558</v>
      </c>
      <c r="D3609" t="s">
        <v>5146</v>
      </c>
    </row>
    <row r="3610" spans="1:4" x14ac:dyDescent="0.25">
      <c r="A3610" t="s">
        <v>5574</v>
      </c>
      <c r="B3610" t="s">
        <v>38</v>
      </c>
      <c r="C3610" s="1">
        <v>46003.86041666667</v>
      </c>
      <c r="D3610" t="s">
        <v>5146</v>
      </c>
    </row>
    <row r="3611" spans="1:4" x14ac:dyDescent="0.25">
      <c r="A3611" t="s">
        <v>5575</v>
      </c>
      <c r="B3611" t="s">
        <v>38</v>
      </c>
      <c r="C3611" s="1">
        <v>46003.86041666667</v>
      </c>
      <c r="D3611" t="s">
        <v>5146</v>
      </c>
    </row>
    <row r="3612" spans="1:4" x14ac:dyDescent="0.25">
      <c r="A3612" t="s">
        <v>5576</v>
      </c>
      <c r="B3612" t="s">
        <v>38</v>
      </c>
      <c r="C3612" s="1">
        <v>46003.86041666667</v>
      </c>
      <c r="D3612" t="s">
        <v>5146</v>
      </c>
    </row>
    <row r="3613" spans="1:4" x14ac:dyDescent="0.25">
      <c r="A3613" t="s">
        <v>577</v>
      </c>
      <c r="B3613" t="s">
        <v>38</v>
      </c>
      <c r="C3613" s="1">
        <v>46049.508333333331</v>
      </c>
      <c r="D3613" t="s">
        <v>5146</v>
      </c>
    </row>
    <row r="3614" spans="1:4" x14ac:dyDescent="0.25">
      <c r="A3614" t="s">
        <v>5577</v>
      </c>
      <c r="B3614" t="s">
        <v>38</v>
      </c>
      <c r="C3614" s="1">
        <v>46003.861805555556</v>
      </c>
      <c r="D3614" t="s">
        <v>5146</v>
      </c>
    </row>
    <row r="3615" spans="1:4" x14ac:dyDescent="0.25">
      <c r="A3615" t="s">
        <v>5578</v>
      </c>
      <c r="B3615" t="s">
        <v>38</v>
      </c>
      <c r="C3615" s="1">
        <v>46003.861805555556</v>
      </c>
      <c r="D3615" t="s">
        <v>5146</v>
      </c>
    </row>
    <row r="3616" spans="1:4" x14ac:dyDescent="0.25">
      <c r="A3616" t="s">
        <v>581</v>
      </c>
      <c r="B3616" t="s">
        <v>30</v>
      </c>
      <c r="C3616" s="1">
        <v>46052.386111111111</v>
      </c>
      <c r="D3616" t="s">
        <v>5146</v>
      </c>
    </row>
    <row r="3617" spans="1:4" x14ac:dyDescent="0.25">
      <c r="A3617" t="s">
        <v>584</v>
      </c>
      <c r="B3617" t="s">
        <v>38</v>
      </c>
      <c r="C3617" s="1">
        <v>46049.509027777778</v>
      </c>
      <c r="D3617" t="s">
        <v>5146</v>
      </c>
    </row>
    <row r="3618" spans="1:4" x14ac:dyDescent="0.25">
      <c r="A3618" t="s">
        <v>5579</v>
      </c>
      <c r="B3618" t="s">
        <v>38</v>
      </c>
      <c r="C3618" s="1">
        <v>46004.354861111111</v>
      </c>
      <c r="D3618" t="s">
        <v>5146</v>
      </c>
    </row>
    <row r="3619" spans="1:4" x14ac:dyDescent="0.25">
      <c r="A3619" t="s">
        <v>5580</v>
      </c>
      <c r="B3619" t="s">
        <v>38</v>
      </c>
      <c r="C3619" s="1">
        <v>46004.361111111109</v>
      </c>
      <c r="D3619" t="s">
        <v>5146</v>
      </c>
    </row>
    <row r="3620" spans="1:4" x14ac:dyDescent="0.25">
      <c r="A3620" t="s">
        <v>5581</v>
      </c>
      <c r="B3620" t="s">
        <v>38</v>
      </c>
      <c r="C3620" s="1">
        <v>46004.363194444442</v>
      </c>
      <c r="D3620" t="s">
        <v>5146</v>
      </c>
    </row>
    <row r="3621" spans="1:4" x14ac:dyDescent="0.25">
      <c r="A3621" t="s">
        <v>5582</v>
      </c>
      <c r="B3621" t="s">
        <v>38</v>
      </c>
      <c r="C3621" s="1">
        <v>46004.363888888889</v>
      </c>
      <c r="D3621" t="s">
        <v>5146</v>
      </c>
    </row>
    <row r="3622" spans="1:4" x14ac:dyDescent="0.25">
      <c r="A3622" t="s">
        <v>5583</v>
      </c>
      <c r="B3622" t="s">
        <v>38</v>
      </c>
      <c r="C3622" s="1">
        <v>46004.365277777775</v>
      </c>
      <c r="D3622" t="s">
        <v>5146</v>
      </c>
    </row>
    <row r="3623" spans="1:4" x14ac:dyDescent="0.25">
      <c r="A3623" t="s">
        <v>5584</v>
      </c>
      <c r="B3623" t="s">
        <v>38</v>
      </c>
      <c r="C3623" s="1">
        <v>46004.366666666669</v>
      </c>
      <c r="D3623" t="s">
        <v>5146</v>
      </c>
    </row>
    <row r="3624" spans="1:4" x14ac:dyDescent="0.25">
      <c r="A3624" t="s">
        <v>5585</v>
      </c>
      <c r="B3624" t="s">
        <v>38</v>
      </c>
      <c r="C3624" s="1">
        <v>46004.367361111108</v>
      </c>
      <c r="D3624" t="s">
        <v>5146</v>
      </c>
    </row>
    <row r="3625" spans="1:4" x14ac:dyDescent="0.25">
      <c r="A3625" t="s">
        <v>5586</v>
      </c>
      <c r="B3625" t="s">
        <v>38</v>
      </c>
      <c r="C3625" s="1">
        <v>46003.896527777775</v>
      </c>
      <c r="D3625" t="s">
        <v>5146</v>
      </c>
    </row>
    <row r="3626" spans="1:4" x14ac:dyDescent="0.25">
      <c r="A3626" t="s">
        <v>5587</v>
      </c>
      <c r="B3626" t="s">
        <v>38</v>
      </c>
      <c r="C3626" s="1">
        <v>46003.897222222222</v>
      </c>
      <c r="D3626" t="s">
        <v>5146</v>
      </c>
    </row>
    <row r="3627" spans="1:4" x14ac:dyDescent="0.25">
      <c r="A3627" t="s">
        <v>5588</v>
      </c>
      <c r="B3627" t="s">
        <v>38</v>
      </c>
      <c r="C3627" s="1">
        <v>46003.835416666669</v>
      </c>
      <c r="D3627" t="s">
        <v>5146</v>
      </c>
    </row>
    <row r="3628" spans="1:4" x14ac:dyDescent="0.25">
      <c r="A3628" t="s">
        <v>5589</v>
      </c>
      <c r="B3628" t="s">
        <v>38</v>
      </c>
      <c r="C3628" s="1">
        <v>46003.84097222222</v>
      </c>
      <c r="D3628" t="s">
        <v>5146</v>
      </c>
    </row>
    <row r="3629" spans="1:4" x14ac:dyDescent="0.25">
      <c r="A3629" t="s">
        <v>5590</v>
      </c>
      <c r="B3629" t="s">
        <v>38</v>
      </c>
      <c r="C3629" s="1">
        <v>46003.845833333333</v>
      </c>
      <c r="D3629" t="s">
        <v>5146</v>
      </c>
    </row>
    <row r="3630" spans="1:4" x14ac:dyDescent="0.25">
      <c r="A3630" t="s">
        <v>5591</v>
      </c>
      <c r="B3630" t="s">
        <v>38</v>
      </c>
      <c r="C3630" s="1">
        <v>46003.956944444442</v>
      </c>
      <c r="D3630" t="s">
        <v>5146</v>
      </c>
    </row>
    <row r="3631" spans="1:4" x14ac:dyDescent="0.25">
      <c r="A3631" t="s">
        <v>5592</v>
      </c>
      <c r="B3631" t="s">
        <v>38</v>
      </c>
      <c r="C3631" s="1">
        <v>46003.960416666669</v>
      </c>
      <c r="D3631" t="s">
        <v>5146</v>
      </c>
    </row>
    <row r="3632" spans="1:4" x14ac:dyDescent="0.25">
      <c r="A3632" t="s">
        <v>5593</v>
      </c>
      <c r="B3632" t="s">
        <v>38</v>
      </c>
      <c r="C3632" s="1">
        <v>46003.963888888888</v>
      </c>
      <c r="D3632" t="s">
        <v>5146</v>
      </c>
    </row>
    <row r="3633" spans="1:4" x14ac:dyDescent="0.25">
      <c r="A3633" t="s">
        <v>5594</v>
      </c>
      <c r="B3633" t="s">
        <v>38</v>
      </c>
      <c r="C3633" s="1">
        <v>46003.965277777781</v>
      </c>
      <c r="D3633" t="s">
        <v>5146</v>
      </c>
    </row>
    <row r="3634" spans="1:4" x14ac:dyDescent="0.25">
      <c r="A3634" t="s">
        <v>5595</v>
      </c>
      <c r="B3634" t="s">
        <v>38</v>
      </c>
      <c r="C3634" s="1">
        <v>46003.968055555553</v>
      </c>
      <c r="D3634" t="s">
        <v>5146</v>
      </c>
    </row>
    <row r="3635" spans="1:4" x14ac:dyDescent="0.25">
      <c r="A3635" t="s">
        <v>5596</v>
      </c>
      <c r="B3635" t="s">
        <v>38</v>
      </c>
      <c r="C3635" s="1">
        <v>46003.973611111112</v>
      </c>
      <c r="D3635" t="s">
        <v>5146</v>
      </c>
    </row>
    <row r="3636" spans="1:4" x14ac:dyDescent="0.25">
      <c r="A3636" t="s">
        <v>5597</v>
      </c>
      <c r="B3636" t="s">
        <v>38</v>
      </c>
      <c r="C3636" s="1">
        <v>46003.973611111112</v>
      </c>
      <c r="D3636" t="s">
        <v>5146</v>
      </c>
    </row>
    <row r="3637" spans="1:4" x14ac:dyDescent="0.25">
      <c r="A3637" t="s">
        <v>551</v>
      </c>
      <c r="B3637" t="s">
        <v>38</v>
      </c>
      <c r="C3637" s="1">
        <v>46046.488888888889</v>
      </c>
      <c r="D3637" t="s">
        <v>5146</v>
      </c>
    </row>
    <row r="3638" spans="1:4" x14ac:dyDescent="0.25">
      <c r="A3638" t="s">
        <v>5598</v>
      </c>
      <c r="B3638" t="s">
        <v>38</v>
      </c>
      <c r="C3638" s="1">
        <v>46003.975694444445</v>
      </c>
      <c r="D3638" t="s">
        <v>5146</v>
      </c>
    </row>
    <row r="3639" spans="1:4" x14ac:dyDescent="0.25">
      <c r="A3639" t="s">
        <v>5599</v>
      </c>
      <c r="B3639" t="s">
        <v>38</v>
      </c>
      <c r="C3639" s="1">
        <v>46003.977777777778</v>
      </c>
      <c r="D3639" t="s">
        <v>5146</v>
      </c>
    </row>
    <row r="3640" spans="1:4" x14ac:dyDescent="0.25">
      <c r="A3640" t="s">
        <v>5600</v>
      </c>
      <c r="B3640" t="s">
        <v>38</v>
      </c>
      <c r="C3640" s="1">
        <v>46003.977777777778</v>
      </c>
      <c r="D3640" t="s">
        <v>5146</v>
      </c>
    </row>
    <row r="3641" spans="1:4" x14ac:dyDescent="0.25">
      <c r="A3641" t="s">
        <v>5601</v>
      </c>
      <c r="B3641" t="s">
        <v>38</v>
      </c>
      <c r="C3641" s="1">
        <v>46003.984027777777</v>
      </c>
      <c r="D3641" t="s">
        <v>5146</v>
      </c>
    </row>
    <row r="3642" spans="1:4" x14ac:dyDescent="0.25">
      <c r="A3642" t="s">
        <v>5602</v>
      </c>
      <c r="B3642" t="s">
        <v>38</v>
      </c>
      <c r="C3642" s="1">
        <v>46003.984722222223</v>
      </c>
      <c r="D3642" t="s">
        <v>5146</v>
      </c>
    </row>
    <row r="3643" spans="1:4" x14ac:dyDescent="0.25">
      <c r="A3643" t="s">
        <v>5603</v>
      </c>
      <c r="B3643" t="s">
        <v>38</v>
      </c>
      <c r="C3643" s="1">
        <v>45964.697222222225</v>
      </c>
      <c r="D3643" t="s">
        <v>5146</v>
      </c>
    </row>
    <row r="3644" spans="1:4" x14ac:dyDescent="0.25">
      <c r="A3644" t="s">
        <v>5604</v>
      </c>
      <c r="B3644" t="s">
        <v>38</v>
      </c>
      <c r="C3644" s="1">
        <v>45973.568055555559</v>
      </c>
      <c r="D3644" t="s">
        <v>5146</v>
      </c>
    </row>
    <row r="3645" spans="1:4" x14ac:dyDescent="0.25">
      <c r="A3645" t="s">
        <v>5605</v>
      </c>
      <c r="B3645" t="s">
        <v>38</v>
      </c>
      <c r="C3645" s="1">
        <v>45985.770833333336</v>
      </c>
      <c r="D3645" t="s">
        <v>5146</v>
      </c>
    </row>
    <row r="3646" spans="1:4" x14ac:dyDescent="0.25">
      <c r="A3646" t="s">
        <v>540</v>
      </c>
      <c r="B3646" t="s">
        <v>38</v>
      </c>
      <c r="C3646" s="1">
        <v>46044.465277777781</v>
      </c>
      <c r="D3646" t="s">
        <v>5146</v>
      </c>
    </row>
    <row r="3647" spans="1:4" x14ac:dyDescent="0.25">
      <c r="A3647" t="s">
        <v>5606</v>
      </c>
      <c r="B3647" t="s">
        <v>38</v>
      </c>
      <c r="C3647" s="1">
        <v>45985.772222222222</v>
      </c>
      <c r="D3647" t="s">
        <v>5146</v>
      </c>
    </row>
    <row r="3648" spans="1:4" x14ac:dyDescent="0.25">
      <c r="A3648" t="s">
        <v>5607</v>
      </c>
      <c r="B3648" t="s">
        <v>38</v>
      </c>
      <c r="C3648" s="1">
        <v>45967.756249999999</v>
      </c>
      <c r="D3648" t="s">
        <v>5146</v>
      </c>
    </row>
    <row r="3649" spans="1:4" x14ac:dyDescent="0.25">
      <c r="A3649" t="s">
        <v>528</v>
      </c>
      <c r="B3649" t="s">
        <v>38</v>
      </c>
      <c r="C3649" s="1">
        <v>46043.440972222219</v>
      </c>
      <c r="D3649" t="s">
        <v>5146</v>
      </c>
    </row>
    <row r="3650" spans="1:4" x14ac:dyDescent="0.25">
      <c r="A3650" t="s">
        <v>5608</v>
      </c>
      <c r="B3650" t="s">
        <v>38</v>
      </c>
      <c r="C3650" s="1">
        <v>45973.696527777778</v>
      </c>
      <c r="D3650" t="s">
        <v>5146</v>
      </c>
    </row>
    <row r="3651" spans="1:4" x14ac:dyDescent="0.25">
      <c r="A3651" t="s">
        <v>5609</v>
      </c>
      <c r="B3651" t="s">
        <v>39</v>
      </c>
      <c r="C3651" s="1">
        <v>46029.738888888889</v>
      </c>
      <c r="D3651" t="s">
        <v>5146</v>
      </c>
    </row>
    <row r="3652" spans="1:4" x14ac:dyDescent="0.25">
      <c r="A3652" t="s">
        <v>5610</v>
      </c>
      <c r="B3652" t="s">
        <v>38</v>
      </c>
      <c r="C3652" s="1">
        <v>45978.518055555556</v>
      </c>
      <c r="D3652" t="s">
        <v>5146</v>
      </c>
    </row>
    <row r="3653" spans="1:4" x14ac:dyDescent="0.25">
      <c r="A3653" t="s">
        <v>5611</v>
      </c>
      <c r="B3653" t="s">
        <v>38</v>
      </c>
      <c r="C3653" s="1">
        <v>45979.498611111114</v>
      </c>
      <c r="D3653" t="s">
        <v>5146</v>
      </c>
    </row>
    <row r="3654" spans="1:4" x14ac:dyDescent="0.25">
      <c r="A3654" t="s">
        <v>5612</v>
      </c>
      <c r="B3654" t="s">
        <v>38</v>
      </c>
      <c r="C3654" s="1">
        <v>45981.543749999997</v>
      </c>
      <c r="D3654" t="s">
        <v>5146</v>
      </c>
    </row>
    <row r="3655" spans="1:4" x14ac:dyDescent="0.25">
      <c r="A3655" t="s">
        <v>5613</v>
      </c>
      <c r="B3655" t="s">
        <v>38</v>
      </c>
      <c r="C3655" s="1">
        <v>45980.509027777778</v>
      </c>
      <c r="D3655" t="s">
        <v>5146</v>
      </c>
    </row>
    <row r="3656" spans="1:4" x14ac:dyDescent="0.25">
      <c r="A3656" t="s">
        <v>5614</v>
      </c>
      <c r="B3656" t="s">
        <v>38</v>
      </c>
      <c r="C3656" s="1">
        <v>45988.824305555558</v>
      </c>
      <c r="D3656" t="s">
        <v>5146</v>
      </c>
    </row>
    <row r="3657" spans="1:4" x14ac:dyDescent="0.25">
      <c r="A3657" t="s">
        <v>5615</v>
      </c>
      <c r="B3657" t="s">
        <v>38</v>
      </c>
      <c r="C3657" s="1">
        <v>45981.67083333333</v>
      </c>
      <c r="D3657" t="s">
        <v>5146</v>
      </c>
    </row>
    <row r="3658" spans="1:4" x14ac:dyDescent="0.25">
      <c r="A3658" t="s">
        <v>5616</v>
      </c>
      <c r="B3658" t="s">
        <v>38</v>
      </c>
      <c r="C3658" s="1">
        <v>45981.752083333333</v>
      </c>
      <c r="D3658" t="s">
        <v>5146</v>
      </c>
    </row>
    <row r="3659" spans="1:4" x14ac:dyDescent="0.25">
      <c r="A3659" t="s">
        <v>5617</v>
      </c>
      <c r="B3659" t="s">
        <v>38</v>
      </c>
      <c r="C3659" s="1">
        <v>45985.777083333334</v>
      </c>
      <c r="D3659" t="s">
        <v>5146</v>
      </c>
    </row>
    <row r="3660" spans="1:4" x14ac:dyDescent="0.25">
      <c r="A3660" t="s">
        <v>5618</v>
      </c>
      <c r="B3660" t="s">
        <v>38</v>
      </c>
      <c r="C3660" s="1">
        <v>45982.504861111112</v>
      </c>
      <c r="D3660" t="s">
        <v>5146</v>
      </c>
    </row>
    <row r="3661" spans="1:4" x14ac:dyDescent="0.25">
      <c r="A3661" t="s">
        <v>5619</v>
      </c>
      <c r="B3661" t="s">
        <v>38</v>
      </c>
      <c r="C3661" s="1">
        <v>45985.455555555556</v>
      </c>
      <c r="D3661" t="s">
        <v>5146</v>
      </c>
    </row>
    <row r="3662" spans="1:4" x14ac:dyDescent="0.25">
      <c r="A3662" t="s">
        <v>5620</v>
      </c>
      <c r="B3662" t="s">
        <v>38</v>
      </c>
      <c r="C3662" s="1">
        <v>45985.454861111109</v>
      </c>
      <c r="D3662" t="s">
        <v>5146</v>
      </c>
    </row>
    <row r="3663" spans="1:4" x14ac:dyDescent="0.25">
      <c r="A3663" t="s">
        <v>5621</v>
      </c>
      <c r="B3663" t="s">
        <v>38</v>
      </c>
      <c r="C3663" s="1">
        <v>45982.54583333333</v>
      </c>
      <c r="D3663" t="s">
        <v>5146</v>
      </c>
    </row>
    <row r="3664" spans="1:4" x14ac:dyDescent="0.25">
      <c r="A3664" t="s">
        <v>5622</v>
      </c>
      <c r="B3664" t="s">
        <v>38</v>
      </c>
      <c r="C3664" s="1">
        <v>45982.611111111109</v>
      </c>
      <c r="D3664" t="s">
        <v>5146</v>
      </c>
    </row>
    <row r="3665" spans="1:4" x14ac:dyDescent="0.25">
      <c r="A3665" t="s">
        <v>5623</v>
      </c>
      <c r="B3665" t="s">
        <v>38</v>
      </c>
      <c r="C3665" s="1">
        <v>45986.775694444441</v>
      </c>
      <c r="D3665" t="s">
        <v>5146</v>
      </c>
    </row>
    <row r="3666" spans="1:4" x14ac:dyDescent="0.25">
      <c r="A3666" t="s">
        <v>5624</v>
      </c>
      <c r="B3666" t="s">
        <v>38</v>
      </c>
      <c r="C3666" s="1">
        <v>45985.513888888891</v>
      </c>
      <c r="D3666" t="s">
        <v>5146</v>
      </c>
    </row>
    <row r="3667" spans="1:4" x14ac:dyDescent="0.25">
      <c r="A3667" t="s">
        <v>5625</v>
      </c>
      <c r="B3667" t="s">
        <v>38</v>
      </c>
      <c r="C3667" s="1">
        <v>45986.713194444441</v>
      </c>
      <c r="D3667" t="s">
        <v>5146</v>
      </c>
    </row>
    <row r="3668" spans="1:4" x14ac:dyDescent="0.25">
      <c r="A3668" t="s">
        <v>5626</v>
      </c>
      <c r="B3668" t="s">
        <v>38</v>
      </c>
      <c r="C3668" s="1">
        <v>45986.529166666667</v>
      </c>
      <c r="D3668" t="s">
        <v>5146</v>
      </c>
    </row>
    <row r="3669" spans="1:4" x14ac:dyDescent="0.25">
      <c r="A3669" t="s">
        <v>5627</v>
      </c>
      <c r="B3669" t="s">
        <v>38</v>
      </c>
      <c r="C3669" s="1">
        <v>45988.549305555556</v>
      </c>
      <c r="D3669" t="s">
        <v>5146</v>
      </c>
    </row>
    <row r="3670" spans="1:4" x14ac:dyDescent="0.25">
      <c r="A3670" t="s">
        <v>5628</v>
      </c>
      <c r="B3670" t="s">
        <v>38</v>
      </c>
      <c r="C3670" s="1">
        <v>45988.489583333336</v>
      </c>
      <c r="D3670" t="s">
        <v>5146</v>
      </c>
    </row>
    <row r="3671" spans="1:4" x14ac:dyDescent="0.25">
      <c r="A3671" t="s">
        <v>5629</v>
      </c>
      <c r="B3671" t="s">
        <v>38</v>
      </c>
      <c r="C3671" s="1">
        <v>45988.494444444441</v>
      </c>
      <c r="D3671" t="s">
        <v>5146</v>
      </c>
    </row>
    <row r="3672" spans="1:4" x14ac:dyDescent="0.25">
      <c r="A3672" t="s">
        <v>5630</v>
      </c>
      <c r="B3672" t="s">
        <v>38</v>
      </c>
      <c r="C3672" s="1">
        <v>45988.474305555559</v>
      </c>
      <c r="D3672" t="s">
        <v>5146</v>
      </c>
    </row>
    <row r="3673" spans="1:4" x14ac:dyDescent="0.25">
      <c r="A3673" t="s">
        <v>5631</v>
      </c>
      <c r="B3673" t="s">
        <v>38</v>
      </c>
      <c r="C3673" s="1">
        <v>45988.568055555559</v>
      </c>
      <c r="D3673" t="s">
        <v>5146</v>
      </c>
    </row>
    <row r="3674" spans="1:4" x14ac:dyDescent="0.25">
      <c r="A3674" t="s">
        <v>5632</v>
      </c>
      <c r="B3674" t="s">
        <v>38</v>
      </c>
      <c r="C3674" s="1">
        <v>45996.54791666667</v>
      </c>
      <c r="D3674" t="s">
        <v>5146</v>
      </c>
    </row>
    <row r="3675" spans="1:4" x14ac:dyDescent="0.25">
      <c r="A3675" t="s">
        <v>5633</v>
      </c>
      <c r="B3675" t="s">
        <v>38</v>
      </c>
      <c r="C3675" s="1">
        <v>45988.004861111112</v>
      </c>
      <c r="D3675" t="s">
        <v>5146</v>
      </c>
    </row>
    <row r="3676" spans="1:4" x14ac:dyDescent="0.25">
      <c r="A3676" t="s">
        <v>5634</v>
      </c>
      <c r="B3676" t="s">
        <v>38</v>
      </c>
      <c r="C3676" s="1">
        <v>45992.636805555558</v>
      </c>
      <c r="D3676" t="s">
        <v>5146</v>
      </c>
    </row>
    <row r="3677" spans="1:4" x14ac:dyDescent="0.25">
      <c r="A3677" t="s">
        <v>5635</v>
      </c>
      <c r="B3677" t="s">
        <v>38</v>
      </c>
      <c r="C3677" s="1">
        <v>45992.473611111112</v>
      </c>
      <c r="D3677" t="s">
        <v>5146</v>
      </c>
    </row>
    <row r="3678" spans="1:4" x14ac:dyDescent="0.25">
      <c r="A3678" t="s">
        <v>5636</v>
      </c>
      <c r="B3678" t="s">
        <v>38</v>
      </c>
      <c r="C3678" s="1">
        <v>46036.537499999999</v>
      </c>
      <c r="D3678" t="s">
        <v>5146</v>
      </c>
    </row>
    <row r="3679" spans="1:4" x14ac:dyDescent="0.25">
      <c r="A3679" t="s">
        <v>5637</v>
      </c>
      <c r="B3679" t="s">
        <v>38</v>
      </c>
      <c r="C3679" s="1">
        <v>45993.740277777775</v>
      </c>
      <c r="D3679" t="s">
        <v>5146</v>
      </c>
    </row>
    <row r="3680" spans="1:4" x14ac:dyDescent="0.25">
      <c r="A3680" t="s">
        <v>58</v>
      </c>
      <c r="B3680" t="s">
        <v>39</v>
      </c>
      <c r="C3680" s="1">
        <v>46029.736805555556</v>
      </c>
      <c r="D3680" t="s">
        <v>5146</v>
      </c>
    </row>
    <row r="3681" spans="1:4" x14ac:dyDescent="0.25">
      <c r="A3681" t="s">
        <v>56</v>
      </c>
      <c r="B3681" t="s">
        <v>38</v>
      </c>
      <c r="C3681" s="1">
        <v>46036.539583333331</v>
      </c>
      <c r="D3681" t="s">
        <v>5146</v>
      </c>
    </row>
    <row r="3682" spans="1:4" x14ac:dyDescent="0.25">
      <c r="A3682" t="s">
        <v>51</v>
      </c>
      <c r="B3682" t="s">
        <v>38</v>
      </c>
      <c r="C3682" s="1">
        <v>46036.539583333331</v>
      </c>
      <c r="D3682" t="s">
        <v>5146</v>
      </c>
    </row>
    <row r="3683" spans="1:4" x14ac:dyDescent="0.25">
      <c r="A3683" t="s">
        <v>50</v>
      </c>
      <c r="B3683" t="s">
        <v>38</v>
      </c>
      <c r="C3683" s="1">
        <v>46022.570138888892</v>
      </c>
      <c r="D3683" t="s">
        <v>5146</v>
      </c>
    </row>
    <row r="3684" spans="1:4" x14ac:dyDescent="0.25">
      <c r="A3684" t="s">
        <v>47</v>
      </c>
      <c r="B3684" t="s">
        <v>38</v>
      </c>
      <c r="C3684" s="1">
        <v>45995.429166666669</v>
      </c>
      <c r="D3684" t="s">
        <v>5146</v>
      </c>
    </row>
    <row r="3685" spans="1:4" x14ac:dyDescent="0.25">
      <c r="A3685" t="s">
        <v>70</v>
      </c>
      <c r="B3685" t="s">
        <v>38</v>
      </c>
      <c r="C3685" s="1">
        <v>46036.541666666664</v>
      </c>
      <c r="D3685" t="s">
        <v>5146</v>
      </c>
    </row>
    <row r="3686" spans="1:4" x14ac:dyDescent="0.25">
      <c r="A3686" t="s">
        <v>69</v>
      </c>
      <c r="B3686" t="s">
        <v>38</v>
      </c>
      <c r="C3686" s="1">
        <v>46036.541666666664</v>
      </c>
      <c r="D3686" t="s">
        <v>5146</v>
      </c>
    </row>
    <row r="3687" spans="1:4" x14ac:dyDescent="0.25">
      <c r="A3687" t="s">
        <v>62</v>
      </c>
      <c r="B3687" t="s">
        <v>38</v>
      </c>
      <c r="C3687" s="1">
        <v>46036.688888888886</v>
      </c>
      <c r="D3687" t="s">
        <v>5146</v>
      </c>
    </row>
    <row r="3688" spans="1:4" x14ac:dyDescent="0.25">
      <c r="A3688" t="s">
        <v>96</v>
      </c>
      <c r="B3688" t="s">
        <v>38</v>
      </c>
      <c r="C3688" s="1">
        <v>46036.55</v>
      </c>
      <c r="D3688" t="s">
        <v>5146</v>
      </c>
    </row>
    <row r="3689" spans="1:4" x14ac:dyDescent="0.25">
      <c r="A3689" t="s">
        <v>95</v>
      </c>
      <c r="B3689" t="s">
        <v>38</v>
      </c>
      <c r="C3689" s="1">
        <v>46036.549305555556</v>
      </c>
      <c r="D3689" t="s">
        <v>5146</v>
      </c>
    </row>
    <row r="3690" spans="1:4" x14ac:dyDescent="0.25">
      <c r="A3690" t="s">
        <v>105</v>
      </c>
      <c r="B3690" t="s">
        <v>38</v>
      </c>
      <c r="C3690" s="1">
        <v>46036.547222222223</v>
      </c>
      <c r="D3690" t="s">
        <v>5146</v>
      </c>
    </row>
    <row r="3691" spans="1:4" x14ac:dyDescent="0.25">
      <c r="A3691" t="s">
        <v>109</v>
      </c>
      <c r="B3691" t="s">
        <v>38</v>
      </c>
      <c r="C3691" s="1">
        <v>46036.552777777775</v>
      </c>
      <c r="D3691" t="s">
        <v>5146</v>
      </c>
    </row>
    <row r="3692" spans="1:4" x14ac:dyDescent="0.25">
      <c r="A3692" t="s">
        <v>121</v>
      </c>
      <c r="B3692" t="s">
        <v>38</v>
      </c>
      <c r="C3692" s="1">
        <v>46022.647916666669</v>
      </c>
      <c r="D3692" t="s">
        <v>5146</v>
      </c>
    </row>
    <row r="3693" spans="1:4" x14ac:dyDescent="0.25">
      <c r="A3693" t="s">
        <v>128</v>
      </c>
      <c r="B3693" t="s">
        <v>38</v>
      </c>
      <c r="C3693" s="1">
        <v>46022.650694444441</v>
      </c>
      <c r="D3693" t="s">
        <v>5146</v>
      </c>
    </row>
    <row r="3694" spans="1:4" x14ac:dyDescent="0.25">
      <c r="A3694" t="s">
        <v>126</v>
      </c>
      <c r="B3694" t="s">
        <v>39</v>
      </c>
      <c r="C3694" s="1">
        <v>46000.659722222219</v>
      </c>
      <c r="D3694" t="s">
        <v>5146</v>
      </c>
    </row>
    <row r="3695" spans="1:4" x14ac:dyDescent="0.25">
      <c r="A3695" t="s">
        <v>148</v>
      </c>
      <c r="B3695" t="s">
        <v>38</v>
      </c>
      <c r="C3695" s="1">
        <v>46036.559027777781</v>
      </c>
      <c r="D3695" t="s">
        <v>5146</v>
      </c>
    </row>
    <row r="3696" spans="1:4" x14ac:dyDescent="0.25">
      <c r="A3696" t="s">
        <v>193</v>
      </c>
      <c r="B3696" t="s">
        <v>38</v>
      </c>
      <c r="C3696" s="1">
        <v>46036.563194444447</v>
      </c>
      <c r="D3696" t="s">
        <v>5146</v>
      </c>
    </row>
    <row r="3697" spans="1:4" x14ac:dyDescent="0.25">
      <c r="A3697" t="s">
        <v>197</v>
      </c>
      <c r="B3697" t="s">
        <v>38</v>
      </c>
      <c r="C3697" s="1">
        <v>46036.563194444447</v>
      </c>
      <c r="D3697" t="s">
        <v>5146</v>
      </c>
    </row>
    <row r="3698" spans="1:4" x14ac:dyDescent="0.25">
      <c r="A3698" t="s">
        <v>215</v>
      </c>
      <c r="B3698" t="s">
        <v>39</v>
      </c>
      <c r="C3698" s="1">
        <v>46029.734722222223</v>
      </c>
      <c r="D3698" t="s">
        <v>5146</v>
      </c>
    </row>
    <row r="3699" spans="1:4" x14ac:dyDescent="0.25">
      <c r="A3699" t="s">
        <v>214</v>
      </c>
      <c r="B3699" t="s">
        <v>38</v>
      </c>
      <c r="C3699" s="1">
        <v>46036.563194444447</v>
      </c>
      <c r="D3699" t="s">
        <v>5146</v>
      </c>
    </row>
    <row r="3700" spans="1:4" x14ac:dyDescent="0.25">
      <c r="A3700" t="s">
        <v>224</v>
      </c>
      <c r="B3700" t="s">
        <v>38</v>
      </c>
      <c r="C3700" s="1">
        <v>46036.563888888886</v>
      </c>
      <c r="D3700" t="s">
        <v>5146</v>
      </c>
    </row>
    <row r="3701" spans="1:4" x14ac:dyDescent="0.25">
      <c r="A3701" t="s">
        <v>236</v>
      </c>
      <c r="B3701" t="s">
        <v>38</v>
      </c>
      <c r="C3701" s="1">
        <v>46009.513888888891</v>
      </c>
      <c r="D3701" t="s">
        <v>5146</v>
      </c>
    </row>
    <row r="3702" spans="1:4" x14ac:dyDescent="0.25">
      <c r="A3702" t="s">
        <v>234</v>
      </c>
      <c r="B3702" t="s">
        <v>38</v>
      </c>
      <c r="C3702" s="1">
        <v>46036.563888888886</v>
      </c>
      <c r="D3702" t="s">
        <v>5146</v>
      </c>
    </row>
    <row r="3703" spans="1:4" x14ac:dyDescent="0.25">
      <c r="A3703" t="s">
        <v>229</v>
      </c>
      <c r="B3703" t="s">
        <v>38</v>
      </c>
      <c r="C3703" s="1">
        <v>46036.564583333333</v>
      </c>
      <c r="D3703" t="s">
        <v>5146</v>
      </c>
    </row>
    <row r="3704" spans="1:4" x14ac:dyDescent="0.25">
      <c r="A3704" t="s">
        <v>264</v>
      </c>
      <c r="B3704" t="s">
        <v>38</v>
      </c>
      <c r="C3704" s="1">
        <v>46036.56527777778</v>
      </c>
      <c r="D3704" t="s">
        <v>5146</v>
      </c>
    </row>
    <row r="3705" spans="1:4" x14ac:dyDescent="0.25">
      <c r="A3705" t="s">
        <v>273</v>
      </c>
      <c r="B3705" t="s">
        <v>38</v>
      </c>
      <c r="C3705" s="1">
        <v>46022.729861111111</v>
      </c>
      <c r="D3705" t="s">
        <v>5146</v>
      </c>
    </row>
    <row r="3706" spans="1:4" x14ac:dyDescent="0.25">
      <c r="A3706" t="s">
        <v>286</v>
      </c>
      <c r="B3706" t="s">
        <v>39</v>
      </c>
      <c r="C3706" s="1">
        <v>46029.732638888891</v>
      </c>
      <c r="D3706" t="s">
        <v>5146</v>
      </c>
    </row>
    <row r="3707" spans="1:4" x14ac:dyDescent="0.25">
      <c r="A3707" t="s">
        <v>289</v>
      </c>
      <c r="B3707" t="s">
        <v>39</v>
      </c>
      <c r="C3707" s="1">
        <v>46050.706250000003</v>
      </c>
      <c r="D3707" t="s">
        <v>5146</v>
      </c>
    </row>
    <row r="3708" spans="1:4" x14ac:dyDescent="0.25">
      <c r="A3708" t="s">
        <v>324</v>
      </c>
      <c r="B3708" t="s">
        <v>38</v>
      </c>
      <c r="C3708" s="1">
        <v>46036.566666666666</v>
      </c>
      <c r="D3708" t="s">
        <v>5146</v>
      </c>
    </row>
    <row r="3709" spans="1:4" x14ac:dyDescent="0.25">
      <c r="A3709" t="s">
        <v>337</v>
      </c>
      <c r="B3709" t="s">
        <v>38</v>
      </c>
      <c r="C3709" s="1">
        <v>46025.5</v>
      </c>
      <c r="D3709" t="s">
        <v>5146</v>
      </c>
    </row>
    <row r="3710" spans="1:4" x14ac:dyDescent="0.25">
      <c r="A3710" t="s">
        <v>365</v>
      </c>
      <c r="B3710" t="s">
        <v>38</v>
      </c>
      <c r="C3710" s="1">
        <v>46039.554861111108</v>
      </c>
      <c r="D3710" t="s">
        <v>5146</v>
      </c>
    </row>
    <row r="3711" spans="1:4" x14ac:dyDescent="0.25">
      <c r="A3711" t="s">
        <v>370</v>
      </c>
      <c r="B3711" t="s">
        <v>38</v>
      </c>
      <c r="C3711" s="1">
        <v>46039.556250000001</v>
      </c>
      <c r="D3711" t="s">
        <v>5146</v>
      </c>
    </row>
    <row r="3712" spans="1:4" x14ac:dyDescent="0.25">
      <c r="A3712" t="s">
        <v>473</v>
      </c>
      <c r="B3712" t="s">
        <v>38</v>
      </c>
      <c r="C3712" s="1">
        <v>46041.478472222225</v>
      </c>
      <c r="D3712" t="s">
        <v>5146</v>
      </c>
    </row>
    <row r="3713" spans="1:4" x14ac:dyDescent="0.25">
      <c r="A3713" t="s">
        <v>393</v>
      </c>
      <c r="B3713" t="s">
        <v>38</v>
      </c>
      <c r="C3713" s="1">
        <v>46039.693055555559</v>
      </c>
      <c r="D3713" t="s">
        <v>5146</v>
      </c>
    </row>
    <row r="3714" spans="1:4" x14ac:dyDescent="0.25">
      <c r="A3714" t="s">
        <v>396</v>
      </c>
      <c r="B3714" t="s">
        <v>38</v>
      </c>
      <c r="C3714" s="1">
        <v>46039.695138888892</v>
      </c>
      <c r="D3714" t="s">
        <v>5146</v>
      </c>
    </row>
    <row r="3715" spans="1:4" x14ac:dyDescent="0.25">
      <c r="A3715" t="s">
        <v>415</v>
      </c>
      <c r="B3715" t="s">
        <v>38</v>
      </c>
      <c r="C3715" s="1">
        <v>46039.697222222225</v>
      </c>
      <c r="D3715" t="s">
        <v>5146</v>
      </c>
    </row>
    <row r="3716" spans="1:4" x14ac:dyDescent="0.25">
      <c r="A3716" t="s">
        <v>428</v>
      </c>
      <c r="B3716" t="s">
        <v>38</v>
      </c>
      <c r="C3716" s="1">
        <v>46039.697916666664</v>
      </c>
      <c r="D3716" t="s">
        <v>5146</v>
      </c>
    </row>
    <row r="3717" spans="1:4" x14ac:dyDescent="0.25">
      <c r="A3717" t="s">
        <v>440</v>
      </c>
      <c r="B3717" t="s">
        <v>38</v>
      </c>
      <c r="C3717" s="1">
        <v>46035.467361111114</v>
      </c>
      <c r="D3717" t="s">
        <v>5146</v>
      </c>
    </row>
    <row r="3718" spans="1:4" x14ac:dyDescent="0.25">
      <c r="A3718" t="s">
        <v>438</v>
      </c>
      <c r="B3718" t="s">
        <v>38</v>
      </c>
      <c r="C3718" s="1">
        <v>46039.706250000003</v>
      </c>
      <c r="D3718" t="s">
        <v>5146</v>
      </c>
    </row>
    <row r="3719" spans="1:4" x14ac:dyDescent="0.25">
      <c r="A3719" t="s">
        <v>455</v>
      </c>
      <c r="B3719" t="s">
        <v>38</v>
      </c>
      <c r="C3719" s="1">
        <v>46041.71875</v>
      </c>
      <c r="D3719" t="s">
        <v>5146</v>
      </c>
    </row>
    <row r="3720" spans="1:4" x14ac:dyDescent="0.25">
      <c r="A3720" t="s">
        <v>465</v>
      </c>
      <c r="B3720" t="s">
        <v>39</v>
      </c>
      <c r="C3720" s="1">
        <v>46050.626388888886</v>
      </c>
      <c r="D3720" t="s">
        <v>5146</v>
      </c>
    </row>
    <row r="3721" spans="1:4" x14ac:dyDescent="0.25">
      <c r="A3721" t="s">
        <v>462</v>
      </c>
      <c r="B3721" t="s">
        <v>38</v>
      </c>
      <c r="C3721" s="1">
        <v>46042.438888888886</v>
      </c>
      <c r="D3721" t="s">
        <v>5146</v>
      </c>
    </row>
    <row r="3722" spans="1:4" x14ac:dyDescent="0.25">
      <c r="A3722" t="s">
        <v>467</v>
      </c>
      <c r="B3722" t="s">
        <v>38</v>
      </c>
      <c r="C3722" s="1">
        <v>46041.709722222222</v>
      </c>
      <c r="D3722" t="s">
        <v>5146</v>
      </c>
    </row>
    <row r="3723" spans="1:4" x14ac:dyDescent="0.25">
      <c r="A3723" t="s">
        <v>459</v>
      </c>
      <c r="B3723" t="s">
        <v>38</v>
      </c>
      <c r="C3723" s="1">
        <v>46042.438888888886</v>
      </c>
      <c r="D3723" t="s">
        <v>5146</v>
      </c>
    </row>
    <row r="3724" spans="1:4" x14ac:dyDescent="0.25">
      <c r="A3724" t="s">
        <v>59</v>
      </c>
      <c r="B3724" t="s">
        <v>38</v>
      </c>
      <c r="C3724" s="1">
        <v>45994.553472222222</v>
      </c>
      <c r="D3724" t="s">
        <v>5639</v>
      </c>
    </row>
    <row r="3725" spans="1:4" x14ac:dyDescent="0.25">
      <c r="A3725" t="s">
        <v>55</v>
      </c>
      <c r="B3725" t="s">
        <v>39</v>
      </c>
      <c r="C3725" s="1">
        <v>46029.736805555556</v>
      </c>
      <c r="D3725" t="s">
        <v>5639</v>
      </c>
    </row>
    <row r="3726" spans="1:4" x14ac:dyDescent="0.25">
      <c r="A3726" t="s">
        <v>965</v>
      </c>
      <c r="B3726" t="s">
        <v>1073</v>
      </c>
      <c r="C3726" s="1">
        <v>46080.428472222222</v>
      </c>
      <c r="D3726" t="s">
        <v>5639</v>
      </c>
    </row>
    <row r="3727" spans="1:4" x14ac:dyDescent="0.25">
      <c r="A3727" t="s">
        <v>49</v>
      </c>
      <c r="B3727" t="s">
        <v>38</v>
      </c>
      <c r="C3727" s="1">
        <v>45995.499305555553</v>
      </c>
      <c r="D3727" t="s">
        <v>5639</v>
      </c>
    </row>
    <row r="3728" spans="1:4" x14ac:dyDescent="0.25">
      <c r="A3728" t="s">
        <v>48</v>
      </c>
      <c r="B3728" t="s">
        <v>39</v>
      </c>
      <c r="C3728" s="1">
        <v>46036.531944444447</v>
      </c>
      <c r="D3728" t="s">
        <v>5639</v>
      </c>
    </row>
    <row r="3729" spans="1:4" x14ac:dyDescent="0.25">
      <c r="A3729" t="s">
        <v>61</v>
      </c>
      <c r="B3729" t="s">
        <v>38</v>
      </c>
      <c r="C3729" s="1">
        <v>45995.504166666666</v>
      </c>
      <c r="D3729" t="s">
        <v>5639</v>
      </c>
    </row>
    <row r="3730" spans="1:4" x14ac:dyDescent="0.25">
      <c r="A3730" t="s">
        <v>60</v>
      </c>
      <c r="B3730" t="s">
        <v>38</v>
      </c>
      <c r="C3730" s="1">
        <v>45996.487500000003</v>
      </c>
      <c r="D3730" t="s">
        <v>5639</v>
      </c>
    </row>
    <row r="3731" spans="1:4" x14ac:dyDescent="0.25">
      <c r="A3731" t="s">
        <v>74</v>
      </c>
      <c r="B3731" t="s">
        <v>38</v>
      </c>
      <c r="C3731" s="1">
        <v>45996.550694444442</v>
      </c>
      <c r="D3731" t="s">
        <v>5639</v>
      </c>
    </row>
    <row r="3732" spans="1:4" x14ac:dyDescent="0.25">
      <c r="A3732" t="s">
        <v>76</v>
      </c>
      <c r="B3732" t="s">
        <v>38</v>
      </c>
      <c r="C3732" s="1">
        <v>45997.463194444441</v>
      </c>
      <c r="D3732" t="s">
        <v>5639</v>
      </c>
    </row>
    <row r="3733" spans="1:4" x14ac:dyDescent="0.25">
      <c r="A3733" t="s">
        <v>86</v>
      </c>
      <c r="B3733" t="s">
        <v>38</v>
      </c>
      <c r="C3733" s="1">
        <v>45997.48333333333</v>
      </c>
      <c r="D3733" t="s">
        <v>5639</v>
      </c>
    </row>
    <row r="3734" spans="1:4" x14ac:dyDescent="0.25">
      <c r="A3734" t="s">
        <v>84</v>
      </c>
      <c r="B3734" t="s">
        <v>38</v>
      </c>
      <c r="C3734" s="1">
        <v>46036.543055555558</v>
      </c>
      <c r="D3734" t="s">
        <v>5639</v>
      </c>
    </row>
    <row r="3735" spans="1:4" x14ac:dyDescent="0.25">
      <c r="A3735" t="s">
        <v>83</v>
      </c>
      <c r="B3735" t="s">
        <v>39</v>
      </c>
      <c r="C3735" s="1">
        <v>46029.736111111109</v>
      </c>
      <c r="D3735" t="s">
        <v>5639</v>
      </c>
    </row>
    <row r="3736" spans="1:4" x14ac:dyDescent="0.25">
      <c r="A3736" t="s">
        <v>94</v>
      </c>
      <c r="B3736" t="s">
        <v>38</v>
      </c>
      <c r="C3736" s="1">
        <v>46022.642361111109</v>
      </c>
      <c r="D3736" t="s">
        <v>5639</v>
      </c>
    </row>
    <row r="3737" spans="1:4" x14ac:dyDescent="0.25">
      <c r="A3737" t="s">
        <v>81</v>
      </c>
      <c r="B3737" t="s">
        <v>38</v>
      </c>
      <c r="C3737" s="1">
        <v>46036.545138888891</v>
      </c>
      <c r="D3737" t="s">
        <v>5639</v>
      </c>
    </row>
    <row r="3738" spans="1:4" x14ac:dyDescent="0.25">
      <c r="A3738" t="s">
        <v>90</v>
      </c>
      <c r="B3738" t="s">
        <v>38</v>
      </c>
      <c r="C3738" s="1">
        <v>45996.49722222222</v>
      </c>
      <c r="D3738" t="s">
        <v>5639</v>
      </c>
    </row>
    <row r="3739" spans="1:4" x14ac:dyDescent="0.25">
      <c r="A3739" t="s">
        <v>89</v>
      </c>
      <c r="B3739" t="s">
        <v>38</v>
      </c>
      <c r="C3739" s="1">
        <v>45996.576388888891</v>
      </c>
      <c r="D3739" t="s">
        <v>5639</v>
      </c>
    </row>
    <row r="3740" spans="1:4" x14ac:dyDescent="0.25">
      <c r="A3740" t="s">
        <v>104</v>
      </c>
      <c r="B3740" t="s">
        <v>38</v>
      </c>
      <c r="C3740" s="1">
        <v>45997.47152777778</v>
      </c>
      <c r="D3740" t="s">
        <v>5639</v>
      </c>
    </row>
    <row r="3741" spans="1:4" x14ac:dyDescent="0.25">
      <c r="A3741" t="s">
        <v>102</v>
      </c>
      <c r="B3741" t="s">
        <v>38</v>
      </c>
      <c r="C3741" s="1">
        <v>46036.692361111112</v>
      </c>
      <c r="D3741" t="s">
        <v>5639</v>
      </c>
    </row>
    <row r="3742" spans="1:4" x14ac:dyDescent="0.25">
      <c r="A3742" t="s">
        <v>111</v>
      </c>
      <c r="B3742" t="s">
        <v>38</v>
      </c>
      <c r="C3742" s="1">
        <v>46036.552083333336</v>
      </c>
      <c r="D3742" t="s">
        <v>5639</v>
      </c>
    </row>
    <row r="3743" spans="1:4" x14ac:dyDescent="0.25">
      <c r="A3743" t="s">
        <v>133</v>
      </c>
      <c r="B3743" t="s">
        <v>38</v>
      </c>
      <c r="C3743" s="1">
        <v>46036.544444444444</v>
      </c>
      <c r="D3743" t="s">
        <v>5639</v>
      </c>
    </row>
    <row r="3744" spans="1:4" x14ac:dyDescent="0.25">
      <c r="A3744" t="s">
        <v>129</v>
      </c>
      <c r="B3744" t="s">
        <v>38</v>
      </c>
      <c r="C3744" s="1">
        <v>46036.544444444444</v>
      </c>
      <c r="D3744" t="s">
        <v>5639</v>
      </c>
    </row>
    <row r="3745" spans="1:4" x14ac:dyDescent="0.25">
      <c r="A3745" t="s">
        <v>125</v>
      </c>
      <c r="B3745" t="s">
        <v>38</v>
      </c>
      <c r="C3745" s="1">
        <v>46002.466666666667</v>
      </c>
      <c r="D3745" t="s">
        <v>5639</v>
      </c>
    </row>
    <row r="3746" spans="1:4" x14ac:dyDescent="0.25">
      <c r="A3746" t="s">
        <v>122</v>
      </c>
      <c r="B3746" t="s">
        <v>38</v>
      </c>
      <c r="C3746" s="1">
        <v>46002.470833333333</v>
      </c>
      <c r="D3746" t="s">
        <v>5639</v>
      </c>
    </row>
    <row r="3747" spans="1:4" x14ac:dyDescent="0.25">
      <c r="A3747" t="s">
        <v>139</v>
      </c>
      <c r="B3747" t="s">
        <v>38</v>
      </c>
      <c r="C3747" s="1">
        <v>46036.54583333333</v>
      </c>
      <c r="D3747" t="s">
        <v>5639</v>
      </c>
    </row>
    <row r="3748" spans="1:4" x14ac:dyDescent="0.25">
      <c r="A3748" t="s">
        <v>977</v>
      </c>
      <c r="B3748" t="s">
        <v>30</v>
      </c>
      <c r="C3748" s="1">
        <v>46080.379166666666</v>
      </c>
      <c r="D3748" t="s">
        <v>5639</v>
      </c>
    </row>
    <row r="3749" spans="1:4" x14ac:dyDescent="0.25">
      <c r="A3749" t="s">
        <v>151</v>
      </c>
      <c r="B3749" t="s">
        <v>38</v>
      </c>
      <c r="C3749" s="1">
        <v>46036.558333333334</v>
      </c>
      <c r="D3749" t="s">
        <v>5639</v>
      </c>
    </row>
    <row r="3750" spans="1:4" x14ac:dyDescent="0.25">
      <c r="A3750" t="s">
        <v>149</v>
      </c>
      <c r="B3750" t="s">
        <v>38</v>
      </c>
      <c r="C3750" s="1">
        <v>46002.553472222222</v>
      </c>
      <c r="D3750" t="s">
        <v>5639</v>
      </c>
    </row>
    <row r="3751" spans="1:4" x14ac:dyDescent="0.25">
      <c r="A3751" t="s">
        <v>146</v>
      </c>
      <c r="B3751" t="s">
        <v>38</v>
      </c>
      <c r="C3751" s="1">
        <v>46036.55972222222</v>
      </c>
      <c r="D3751" t="s">
        <v>5639</v>
      </c>
    </row>
    <row r="3752" spans="1:4" x14ac:dyDescent="0.25">
      <c r="A3752" t="s">
        <v>141</v>
      </c>
      <c r="B3752" t="s">
        <v>38</v>
      </c>
      <c r="C3752" s="1">
        <v>46002.559027777781</v>
      </c>
      <c r="D3752" t="s">
        <v>5639</v>
      </c>
    </row>
    <row r="3753" spans="1:4" x14ac:dyDescent="0.25">
      <c r="A3753" t="s">
        <v>980</v>
      </c>
      <c r="B3753" t="s">
        <v>1073</v>
      </c>
      <c r="C3753" s="1">
        <v>46079.40625</v>
      </c>
      <c r="D3753" t="s">
        <v>5639</v>
      </c>
    </row>
    <row r="3754" spans="1:4" x14ac:dyDescent="0.25">
      <c r="A3754" t="s">
        <v>158</v>
      </c>
      <c r="B3754" t="s">
        <v>38</v>
      </c>
      <c r="C3754" s="1">
        <v>46003.489583333336</v>
      </c>
      <c r="D3754" t="s">
        <v>5639</v>
      </c>
    </row>
    <row r="3755" spans="1:4" x14ac:dyDescent="0.25">
      <c r="A3755" t="s">
        <v>156</v>
      </c>
      <c r="B3755" t="s">
        <v>38</v>
      </c>
      <c r="C3755" s="1">
        <v>46003.493750000001</v>
      </c>
      <c r="D3755" t="s">
        <v>5639</v>
      </c>
    </row>
    <row r="3756" spans="1:4" x14ac:dyDescent="0.25">
      <c r="A3756" t="s">
        <v>155</v>
      </c>
      <c r="B3756" t="s">
        <v>38</v>
      </c>
      <c r="C3756" s="1">
        <v>46003.49722222222</v>
      </c>
      <c r="D3756" t="s">
        <v>5639</v>
      </c>
    </row>
    <row r="3757" spans="1:4" x14ac:dyDescent="0.25">
      <c r="A3757" t="s">
        <v>153</v>
      </c>
      <c r="B3757" t="s">
        <v>38</v>
      </c>
      <c r="C3757" s="1">
        <v>46007.507638888892</v>
      </c>
      <c r="D3757" t="s">
        <v>5639</v>
      </c>
    </row>
    <row r="3758" spans="1:4" x14ac:dyDescent="0.25">
      <c r="A3758" t="s">
        <v>171</v>
      </c>
      <c r="B3758" t="s">
        <v>38</v>
      </c>
      <c r="C3758" s="1">
        <v>46036.54791666667</v>
      </c>
      <c r="D3758" t="s">
        <v>5639</v>
      </c>
    </row>
    <row r="3759" spans="1:4" x14ac:dyDescent="0.25">
      <c r="A3759" t="s">
        <v>170</v>
      </c>
      <c r="B3759" t="s">
        <v>38</v>
      </c>
      <c r="C3759" s="1">
        <v>46007.520138888889</v>
      </c>
      <c r="D3759" t="s">
        <v>5639</v>
      </c>
    </row>
    <row r="3760" spans="1:4" x14ac:dyDescent="0.25">
      <c r="A3760" t="s">
        <v>169</v>
      </c>
      <c r="B3760" t="s">
        <v>39</v>
      </c>
      <c r="C3760" s="1">
        <v>46029.736111111109</v>
      </c>
      <c r="D3760" t="s">
        <v>5639</v>
      </c>
    </row>
    <row r="3761" spans="1:4" x14ac:dyDescent="0.25">
      <c r="A3761" t="s">
        <v>166</v>
      </c>
      <c r="B3761" t="s">
        <v>39</v>
      </c>
      <c r="C3761" s="1">
        <v>46029.736111111109</v>
      </c>
      <c r="D3761" t="s">
        <v>5639</v>
      </c>
    </row>
    <row r="3762" spans="1:4" x14ac:dyDescent="0.25">
      <c r="A3762" t="s">
        <v>165</v>
      </c>
      <c r="B3762" t="s">
        <v>38</v>
      </c>
      <c r="C3762" s="1">
        <v>46009.503472222219</v>
      </c>
      <c r="D3762" t="s">
        <v>5639</v>
      </c>
    </row>
    <row r="3763" spans="1:4" x14ac:dyDescent="0.25">
      <c r="A3763" t="s">
        <v>179</v>
      </c>
      <c r="B3763" t="s">
        <v>38</v>
      </c>
      <c r="C3763" s="1">
        <v>46007.617361111108</v>
      </c>
      <c r="D3763" t="s">
        <v>5639</v>
      </c>
    </row>
    <row r="3764" spans="1:4" x14ac:dyDescent="0.25">
      <c r="A3764" t="s">
        <v>181</v>
      </c>
      <c r="B3764" t="s">
        <v>39</v>
      </c>
      <c r="C3764" s="1">
        <v>46029.73541666667</v>
      </c>
      <c r="D3764" t="s">
        <v>5639</v>
      </c>
    </row>
    <row r="3765" spans="1:4" x14ac:dyDescent="0.25">
      <c r="A3765" t="s">
        <v>180</v>
      </c>
      <c r="B3765" t="s">
        <v>39</v>
      </c>
      <c r="C3765" s="1">
        <v>46004.99722222222</v>
      </c>
      <c r="D3765" t="s">
        <v>5639</v>
      </c>
    </row>
    <row r="3766" spans="1:4" x14ac:dyDescent="0.25">
      <c r="A3766" t="s">
        <v>187</v>
      </c>
      <c r="B3766" t="s">
        <v>38</v>
      </c>
      <c r="C3766" s="1">
        <v>46006.461805555555</v>
      </c>
      <c r="D3766" t="s">
        <v>5639</v>
      </c>
    </row>
    <row r="3767" spans="1:4" x14ac:dyDescent="0.25">
      <c r="A3767" t="s">
        <v>186</v>
      </c>
      <c r="B3767" t="s">
        <v>39</v>
      </c>
      <c r="C3767" s="1">
        <v>46029.73541666667</v>
      </c>
      <c r="D3767" t="s">
        <v>5639</v>
      </c>
    </row>
    <row r="3768" spans="1:4" x14ac:dyDescent="0.25">
      <c r="A3768" t="s">
        <v>184</v>
      </c>
      <c r="B3768" t="s">
        <v>38</v>
      </c>
      <c r="C3768" s="1">
        <v>46004.481249999997</v>
      </c>
      <c r="D3768" t="s">
        <v>5639</v>
      </c>
    </row>
    <row r="3769" spans="1:4" x14ac:dyDescent="0.25">
      <c r="A3769" t="s">
        <v>182</v>
      </c>
      <c r="B3769" t="s">
        <v>39</v>
      </c>
      <c r="C3769" s="1">
        <v>46029.73541666667</v>
      </c>
      <c r="D3769" t="s">
        <v>5639</v>
      </c>
    </row>
    <row r="3770" spans="1:4" x14ac:dyDescent="0.25">
      <c r="A3770" t="s">
        <v>194</v>
      </c>
      <c r="B3770" t="s">
        <v>38</v>
      </c>
      <c r="C3770" s="1">
        <v>46036.5625</v>
      </c>
      <c r="D3770" t="s">
        <v>5639</v>
      </c>
    </row>
    <row r="3771" spans="1:4" x14ac:dyDescent="0.25">
      <c r="A3771" t="s">
        <v>203</v>
      </c>
      <c r="B3771" t="s">
        <v>39</v>
      </c>
      <c r="C3771" s="1">
        <v>46029.734722222223</v>
      </c>
      <c r="D3771" t="s">
        <v>5639</v>
      </c>
    </row>
    <row r="3772" spans="1:4" x14ac:dyDescent="0.25">
      <c r="A3772" t="s">
        <v>196</v>
      </c>
      <c r="B3772" t="s">
        <v>39</v>
      </c>
      <c r="C3772" s="1">
        <v>46029.734722222223</v>
      </c>
      <c r="D3772" t="s">
        <v>5639</v>
      </c>
    </row>
    <row r="3773" spans="1:4" x14ac:dyDescent="0.25">
      <c r="A3773" t="s">
        <v>195</v>
      </c>
      <c r="B3773" t="s">
        <v>39</v>
      </c>
      <c r="C3773" s="1">
        <v>46030.50277777778</v>
      </c>
      <c r="D3773" t="s">
        <v>5639</v>
      </c>
    </row>
    <row r="3774" spans="1:4" x14ac:dyDescent="0.25">
      <c r="A3774" t="s">
        <v>208</v>
      </c>
      <c r="B3774" t="s">
        <v>38</v>
      </c>
      <c r="C3774" s="1">
        <v>46008.479166666664</v>
      </c>
      <c r="D3774" t="s">
        <v>5639</v>
      </c>
    </row>
    <row r="3775" spans="1:4" x14ac:dyDescent="0.25">
      <c r="A3775" t="s">
        <v>225</v>
      </c>
      <c r="B3775" t="s">
        <v>38</v>
      </c>
      <c r="C3775" s="1">
        <v>46010.465277777781</v>
      </c>
      <c r="D3775" t="s">
        <v>5639</v>
      </c>
    </row>
    <row r="3776" spans="1:4" x14ac:dyDescent="0.25">
      <c r="A3776" t="s">
        <v>223</v>
      </c>
      <c r="B3776" t="s">
        <v>39</v>
      </c>
      <c r="C3776" s="1">
        <v>46029.734027777777</v>
      </c>
      <c r="D3776" t="s">
        <v>5639</v>
      </c>
    </row>
    <row r="3777" spans="1:4" x14ac:dyDescent="0.25">
      <c r="A3777" t="s">
        <v>231</v>
      </c>
      <c r="B3777" t="s">
        <v>38</v>
      </c>
      <c r="C3777" s="1">
        <v>46027.70416666667</v>
      </c>
      <c r="D3777" t="s">
        <v>5639</v>
      </c>
    </row>
    <row r="3778" spans="1:4" x14ac:dyDescent="0.25">
      <c r="A3778" t="s">
        <v>230</v>
      </c>
      <c r="B3778" t="s">
        <v>38</v>
      </c>
      <c r="C3778" s="1">
        <v>46036.564583333333</v>
      </c>
      <c r="D3778" t="s">
        <v>5639</v>
      </c>
    </row>
    <row r="3779" spans="1:4" x14ac:dyDescent="0.25">
      <c r="A3779" t="s">
        <v>242</v>
      </c>
      <c r="B3779" t="s">
        <v>38</v>
      </c>
      <c r="C3779" s="1">
        <v>46013.518055555556</v>
      </c>
      <c r="D3779" t="s">
        <v>5639</v>
      </c>
    </row>
    <row r="3780" spans="1:4" x14ac:dyDescent="0.25">
      <c r="A3780" t="s">
        <v>241</v>
      </c>
      <c r="B3780" t="s">
        <v>38</v>
      </c>
      <c r="C3780" s="1">
        <v>46024.759722222225</v>
      </c>
      <c r="D3780" t="s">
        <v>5639</v>
      </c>
    </row>
    <row r="3781" spans="1:4" x14ac:dyDescent="0.25">
      <c r="A3781" t="s">
        <v>240</v>
      </c>
      <c r="B3781" t="s">
        <v>38</v>
      </c>
      <c r="C3781" s="1">
        <v>46010.477083333331</v>
      </c>
      <c r="D3781" t="s">
        <v>5639</v>
      </c>
    </row>
    <row r="3782" spans="1:4" x14ac:dyDescent="0.25">
      <c r="A3782" t="s">
        <v>244</v>
      </c>
      <c r="B3782" t="s">
        <v>38</v>
      </c>
      <c r="C3782" s="1">
        <v>46014.698611111111</v>
      </c>
      <c r="D3782" t="s">
        <v>5639</v>
      </c>
    </row>
    <row r="3783" spans="1:4" x14ac:dyDescent="0.25">
      <c r="A3783" t="s">
        <v>262</v>
      </c>
      <c r="B3783" t="s">
        <v>39</v>
      </c>
      <c r="C3783" s="1">
        <v>46029.734027777777</v>
      </c>
      <c r="D3783" t="s">
        <v>5639</v>
      </c>
    </row>
    <row r="3784" spans="1:4" x14ac:dyDescent="0.25">
      <c r="A3784" t="s">
        <v>261</v>
      </c>
      <c r="B3784" t="s">
        <v>38</v>
      </c>
      <c r="C3784" s="1">
        <v>46013.579861111109</v>
      </c>
      <c r="D3784" t="s">
        <v>5639</v>
      </c>
    </row>
    <row r="3785" spans="1:4" x14ac:dyDescent="0.25">
      <c r="A3785" t="s">
        <v>260</v>
      </c>
      <c r="B3785" t="s">
        <v>38</v>
      </c>
      <c r="C3785" s="1">
        <v>46014.490972222222</v>
      </c>
      <c r="D3785" t="s">
        <v>5639</v>
      </c>
    </row>
    <row r="3786" spans="1:4" x14ac:dyDescent="0.25">
      <c r="A3786" t="s">
        <v>258</v>
      </c>
      <c r="B3786" t="s">
        <v>38</v>
      </c>
      <c r="C3786" s="1">
        <v>46014.499305555553</v>
      </c>
      <c r="D3786" t="s">
        <v>5639</v>
      </c>
    </row>
    <row r="3787" spans="1:4" x14ac:dyDescent="0.25">
      <c r="A3787" t="s">
        <v>272</v>
      </c>
      <c r="B3787" t="s">
        <v>38</v>
      </c>
      <c r="C3787" s="1">
        <v>46017.631249999999</v>
      </c>
      <c r="D3787" t="s">
        <v>5639</v>
      </c>
    </row>
    <row r="3788" spans="1:4" x14ac:dyDescent="0.25">
      <c r="A3788" t="s">
        <v>271</v>
      </c>
      <c r="B3788" t="s">
        <v>39</v>
      </c>
      <c r="C3788" s="1">
        <v>46034.535416666666</v>
      </c>
      <c r="D3788" t="s">
        <v>5639</v>
      </c>
    </row>
    <row r="3789" spans="1:4" x14ac:dyDescent="0.25">
      <c r="A3789" t="s">
        <v>270</v>
      </c>
      <c r="B3789" t="s">
        <v>38</v>
      </c>
      <c r="C3789" s="1">
        <v>46014.503472222219</v>
      </c>
      <c r="D3789" t="s">
        <v>5639</v>
      </c>
    </row>
    <row r="3790" spans="1:4" x14ac:dyDescent="0.25">
      <c r="A3790" t="s">
        <v>269</v>
      </c>
      <c r="B3790" t="s">
        <v>39</v>
      </c>
      <c r="C3790" s="1">
        <v>46029.73333333333</v>
      </c>
      <c r="D3790" t="s">
        <v>5639</v>
      </c>
    </row>
    <row r="3791" spans="1:4" x14ac:dyDescent="0.25">
      <c r="A3791" t="s">
        <v>274</v>
      </c>
      <c r="B3791" t="s">
        <v>38</v>
      </c>
      <c r="C3791" s="1">
        <v>46014.479166666664</v>
      </c>
      <c r="D3791" t="s">
        <v>5639</v>
      </c>
    </row>
    <row r="3792" spans="1:4" x14ac:dyDescent="0.25">
      <c r="A3792" t="s">
        <v>280</v>
      </c>
      <c r="B3792" t="s">
        <v>39</v>
      </c>
      <c r="C3792" s="1">
        <v>46029.732638888891</v>
      </c>
      <c r="D3792" t="s">
        <v>5639</v>
      </c>
    </row>
    <row r="3793" spans="1:4" x14ac:dyDescent="0.25">
      <c r="A3793" t="s">
        <v>293</v>
      </c>
      <c r="B3793" t="s">
        <v>38</v>
      </c>
      <c r="C3793" s="1">
        <v>46018.561111111114</v>
      </c>
      <c r="D3793" t="s">
        <v>5639</v>
      </c>
    </row>
    <row r="3794" spans="1:4" x14ac:dyDescent="0.25">
      <c r="A3794" t="s">
        <v>292</v>
      </c>
      <c r="B3794" t="s">
        <v>38</v>
      </c>
      <c r="C3794" s="1">
        <v>46022.741666666669</v>
      </c>
      <c r="D3794" t="s">
        <v>5639</v>
      </c>
    </row>
    <row r="3795" spans="1:4" x14ac:dyDescent="0.25">
      <c r="A3795" t="s">
        <v>290</v>
      </c>
      <c r="B3795" t="s">
        <v>38</v>
      </c>
      <c r="C3795" s="1">
        <v>46017.663888888892</v>
      </c>
      <c r="D3795" t="s">
        <v>5639</v>
      </c>
    </row>
    <row r="3796" spans="1:4" x14ac:dyDescent="0.25">
      <c r="A3796" t="s">
        <v>938</v>
      </c>
      <c r="B3796" t="s">
        <v>38</v>
      </c>
      <c r="C3796" s="1">
        <v>46079.59097222222</v>
      </c>
      <c r="D3796" t="s">
        <v>5639</v>
      </c>
    </row>
    <row r="3797" spans="1:4" x14ac:dyDescent="0.25">
      <c r="A3797" t="s">
        <v>300</v>
      </c>
      <c r="B3797" t="s">
        <v>38</v>
      </c>
      <c r="C3797" s="1">
        <v>46034.67083333333</v>
      </c>
      <c r="D3797" t="s">
        <v>5639</v>
      </c>
    </row>
    <row r="3798" spans="1:4" x14ac:dyDescent="0.25">
      <c r="A3798" t="s">
        <v>298</v>
      </c>
      <c r="B3798" t="s">
        <v>39</v>
      </c>
      <c r="C3798" s="1">
        <v>46029.731944444444</v>
      </c>
      <c r="D3798" t="s">
        <v>5639</v>
      </c>
    </row>
    <row r="3799" spans="1:4" x14ac:dyDescent="0.25">
      <c r="A3799" t="s">
        <v>297</v>
      </c>
      <c r="B3799" t="s">
        <v>38</v>
      </c>
      <c r="C3799" s="1">
        <v>46036.554861111108</v>
      </c>
      <c r="D3799" t="s">
        <v>5639</v>
      </c>
    </row>
    <row r="3800" spans="1:4" x14ac:dyDescent="0.25">
      <c r="A3800" t="s">
        <v>311</v>
      </c>
      <c r="B3800" t="s">
        <v>38</v>
      </c>
      <c r="C3800" s="1">
        <v>46036.565972222219</v>
      </c>
      <c r="D3800" t="s">
        <v>5639</v>
      </c>
    </row>
    <row r="3801" spans="1:4" x14ac:dyDescent="0.25">
      <c r="A3801" t="s">
        <v>307</v>
      </c>
      <c r="B3801" t="s">
        <v>38</v>
      </c>
      <c r="C3801" s="1">
        <v>46020.51666666667</v>
      </c>
      <c r="D3801" t="s">
        <v>5639</v>
      </c>
    </row>
    <row r="3802" spans="1:4" x14ac:dyDescent="0.25">
      <c r="A3802" t="s">
        <v>306</v>
      </c>
      <c r="B3802" t="s">
        <v>38</v>
      </c>
      <c r="C3802" s="1">
        <v>46022.574305555558</v>
      </c>
      <c r="D3802" t="s">
        <v>5639</v>
      </c>
    </row>
    <row r="3803" spans="1:4" x14ac:dyDescent="0.25">
      <c r="A3803" t="s">
        <v>304</v>
      </c>
      <c r="B3803" t="s">
        <v>38</v>
      </c>
      <c r="C3803" s="1">
        <v>46021.631249999999</v>
      </c>
      <c r="D3803" t="s">
        <v>5639</v>
      </c>
    </row>
    <row r="3804" spans="1:4" x14ac:dyDescent="0.25">
      <c r="A3804" t="s">
        <v>303</v>
      </c>
      <c r="B3804" t="s">
        <v>38</v>
      </c>
      <c r="C3804" s="1">
        <v>46036.555555555555</v>
      </c>
      <c r="D3804" t="s">
        <v>5639</v>
      </c>
    </row>
    <row r="3805" spans="1:4" x14ac:dyDescent="0.25">
      <c r="A3805" t="s">
        <v>319</v>
      </c>
      <c r="B3805" t="s">
        <v>38</v>
      </c>
      <c r="C3805" s="1">
        <v>46022.55</v>
      </c>
      <c r="D3805" t="s">
        <v>5639</v>
      </c>
    </row>
    <row r="3806" spans="1:4" x14ac:dyDescent="0.25">
      <c r="A3806" t="s">
        <v>323</v>
      </c>
      <c r="B3806" t="s">
        <v>38</v>
      </c>
      <c r="C3806" s="1">
        <v>46036.556944444441</v>
      </c>
      <c r="D3806" t="s">
        <v>5639</v>
      </c>
    </row>
    <row r="3807" spans="1:4" x14ac:dyDescent="0.25">
      <c r="A3807" t="s">
        <v>322</v>
      </c>
      <c r="B3807" t="s">
        <v>38</v>
      </c>
      <c r="C3807" s="1">
        <v>46025.508333333331</v>
      </c>
      <c r="D3807" t="s">
        <v>5639</v>
      </c>
    </row>
    <row r="3808" spans="1:4" x14ac:dyDescent="0.25">
      <c r="A3808" t="s">
        <v>327</v>
      </c>
      <c r="B3808" t="s">
        <v>39</v>
      </c>
      <c r="C3808" s="1">
        <v>46050.435416666667</v>
      </c>
      <c r="D3808" t="s">
        <v>5639</v>
      </c>
    </row>
    <row r="3809" spans="1:4" x14ac:dyDescent="0.25">
      <c r="A3809" t="s">
        <v>326</v>
      </c>
      <c r="B3809" t="s">
        <v>38</v>
      </c>
      <c r="C3809" s="1">
        <v>46024.522916666669</v>
      </c>
      <c r="D3809" t="s">
        <v>5639</v>
      </c>
    </row>
    <row r="3810" spans="1:4" x14ac:dyDescent="0.25">
      <c r="A3810" t="s">
        <v>328</v>
      </c>
      <c r="B3810" t="s">
        <v>39</v>
      </c>
      <c r="C3810" s="1">
        <v>46034.536111111112</v>
      </c>
      <c r="D3810" t="s">
        <v>5639</v>
      </c>
    </row>
    <row r="3811" spans="1:4" x14ac:dyDescent="0.25">
      <c r="A3811" t="s">
        <v>338</v>
      </c>
      <c r="B3811" t="s">
        <v>38</v>
      </c>
      <c r="C3811" s="1">
        <v>46024.527083333334</v>
      </c>
      <c r="D3811" t="s">
        <v>5639</v>
      </c>
    </row>
    <row r="3812" spans="1:4" x14ac:dyDescent="0.25">
      <c r="A3812" t="s">
        <v>345</v>
      </c>
      <c r="B3812" t="s">
        <v>38</v>
      </c>
      <c r="C3812" s="1">
        <v>46029.464583333334</v>
      </c>
      <c r="D3812" t="s">
        <v>5639</v>
      </c>
    </row>
    <row r="3813" spans="1:4" x14ac:dyDescent="0.25">
      <c r="A3813" t="s">
        <v>344</v>
      </c>
      <c r="B3813" t="s">
        <v>39</v>
      </c>
      <c r="C3813" s="1">
        <v>46034.690972222219</v>
      </c>
      <c r="D3813" t="s">
        <v>5639</v>
      </c>
    </row>
    <row r="3814" spans="1:4" x14ac:dyDescent="0.25">
      <c r="A3814" t="s">
        <v>343</v>
      </c>
      <c r="B3814" t="s">
        <v>38</v>
      </c>
      <c r="C3814" s="1">
        <v>46050.547222222223</v>
      </c>
      <c r="D3814" t="s">
        <v>5639</v>
      </c>
    </row>
    <row r="3815" spans="1:4" x14ac:dyDescent="0.25">
      <c r="A3815" t="s">
        <v>341</v>
      </c>
      <c r="B3815" t="s">
        <v>38</v>
      </c>
      <c r="C3815" s="1">
        <v>46029.490277777775</v>
      </c>
      <c r="D3815" t="s">
        <v>5639</v>
      </c>
    </row>
    <row r="3816" spans="1:4" x14ac:dyDescent="0.25">
      <c r="A3816" t="s">
        <v>352</v>
      </c>
      <c r="B3816" t="s">
        <v>38</v>
      </c>
      <c r="C3816" s="1">
        <v>46039.673611111109</v>
      </c>
      <c r="D3816" t="s">
        <v>5639</v>
      </c>
    </row>
    <row r="3817" spans="1:4" x14ac:dyDescent="0.25">
      <c r="A3817" t="s">
        <v>364</v>
      </c>
      <c r="B3817" t="s">
        <v>38</v>
      </c>
      <c r="C3817" s="1">
        <v>46029.496527777781</v>
      </c>
      <c r="D3817" t="s">
        <v>5639</v>
      </c>
    </row>
    <row r="3818" spans="1:4" x14ac:dyDescent="0.25">
      <c r="A3818" t="s">
        <v>363</v>
      </c>
      <c r="B3818" t="s">
        <v>38</v>
      </c>
      <c r="C3818" s="1">
        <v>46029.500694444447</v>
      </c>
      <c r="D3818" t="s">
        <v>5639</v>
      </c>
    </row>
    <row r="3819" spans="1:4" x14ac:dyDescent="0.25">
      <c r="A3819" t="s">
        <v>928</v>
      </c>
      <c r="B3819" t="s">
        <v>35</v>
      </c>
      <c r="C3819" s="1">
        <v>46078.698611111111</v>
      </c>
      <c r="D3819" t="s">
        <v>5639</v>
      </c>
    </row>
    <row r="3820" spans="1:4" x14ac:dyDescent="0.25">
      <c r="A3820" t="s">
        <v>929</v>
      </c>
      <c r="B3820" t="s">
        <v>38</v>
      </c>
      <c r="C3820" s="1">
        <v>46079.586111111108</v>
      </c>
      <c r="D3820" t="s">
        <v>5639</v>
      </c>
    </row>
    <row r="3821" spans="1:4" x14ac:dyDescent="0.25">
      <c r="A3821" t="s">
        <v>371</v>
      </c>
      <c r="B3821" t="s">
        <v>38</v>
      </c>
      <c r="C3821" s="1">
        <v>46057.541666666664</v>
      </c>
      <c r="D3821" t="s">
        <v>5639</v>
      </c>
    </row>
    <row r="3822" spans="1:4" x14ac:dyDescent="0.25">
      <c r="A3822" t="s">
        <v>374</v>
      </c>
      <c r="B3822" t="s">
        <v>38</v>
      </c>
      <c r="C3822" s="1">
        <v>46032.595833333333</v>
      </c>
      <c r="D3822" t="s">
        <v>5639</v>
      </c>
    </row>
    <row r="3823" spans="1:4" x14ac:dyDescent="0.25">
      <c r="A3823" t="s">
        <v>395</v>
      </c>
      <c r="B3823" t="s">
        <v>38</v>
      </c>
      <c r="C3823" s="1">
        <v>46039.556944444441</v>
      </c>
      <c r="D3823" t="s">
        <v>5639</v>
      </c>
    </row>
    <row r="3824" spans="1:4" x14ac:dyDescent="0.25">
      <c r="A3824" t="s">
        <v>411</v>
      </c>
      <c r="B3824" t="s">
        <v>38</v>
      </c>
      <c r="C3824" s="1">
        <v>46031.534722222219</v>
      </c>
      <c r="D3824" t="s">
        <v>5639</v>
      </c>
    </row>
    <row r="3825" spans="1:4" x14ac:dyDescent="0.25">
      <c r="A3825" t="s">
        <v>408</v>
      </c>
      <c r="B3825" t="s">
        <v>39</v>
      </c>
      <c r="C3825" s="1">
        <v>46042.761111111111</v>
      </c>
      <c r="D3825" t="s">
        <v>5639</v>
      </c>
    </row>
    <row r="3826" spans="1:4" x14ac:dyDescent="0.25">
      <c r="A3826" t="s">
        <v>407</v>
      </c>
      <c r="B3826" t="s">
        <v>38</v>
      </c>
      <c r="C3826" s="1">
        <v>46057.542361111111</v>
      </c>
      <c r="D3826" t="s">
        <v>5639</v>
      </c>
    </row>
    <row r="3827" spans="1:4" x14ac:dyDescent="0.25">
      <c r="A3827" t="s">
        <v>406</v>
      </c>
      <c r="B3827" t="s">
        <v>38</v>
      </c>
      <c r="C3827" s="1">
        <v>46039.700694444444</v>
      </c>
      <c r="D3827" t="s">
        <v>5639</v>
      </c>
    </row>
    <row r="3828" spans="1:4" x14ac:dyDescent="0.25">
      <c r="A3828" t="s">
        <v>403</v>
      </c>
      <c r="B3828" t="s">
        <v>38</v>
      </c>
      <c r="C3828" s="1">
        <v>46039.554166666669</v>
      </c>
      <c r="D3828" t="s">
        <v>5639</v>
      </c>
    </row>
    <row r="3829" spans="1:4" x14ac:dyDescent="0.25">
      <c r="A3829" t="s">
        <v>399</v>
      </c>
      <c r="B3829" t="s">
        <v>38</v>
      </c>
      <c r="C3829" s="1">
        <v>46034.533333333333</v>
      </c>
      <c r="D3829" t="s">
        <v>5639</v>
      </c>
    </row>
    <row r="3830" spans="1:4" x14ac:dyDescent="0.25">
      <c r="A3830" t="s">
        <v>398</v>
      </c>
      <c r="B3830" t="s">
        <v>39</v>
      </c>
      <c r="C3830" s="1">
        <v>46030.701388888891</v>
      </c>
      <c r="D3830" t="s">
        <v>5639</v>
      </c>
    </row>
    <row r="3831" spans="1:4" x14ac:dyDescent="0.25">
      <c r="A3831" t="s">
        <v>419</v>
      </c>
      <c r="B3831" t="s">
        <v>38</v>
      </c>
      <c r="C3831" s="1">
        <v>46035.566666666666</v>
      </c>
      <c r="D3831" t="s">
        <v>5639</v>
      </c>
    </row>
    <row r="3832" spans="1:4" x14ac:dyDescent="0.25">
      <c r="A3832" t="s">
        <v>417</v>
      </c>
      <c r="B3832" t="s">
        <v>38</v>
      </c>
      <c r="C3832" s="1">
        <v>46039.549305555556</v>
      </c>
      <c r="D3832" t="s">
        <v>5639</v>
      </c>
    </row>
    <row r="3833" spans="1:4" x14ac:dyDescent="0.25">
      <c r="A3833" t="s">
        <v>416</v>
      </c>
      <c r="B3833" t="s">
        <v>38</v>
      </c>
      <c r="C3833" s="1">
        <v>46034.54583333333</v>
      </c>
      <c r="D3833" t="s">
        <v>5639</v>
      </c>
    </row>
    <row r="3834" spans="1:4" x14ac:dyDescent="0.25">
      <c r="A3834" t="s">
        <v>425</v>
      </c>
      <c r="B3834" t="s">
        <v>38</v>
      </c>
      <c r="C3834" s="1">
        <v>46039.684027777781</v>
      </c>
      <c r="D3834" t="s">
        <v>5639</v>
      </c>
    </row>
    <row r="3835" spans="1:4" x14ac:dyDescent="0.25">
      <c r="A3835" t="s">
        <v>427</v>
      </c>
      <c r="B3835" t="s">
        <v>38</v>
      </c>
      <c r="C3835" s="1">
        <v>46049.512499999997</v>
      </c>
      <c r="D3835" t="s">
        <v>5639</v>
      </c>
    </row>
    <row r="3836" spans="1:4" x14ac:dyDescent="0.25">
      <c r="A3836" t="s">
        <v>436</v>
      </c>
      <c r="B3836" t="s">
        <v>38</v>
      </c>
      <c r="C3836" s="1">
        <v>46037.535416666666</v>
      </c>
      <c r="D3836" t="s">
        <v>5639</v>
      </c>
    </row>
    <row r="3837" spans="1:4" x14ac:dyDescent="0.25">
      <c r="A3837" t="s">
        <v>435</v>
      </c>
      <c r="B3837" t="s">
        <v>38</v>
      </c>
      <c r="C3837" s="1">
        <v>46039.546527777777</v>
      </c>
      <c r="D3837" t="s">
        <v>5639</v>
      </c>
    </row>
    <row r="3838" spans="1:4" x14ac:dyDescent="0.25">
      <c r="A3838" t="s">
        <v>445</v>
      </c>
      <c r="B3838" t="s">
        <v>38</v>
      </c>
      <c r="C3838" s="1">
        <v>46039.544444444444</v>
      </c>
      <c r="D3838" t="s">
        <v>5639</v>
      </c>
    </row>
    <row r="3839" spans="1:4" x14ac:dyDescent="0.25">
      <c r="A3839" t="s">
        <v>918</v>
      </c>
      <c r="B3839" t="s">
        <v>38</v>
      </c>
      <c r="C3839" s="1">
        <v>46077.479861111111</v>
      </c>
      <c r="D3839" t="s">
        <v>5639</v>
      </c>
    </row>
    <row r="3840" spans="1:4" x14ac:dyDescent="0.25">
      <c r="A3840" t="s">
        <v>439</v>
      </c>
      <c r="B3840" t="s">
        <v>38</v>
      </c>
      <c r="C3840" s="1">
        <v>46036.527777777781</v>
      </c>
      <c r="D3840" t="s">
        <v>5639</v>
      </c>
    </row>
    <row r="3841" spans="1:4" x14ac:dyDescent="0.25">
      <c r="A3841" t="s">
        <v>437</v>
      </c>
      <c r="B3841" t="s">
        <v>38</v>
      </c>
      <c r="C3841" s="1">
        <v>46039.70208333333</v>
      </c>
      <c r="D3841" t="s">
        <v>5639</v>
      </c>
    </row>
    <row r="3842" spans="1:4" x14ac:dyDescent="0.25">
      <c r="A3842" t="s">
        <v>457</v>
      </c>
      <c r="B3842" t="s">
        <v>38</v>
      </c>
      <c r="C3842" s="1">
        <v>46039.686805555553</v>
      </c>
      <c r="D3842" t="s">
        <v>5639</v>
      </c>
    </row>
    <row r="3843" spans="1:4" x14ac:dyDescent="0.25">
      <c r="A3843" t="s">
        <v>456</v>
      </c>
      <c r="B3843" t="s">
        <v>39</v>
      </c>
      <c r="C3843" s="1">
        <v>46049.484722222223</v>
      </c>
      <c r="D3843" t="s">
        <v>5639</v>
      </c>
    </row>
    <row r="3844" spans="1:4" x14ac:dyDescent="0.25">
      <c r="A3844" t="s">
        <v>463</v>
      </c>
      <c r="B3844" t="s">
        <v>38</v>
      </c>
      <c r="C3844" s="1">
        <v>46043.510416666664</v>
      </c>
      <c r="D3844" t="s">
        <v>5639</v>
      </c>
    </row>
    <row r="3845" spans="1:4" x14ac:dyDescent="0.25">
      <c r="A3845" t="s">
        <v>461</v>
      </c>
      <c r="B3845" t="s">
        <v>39</v>
      </c>
      <c r="C3845" s="1">
        <v>46050.427777777775</v>
      </c>
      <c r="D3845" t="s">
        <v>5639</v>
      </c>
    </row>
    <row r="3846" spans="1:4" x14ac:dyDescent="0.25">
      <c r="A3846" t="s">
        <v>466</v>
      </c>
      <c r="B3846" t="s">
        <v>38</v>
      </c>
      <c r="C3846" s="1">
        <v>46042.542361111111</v>
      </c>
      <c r="D3846" t="s">
        <v>5639</v>
      </c>
    </row>
    <row r="3847" spans="1:4" x14ac:dyDescent="0.25">
      <c r="A3847" t="s">
        <v>469</v>
      </c>
      <c r="B3847" t="s">
        <v>38</v>
      </c>
      <c r="C3847" s="1">
        <v>46043.520833333336</v>
      </c>
      <c r="D3847" t="s">
        <v>5639</v>
      </c>
    </row>
    <row r="3848" spans="1:4" x14ac:dyDescent="0.25">
      <c r="A3848" t="s">
        <v>483</v>
      </c>
      <c r="B3848" t="s">
        <v>38</v>
      </c>
      <c r="C3848" s="1">
        <v>46042.570833333331</v>
      </c>
      <c r="D3848" t="s">
        <v>5639</v>
      </c>
    </row>
    <row r="3849" spans="1:4" x14ac:dyDescent="0.25">
      <c r="A3849" t="s">
        <v>476</v>
      </c>
      <c r="B3849" t="s">
        <v>39</v>
      </c>
      <c r="C3849" s="1">
        <v>46041.443749999999</v>
      </c>
      <c r="D3849" t="s">
        <v>5639</v>
      </c>
    </row>
    <row r="3850" spans="1:4" x14ac:dyDescent="0.25">
      <c r="A3850" t="s">
        <v>474</v>
      </c>
      <c r="B3850" t="s">
        <v>38</v>
      </c>
      <c r="C3850" s="1">
        <v>46042.57708333333</v>
      </c>
      <c r="D3850" t="s">
        <v>5639</v>
      </c>
    </row>
    <row r="3851" spans="1:4" x14ac:dyDescent="0.25">
      <c r="A3851" t="s">
        <v>488</v>
      </c>
      <c r="B3851" t="s">
        <v>38</v>
      </c>
      <c r="C3851" s="1">
        <v>46043.660416666666</v>
      </c>
      <c r="D3851" t="s">
        <v>5639</v>
      </c>
    </row>
    <row r="3852" spans="1:4" x14ac:dyDescent="0.25">
      <c r="A3852" t="s">
        <v>926</v>
      </c>
      <c r="B3852" t="s">
        <v>1129</v>
      </c>
      <c r="C3852" s="1">
        <v>46079.827777777777</v>
      </c>
      <c r="D3852" t="s">
        <v>5639</v>
      </c>
    </row>
    <row r="3853" spans="1:4" x14ac:dyDescent="0.25">
      <c r="A3853" t="s">
        <v>471</v>
      </c>
      <c r="B3853" t="s">
        <v>39</v>
      </c>
      <c r="C3853" s="1">
        <v>46049.511111111111</v>
      </c>
      <c r="D3853" t="s">
        <v>5639</v>
      </c>
    </row>
    <row r="3854" spans="1:4" x14ac:dyDescent="0.25">
      <c r="A3854" t="s">
        <v>509</v>
      </c>
      <c r="B3854" t="s">
        <v>38</v>
      </c>
      <c r="C3854" s="1">
        <v>46042.431944444441</v>
      </c>
      <c r="D3854" t="s">
        <v>5639</v>
      </c>
    </row>
    <row r="3855" spans="1:4" x14ac:dyDescent="0.25">
      <c r="A3855" t="s">
        <v>502</v>
      </c>
      <c r="B3855" t="s">
        <v>39</v>
      </c>
      <c r="C3855" s="1">
        <v>46056.526388888888</v>
      </c>
      <c r="D3855" t="s">
        <v>5639</v>
      </c>
    </row>
    <row r="3856" spans="1:4" x14ac:dyDescent="0.25">
      <c r="A3856" t="s">
        <v>496</v>
      </c>
      <c r="B3856" t="s">
        <v>38</v>
      </c>
      <c r="C3856" s="1">
        <v>46044.525000000001</v>
      </c>
      <c r="D3856" t="s">
        <v>5639</v>
      </c>
    </row>
    <row r="3857" spans="1:4" x14ac:dyDescent="0.25">
      <c r="A3857" t="s">
        <v>522</v>
      </c>
      <c r="B3857" t="s">
        <v>38</v>
      </c>
      <c r="C3857" s="1">
        <v>46063.48333333333</v>
      </c>
      <c r="D3857" t="s">
        <v>5639</v>
      </c>
    </row>
    <row r="3858" spans="1:4" x14ac:dyDescent="0.25">
      <c r="A3858" t="s">
        <v>515</v>
      </c>
      <c r="B3858" t="s">
        <v>39</v>
      </c>
      <c r="C3858" s="1">
        <v>46053.486111111109</v>
      </c>
      <c r="D3858" t="s">
        <v>5639</v>
      </c>
    </row>
    <row r="3859" spans="1:4" x14ac:dyDescent="0.25">
      <c r="A3859" t="s">
        <v>541</v>
      </c>
      <c r="B3859" t="s">
        <v>38</v>
      </c>
      <c r="C3859" s="1">
        <v>46044.532638888886</v>
      </c>
      <c r="D3859" t="s">
        <v>5639</v>
      </c>
    </row>
    <row r="3860" spans="1:4" x14ac:dyDescent="0.25">
      <c r="A3860" t="s">
        <v>538</v>
      </c>
      <c r="B3860" t="s">
        <v>38</v>
      </c>
      <c r="C3860" s="1">
        <v>46051.693055555559</v>
      </c>
      <c r="D3860" t="s">
        <v>5639</v>
      </c>
    </row>
    <row r="3861" spans="1:4" x14ac:dyDescent="0.25">
      <c r="A3861" t="s">
        <v>534</v>
      </c>
      <c r="B3861" t="s">
        <v>38</v>
      </c>
      <c r="C3861" s="1">
        <v>46049.486111111109</v>
      </c>
      <c r="D3861" t="s">
        <v>5639</v>
      </c>
    </row>
    <row r="3862" spans="1:4" x14ac:dyDescent="0.25">
      <c r="A3862" t="s">
        <v>533</v>
      </c>
      <c r="B3862" t="s">
        <v>38</v>
      </c>
      <c r="C3862" s="1">
        <v>46046.622916666667</v>
      </c>
      <c r="D3862" t="s">
        <v>5639</v>
      </c>
    </row>
    <row r="3863" spans="1:4" x14ac:dyDescent="0.25">
      <c r="A3863" t="s">
        <v>532</v>
      </c>
      <c r="B3863" t="s">
        <v>38</v>
      </c>
      <c r="C3863" s="1">
        <v>46046.611805555556</v>
      </c>
      <c r="D3863" t="s">
        <v>5639</v>
      </c>
    </row>
    <row r="3864" spans="1:4" x14ac:dyDescent="0.25">
      <c r="A3864" t="s">
        <v>554</v>
      </c>
      <c r="B3864" t="s">
        <v>38</v>
      </c>
      <c r="C3864" s="1">
        <v>46049.569444444445</v>
      </c>
      <c r="D3864" t="s">
        <v>5639</v>
      </c>
    </row>
    <row r="3865" spans="1:4" x14ac:dyDescent="0.25">
      <c r="A3865" t="s">
        <v>556</v>
      </c>
      <c r="B3865" t="s">
        <v>38</v>
      </c>
      <c r="C3865" s="1">
        <v>46049.698611111111</v>
      </c>
      <c r="D3865" t="s">
        <v>5639</v>
      </c>
    </row>
    <row r="3866" spans="1:4" x14ac:dyDescent="0.25">
      <c r="A3866" t="s">
        <v>580</v>
      </c>
      <c r="B3866" t="s">
        <v>38</v>
      </c>
      <c r="C3866" s="1">
        <v>46051.504861111112</v>
      </c>
      <c r="D3866" t="s">
        <v>5639</v>
      </c>
    </row>
    <row r="3867" spans="1:4" x14ac:dyDescent="0.25">
      <c r="A3867" t="s">
        <v>579</v>
      </c>
      <c r="B3867" t="s">
        <v>39</v>
      </c>
      <c r="C3867" s="1">
        <v>46053.61041666667</v>
      </c>
      <c r="D3867" t="s">
        <v>5639</v>
      </c>
    </row>
    <row r="3868" spans="1:4" x14ac:dyDescent="0.25">
      <c r="A3868" t="s">
        <v>573</v>
      </c>
      <c r="B3868" t="s">
        <v>38</v>
      </c>
      <c r="C3868" s="1">
        <v>46052.675694444442</v>
      </c>
      <c r="D3868" t="s">
        <v>5639</v>
      </c>
    </row>
    <row r="3869" spans="1:4" x14ac:dyDescent="0.25">
      <c r="A3869" t="s">
        <v>572</v>
      </c>
      <c r="B3869" t="s">
        <v>38</v>
      </c>
      <c r="C3869" s="1">
        <v>46050.546527777777</v>
      </c>
      <c r="D3869" t="s">
        <v>5639</v>
      </c>
    </row>
    <row r="3870" spans="1:4" x14ac:dyDescent="0.25">
      <c r="A3870" t="s">
        <v>594</v>
      </c>
      <c r="B3870" t="s">
        <v>38</v>
      </c>
      <c r="C3870" s="1">
        <v>46050.458333333336</v>
      </c>
      <c r="D3870" t="s">
        <v>5639</v>
      </c>
    </row>
    <row r="3871" spans="1:4" x14ac:dyDescent="0.25">
      <c r="A3871" t="s">
        <v>597</v>
      </c>
      <c r="B3871" t="s">
        <v>38</v>
      </c>
      <c r="C3871" s="1">
        <v>46058.856249999997</v>
      </c>
      <c r="D3871" t="s">
        <v>5639</v>
      </c>
    </row>
    <row r="3872" spans="1:4" x14ac:dyDescent="0.25">
      <c r="A3872" t="s">
        <v>613</v>
      </c>
      <c r="B3872" t="s">
        <v>39</v>
      </c>
      <c r="C3872" s="1">
        <v>46062.604166666664</v>
      </c>
      <c r="D3872" t="s">
        <v>5639</v>
      </c>
    </row>
    <row r="3873" spans="1:4" x14ac:dyDescent="0.25">
      <c r="A3873" t="s">
        <v>612</v>
      </c>
      <c r="B3873" t="s">
        <v>38</v>
      </c>
      <c r="C3873" s="1">
        <v>46077.473611111112</v>
      </c>
      <c r="D3873" t="s">
        <v>5639</v>
      </c>
    </row>
    <row r="3874" spans="1:4" x14ac:dyDescent="0.25">
      <c r="A3874" t="s">
        <v>611</v>
      </c>
      <c r="B3874" t="s">
        <v>38</v>
      </c>
      <c r="C3874" s="1">
        <v>46066.530555555553</v>
      </c>
      <c r="D3874" t="s">
        <v>5639</v>
      </c>
    </row>
    <row r="3875" spans="1:4" x14ac:dyDescent="0.25">
      <c r="A3875" t="s">
        <v>610</v>
      </c>
      <c r="B3875" t="s">
        <v>39</v>
      </c>
      <c r="C3875" s="1">
        <v>46066.440972222219</v>
      </c>
      <c r="D3875" t="s">
        <v>5639</v>
      </c>
    </row>
    <row r="3876" spans="1:4" x14ac:dyDescent="0.25">
      <c r="A3876" t="s">
        <v>907</v>
      </c>
      <c r="B3876" t="s">
        <v>39</v>
      </c>
      <c r="C3876" s="1">
        <v>46079.388888888891</v>
      </c>
      <c r="D3876" t="s">
        <v>5639</v>
      </c>
    </row>
    <row r="3877" spans="1:4" x14ac:dyDescent="0.25">
      <c r="A3877" t="s">
        <v>602</v>
      </c>
      <c r="B3877" t="s">
        <v>38</v>
      </c>
      <c r="C3877" s="1">
        <v>46052.543749999997</v>
      </c>
      <c r="D3877" t="s">
        <v>5639</v>
      </c>
    </row>
    <row r="3878" spans="1:4" x14ac:dyDescent="0.25">
      <c r="A3878" t="s">
        <v>908</v>
      </c>
      <c r="B3878" t="s">
        <v>38</v>
      </c>
      <c r="C3878" s="1">
        <v>46074.479166666664</v>
      </c>
      <c r="D3878" t="s">
        <v>5639</v>
      </c>
    </row>
    <row r="3879" spans="1:4" x14ac:dyDescent="0.25">
      <c r="A3879" t="s">
        <v>601</v>
      </c>
      <c r="B3879" t="s">
        <v>39</v>
      </c>
      <c r="C3879" s="1">
        <v>46056.623611111114</v>
      </c>
      <c r="D3879" t="s">
        <v>5639</v>
      </c>
    </row>
    <row r="3880" spans="1:4" x14ac:dyDescent="0.25">
      <c r="A3880" t="s">
        <v>621</v>
      </c>
      <c r="B3880" t="s">
        <v>38</v>
      </c>
      <c r="C3880" s="1">
        <v>46053.697916666664</v>
      </c>
      <c r="D3880" t="s">
        <v>5639</v>
      </c>
    </row>
    <row r="3881" spans="1:4" x14ac:dyDescent="0.25">
      <c r="A3881" t="s">
        <v>618</v>
      </c>
      <c r="B3881" t="s">
        <v>38</v>
      </c>
      <c r="C3881" s="1">
        <v>46052.550694444442</v>
      </c>
      <c r="D3881" t="s">
        <v>5639</v>
      </c>
    </row>
    <row r="3882" spans="1:4" x14ac:dyDescent="0.25">
      <c r="A3882" t="s">
        <v>629</v>
      </c>
      <c r="B3882" t="s">
        <v>38</v>
      </c>
      <c r="C3882" s="1">
        <v>46053.702777777777</v>
      </c>
      <c r="D3882" t="s">
        <v>5639</v>
      </c>
    </row>
    <row r="3883" spans="1:4" x14ac:dyDescent="0.25">
      <c r="A3883" t="s">
        <v>627</v>
      </c>
      <c r="B3883" t="s">
        <v>38</v>
      </c>
      <c r="C3883" s="1">
        <v>46057.511805555558</v>
      </c>
      <c r="D3883" t="s">
        <v>5639</v>
      </c>
    </row>
    <row r="3884" spans="1:4" x14ac:dyDescent="0.25">
      <c r="A3884" t="s">
        <v>626</v>
      </c>
      <c r="B3884" t="s">
        <v>39</v>
      </c>
      <c r="C3884" s="1">
        <v>46056.617361111108</v>
      </c>
      <c r="D3884" t="s">
        <v>5639</v>
      </c>
    </row>
    <row r="3885" spans="1:4" x14ac:dyDescent="0.25">
      <c r="A3885" t="s">
        <v>885</v>
      </c>
      <c r="B3885" t="s">
        <v>38</v>
      </c>
      <c r="C3885" s="1">
        <v>46078.767361111109</v>
      </c>
      <c r="D3885" t="s">
        <v>5639</v>
      </c>
    </row>
    <row r="3886" spans="1:4" x14ac:dyDescent="0.25">
      <c r="A3886" t="s">
        <v>624</v>
      </c>
      <c r="B3886" t="s">
        <v>39</v>
      </c>
      <c r="C3886" s="1">
        <v>46058.697222222225</v>
      </c>
      <c r="D3886" t="s">
        <v>5639</v>
      </c>
    </row>
    <row r="3887" spans="1:4" x14ac:dyDescent="0.25">
      <c r="A3887" t="s">
        <v>886</v>
      </c>
      <c r="B3887" t="s">
        <v>38</v>
      </c>
      <c r="C3887" s="1">
        <v>46076.548611111109</v>
      </c>
      <c r="D3887" t="s">
        <v>5639</v>
      </c>
    </row>
    <row r="3888" spans="1:4" x14ac:dyDescent="0.25">
      <c r="A3888" t="s">
        <v>664</v>
      </c>
      <c r="B3888" t="s">
        <v>38</v>
      </c>
      <c r="C3888" s="1">
        <v>46053.615277777775</v>
      </c>
      <c r="D3888" t="s">
        <v>5639</v>
      </c>
    </row>
    <row r="3889" spans="1:4" x14ac:dyDescent="0.25">
      <c r="A3889" t="s">
        <v>653</v>
      </c>
      <c r="B3889" t="s">
        <v>38</v>
      </c>
      <c r="C3889" s="1">
        <v>46057.538194444445</v>
      </c>
      <c r="D3889" t="s">
        <v>5639</v>
      </c>
    </row>
    <row r="3890" spans="1:4" x14ac:dyDescent="0.25">
      <c r="A3890" t="s">
        <v>646</v>
      </c>
      <c r="B3890" t="s">
        <v>38</v>
      </c>
      <c r="C3890" s="1">
        <v>46058.722916666666</v>
      </c>
      <c r="D3890" t="s">
        <v>5639</v>
      </c>
    </row>
    <row r="3891" spans="1:4" x14ac:dyDescent="0.25">
      <c r="A3891" t="s">
        <v>645</v>
      </c>
      <c r="B3891" t="s">
        <v>38</v>
      </c>
      <c r="C3891" s="1">
        <v>46057.543055555558</v>
      </c>
      <c r="D3891" t="s">
        <v>5639</v>
      </c>
    </row>
    <row r="3892" spans="1:4" x14ac:dyDescent="0.25">
      <c r="A3892" t="s">
        <v>875</v>
      </c>
      <c r="B3892" t="s">
        <v>39</v>
      </c>
      <c r="C3892" s="1">
        <v>46076.377083333333</v>
      </c>
      <c r="D3892" t="s">
        <v>5639</v>
      </c>
    </row>
    <row r="3893" spans="1:4" x14ac:dyDescent="0.25">
      <c r="A3893" t="s">
        <v>640</v>
      </c>
      <c r="B3893" t="s">
        <v>38</v>
      </c>
      <c r="C3893" s="1">
        <v>46057.547222222223</v>
      </c>
      <c r="D3893" t="s">
        <v>5639</v>
      </c>
    </row>
    <row r="3894" spans="1:4" x14ac:dyDescent="0.25">
      <c r="A3894" t="s">
        <v>684</v>
      </c>
      <c r="B3894" t="s">
        <v>38</v>
      </c>
      <c r="C3894" s="1">
        <v>46058.71875</v>
      </c>
      <c r="D3894" t="s">
        <v>5639</v>
      </c>
    </row>
    <row r="3895" spans="1:4" x14ac:dyDescent="0.25">
      <c r="A3895" t="s">
        <v>680</v>
      </c>
      <c r="B3895" t="s">
        <v>38</v>
      </c>
      <c r="C3895" s="1">
        <v>46060.477777777778</v>
      </c>
      <c r="D3895" t="s">
        <v>5639</v>
      </c>
    </row>
    <row r="3896" spans="1:4" x14ac:dyDescent="0.25">
      <c r="A3896" t="s">
        <v>679</v>
      </c>
      <c r="B3896" t="s">
        <v>38</v>
      </c>
      <c r="C3896" s="1">
        <v>46058.681250000001</v>
      </c>
      <c r="D3896" t="s">
        <v>5639</v>
      </c>
    </row>
    <row r="3897" spans="1:4" x14ac:dyDescent="0.25">
      <c r="A3897" t="s">
        <v>678</v>
      </c>
      <c r="B3897" t="s">
        <v>38</v>
      </c>
      <c r="C3897" s="1">
        <v>46059.739583333336</v>
      </c>
      <c r="D3897" t="s">
        <v>5639</v>
      </c>
    </row>
    <row r="3898" spans="1:4" x14ac:dyDescent="0.25">
      <c r="A3898" t="s">
        <v>699</v>
      </c>
      <c r="B3898" t="s">
        <v>38</v>
      </c>
      <c r="C3898" s="1">
        <v>46057.560416666667</v>
      </c>
      <c r="D3898" t="s">
        <v>5639</v>
      </c>
    </row>
    <row r="3899" spans="1:4" x14ac:dyDescent="0.25">
      <c r="A3899" t="s">
        <v>697</v>
      </c>
      <c r="B3899" t="s">
        <v>38</v>
      </c>
      <c r="C3899" s="1">
        <v>46059.805555555555</v>
      </c>
      <c r="D3899" t="s">
        <v>5639</v>
      </c>
    </row>
    <row r="3900" spans="1:4" x14ac:dyDescent="0.25">
      <c r="A3900" t="s">
        <v>695</v>
      </c>
      <c r="B3900" t="s">
        <v>38</v>
      </c>
      <c r="C3900" s="1">
        <v>46058.772222222222</v>
      </c>
      <c r="D3900" t="s">
        <v>5639</v>
      </c>
    </row>
    <row r="3901" spans="1:4" x14ac:dyDescent="0.25">
      <c r="A3901" t="s">
        <v>694</v>
      </c>
      <c r="B3901" t="s">
        <v>38</v>
      </c>
      <c r="C3901" s="1">
        <v>46058.708333333336</v>
      </c>
      <c r="D3901" t="s">
        <v>5639</v>
      </c>
    </row>
    <row r="3902" spans="1:4" x14ac:dyDescent="0.25">
      <c r="A3902" t="s">
        <v>693</v>
      </c>
      <c r="B3902" t="s">
        <v>38</v>
      </c>
      <c r="C3902" s="1">
        <v>46058.712500000001</v>
      </c>
      <c r="D3902" t="s">
        <v>5639</v>
      </c>
    </row>
    <row r="3903" spans="1:4" x14ac:dyDescent="0.25">
      <c r="A3903" t="s">
        <v>721</v>
      </c>
      <c r="B3903" t="s">
        <v>39</v>
      </c>
      <c r="C3903" s="1">
        <v>46062.431250000001</v>
      </c>
      <c r="D3903" t="s">
        <v>5639</v>
      </c>
    </row>
    <row r="3904" spans="1:4" x14ac:dyDescent="0.25">
      <c r="A3904" t="s">
        <v>717</v>
      </c>
      <c r="B3904" t="s">
        <v>38</v>
      </c>
      <c r="C3904" s="1">
        <v>46059.8125</v>
      </c>
      <c r="D3904" t="s">
        <v>5639</v>
      </c>
    </row>
    <row r="3905" spans="1:4" x14ac:dyDescent="0.25">
      <c r="A3905" t="s">
        <v>716</v>
      </c>
      <c r="B3905" t="s">
        <v>38</v>
      </c>
      <c r="C3905" s="1">
        <v>46060.53402777778</v>
      </c>
      <c r="D3905" t="s">
        <v>5639</v>
      </c>
    </row>
    <row r="3906" spans="1:4" x14ac:dyDescent="0.25">
      <c r="A3906" t="s">
        <v>714</v>
      </c>
      <c r="B3906" t="s">
        <v>38</v>
      </c>
      <c r="C3906" s="1">
        <v>46060.557638888888</v>
      </c>
      <c r="D3906" t="s">
        <v>5639</v>
      </c>
    </row>
    <row r="3907" spans="1:4" x14ac:dyDescent="0.25">
      <c r="A3907" t="s">
        <v>710</v>
      </c>
      <c r="B3907" t="s">
        <v>39</v>
      </c>
      <c r="C3907" s="1">
        <v>46058.757638888892</v>
      </c>
      <c r="D3907" t="s">
        <v>5639</v>
      </c>
    </row>
    <row r="3908" spans="1:4" x14ac:dyDescent="0.25">
      <c r="A3908" t="s">
        <v>734</v>
      </c>
      <c r="B3908" t="s">
        <v>39</v>
      </c>
      <c r="C3908" s="1">
        <v>46059.513194444444</v>
      </c>
      <c r="D3908" t="s">
        <v>5639</v>
      </c>
    </row>
    <row r="3909" spans="1:4" x14ac:dyDescent="0.25">
      <c r="A3909" t="s">
        <v>732</v>
      </c>
      <c r="B3909" t="s">
        <v>38</v>
      </c>
      <c r="C3909" s="1">
        <v>46065.663888888892</v>
      </c>
      <c r="D3909" t="s">
        <v>5639</v>
      </c>
    </row>
    <row r="3910" spans="1:4" x14ac:dyDescent="0.25">
      <c r="A3910" t="s">
        <v>731</v>
      </c>
      <c r="B3910" t="s">
        <v>38</v>
      </c>
      <c r="C3910" s="1">
        <v>46059.716666666667</v>
      </c>
      <c r="D3910" t="s">
        <v>5639</v>
      </c>
    </row>
    <row r="3911" spans="1:4" x14ac:dyDescent="0.25">
      <c r="A3911" t="s">
        <v>854</v>
      </c>
      <c r="B3911" t="s">
        <v>1129</v>
      </c>
      <c r="C3911" s="1">
        <v>46074.63958333333</v>
      </c>
      <c r="D3911" t="s">
        <v>5639</v>
      </c>
    </row>
    <row r="3912" spans="1:4" x14ac:dyDescent="0.25">
      <c r="A3912" t="s">
        <v>855</v>
      </c>
      <c r="B3912" t="s">
        <v>39</v>
      </c>
      <c r="C3912" s="1">
        <v>46076.793749999997</v>
      </c>
      <c r="D3912" t="s">
        <v>5639</v>
      </c>
    </row>
    <row r="3913" spans="1:4" x14ac:dyDescent="0.25">
      <c r="A3913" t="s">
        <v>728</v>
      </c>
      <c r="B3913" t="s">
        <v>39</v>
      </c>
      <c r="C3913" s="1">
        <v>46058.772222222222</v>
      </c>
      <c r="D3913" t="s">
        <v>5639</v>
      </c>
    </row>
    <row r="3914" spans="1:4" x14ac:dyDescent="0.25">
      <c r="A3914" t="s">
        <v>857</v>
      </c>
      <c r="B3914" t="s">
        <v>38</v>
      </c>
      <c r="C3914" s="1">
        <v>46076.518055555556</v>
      </c>
      <c r="D3914" t="s">
        <v>5639</v>
      </c>
    </row>
    <row r="3915" spans="1:4" x14ac:dyDescent="0.25">
      <c r="A3915" t="s">
        <v>727</v>
      </c>
      <c r="B3915" t="s">
        <v>38</v>
      </c>
      <c r="C3915" s="1">
        <v>46064.509722222225</v>
      </c>
      <c r="D3915" t="s">
        <v>5639</v>
      </c>
    </row>
    <row r="3916" spans="1:4" x14ac:dyDescent="0.25">
      <c r="A3916" t="s">
        <v>859</v>
      </c>
      <c r="B3916" t="s">
        <v>38</v>
      </c>
      <c r="C3916" s="1">
        <v>46076.499305555553</v>
      </c>
      <c r="D3916" t="s">
        <v>5639</v>
      </c>
    </row>
    <row r="3917" spans="1:4" x14ac:dyDescent="0.25">
      <c r="A3917" t="s">
        <v>739</v>
      </c>
      <c r="B3917" t="s">
        <v>38</v>
      </c>
      <c r="C3917" s="1">
        <v>46062.486111111109</v>
      </c>
      <c r="D3917" t="s">
        <v>5639</v>
      </c>
    </row>
    <row r="3918" spans="1:4" x14ac:dyDescent="0.25">
      <c r="A3918" t="s">
        <v>738</v>
      </c>
      <c r="B3918" t="s">
        <v>39</v>
      </c>
      <c r="C3918" s="1">
        <v>46066.382638888892</v>
      </c>
      <c r="D3918" t="s">
        <v>5639</v>
      </c>
    </row>
    <row r="3919" spans="1:4" x14ac:dyDescent="0.25">
      <c r="A3919" t="s">
        <v>741</v>
      </c>
      <c r="B3919" t="s">
        <v>38</v>
      </c>
      <c r="C3919" s="1">
        <v>46062.513888888891</v>
      </c>
      <c r="D3919" t="s">
        <v>5639</v>
      </c>
    </row>
    <row r="3920" spans="1:4" x14ac:dyDescent="0.25">
      <c r="A3920" t="s">
        <v>861</v>
      </c>
      <c r="B3920" t="s">
        <v>38</v>
      </c>
      <c r="C3920" s="1">
        <v>46076.495833333334</v>
      </c>
      <c r="D3920" t="s">
        <v>5639</v>
      </c>
    </row>
    <row r="3921" spans="1:4" x14ac:dyDescent="0.25">
      <c r="A3921" t="s">
        <v>747</v>
      </c>
      <c r="B3921" t="s">
        <v>38</v>
      </c>
      <c r="C3921" s="1">
        <v>46062.705555555556</v>
      </c>
      <c r="D3921" t="s">
        <v>5639</v>
      </c>
    </row>
    <row r="3922" spans="1:4" x14ac:dyDescent="0.25">
      <c r="A3922" t="s">
        <v>862</v>
      </c>
      <c r="B3922" t="s">
        <v>38</v>
      </c>
      <c r="C3922" s="1">
        <v>46073.563888888886</v>
      </c>
      <c r="D3922" t="s">
        <v>5639</v>
      </c>
    </row>
    <row r="3923" spans="1:4" x14ac:dyDescent="0.25">
      <c r="A3923" t="s">
        <v>753</v>
      </c>
      <c r="B3923" t="s">
        <v>38</v>
      </c>
      <c r="C3923" s="1">
        <v>46062.518055555556</v>
      </c>
      <c r="D3923" t="s">
        <v>5639</v>
      </c>
    </row>
    <row r="3924" spans="1:4" x14ac:dyDescent="0.25">
      <c r="A3924" t="s">
        <v>756</v>
      </c>
      <c r="B3924" t="s">
        <v>38</v>
      </c>
      <c r="C3924" s="1">
        <v>46064.513888888891</v>
      </c>
      <c r="D3924" t="s">
        <v>5639</v>
      </c>
    </row>
    <row r="3925" spans="1:4" x14ac:dyDescent="0.25">
      <c r="A3925" t="s">
        <v>757</v>
      </c>
      <c r="B3925" t="s">
        <v>38</v>
      </c>
      <c r="C3925" s="1">
        <v>46064.604861111111</v>
      </c>
      <c r="D3925" t="s">
        <v>5639</v>
      </c>
    </row>
    <row r="3926" spans="1:4" x14ac:dyDescent="0.25">
      <c r="A3926" t="s">
        <v>762</v>
      </c>
      <c r="B3926" t="s">
        <v>38</v>
      </c>
      <c r="C3926" s="1">
        <v>46062.709027777775</v>
      </c>
      <c r="D3926" t="s">
        <v>5639</v>
      </c>
    </row>
    <row r="3927" spans="1:4" x14ac:dyDescent="0.25">
      <c r="A3927" t="s">
        <v>864</v>
      </c>
      <c r="B3927" t="s">
        <v>38</v>
      </c>
      <c r="C3927" s="1">
        <v>46076.491666666669</v>
      </c>
      <c r="D3927" t="s">
        <v>5639</v>
      </c>
    </row>
    <row r="3928" spans="1:4" x14ac:dyDescent="0.25">
      <c r="A3928" t="s">
        <v>761</v>
      </c>
      <c r="B3928" t="s">
        <v>38</v>
      </c>
      <c r="C3928" s="1">
        <v>46063.55</v>
      </c>
      <c r="D3928" t="s">
        <v>5639</v>
      </c>
    </row>
    <row r="3929" spans="1:4" x14ac:dyDescent="0.25">
      <c r="A3929" t="s">
        <v>760</v>
      </c>
      <c r="B3929" t="s">
        <v>38</v>
      </c>
      <c r="C3929" s="1">
        <v>46063.578472222223</v>
      </c>
      <c r="D3929" t="s">
        <v>5639</v>
      </c>
    </row>
    <row r="3930" spans="1:4" x14ac:dyDescent="0.25">
      <c r="A3930" t="s">
        <v>758</v>
      </c>
      <c r="B3930" t="s">
        <v>38</v>
      </c>
      <c r="C3930" s="1">
        <v>46062.713194444441</v>
      </c>
      <c r="D3930" t="s">
        <v>5639</v>
      </c>
    </row>
    <row r="3931" spans="1:4" x14ac:dyDescent="0.25">
      <c r="A3931" t="s">
        <v>764</v>
      </c>
      <c r="B3931" t="s">
        <v>38</v>
      </c>
      <c r="C3931" s="1">
        <v>46063.617361111108</v>
      </c>
      <c r="D3931" t="s">
        <v>5639</v>
      </c>
    </row>
    <row r="3932" spans="1:4" x14ac:dyDescent="0.25">
      <c r="A3932" t="s">
        <v>867</v>
      </c>
      <c r="B3932" t="s">
        <v>38</v>
      </c>
      <c r="C3932" s="1">
        <v>46073.555555555555</v>
      </c>
      <c r="D3932" t="s">
        <v>5639</v>
      </c>
    </row>
    <row r="3933" spans="1:4" x14ac:dyDescent="0.25">
      <c r="A3933" t="s">
        <v>869</v>
      </c>
      <c r="B3933" t="s">
        <v>39</v>
      </c>
      <c r="C3933" s="1">
        <v>46074.37777777778</v>
      </c>
      <c r="D3933" t="s">
        <v>5639</v>
      </c>
    </row>
    <row r="3934" spans="1:4" x14ac:dyDescent="0.25">
      <c r="A3934" t="s">
        <v>776</v>
      </c>
      <c r="B3934" t="s">
        <v>39</v>
      </c>
      <c r="C3934" s="1">
        <v>46063.550694444442</v>
      </c>
      <c r="D3934" t="s">
        <v>5639</v>
      </c>
    </row>
    <row r="3935" spans="1:4" x14ac:dyDescent="0.25">
      <c r="A3935" t="s">
        <v>870</v>
      </c>
      <c r="B3935" t="s">
        <v>38</v>
      </c>
      <c r="C3935" s="1">
        <v>46078.377083333333</v>
      </c>
      <c r="D3935" t="s">
        <v>5639</v>
      </c>
    </row>
    <row r="3936" spans="1:4" x14ac:dyDescent="0.25">
      <c r="A3936" t="s">
        <v>871</v>
      </c>
      <c r="B3936" t="s">
        <v>38</v>
      </c>
      <c r="C3936" s="1">
        <v>46076.470138888886</v>
      </c>
      <c r="D3936" t="s">
        <v>5639</v>
      </c>
    </row>
    <row r="3937" spans="1:4" x14ac:dyDescent="0.25">
      <c r="A3937" t="s">
        <v>872</v>
      </c>
      <c r="B3937" t="s">
        <v>38</v>
      </c>
      <c r="C3937" s="1">
        <v>46071.581944444442</v>
      </c>
      <c r="D3937" t="s">
        <v>5639</v>
      </c>
    </row>
    <row r="3938" spans="1:4" x14ac:dyDescent="0.25">
      <c r="A3938" t="s">
        <v>778</v>
      </c>
      <c r="B3938" t="s">
        <v>38</v>
      </c>
      <c r="C3938" s="1">
        <v>46067.535416666666</v>
      </c>
      <c r="D3938" t="s">
        <v>5639</v>
      </c>
    </row>
    <row r="3939" spans="1:4" x14ac:dyDescent="0.25">
      <c r="A3939" t="s">
        <v>825</v>
      </c>
      <c r="B3939" t="s">
        <v>38</v>
      </c>
      <c r="C3939" s="1">
        <v>46066.728472222225</v>
      </c>
      <c r="D3939" t="s">
        <v>5639</v>
      </c>
    </row>
    <row r="3940" spans="1:4" x14ac:dyDescent="0.25">
      <c r="A3940" t="s">
        <v>824</v>
      </c>
      <c r="B3940" t="s">
        <v>38</v>
      </c>
      <c r="C3940" s="1">
        <v>46067.550694444442</v>
      </c>
      <c r="D3940" t="s">
        <v>5639</v>
      </c>
    </row>
    <row r="3941" spans="1:4" x14ac:dyDescent="0.25">
      <c r="A3941" t="s">
        <v>822</v>
      </c>
      <c r="B3941" t="s">
        <v>39</v>
      </c>
      <c r="C3941" s="1">
        <v>46069.497916666667</v>
      </c>
      <c r="D3941" t="s">
        <v>5639</v>
      </c>
    </row>
    <row r="3942" spans="1:4" x14ac:dyDescent="0.25">
      <c r="A3942" t="s">
        <v>820</v>
      </c>
      <c r="B3942" t="s">
        <v>38</v>
      </c>
      <c r="C3942" s="1">
        <v>46069.749305555553</v>
      </c>
      <c r="D3942" t="s">
        <v>5639</v>
      </c>
    </row>
    <row r="3943" spans="1:4" x14ac:dyDescent="0.25">
      <c r="A3943" t="s">
        <v>831</v>
      </c>
      <c r="B3943" t="s">
        <v>38</v>
      </c>
      <c r="C3943" s="1">
        <v>46076.672222222223</v>
      </c>
      <c r="D3943" t="s">
        <v>5639</v>
      </c>
    </row>
    <row r="3944" spans="1:4" x14ac:dyDescent="0.25">
      <c r="A3944" t="s">
        <v>818</v>
      </c>
      <c r="B3944" t="s">
        <v>39</v>
      </c>
      <c r="C3944" s="1">
        <v>46079.393750000003</v>
      </c>
      <c r="D3944" t="s">
        <v>5639</v>
      </c>
    </row>
    <row r="3945" spans="1:4" x14ac:dyDescent="0.25">
      <c r="A3945" t="s">
        <v>832</v>
      </c>
      <c r="B3945" t="s">
        <v>38</v>
      </c>
      <c r="C3945" s="1">
        <v>46074.498611111114</v>
      </c>
      <c r="D3945" t="s">
        <v>5639</v>
      </c>
    </row>
    <row r="3946" spans="1:4" x14ac:dyDescent="0.25">
      <c r="A3946" t="s">
        <v>817</v>
      </c>
      <c r="B3946" t="s">
        <v>39</v>
      </c>
      <c r="C3946" s="1">
        <v>46070.446527777778</v>
      </c>
      <c r="D3946" t="s">
        <v>5639</v>
      </c>
    </row>
    <row r="3947" spans="1:4" x14ac:dyDescent="0.25">
      <c r="A3947" t="s">
        <v>833</v>
      </c>
      <c r="B3947" t="s">
        <v>38</v>
      </c>
      <c r="C3947" s="1">
        <v>46071.509722222225</v>
      </c>
      <c r="D3947" t="s">
        <v>5639</v>
      </c>
    </row>
    <row r="3948" spans="1:4" x14ac:dyDescent="0.25">
      <c r="A3948" t="s">
        <v>834</v>
      </c>
      <c r="B3948" t="s">
        <v>38</v>
      </c>
      <c r="C3948" s="1">
        <v>46076.458333333336</v>
      </c>
      <c r="D3948" t="s">
        <v>5639</v>
      </c>
    </row>
    <row r="3949" spans="1:4" x14ac:dyDescent="0.25">
      <c r="A3949" t="s">
        <v>816</v>
      </c>
      <c r="B3949" t="s">
        <v>39</v>
      </c>
      <c r="C3949" s="1">
        <v>46072.42083333333</v>
      </c>
      <c r="D3949" t="s">
        <v>5639</v>
      </c>
    </row>
    <row r="3950" spans="1:4" x14ac:dyDescent="0.25">
      <c r="A3950" t="s">
        <v>803</v>
      </c>
      <c r="B3950" t="s">
        <v>38</v>
      </c>
      <c r="C3950" s="1">
        <v>46076.668055555558</v>
      </c>
      <c r="D3950" t="s">
        <v>5639</v>
      </c>
    </row>
    <row r="3951" spans="1:4" x14ac:dyDescent="0.25">
      <c r="A3951" t="s">
        <v>802</v>
      </c>
      <c r="B3951" t="s">
        <v>38</v>
      </c>
      <c r="C3951" s="1">
        <v>46069.500694444447</v>
      </c>
      <c r="D3951" t="s">
        <v>5639</v>
      </c>
    </row>
    <row r="3952" spans="1:4" x14ac:dyDescent="0.25">
      <c r="A3952" t="s">
        <v>801</v>
      </c>
      <c r="B3952" t="s">
        <v>38</v>
      </c>
      <c r="C3952" s="1">
        <v>46071.572916666664</v>
      </c>
      <c r="D3952" t="s">
        <v>5639</v>
      </c>
    </row>
    <row r="3953" spans="1:4" x14ac:dyDescent="0.25">
      <c r="A3953" t="s">
        <v>800</v>
      </c>
      <c r="B3953" t="s">
        <v>38</v>
      </c>
      <c r="C3953" s="1">
        <v>46070.453472222223</v>
      </c>
      <c r="D3953" t="s">
        <v>5639</v>
      </c>
    </row>
    <row r="3954" spans="1:4" x14ac:dyDescent="0.25">
      <c r="A3954" t="s">
        <v>799</v>
      </c>
      <c r="B3954" t="s">
        <v>38</v>
      </c>
      <c r="C3954" s="1">
        <v>46069.572222222225</v>
      </c>
      <c r="D3954" t="s">
        <v>5639</v>
      </c>
    </row>
    <row r="3955" spans="1:4" x14ac:dyDescent="0.25">
      <c r="A3955" t="s">
        <v>789</v>
      </c>
      <c r="B3955" t="s">
        <v>38</v>
      </c>
      <c r="C3955" s="1">
        <v>46067.580555555556</v>
      </c>
      <c r="D3955" t="s">
        <v>5639</v>
      </c>
    </row>
    <row r="3956" spans="1:4" x14ac:dyDescent="0.25">
      <c r="A3956" t="s">
        <v>788</v>
      </c>
      <c r="B3956" t="s">
        <v>38</v>
      </c>
      <c r="C3956" s="1">
        <v>46067.572222222225</v>
      </c>
      <c r="D3956" t="s">
        <v>5639</v>
      </c>
    </row>
    <row r="3957" spans="1:4" x14ac:dyDescent="0.25">
      <c r="A3957" t="s">
        <v>842</v>
      </c>
      <c r="B3957" t="s">
        <v>38</v>
      </c>
      <c r="C3957" s="1">
        <v>46070.457638888889</v>
      </c>
      <c r="D3957" t="s">
        <v>5639</v>
      </c>
    </row>
    <row r="3958" spans="1:4" x14ac:dyDescent="0.25">
      <c r="A3958" t="s">
        <v>71</v>
      </c>
      <c r="B3958" t="s">
        <v>38</v>
      </c>
      <c r="C3958" s="1">
        <v>46036.652777777781</v>
      </c>
      <c r="D3958" t="s">
        <v>5639</v>
      </c>
    </row>
    <row r="3959" spans="1:4" x14ac:dyDescent="0.25">
      <c r="A3959" t="s">
        <v>98</v>
      </c>
      <c r="B3959" t="s">
        <v>38</v>
      </c>
      <c r="C3959" s="1">
        <v>46024.77847222222</v>
      </c>
      <c r="D3959" t="s">
        <v>5639</v>
      </c>
    </row>
    <row r="3960" spans="1:4" x14ac:dyDescent="0.25">
      <c r="A3960" t="s">
        <v>97</v>
      </c>
      <c r="B3960" t="s">
        <v>38</v>
      </c>
      <c r="C3960" s="1">
        <v>46003.604861111111</v>
      </c>
      <c r="D3960" t="s">
        <v>5639</v>
      </c>
    </row>
    <row r="3961" spans="1:4" x14ac:dyDescent="0.25">
      <c r="A3961" t="s">
        <v>895</v>
      </c>
      <c r="B3961" t="s">
        <v>38</v>
      </c>
      <c r="C3961" s="1">
        <v>46077.570833333331</v>
      </c>
      <c r="D3961" t="s">
        <v>5639</v>
      </c>
    </row>
    <row r="3962" spans="1:4" x14ac:dyDescent="0.25">
      <c r="A3962" t="s">
        <v>46</v>
      </c>
      <c r="B3962" t="s">
        <v>38</v>
      </c>
      <c r="C3962" s="1">
        <v>45996.633333333331</v>
      </c>
      <c r="D3962" t="s">
        <v>5639</v>
      </c>
    </row>
    <row r="3963" spans="1:4" x14ac:dyDescent="0.25">
      <c r="A3963" t="s">
        <v>67</v>
      </c>
      <c r="B3963" t="s">
        <v>38</v>
      </c>
      <c r="C3963" s="1">
        <v>46001.613888888889</v>
      </c>
      <c r="D3963" t="s">
        <v>5639</v>
      </c>
    </row>
    <row r="3964" spans="1:4" x14ac:dyDescent="0.25">
      <c r="A3964" t="s">
        <v>108</v>
      </c>
      <c r="B3964" t="s">
        <v>38</v>
      </c>
      <c r="C3964" s="1">
        <v>46024.809027777781</v>
      </c>
      <c r="D3964" t="s">
        <v>5639</v>
      </c>
    </row>
    <row r="3965" spans="1:4" x14ac:dyDescent="0.25">
      <c r="A3965" t="s">
        <v>113</v>
      </c>
      <c r="B3965" t="s">
        <v>38</v>
      </c>
      <c r="C3965" s="1">
        <v>46024.80972222222</v>
      </c>
      <c r="D3965" t="s">
        <v>5639</v>
      </c>
    </row>
    <row r="3966" spans="1:4" x14ac:dyDescent="0.25">
      <c r="A3966" t="s">
        <v>973</v>
      </c>
      <c r="B3966" t="s">
        <v>1073</v>
      </c>
      <c r="C3966" s="1">
        <v>46079.679861111108</v>
      </c>
      <c r="D3966" t="s">
        <v>5639</v>
      </c>
    </row>
    <row r="3967" spans="1:4" x14ac:dyDescent="0.25">
      <c r="A3967" t="s">
        <v>136</v>
      </c>
      <c r="B3967" t="s">
        <v>38</v>
      </c>
      <c r="C3967" s="1">
        <v>46000.558333333334</v>
      </c>
      <c r="D3967" t="s">
        <v>5639</v>
      </c>
    </row>
    <row r="3968" spans="1:4" x14ac:dyDescent="0.25">
      <c r="A3968" t="s">
        <v>168</v>
      </c>
      <c r="B3968" t="s">
        <v>38</v>
      </c>
      <c r="C3968" s="1">
        <v>46024.802777777775</v>
      </c>
      <c r="D3968" t="s">
        <v>5639</v>
      </c>
    </row>
    <row r="3969" spans="1:4" x14ac:dyDescent="0.25">
      <c r="A3969" t="s">
        <v>167</v>
      </c>
      <c r="B3969" t="s">
        <v>38</v>
      </c>
      <c r="C3969" s="1">
        <v>46008.693055555559</v>
      </c>
      <c r="D3969" t="s">
        <v>5639</v>
      </c>
    </row>
    <row r="3970" spans="1:4" x14ac:dyDescent="0.25">
      <c r="A3970" t="s">
        <v>192</v>
      </c>
      <c r="B3970" t="s">
        <v>38</v>
      </c>
      <c r="C3970" s="1">
        <v>46025.505555555559</v>
      </c>
      <c r="D3970" t="s">
        <v>5639</v>
      </c>
    </row>
    <row r="3971" spans="1:4" x14ac:dyDescent="0.25">
      <c r="A3971" t="s">
        <v>189</v>
      </c>
      <c r="B3971" t="s">
        <v>38</v>
      </c>
      <c r="C3971" s="1">
        <v>46007.679166666669</v>
      </c>
      <c r="D3971" t="s">
        <v>5639</v>
      </c>
    </row>
    <row r="3972" spans="1:4" x14ac:dyDescent="0.25">
      <c r="A3972" t="s">
        <v>279</v>
      </c>
      <c r="B3972" t="s">
        <v>38</v>
      </c>
      <c r="C3972" s="1">
        <v>46036.678472222222</v>
      </c>
      <c r="D3972" t="s">
        <v>5639</v>
      </c>
    </row>
    <row r="3973" spans="1:4" x14ac:dyDescent="0.25">
      <c r="A3973" t="s">
        <v>317</v>
      </c>
      <c r="B3973" t="s">
        <v>38</v>
      </c>
      <c r="C3973" s="1">
        <v>46039.668749999997</v>
      </c>
      <c r="D3973" t="s">
        <v>5639</v>
      </c>
    </row>
    <row r="3974" spans="1:4" x14ac:dyDescent="0.25">
      <c r="A3974" t="s">
        <v>361</v>
      </c>
      <c r="B3974" t="s">
        <v>38</v>
      </c>
      <c r="C3974" s="1">
        <v>46030.655555555553</v>
      </c>
      <c r="D3974" t="s">
        <v>5639</v>
      </c>
    </row>
    <row r="3975" spans="1:4" x14ac:dyDescent="0.25">
      <c r="A3975" t="s">
        <v>378</v>
      </c>
      <c r="B3975" t="s">
        <v>38</v>
      </c>
      <c r="C3975" s="1">
        <v>46032.65625</v>
      </c>
      <c r="D3975" t="s">
        <v>5639</v>
      </c>
    </row>
    <row r="3976" spans="1:4" x14ac:dyDescent="0.25">
      <c r="A3976" t="s">
        <v>510</v>
      </c>
      <c r="B3976" t="s">
        <v>38</v>
      </c>
      <c r="C3976" s="1">
        <v>46041.881944444445</v>
      </c>
      <c r="D3976" t="s">
        <v>5639</v>
      </c>
    </row>
    <row r="3977" spans="1:4" x14ac:dyDescent="0.25">
      <c r="A3977" t="s">
        <v>508</v>
      </c>
      <c r="B3977" t="s">
        <v>38</v>
      </c>
      <c r="C3977" s="1">
        <v>46042.552777777775</v>
      </c>
      <c r="D3977" t="s">
        <v>5639</v>
      </c>
    </row>
    <row r="3978" spans="1:4" x14ac:dyDescent="0.25">
      <c r="A3978" t="s">
        <v>493</v>
      </c>
      <c r="B3978" t="s">
        <v>39</v>
      </c>
      <c r="C3978" s="1">
        <v>46054.577777777777</v>
      </c>
      <c r="D3978" t="s">
        <v>5639</v>
      </c>
    </row>
    <row r="3979" spans="1:4" x14ac:dyDescent="0.25">
      <c r="A3979" t="s">
        <v>519</v>
      </c>
      <c r="B3979" t="s">
        <v>38</v>
      </c>
      <c r="C3979" s="1">
        <v>46052.813888888886</v>
      </c>
      <c r="D3979" t="s">
        <v>5639</v>
      </c>
    </row>
    <row r="3980" spans="1:4" x14ac:dyDescent="0.25">
      <c r="A3980" t="s">
        <v>535</v>
      </c>
      <c r="B3980" t="s">
        <v>39</v>
      </c>
      <c r="C3980" s="1">
        <v>46052.689583333333</v>
      </c>
      <c r="D3980" t="s">
        <v>5639</v>
      </c>
    </row>
    <row r="3981" spans="1:4" x14ac:dyDescent="0.25">
      <c r="A3981" t="s">
        <v>552</v>
      </c>
      <c r="B3981" t="s">
        <v>38</v>
      </c>
      <c r="C3981" s="1">
        <v>46070.790972222225</v>
      </c>
      <c r="D3981" t="s">
        <v>5639</v>
      </c>
    </row>
    <row r="3982" spans="1:4" x14ac:dyDescent="0.25">
      <c r="A3982" t="s">
        <v>900</v>
      </c>
      <c r="B3982" t="s">
        <v>38</v>
      </c>
      <c r="C3982" s="1">
        <v>46076.409722222219</v>
      </c>
      <c r="D3982" t="s">
        <v>5639</v>
      </c>
    </row>
    <row r="3983" spans="1:4" x14ac:dyDescent="0.25">
      <c r="A3983" t="s">
        <v>564</v>
      </c>
      <c r="B3983" t="s">
        <v>38</v>
      </c>
      <c r="C3983" s="1">
        <v>46055.543055555558</v>
      </c>
      <c r="D3983" t="s">
        <v>5639</v>
      </c>
    </row>
    <row r="3984" spans="1:4" x14ac:dyDescent="0.25">
      <c r="A3984" t="s">
        <v>563</v>
      </c>
      <c r="B3984" t="s">
        <v>38</v>
      </c>
      <c r="C3984" s="1">
        <v>46067.759722222225</v>
      </c>
      <c r="D3984" t="s">
        <v>5639</v>
      </c>
    </row>
    <row r="3985" spans="1:4" x14ac:dyDescent="0.25">
      <c r="A3985" t="s">
        <v>661</v>
      </c>
      <c r="B3985" t="s">
        <v>38</v>
      </c>
      <c r="C3985" s="1">
        <v>46053.481249999997</v>
      </c>
      <c r="D3985" t="s">
        <v>5639</v>
      </c>
    </row>
    <row r="3986" spans="1:4" x14ac:dyDescent="0.25">
      <c r="A3986" t="s">
        <v>660</v>
      </c>
      <c r="B3986" t="s">
        <v>38</v>
      </c>
      <c r="C3986" s="1">
        <v>46053.490972222222</v>
      </c>
      <c r="D3986" t="s">
        <v>5639</v>
      </c>
    </row>
    <row r="3987" spans="1:4" x14ac:dyDescent="0.25">
      <c r="A3987" t="s">
        <v>659</v>
      </c>
      <c r="B3987" t="s">
        <v>38</v>
      </c>
      <c r="C3987" s="1">
        <v>46053.500694444447</v>
      </c>
      <c r="D3987" t="s">
        <v>5639</v>
      </c>
    </row>
    <row r="3988" spans="1:4" x14ac:dyDescent="0.25">
      <c r="A3988" t="s">
        <v>657</v>
      </c>
      <c r="B3988" t="s">
        <v>38</v>
      </c>
      <c r="C3988" s="1">
        <v>46053.509722222225</v>
      </c>
      <c r="D3988" t="s">
        <v>5639</v>
      </c>
    </row>
    <row r="3989" spans="1:4" x14ac:dyDescent="0.25">
      <c r="A3989" t="s">
        <v>656</v>
      </c>
      <c r="B3989" t="s">
        <v>39</v>
      </c>
      <c r="C3989" s="1">
        <v>46053.515277777777</v>
      </c>
      <c r="D3989" t="s">
        <v>5639</v>
      </c>
    </row>
    <row r="3990" spans="1:4" x14ac:dyDescent="0.25">
      <c r="A3990" t="s">
        <v>647</v>
      </c>
      <c r="B3990" t="s">
        <v>38</v>
      </c>
      <c r="C3990" s="1">
        <v>46058.576388888891</v>
      </c>
      <c r="D3990" t="s">
        <v>5639</v>
      </c>
    </row>
    <row r="3991" spans="1:4" x14ac:dyDescent="0.25">
      <c r="A3991" t="s">
        <v>677</v>
      </c>
      <c r="B3991" t="s">
        <v>38</v>
      </c>
      <c r="C3991" s="1">
        <v>46074.59097222222</v>
      </c>
      <c r="D3991" t="s">
        <v>5639</v>
      </c>
    </row>
    <row r="3992" spans="1:4" x14ac:dyDescent="0.25">
      <c r="A3992" t="s">
        <v>689</v>
      </c>
      <c r="B3992" t="s">
        <v>39</v>
      </c>
      <c r="C3992" s="1">
        <v>46058.656944444447</v>
      </c>
      <c r="D3992" t="s">
        <v>5639</v>
      </c>
    </row>
    <row r="3993" spans="1:4" x14ac:dyDescent="0.25">
      <c r="A3993" t="s">
        <v>722</v>
      </c>
      <c r="B3993" t="s">
        <v>38</v>
      </c>
      <c r="C3993" s="1">
        <v>46058.526388888888</v>
      </c>
      <c r="D3993" t="s">
        <v>5639</v>
      </c>
    </row>
    <row r="3994" spans="1:4" x14ac:dyDescent="0.25">
      <c r="A3994" t="s">
        <v>849</v>
      </c>
      <c r="B3994" t="s">
        <v>35</v>
      </c>
      <c r="C3994" s="1">
        <v>46078.40347222222</v>
      </c>
      <c r="D3994" t="s">
        <v>5639</v>
      </c>
    </row>
    <row r="3995" spans="1:4" x14ac:dyDescent="0.25">
      <c r="A3995" t="s">
        <v>745</v>
      </c>
      <c r="B3995" t="s">
        <v>38</v>
      </c>
      <c r="C3995" s="1">
        <v>46077.57916666667</v>
      </c>
      <c r="D3995" t="s">
        <v>5639</v>
      </c>
    </row>
    <row r="3996" spans="1:4" x14ac:dyDescent="0.25">
      <c r="A3996" t="s">
        <v>743</v>
      </c>
      <c r="B3996" t="s">
        <v>38</v>
      </c>
      <c r="C3996" s="1">
        <v>46070.515972222223</v>
      </c>
      <c r="D3996" t="s">
        <v>5639</v>
      </c>
    </row>
    <row r="3997" spans="1:4" x14ac:dyDescent="0.25">
      <c r="A3997" t="s">
        <v>751</v>
      </c>
      <c r="B3997" t="s">
        <v>38</v>
      </c>
      <c r="C3997" s="1">
        <v>46070.643750000003</v>
      </c>
      <c r="D3997" t="s">
        <v>5639</v>
      </c>
    </row>
    <row r="3998" spans="1:4" x14ac:dyDescent="0.25">
      <c r="A3998" t="s">
        <v>752</v>
      </c>
      <c r="B3998" t="s">
        <v>38</v>
      </c>
      <c r="C3998" s="1">
        <v>46062.577777777777</v>
      </c>
      <c r="D3998" t="s">
        <v>5639</v>
      </c>
    </row>
    <row r="3999" spans="1:4" x14ac:dyDescent="0.25">
      <c r="A3999" t="s">
        <v>787</v>
      </c>
      <c r="B3999" t="s">
        <v>35</v>
      </c>
      <c r="C3999" s="1">
        <v>46077.727083333331</v>
      </c>
      <c r="D3999" t="s">
        <v>5639</v>
      </c>
    </row>
    <row r="4000" spans="1:4" x14ac:dyDescent="0.25">
      <c r="A4000" t="s">
        <v>57</v>
      </c>
      <c r="B4000" t="s">
        <v>38</v>
      </c>
      <c r="C4000" s="1">
        <v>45994.604166666664</v>
      </c>
      <c r="D4000" t="s">
        <v>5639</v>
      </c>
    </row>
    <row r="4001" spans="1:4" x14ac:dyDescent="0.25">
      <c r="A4001" t="s">
        <v>54</v>
      </c>
      <c r="B4001" t="s">
        <v>38</v>
      </c>
      <c r="C4001" s="1">
        <v>45996.581944444442</v>
      </c>
      <c r="D4001" t="s">
        <v>5639</v>
      </c>
    </row>
    <row r="4002" spans="1:4" x14ac:dyDescent="0.25">
      <c r="A4002" t="s">
        <v>53</v>
      </c>
      <c r="B4002" t="s">
        <v>38</v>
      </c>
      <c r="C4002" s="1">
        <v>46024.788888888892</v>
      </c>
      <c r="D4002" t="s">
        <v>5639</v>
      </c>
    </row>
    <row r="4003" spans="1:4" x14ac:dyDescent="0.25">
      <c r="A4003" t="s">
        <v>52</v>
      </c>
      <c r="B4003" t="s">
        <v>39</v>
      </c>
      <c r="C4003" s="1">
        <v>46029.736805555556</v>
      </c>
      <c r="D4003" t="s">
        <v>5639</v>
      </c>
    </row>
    <row r="4004" spans="1:4" x14ac:dyDescent="0.25">
      <c r="A4004" t="s">
        <v>45</v>
      </c>
      <c r="B4004" t="s">
        <v>38</v>
      </c>
      <c r="C4004" s="1">
        <v>45994.436111111114</v>
      </c>
      <c r="D4004" t="s">
        <v>5639</v>
      </c>
    </row>
    <row r="4005" spans="1:4" x14ac:dyDescent="0.25">
      <c r="A4005" t="s">
        <v>68</v>
      </c>
      <c r="B4005" t="s">
        <v>38</v>
      </c>
      <c r="C4005" s="1">
        <v>46022.570138888892</v>
      </c>
      <c r="D4005" t="s">
        <v>5639</v>
      </c>
    </row>
    <row r="4006" spans="1:4" x14ac:dyDescent="0.25">
      <c r="A4006" t="s">
        <v>66</v>
      </c>
      <c r="B4006" t="s">
        <v>38</v>
      </c>
      <c r="C4006" s="1">
        <v>46024.800000000003</v>
      </c>
      <c r="D4006" t="s">
        <v>5639</v>
      </c>
    </row>
    <row r="4007" spans="1:4" x14ac:dyDescent="0.25">
      <c r="A4007" t="s">
        <v>65</v>
      </c>
      <c r="B4007" t="s">
        <v>38</v>
      </c>
      <c r="C4007" s="1">
        <v>45995.620833333334</v>
      </c>
      <c r="D4007" t="s">
        <v>5639</v>
      </c>
    </row>
    <row r="4008" spans="1:4" x14ac:dyDescent="0.25">
      <c r="A4008" t="s">
        <v>73</v>
      </c>
      <c r="B4008" t="s">
        <v>38</v>
      </c>
      <c r="C4008" s="1">
        <v>46024.793749999997</v>
      </c>
      <c r="D4008" t="s">
        <v>5639</v>
      </c>
    </row>
    <row r="4009" spans="1:4" x14ac:dyDescent="0.25">
      <c r="A4009" t="s">
        <v>72</v>
      </c>
      <c r="B4009" t="s">
        <v>38</v>
      </c>
      <c r="C4009" s="1">
        <v>45996.646527777775</v>
      </c>
      <c r="D4009" t="s">
        <v>5639</v>
      </c>
    </row>
    <row r="4010" spans="1:4" x14ac:dyDescent="0.25">
      <c r="A4010" t="s">
        <v>77</v>
      </c>
      <c r="B4010" t="s">
        <v>38</v>
      </c>
      <c r="C4010" s="1">
        <v>46024.78125</v>
      </c>
      <c r="D4010" t="s">
        <v>5639</v>
      </c>
    </row>
    <row r="4011" spans="1:4" x14ac:dyDescent="0.25">
      <c r="A4011" t="s">
        <v>75</v>
      </c>
      <c r="B4011" t="s">
        <v>38</v>
      </c>
      <c r="C4011" s="1">
        <v>46036.678472222222</v>
      </c>
      <c r="D4011" t="s">
        <v>5639</v>
      </c>
    </row>
    <row r="4012" spans="1:4" x14ac:dyDescent="0.25">
      <c r="A4012" t="s">
        <v>79</v>
      </c>
      <c r="B4012" t="s">
        <v>38</v>
      </c>
      <c r="C4012" s="1">
        <v>46024.804166666669</v>
      </c>
      <c r="D4012" t="s">
        <v>5639</v>
      </c>
    </row>
    <row r="4013" spans="1:4" x14ac:dyDescent="0.25">
      <c r="A4013" t="s">
        <v>969</v>
      </c>
      <c r="B4013" t="s">
        <v>1239</v>
      </c>
      <c r="C4013" s="1">
        <v>46079.67291666667</v>
      </c>
      <c r="D4013" t="s">
        <v>5639</v>
      </c>
    </row>
    <row r="4014" spans="1:4" x14ac:dyDescent="0.25">
      <c r="A4014" t="s">
        <v>88</v>
      </c>
      <c r="B4014" t="s">
        <v>38</v>
      </c>
      <c r="C4014" s="1">
        <v>46002.65625</v>
      </c>
      <c r="D4014" t="s">
        <v>5639</v>
      </c>
    </row>
    <row r="4015" spans="1:4" x14ac:dyDescent="0.25">
      <c r="A4015" t="s">
        <v>87</v>
      </c>
      <c r="B4015" t="s">
        <v>38</v>
      </c>
      <c r="C4015" s="1">
        <v>46036.558333333334</v>
      </c>
      <c r="D4015" t="s">
        <v>5639</v>
      </c>
    </row>
    <row r="4016" spans="1:4" x14ac:dyDescent="0.25">
      <c r="A4016" t="s">
        <v>93</v>
      </c>
      <c r="B4016" t="s">
        <v>38</v>
      </c>
      <c r="C4016" s="1">
        <v>46001.50277777778</v>
      </c>
      <c r="D4016" t="s">
        <v>5639</v>
      </c>
    </row>
    <row r="4017" spans="1:4" x14ac:dyDescent="0.25">
      <c r="A4017" t="s">
        <v>970</v>
      </c>
      <c r="B4017" t="s">
        <v>1239</v>
      </c>
      <c r="C4017" s="1">
        <v>46079.604861111111</v>
      </c>
      <c r="D4017" t="s">
        <v>5639</v>
      </c>
    </row>
    <row r="4018" spans="1:4" x14ac:dyDescent="0.25">
      <c r="A4018" t="s">
        <v>971</v>
      </c>
      <c r="B4018" t="s">
        <v>1129</v>
      </c>
      <c r="C4018" s="1">
        <v>46080.347222222219</v>
      </c>
      <c r="D4018" t="s">
        <v>5639</v>
      </c>
    </row>
    <row r="4019" spans="1:4" x14ac:dyDescent="0.25">
      <c r="A4019" t="s">
        <v>99</v>
      </c>
      <c r="B4019" t="s">
        <v>38</v>
      </c>
      <c r="C4019" s="1">
        <v>46024.586805555555</v>
      </c>
      <c r="D4019" t="s">
        <v>5639</v>
      </c>
    </row>
    <row r="4020" spans="1:4" x14ac:dyDescent="0.25">
      <c r="A4020" t="s">
        <v>120</v>
      </c>
      <c r="B4020" t="s">
        <v>38</v>
      </c>
      <c r="C4020" s="1">
        <v>46003.61041666667</v>
      </c>
      <c r="D4020" t="s">
        <v>5639</v>
      </c>
    </row>
    <row r="4021" spans="1:4" x14ac:dyDescent="0.25">
      <c r="A4021" t="s">
        <v>119</v>
      </c>
      <c r="B4021" t="s">
        <v>38</v>
      </c>
      <c r="C4021" s="1">
        <v>46003.808333333334</v>
      </c>
      <c r="D4021" t="s">
        <v>5639</v>
      </c>
    </row>
    <row r="4022" spans="1:4" x14ac:dyDescent="0.25">
      <c r="A4022" t="s">
        <v>117</v>
      </c>
      <c r="B4022" t="s">
        <v>38</v>
      </c>
      <c r="C4022" s="1">
        <v>46001.777083333334</v>
      </c>
      <c r="D4022" t="s">
        <v>5639</v>
      </c>
    </row>
    <row r="4023" spans="1:4" x14ac:dyDescent="0.25">
      <c r="A4023" t="s">
        <v>116</v>
      </c>
      <c r="B4023" t="s">
        <v>38</v>
      </c>
      <c r="C4023" s="1">
        <v>46076.524305555555</v>
      </c>
      <c r="D4023" t="s">
        <v>5639</v>
      </c>
    </row>
    <row r="4024" spans="1:4" x14ac:dyDescent="0.25">
      <c r="A4024" t="s">
        <v>115</v>
      </c>
      <c r="B4024" t="s">
        <v>38</v>
      </c>
      <c r="C4024" s="1">
        <v>46000.671527777777</v>
      </c>
      <c r="D4024" t="s">
        <v>5639</v>
      </c>
    </row>
    <row r="4025" spans="1:4" x14ac:dyDescent="0.25">
      <c r="A4025" t="s">
        <v>114</v>
      </c>
      <c r="B4025" t="s">
        <v>38</v>
      </c>
      <c r="C4025" s="1">
        <v>46024.795138888891</v>
      </c>
      <c r="D4025" t="s">
        <v>5639</v>
      </c>
    </row>
    <row r="4026" spans="1:4" x14ac:dyDescent="0.25">
      <c r="A4026" t="s">
        <v>137</v>
      </c>
      <c r="B4026" t="s">
        <v>38</v>
      </c>
      <c r="C4026" s="1">
        <v>46022.65</v>
      </c>
      <c r="D4026" t="s">
        <v>5639</v>
      </c>
    </row>
    <row r="4027" spans="1:4" x14ac:dyDescent="0.25">
      <c r="A4027" t="s">
        <v>135</v>
      </c>
      <c r="B4027" t="s">
        <v>38</v>
      </c>
      <c r="C4027" s="1">
        <v>46014.474305555559</v>
      </c>
      <c r="D4027" t="s">
        <v>5639</v>
      </c>
    </row>
    <row r="4028" spans="1:4" x14ac:dyDescent="0.25">
      <c r="A4028" t="s">
        <v>134</v>
      </c>
      <c r="B4028" t="s">
        <v>38</v>
      </c>
      <c r="C4028" s="1">
        <v>46002.573611111111</v>
      </c>
      <c r="D4028" t="s">
        <v>5639</v>
      </c>
    </row>
    <row r="4029" spans="1:4" x14ac:dyDescent="0.25">
      <c r="A4029" t="s">
        <v>131</v>
      </c>
      <c r="B4029" t="s">
        <v>38</v>
      </c>
      <c r="C4029" s="1">
        <v>46009.724999999999</v>
      </c>
      <c r="D4029" t="s">
        <v>5639</v>
      </c>
    </row>
    <row r="4030" spans="1:4" x14ac:dyDescent="0.25">
      <c r="A4030" t="s">
        <v>130</v>
      </c>
      <c r="B4030" t="s">
        <v>38</v>
      </c>
      <c r="C4030" s="1">
        <v>46024.800694444442</v>
      </c>
      <c r="D4030" t="s">
        <v>5639</v>
      </c>
    </row>
    <row r="4031" spans="1:4" x14ac:dyDescent="0.25">
      <c r="A4031" t="s">
        <v>127</v>
      </c>
      <c r="B4031" t="s">
        <v>38</v>
      </c>
      <c r="C4031" s="1">
        <v>46024.781944444447</v>
      </c>
      <c r="D4031" t="s">
        <v>5639</v>
      </c>
    </row>
    <row r="4032" spans="1:4" x14ac:dyDescent="0.25">
      <c r="A4032" t="s">
        <v>124</v>
      </c>
      <c r="B4032" t="s">
        <v>38</v>
      </c>
      <c r="C4032" s="1">
        <v>46001.470138888886</v>
      </c>
      <c r="D4032" t="s">
        <v>5639</v>
      </c>
    </row>
    <row r="4033" spans="1:4" x14ac:dyDescent="0.25">
      <c r="A4033" t="s">
        <v>975</v>
      </c>
      <c r="B4033" t="s">
        <v>1239</v>
      </c>
      <c r="C4033" s="1">
        <v>46079.414583333331</v>
      </c>
      <c r="D4033" t="s">
        <v>5639</v>
      </c>
    </row>
    <row r="4034" spans="1:4" x14ac:dyDescent="0.25">
      <c r="A4034" t="s">
        <v>976</v>
      </c>
      <c r="B4034" t="s">
        <v>1239</v>
      </c>
      <c r="C4034" s="1">
        <v>46079.410416666666</v>
      </c>
      <c r="D4034" t="s">
        <v>5639</v>
      </c>
    </row>
    <row r="4035" spans="1:4" x14ac:dyDescent="0.25">
      <c r="A4035" t="s">
        <v>152</v>
      </c>
      <c r="B4035" t="s">
        <v>38</v>
      </c>
      <c r="C4035" s="1">
        <v>46024.787499999999</v>
      </c>
      <c r="D4035" t="s">
        <v>5639</v>
      </c>
    </row>
    <row r="4036" spans="1:4" x14ac:dyDescent="0.25">
      <c r="A4036" t="s">
        <v>145</v>
      </c>
      <c r="B4036" t="s">
        <v>38</v>
      </c>
      <c r="C4036" s="1">
        <v>46024.810416666667</v>
      </c>
      <c r="D4036" t="s">
        <v>5639</v>
      </c>
    </row>
    <row r="4037" spans="1:4" x14ac:dyDescent="0.25">
      <c r="A4037" t="s">
        <v>140</v>
      </c>
      <c r="B4037" t="s">
        <v>38</v>
      </c>
      <c r="C4037" s="1">
        <v>46004.661111111112</v>
      </c>
      <c r="D4037" t="s">
        <v>5639</v>
      </c>
    </row>
    <row r="4038" spans="1:4" x14ac:dyDescent="0.25">
      <c r="A4038" t="s">
        <v>161</v>
      </c>
      <c r="B4038" t="s">
        <v>38</v>
      </c>
      <c r="C4038" s="1">
        <v>46024.801388888889</v>
      </c>
      <c r="D4038" t="s">
        <v>5639</v>
      </c>
    </row>
    <row r="4039" spans="1:4" x14ac:dyDescent="0.25">
      <c r="A4039" t="s">
        <v>159</v>
      </c>
      <c r="B4039" t="s">
        <v>39</v>
      </c>
      <c r="C4039" s="1">
        <v>46029.736111111109</v>
      </c>
      <c r="D4039" t="s">
        <v>5639</v>
      </c>
    </row>
    <row r="4040" spans="1:4" x14ac:dyDescent="0.25">
      <c r="A4040" t="s">
        <v>984</v>
      </c>
      <c r="B4040" t="s">
        <v>1239</v>
      </c>
      <c r="C4040" s="1">
        <v>46078.757638888892</v>
      </c>
      <c r="D4040" t="s">
        <v>5639</v>
      </c>
    </row>
    <row r="4041" spans="1:4" x14ac:dyDescent="0.25">
      <c r="A4041" t="s">
        <v>174</v>
      </c>
      <c r="B4041" t="s">
        <v>38</v>
      </c>
      <c r="C4041" s="1">
        <v>46007.705555555556</v>
      </c>
      <c r="D4041" t="s">
        <v>5639</v>
      </c>
    </row>
    <row r="4042" spans="1:4" x14ac:dyDescent="0.25">
      <c r="A4042" t="s">
        <v>163</v>
      </c>
      <c r="B4042" t="s">
        <v>38</v>
      </c>
      <c r="C4042" s="1">
        <v>46024.801388888889</v>
      </c>
      <c r="D4042" t="s">
        <v>5639</v>
      </c>
    </row>
    <row r="4043" spans="1:4" x14ac:dyDescent="0.25">
      <c r="A4043" t="s">
        <v>175</v>
      </c>
      <c r="B4043" t="s">
        <v>38</v>
      </c>
      <c r="C4043" s="1">
        <v>46010.726388888892</v>
      </c>
      <c r="D4043" t="s">
        <v>5639</v>
      </c>
    </row>
    <row r="4044" spans="1:4" x14ac:dyDescent="0.25">
      <c r="A4044" t="s">
        <v>178</v>
      </c>
      <c r="B4044" t="s">
        <v>38</v>
      </c>
      <c r="C4044" s="1">
        <v>46036.690972222219</v>
      </c>
      <c r="D4044" t="s">
        <v>5639</v>
      </c>
    </row>
    <row r="4045" spans="1:4" x14ac:dyDescent="0.25">
      <c r="A4045" t="s">
        <v>177</v>
      </c>
      <c r="B4045" t="s">
        <v>38</v>
      </c>
      <c r="C4045" s="1">
        <v>46004.818749999999</v>
      </c>
      <c r="D4045" t="s">
        <v>5639</v>
      </c>
    </row>
    <row r="4046" spans="1:4" x14ac:dyDescent="0.25">
      <c r="A4046" t="s">
        <v>176</v>
      </c>
      <c r="B4046" t="s">
        <v>39</v>
      </c>
      <c r="C4046" s="1">
        <v>46029.736111111109</v>
      </c>
      <c r="D4046" t="s">
        <v>5639</v>
      </c>
    </row>
    <row r="4047" spans="1:4" x14ac:dyDescent="0.25">
      <c r="A4047" t="s">
        <v>183</v>
      </c>
      <c r="B4047" t="s">
        <v>38</v>
      </c>
      <c r="C4047" s="1">
        <v>46011.493750000001</v>
      </c>
      <c r="D4047" t="s">
        <v>5639</v>
      </c>
    </row>
    <row r="4048" spans="1:4" x14ac:dyDescent="0.25">
      <c r="A4048" t="s">
        <v>988</v>
      </c>
      <c r="B4048" t="s">
        <v>35</v>
      </c>
      <c r="C4048" s="1">
        <v>46079.623611111114</v>
      </c>
      <c r="D4048" t="s">
        <v>5639</v>
      </c>
    </row>
    <row r="4049" spans="1:4" x14ac:dyDescent="0.25">
      <c r="A4049" t="s">
        <v>190</v>
      </c>
      <c r="B4049" t="s">
        <v>39</v>
      </c>
      <c r="C4049" s="1">
        <v>46036.575694444444</v>
      </c>
      <c r="D4049" t="s">
        <v>5639</v>
      </c>
    </row>
    <row r="4050" spans="1:4" x14ac:dyDescent="0.25">
      <c r="A4050" t="s">
        <v>206</v>
      </c>
      <c r="B4050" t="s">
        <v>38</v>
      </c>
      <c r="C4050" s="1">
        <v>46036.692361111112</v>
      </c>
      <c r="D4050" t="s">
        <v>5639</v>
      </c>
    </row>
    <row r="4051" spans="1:4" x14ac:dyDescent="0.25">
      <c r="A4051" t="s">
        <v>205</v>
      </c>
      <c r="B4051" t="s">
        <v>38</v>
      </c>
      <c r="C4051" s="1">
        <v>46024.781944444447</v>
      </c>
      <c r="D4051" t="s">
        <v>5639</v>
      </c>
    </row>
    <row r="4052" spans="1:4" x14ac:dyDescent="0.25">
      <c r="A4052" t="s">
        <v>989</v>
      </c>
      <c r="B4052" t="s">
        <v>1239</v>
      </c>
      <c r="C4052" s="1">
        <v>46078.612500000003</v>
      </c>
      <c r="D4052" t="s">
        <v>5639</v>
      </c>
    </row>
    <row r="4053" spans="1:4" x14ac:dyDescent="0.25">
      <c r="A4053" t="s">
        <v>204</v>
      </c>
      <c r="B4053" t="s">
        <v>38</v>
      </c>
      <c r="C4053" s="1">
        <v>46036.693055555559</v>
      </c>
      <c r="D4053" t="s">
        <v>5639</v>
      </c>
    </row>
    <row r="4054" spans="1:4" x14ac:dyDescent="0.25">
      <c r="A4054" t="s">
        <v>202</v>
      </c>
      <c r="B4054" t="s">
        <v>38</v>
      </c>
      <c r="C4054" s="1">
        <v>46024.796527777777</v>
      </c>
      <c r="D4054" t="s">
        <v>5639</v>
      </c>
    </row>
    <row r="4055" spans="1:4" x14ac:dyDescent="0.25">
      <c r="A4055" t="s">
        <v>201</v>
      </c>
      <c r="B4055" t="s">
        <v>38</v>
      </c>
      <c r="C4055" s="1">
        <v>46007.705555555556</v>
      </c>
      <c r="D4055" t="s">
        <v>5639</v>
      </c>
    </row>
    <row r="4056" spans="1:4" x14ac:dyDescent="0.25">
      <c r="A4056" t="s">
        <v>228</v>
      </c>
      <c r="B4056" t="s">
        <v>38</v>
      </c>
      <c r="C4056" s="1">
        <v>46027.5625</v>
      </c>
      <c r="D4056" t="s">
        <v>5639</v>
      </c>
    </row>
    <row r="4057" spans="1:4" x14ac:dyDescent="0.25">
      <c r="A4057" t="s">
        <v>200</v>
      </c>
      <c r="B4057" t="s">
        <v>39</v>
      </c>
      <c r="C4057" s="1">
        <v>46029.734722222223</v>
      </c>
      <c r="D4057" t="s">
        <v>5639</v>
      </c>
    </row>
    <row r="4058" spans="1:4" x14ac:dyDescent="0.25">
      <c r="A4058" t="s">
        <v>199</v>
      </c>
      <c r="B4058" t="s">
        <v>38</v>
      </c>
      <c r="C4058" s="1">
        <v>46036.577777777777</v>
      </c>
      <c r="D4058" t="s">
        <v>5639</v>
      </c>
    </row>
    <row r="4059" spans="1:4" x14ac:dyDescent="0.25">
      <c r="A4059" t="s">
        <v>212</v>
      </c>
      <c r="B4059" t="s">
        <v>38</v>
      </c>
      <c r="C4059" s="1">
        <v>46024.59097222222</v>
      </c>
      <c r="D4059" t="s">
        <v>5639</v>
      </c>
    </row>
    <row r="4060" spans="1:4" x14ac:dyDescent="0.25">
      <c r="A4060" t="s">
        <v>209</v>
      </c>
      <c r="B4060" t="s">
        <v>38</v>
      </c>
      <c r="C4060" s="1">
        <v>46022.666666666664</v>
      </c>
      <c r="D4060" t="s">
        <v>5639</v>
      </c>
    </row>
    <row r="4061" spans="1:4" x14ac:dyDescent="0.25">
      <c r="A4061" t="s">
        <v>218</v>
      </c>
      <c r="B4061" t="s">
        <v>39</v>
      </c>
      <c r="C4061" s="1">
        <v>46029.734722222223</v>
      </c>
      <c r="D4061" t="s">
        <v>5639</v>
      </c>
    </row>
    <row r="4062" spans="1:4" x14ac:dyDescent="0.25">
      <c r="A4062" t="s">
        <v>227</v>
      </c>
      <c r="B4062" t="s">
        <v>38</v>
      </c>
      <c r="C4062" s="1">
        <v>46036.694444444445</v>
      </c>
      <c r="D4062" t="s">
        <v>5639</v>
      </c>
    </row>
    <row r="4063" spans="1:4" x14ac:dyDescent="0.25">
      <c r="A4063" t="s">
        <v>226</v>
      </c>
      <c r="B4063" t="s">
        <v>38</v>
      </c>
      <c r="C4063" s="1">
        <v>46024.797222222223</v>
      </c>
      <c r="D4063" t="s">
        <v>5639</v>
      </c>
    </row>
    <row r="4064" spans="1:4" x14ac:dyDescent="0.25">
      <c r="A4064" t="s">
        <v>992</v>
      </c>
      <c r="B4064" t="s">
        <v>38</v>
      </c>
      <c r="C4064" s="1">
        <v>46079.618055555555</v>
      </c>
      <c r="D4064" t="s">
        <v>5639</v>
      </c>
    </row>
    <row r="4065" spans="1:4" x14ac:dyDescent="0.25">
      <c r="A4065" t="s">
        <v>238</v>
      </c>
      <c r="B4065" t="s">
        <v>39</v>
      </c>
      <c r="C4065" s="1">
        <v>46039.833333333336</v>
      </c>
      <c r="D4065" t="s">
        <v>5639</v>
      </c>
    </row>
    <row r="4066" spans="1:4" x14ac:dyDescent="0.25">
      <c r="A4066" t="s">
        <v>237</v>
      </c>
      <c r="B4066" t="s">
        <v>38</v>
      </c>
      <c r="C4066" s="1">
        <v>46036.581250000003</v>
      </c>
      <c r="D4066" t="s">
        <v>5639</v>
      </c>
    </row>
    <row r="4067" spans="1:4" x14ac:dyDescent="0.25">
      <c r="A4067" t="s">
        <v>993</v>
      </c>
      <c r="B4067" t="s">
        <v>1239</v>
      </c>
      <c r="C4067" s="1">
        <v>46078.486111111109</v>
      </c>
      <c r="D4067" t="s">
        <v>5639</v>
      </c>
    </row>
    <row r="4068" spans="1:4" x14ac:dyDescent="0.25">
      <c r="A4068" t="s">
        <v>247</v>
      </c>
      <c r="B4068" t="s">
        <v>38</v>
      </c>
      <c r="C4068" s="1">
        <v>46014.720138888886</v>
      </c>
      <c r="D4068" t="s">
        <v>5639</v>
      </c>
    </row>
    <row r="4069" spans="1:4" x14ac:dyDescent="0.25">
      <c r="A4069" t="s">
        <v>246</v>
      </c>
      <c r="B4069" t="s">
        <v>38</v>
      </c>
      <c r="C4069" s="1">
        <v>46036.695833333331</v>
      </c>
      <c r="D4069" t="s">
        <v>5639</v>
      </c>
    </row>
    <row r="4070" spans="1:4" x14ac:dyDescent="0.25">
      <c r="A4070" t="s">
        <v>255</v>
      </c>
      <c r="B4070" t="s">
        <v>38</v>
      </c>
      <c r="C4070" s="1">
        <v>46056.553472222222</v>
      </c>
      <c r="D4070" t="s">
        <v>5639</v>
      </c>
    </row>
    <row r="4071" spans="1:4" x14ac:dyDescent="0.25">
      <c r="A4071" t="s">
        <v>251</v>
      </c>
      <c r="B4071" t="s">
        <v>38</v>
      </c>
      <c r="C4071" s="1">
        <v>46036.652083333334</v>
      </c>
      <c r="D4071" t="s">
        <v>5639</v>
      </c>
    </row>
    <row r="4072" spans="1:4" x14ac:dyDescent="0.25">
      <c r="A4072" t="s">
        <v>267</v>
      </c>
      <c r="B4072" t="s">
        <v>38</v>
      </c>
      <c r="C4072" s="1">
        <v>46036.698611111111</v>
      </c>
      <c r="D4072" t="s">
        <v>5639</v>
      </c>
    </row>
    <row r="4073" spans="1:4" x14ac:dyDescent="0.25">
      <c r="A4073" t="s">
        <v>263</v>
      </c>
      <c r="B4073" t="s">
        <v>38</v>
      </c>
      <c r="C4073" s="1">
        <v>46024.788888888892</v>
      </c>
      <c r="D4073" t="s">
        <v>5639</v>
      </c>
    </row>
    <row r="4074" spans="1:4" x14ac:dyDescent="0.25">
      <c r="A4074" t="s">
        <v>939</v>
      </c>
      <c r="B4074" t="s">
        <v>1239</v>
      </c>
      <c r="C4074" s="1">
        <v>46077.829861111109</v>
      </c>
      <c r="D4074" t="s">
        <v>5639</v>
      </c>
    </row>
    <row r="4075" spans="1:4" x14ac:dyDescent="0.25">
      <c r="A4075" t="s">
        <v>268</v>
      </c>
      <c r="B4075" t="s">
        <v>38</v>
      </c>
      <c r="C4075" s="1">
        <v>46017.671527777777</v>
      </c>
      <c r="D4075" t="s">
        <v>5639</v>
      </c>
    </row>
    <row r="4076" spans="1:4" x14ac:dyDescent="0.25">
      <c r="A4076" t="s">
        <v>941</v>
      </c>
      <c r="B4076" t="s">
        <v>38</v>
      </c>
      <c r="C4076" s="1">
        <v>46078.536111111112</v>
      </c>
      <c r="D4076" t="s">
        <v>5639</v>
      </c>
    </row>
    <row r="4077" spans="1:4" x14ac:dyDescent="0.25">
      <c r="A4077" t="s">
        <v>276</v>
      </c>
      <c r="B4077" t="s">
        <v>38</v>
      </c>
      <c r="C4077" s="1">
        <v>46036.56527777778</v>
      </c>
      <c r="D4077" t="s">
        <v>5639</v>
      </c>
    </row>
    <row r="4078" spans="1:4" x14ac:dyDescent="0.25">
      <c r="A4078" t="s">
        <v>275</v>
      </c>
      <c r="B4078" t="s">
        <v>38</v>
      </c>
      <c r="C4078" s="1">
        <v>46021.57916666667</v>
      </c>
      <c r="D4078" t="s">
        <v>5639</v>
      </c>
    </row>
    <row r="4079" spans="1:4" x14ac:dyDescent="0.25">
      <c r="A4079" t="s">
        <v>281</v>
      </c>
      <c r="B4079" t="s">
        <v>38</v>
      </c>
      <c r="C4079" s="1">
        <v>46025.511111111111</v>
      </c>
      <c r="D4079" t="s">
        <v>5639</v>
      </c>
    </row>
    <row r="4080" spans="1:4" x14ac:dyDescent="0.25">
      <c r="A4080" t="s">
        <v>278</v>
      </c>
      <c r="B4080" t="s">
        <v>38</v>
      </c>
      <c r="C4080" s="1">
        <v>46022.734027777777</v>
      </c>
      <c r="D4080" t="s">
        <v>5639</v>
      </c>
    </row>
    <row r="4081" spans="1:4" x14ac:dyDescent="0.25">
      <c r="A4081" t="s">
        <v>285</v>
      </c>
      <c r="B4081" t="s">
        <v>38</v>
      </c>
      <c r="C4081" s="1">
        <v>46015.60833333333</v>
      </c>
      <c r="D4081" t="s">
        <v>5639</v>
      </c>
    </row>
    <row r="4082" spans="1:4" x14ac:dyDescent="0.25">
      <c r="A4082" t="s">
        <v>283</v>
      </c>
      <c r="B4082" t="s">
        <v>38</v>
      </c>
      <c r="C4082" s="1">
        <v>46036.679861111108</v>
      </c>
      <c r="D4082" t="s">
        <v>5639</v>
      </c>
    </row>
    <row r="4083" spans="1:4" x14ac:dyDescent="0.25">
      <c r="A4083" t="s">
        <v>288</v>
      </c>
      <c r="B4083" t="s">
        <v>38</v>
      </c>
      <c r="C4083" s="1">
        <v>46020.665972222225</v>
      </c>
      <c r="D4083" t="s">
        <v>5639</v>
      </c>
    </row>
    <row r="4084" spans="1:4" x14ac:dyDescent="0.25">
      <c r="A4084" t="s">
        <v>295</v>
      </c>
      <c r="B4084" t="s">
        <v>39</v>
      </c>
      <c r="C4084" s="1">
        <v>46029.731944444444</v>
      </c>
      <c r="D4084" t="s">
        <v>5639</v>
      </c>
    </row>
    <row r="4085" spans="1:4" x14ac:dyDescent="0.25">
      <c r="A4085" t="s">
        <v>335</v>
      </c>
      <c r="B4085" t="s">
        <v>38</v>
      </c>
      <c r="C4085" s="1">
        <v>46029.714583333334</v>
      </c>
      <c r="D4085" t="s">
        <v>5639</v>
      </c>
    </row>
    <row r="4086" spans="1:4" x14ac:dyDescent="0.25">
      <c r="A4086" t="s">
        <v>305</v>
      </c>
      <c r="B4086" t="s">
        <v>39</v>
      </c>
      <c r="C4086" s="1">
        <v>46029.731944444444</v>
      </c>
      <c r="D4086" t="s">
        <v>5639</v>
      </c>
    </row>
    <row r="4087" spans="1:4" x14ac:dyDescent="0.25">
      <c r="A4087" t="s">
        <v>301</v>
      </c>
      <c r="B4087" t="s">
        <v>38</v>
      </c>
      <c r="C4087" s="1">
        <v>46035.715277777781</v>
      </c>
      <c r="D4087" t="s">
        <v>5639</v>
      </c>
    </row>
    <row r="4088" spans="1:4" x14ac:dyDescent="0.25">
      <c r="A4088" t="s">
        <v>316</v>
      </c>
      <c r="B4088" t="s">
        <v>38</v>
      </c>
      <c r="C4088" s="1">
        <v>46029.597916666666</v>
      </c>
      <c r="D4088" t="s">
        <v>5639</v>
      </c>
    </row>
    <row r="4089" spans="1:4" x14ac:dyDescent="0.25">
      <c r="A4089" t="s">
        <v>315</v>
      </c>
      <c r="B4089" t="s">
        <v>38</v>
      </c>
      <c r="C4089" s="1">
        <v>46039.671527777777</v>
      </c>
      <c r="D4089" t="s">
        <v>5639</v>
      </c>
    </row>
    <row r="4090" spans="1:4" x14ac:dyDescent="0.25">
      <c r="A4090" t="s">
        <v>313</v>
      </c>
      <c r="B4090" t="s">
        <v>38</v>
      </c>
      <c r="C4090" s="1">
        <v>46039.672222222223</v>
      </c>
      <c r="D4090" t="s">
        <v>5639</v>
      </c>
    </row>
    <row r="4091" spans="1:4" x14ac:dyDescent="0.25">
      <c r="A4091" t="s">
        <v>935</v>
      </c>
      <c r="B4091" t="s">
        <v>1239</v>
      </c>
      <c r="C4091" s="1">
        <v>46077.632638888892</v>
      </c>
      <c r="D4091" t="s">
        <v>5639</v>
      </c>
    </row>
    <row r="4092" spans="1:4" x14ac:dyDescent="0.25">
      <c r="A4092" t="s">
        <v>936</v>
      </c>
      <c r="B4092" t="s">
        <v>1239</v>
      </c>
      <c r="C4092" s="1">
        <v>46077.618750000001</v>
      </c>
      <c r="D4092" t="s">
        <v>5639</v>
      </c>
    </row>
    <row r="4093" spans="1:4" x14ac:dyDescent="0.25">
      <c r="A4093" t="s">
        <v>334</v>
      </c>
      <c r="B4093" t="s">
        <v>38</v>
      </c>
      <c r="C4093" s="1">
        <v>46031.547222222223</v>
      </c>
      <c r="D4093" t="s">
        <v>5639</v>
      </c>
    </row>
    <row r="4094" spans="1:4" x14ac:dyDescent="0.25">
      <c r="A4094" t="s">
        <v>349</v>
      </c>
      <c r="B4094" t="s">
        <v>38</v>
      </c>
      <c r="C4094" s="1">
        <v>46039.67291666667</v>
      </c>
      <c r="D4094" t="s">
        <v>5639</v>
      </c>
    </row>
    <row r="4095" spans="1:4" x14ac:dyDescent="0.25">
      <c r="A4095" t="s">
        <v>342</v>
      </c>
      <c r="B4095" t="s">
        <v>38</v>
      </c>
      <c r="C4095" s="1">
        <v>46025.491666666669</v>
      </c>
      <c r="D4095" t="s">
        <v>5639</v>
      </c>
    </row>
    <row r="4096" spans="1:4" x14ac:dyDescent="0.25">
      <c r="A4096" t="s">
        <v>353</v>
      </c>
      <c r="B4096" t="s">
        <v>39</v>
      </c>
      <c r="C4096" s="1">
        <v>46038.481249999997</v>
      </c>
      <c r="D4096" t="s">
        <v>5639</v>
      </c>
    </row>
    <row r="4097" spans="1:4" x14ac:dyDescent="0.25">
      <c r="A4097" t="s">
        <v>351</v>
      </c>
      <c r="B4097" t="s">
        <v>38</v>
      </c>
      <c r="C4097" s="1">
        <v>46039.673611111109</v>
      </c>
      <c r="D4097" t="s">
        <v>5639</v>
      </c>
    </row>
    <row r="4098" spans="1:4" x14ac:dyDescent="0.25">
      <c r="A4098" t="s">
        <v>362</v>
      </c>
      <c r="B4098" t="s">
        <v>38</v>
      </c>
      <c r="C4098" s="1">
        <v>46039.55</v>
      </c>
      <c r="D4098" t="s">
        <v>5639</v>
      </c>
    </row>
    <row r="4099" spans="1:4" x14ac:dyDescent="0.25">
      <c r="A4099" t="s">
        <v>360</v>
      </c>
      <c r="B4099" t="s">
        <v>38</v>
      </c>
      <c r="C4099" s="1">
        <v>46030.631249999999</v>
      </c>
      <c r="D4099" t="s">
        <v>5639</v>
      </c>
    </row>
    <row r="4100" spans="1:4" x14ac:dyDescent="0.25">
      <c r="A4100" t="s">
        <v>359</v>
      </c>
      <c r="B4100" t="s">
        <v>39</v>
      </c>
      <c r="C4100" s="1">
        <v>46029.743750000001</v>
      </c>
      <c r="D4100" t="s">
        <v>5639</v>
      </c>
    </row>
    <row r="4101" spans="1:4" x14ac:dyDescent="0.25">
      <c r="A4101" t="s">
        <v>358</v>
      </c>
      <c r="B4101" t="s">
        <v>38</v>
      </c>
      <c r="C4101" s="1">
        <v>46039.552083333336</v>
      </c>
      <c r="D4101" t="s">
        <v>5639</v>
      </c>
    </row>
    <row r="4102" spans="1:4" x14ac:dyDescent="0.25">
      <c r="A4102" t="s">
        <v>357</v>
      </c>
      <c r="B4102" t="s">
        <v>38</v>
      </c>
      <c r="C4102" s="1">
        <v>46030.646527777775</v>
      </c>
      <c r="D4102" t="s">
        <v>5639</v>
      </c>
    </row>
    <row r="4103" spans="1:4" x14ac:dyDescent="0.25">
      <c r="A4103" t="s">
        <v>356</v>
      </c>
      <c r="B4103" t="s">
        <v>38</v>
      </c>
      <c r="C4103" s="1">
        <v>46039.552777777775</v>
      </c>
      <c r="D4103" t="s">
        <v>5639</v>
      </c>
    </row>
    <row r="4104" spans="1:4" x14ac:dyDescent="0.25">
      <c r="A4104" t="s">
        <v>355</v>
      </c>
      <c r="B4104" t="s">
        <v>38</v>
      </c>
      <c r="C4104" s="1">
        <v>46039.554861111108</v>
      </c>
      <c r="D4104" t="s">
        <v>5639</v>
      </c>
    </row>
    <row r="4105" spans="1:4" x14ac:dyDescent="0.25">
      <c r="A4105" t="s">
        <v>930</v>
      </c>
      <c r="B4105" t="s">
        <v>30</v>
      </c>
      <c r="C4105" s="1">
        <v>46079.828472222223</v>
      </c>
      <c r="D4105" t="s">
        <v>5639</v>
      </c>
    </row>
    <row r="4106" spans="1:4" x14ac:dyDescent="0.25">
      <c r="A4106" t="s">
        <v>368</v>
      </c>
      <c r="B4106" t="s">
        <v>39</v>
      </c>
      <c r="C4106" s="1">
        <v>46034.636805555558</v>
      </c>
      <c r="D4106" t="s">
        <v>5639</v>
      </c>
    </row>
    <row r="4107" spans="1:4" x14ac:dyDescent="0.25">
      <c r="A4107" t="s">
        <v>367</v>
      </c>
      <c r="B4107" t="s">
        <v>38</v>
      </c>
      <c r="C4107" s="1">
        <v>46031.685416666667</v>
      </c>
      <c r="D4107" t="s">
        <v>5639</v>
      </c>
    </row>
    <row r="4108" spans="1:4" x14ac:dyDescent="0.25">
      <c r="A4108" t="s">
        <v>372</v>
      </c>
      <c r="B4108" t="s">
        <v>38</v>
      </c>
      <c r="C4108" s="1">
        <v>46035.827777777777</v>
      </c>
      <c r="D4108" t="s">
        <v>5639</v>
      </c>
    </row>
    <row r="4109" spans="1:4" x14ac:dyDescent="0.25">
      <c r="A4109" t="s">
        <v>377</v>
      </c>
      <c r="B4109" t="s">
        <v>38</v>
      </c>
      <c r="C4109" s="1">
        <v>46031.696527777778</v>
      </c>
      <c r="D4109" t="s">
        <v>5639</v>
      </c>
    </row>
    <row r="4110" spans="1:4" x14ac:dyDescent="0.25">
      <c r="A4110" t="s">
        <v>414</v>
      </c>
      <c r="B4110" t="s">
        <v>38</v>
      </c>
      <c r="C4110" s="1">
        <v>46036.629166666666</v>
      </c>
      <c r="D4110" t="s">
        <v>5639</v>
      </c>
    </row>
    <row r="4111" spans="1:4" x14ac:dyDescent="0.25">
      <c r="A4111" t="s">
        <v>388</v>
      </c>
      <c r="B4111" t="s">
        <v>38</v>
      </c>
      <c r="C4111" s="1">
        <v>46039.699305555558</v>
      </c>
      <c r="D4111" t="s">
        <v>5639</v>
      </c>
    </row>
    <row r="4112" spans="1:4" x14ac:dyDescent="0.25">
      <c r="A4112" t="s">
        <v>391</v>
      </c>
      <c r="B4112" t="s">
        <v>38</v>
      </c>
      <c r="C4112" s="1">
        <v>46032.54583333333</v>
      </c>
      <c r="D4112" t="s">
        <v>5639</v>
      </c>
    </row>
    <row r="4113" spans="1:4" x14ac:dyDescent="0.25">
      <c r="A4113" t="s">
        <v>390</v>
      </c>
      <c r="B4113" t="s">
        <v>38</v>
      </c>
      <c r="C4113" s="1">
        <v>46039.556250000001</v>
      </c>
      <c r="D4113" t="s">
        <v>5639</v>
      </c>
    </row>
    <row r="4114" spans="1:4" x14ac:dyDescent="0.25">
      <c r="A4114" t="s">
        <v>413</v>
      </c>
      <c r="B4114" t="s">
        <v>38</v>
      </c>
      <c r="C4114" s="1">
        <v>46043.693055555559</v>
      </c>
      <c r="D4114" t="s">
        <v>5639</v>
      </c>
    </row>
    <row r="4115" spans="1:4" x14ac:dyDescent="0.25">
      <c r="A4115" t="s">
        <v>412</v>
      </c>
      <c r="B4115" t="s">
        <v>38</v>
      </c>
      <c r="C4115" s="1">
        <v>46039.563194444447</v>
      </c>
      <c r="D4115" t="s">
        <v>5639</v>
      </c>
    </row>
    <row r="4116" spans="1:4" x14ac:dyDescent="0.25">
      <c r="A4116" t="s">
        <v>401</v>
      </c>
      <c r="B4116" t="s">
        <v>38</v>
      </c>
      <c r="C4116" s="1">
        <v>46032.675000000003</v>
      </c>
      <c r="D4116" t="s">
        <v>5639</v>
      </c>
    </row>
    <row r="4117" spans="1:4" x14ac:dyDescent="0.25">
      <c r="A4117" t="s">
        <v>422</v>
      </c>
      <c r="B4117" t="s">
        <v>38</v>
      </c>
      <c r="C4117" s="1">
        <v>46039.695833333331</v>
      </c>
      <c r="D4117" t="s">
        <v>5639</v>
      </c>
    </row>
    <row r="4118" spans="1:4" x14ac:dyDescent="0.25">
      <c r="A4118" t="s">
        <v>913</v>
      </c>
      <c r="B4118" t="s">
        <v>38</v>
      </c>
      <c r="C4118" s="1">
        <v>46079.567361111112</v>
      </c>
      <c r="D4118" t="s">
        <v>5639</v>
      </c>
    </row>
    <row r="4119" spans="1:4" x14ac:dyDescent="0.25">
      <c r="A4119" t="s">
        <v>420</v>
      </c>
      <c r="B4119" t="s">
        <v>38</v>
      </c>
      <c r="C4119" s="1">
        <v>46032.680555555555</v>
      </c>
      <c r="D4119" t="s">
        <v>5639</v>
      </c>
    </row>
    <row r="4120" spans="1:4" x14ac:dyDescent="0.25">
      <c r="A4120" t="s">
        <v>426</v>
      </c>
      <c r="B4120" t="s">
        <v>38</v>
      </c>
      <c r="C4120" s="1">
        <v>46050.488194444442</v>
      </c>
      <c r="D4120" t="s">
        <v>5639</v>
      </c>
    </row>
    <row r="4121" spans="1:4" x14ac:dyDescent="0.25">
      <c r="A4121" t="s">
        <v>424</v>
      </c>
      <c r="B4121" t="s">
        <v>38</v>
      </c>
      <c r="C4121" s="1">
        <v>46035.660416666666</v>
      </c>
      <c r="D4121" t="s">
        <v>5639</v>
      </c>
    </row>
    <row r="4122" spans="1:4" x14ac:dyDescent="0.25">
      <c r="A4122" t="s">
        <v>430</v>
      </c>
      <c r="B4122" t="s">
        <v>38</v>
      </c>
      <c r="C4122" s="1">
        <v>46038.57916666667</v>
      </c>
      <c r="D4122" t="s">
        <v>5639</v>
      </c>
    </row>
    <row r="4123" spans="1:4" x14ac:dyDescent="0.25">
      <c r="A4123" t="s">
        <v>915</v>
      </c>
      <c r="B4123" t="s">
        <v>30</v>
      </c>
      <c r="C4123" s="1">
        <v>46079.715277777781</v>
      </c>
      <c r="D4123" t="s">
        <v>5639</v>
      </c>
    </row>
    <row r="4124" spans="1:4" x14ac:dyDescent="0.25">
      <c r="A4124" t="s">
        <v>916</v>
      </c>
      <c r="B4124" t="s">
        <v>30</v>
      </c>
      <c r="C4124" s="1">
        <v>46079.542361111111</v>
      </c>
      <c r="D4124" t="s">
        <v>5639</v>
      </c>
    </row>
    <row r="4125" spans="1:4" x14ac:dyDescent="0.25">
      <c r="A4125" t="s">
        <v>433</v>
      </c>
      <c r="B4125" t="s">
        <v>38</v>
      </c>
      <c r="C4125" s="1">
        <v>46034.579861111109</v>
      </c>
      <c r="D4125" t="s">
        <v>5639</v>
      </c>
    </row>
    <row r="4126" spans="1:4" x14ac:dyDescent="0.25">
      <c r="A4126" t="s">
        <v>432</v>
      </c>
      <c r="B4126" t="s">
        <v>38</v>
      </c>
      <c r="C4126" s="1">
        <v>46034.604166666664</v>
      </c>
      <c r="D4126" t="s">
        <v>5639</v>
      </c>
    </row>
    <row r="4127" spans="1:4" x14ac:dyDescent="0.25">
      <c r="A4127" t="s">
        <v>917</v>
      </c>
      <c r="B4127" t="s">
        <v>1073</v>
      </c>
      <c r="C4127" s="1">
        <v>46077.45416666667</v>
      </c>
      <c r="D4127" t="s">
        <v>5639</v>
      </c>
    </row>
    <row r="4128" spans="1:4" x14ac:dyDescent="0.25">
      <c r="A4128" t="s">
        <v>449</v>
      </c>
      <c r="B4128" t="s">
        <v>38</v>
      </c>
      <c r="C4128" s="1">
        <v>46039.546527777777</v>
      </c>
      <c r="D4128" t="s">
        <v>5639</v>
      </c>
    </row>
    <row r="4129" spans="1:4" x14ac:dyDescent="0.25">
      <c r="A4129" t="s">
        <v>448</v>
      </c>
      <c r="B4129" t="s">
        <v>38</v>
      </c>
      <c r="C4129" s="1">
        <v>46036.61041666667</v>
      </c>
      <c r="D4129" t="s">
        <v>5639</v>
      </c>
    </row>
    <row r="4130" spans="1:4" x14ac:dyDescent="0.25">
      <c r="A4130" t="s">
        <v>447</v>
      </c>
      <c r="B4130" t="s">
        <v>38</v>
      </c>
      <c r="C4130" s="1">
        <v>46039.544444444444</v>
      </c>
      <c r="D4130" t="s">
        <v>5639</v>
      </c>
    </row>
    <row r="4131" spans="1:4" x14ac:dyDescent="0.25">
      <c r="A4131" t="s">
        <v>919</v>
      </c>
      <c r="B4131" t="s">
        <v>38</v>
      </c>
      <c r="C4131" s="1">
        <v>46079.595138888886</v>
      </c>
      <c r="D4131" t="s">
        <v>5639</v>
      </c>
    </row>
    <row r="4132" spans="1:4" x14ac:dyDescent="0.25">
      <c r="A4132" t="s">
        <v>920</v>
      </c>
      <c r="B4132" t="s">
        <v>35</v>
      </c>
      <c r="C4132" s="1">
        <v>46078.675000000003</v>
      </c>
      <c r="D4132" t="s">
        <v>5639</v>
      </c>
    </row>
    <row r="4133" spans="1:4" x14ac:dyDescent="0.25">
      <c r="A4133" t="s">
        <v>458</v>
      </c>
      <c r="B4133" t="s">
        <v>38</v>
      </c>
      <c r="C4133" s="1">
        <v>46037.599999999999</v>
      </c>
      <c r="D4133" t="s">
        <v>5639</v>
      </c>
    </row>
    <row r="4134" spans="1:4" x14ac:dyDescent="0.25">
      <c r="A4134" t="s">
        <v>921</v>
      </c>
      <c r="B4134" t="s">
        <v>38</v>
      </c>
      <c r="C4134" s="1">
        <v>46078.54791666667</v>
      </c>
      <c r="D4134" t="s">
        <v>5639</v>
      </c>
    </row>
    <row r="4135" spans="1:4" x14ac:dyDescent="0.25">
      <c r="A4135" t="s">
        <v>525</v>
      </c>
      <c r="B4135" t="s">
        <v>38</v>
      </c>
      <c r="C4135" s="1">
        <v>46043.51458333333</v>
      </c>
      <c r="D4135" t="s">
        <v>5639</v>
      </c>
    </row>
    <row r="4136" spans="1:4" x14ac:dyDescent="0.25">
      <c r="A4136" t="s">
        <v>460</v>
      </c>
      <c r="B4136" t="s">
        <v>39</v>
      </c>
      <c r="C4136" s="1">
        <v>46041.756944444445</v>
      </c>
      <c r="D4136" t="s">
        <v>5639</v>
      </c>
    </row>
    <row r="4137" spans="1:4" x14ac:dyDescent="0.25">
      <c r="A4137" t="s">
        <v>485</v>
      </c>
      <c r="B4137" t="s">
        <v>38</v>
      </c>
      <c r="C4137" s="1">
        <v>46055.486805555556</v>
      </c>
      <c r="D4137" t="s">
        <v>5639</v>
      </c>
    </row>
    <row r="4138" spans="1:4" x14ac:dyDescent="0.25">
      <c r="A4138" t="s">
        <v>484</v>
      </c>
      <c r="B4138" t="s">
        <v>38</v>
      </c>
      <c r="C4138" s="1">
        <v>46046.492361111108</v>
      </c>
      <c r="D4138" t="s">
        <v>5639</v>
      </c>
    </row>
    <row r="4139" spans="1:4" x14ac:dyDescent="0.25">
      <c r="A4139" t="s">
        <v>480</v>
      </c>
      <c r="B4139" t="s">
        <v>38</v>
      </c>
      <c r="C4139" s="1">
        <v>46046.597222222219</v>
      </c>
      <c r="D4139" t="s">
        <v>5639</v>
      </c>
    </row>
    <row r="4140" spans="1:4" x14ac:dyDescent="0.25">
      <c r="A4140" t="s">
        <v>923</v>
      </c>
      <c r="B4140" t="s">
        <v>1129</v>
      </c>
      <c r="C4140" s="1">
        <v>46079.78125</v>
      </c>
      <c r="D4140" t="s">
        <v>5639</v>
      </c>
    </row>
    <row r="4141" spans="1:4" x14ac:dyDescent="0.25">
      <c r="A4141" t="s">
        <v>478</v>
      </c>
      <c r="B4141" t="s">
        <v>38</v>
      </c>
      <c r="C4141" s="1">
        <v>46042.677083333336</v>
      </c>
      <c r="D4141" t="s">
        <v>5639</v>
      </c>
    </row>
    <row r="4142" spans="1:4" x14ac:dyDescent="0.25">
      <c r="A4142" t="s">
        <v>477</v>
      </c>
      <c r="B4142" t="s">
        <v>38</v>
      </c>
      <c r="C4142" s="1">
        <v>46049.773611111108</v>
      </c>
      <c r="D4142" t="s">
        <v>5639</v>
      </c>
    </row>
    <row r="4143" spans="1:4" x14ac:dyDescent="0.25">
      <c r="A4143" t="s">
        <v>472</v>
      </c>
      <c r="B4143" t="s">
        <v>38</v>
      </c>
      <c r="C4143" s="1">
        <v>46052.677083333336</v>
      </c>
      <c r="D4143" t="s">
        <v>5639</v>
      </c>
    </row>
    <row r="4144" spans="1:4" x14ac:dyDescent="0.25">
      <c r="A4144" t="s">
        <v>925</v>
      </c>
      <c r="B4144" t="s">
        <v>30</v>
      </c>
      <c r="C4144" s="1">
        <v>46078.737500000003</v>
      </c>
      <c r="D4144" t="s">
        <v>5639</v>
      </c>
    </row>
    <row r="4145" spans="1:4" x14ac:dyDescent="0.25">
      <c r="A4145" t="s">
        <v>470</v>
      </c>
      <c r="B4145" t="s">
        <v>38</v>
      </c>
      <c r="C4145" s="1">
        <v>46043.640972222223</v>
      </c>
      <c r="D4145" t="s">
        <v>5639</v>
      </c>
    </row>
    <row r="4146" spans="1:4" x14ac:dyDescent="0.25">
      <c r="A4146" t="s">
        <v>487</v>
      </c>
      <c r="B4146" t="s">
        <v>38</v>
      </c>
      <c r="C4146" s="1">
        <v>46044.800694444442</v>
      </c>
      <c r="D4146" t="s">
        <v>5639</v>
      </c>
    </row>
    <row r="4147" spans="1:4" x14ac:dyDescent="0.25">
      <c r="A4147" t="s">
        <v>486</v>
      </c>
      <c r="B4147" t="s">
        <v>38</v>
      </c>
      <c r="C4147" s="1">
        <v>46042.686805555553</v>
      </c>
      <c r="D4147" t="s">
        <v>5639</v>
      </c>
    </row>
    <row r="4148" spans="1:4" x14ac:dyDescent="0.25">
      <c r="A4148" t="s">
        <v>927</v>
      </c>
      <c r="B4148" t="s">
        <v>38</v>
      </c>
      <c r="C4148" s="1">
        <v>46077.504166666666</v>
      </c>
      <c r="D4148" t="s">
        <v>5639</v>
      </c>
    </row>
    <row r="4149" spans="1:4" x14ac:dyDescent="0.25">
      <c r="A4149" t="s">
        <v>507</v>
      </c>
      <c r="B4149" t="s">
        <v>38</v>
      </c>
      <c r="C4149" s="1">
        <v>46042.704861111109</v>
      </c>
      <c r="D4149" t="s">
        <v>5639</v>
      </c>
    </row>
    <row r="4150" spans="1:4" x14ac:dyDescent="0.25">
      <c r="A4150" t="s">
        <v>506</v>
      </c>
      <c r="B4150" t="s">
        <v>39</v>
      </c>
      <c r="C4150" s="1">
        <v>46069.463888888888</v>
      </c>
      <c r="D4150" t="s">
        <v>5639</v>
      </c>
    </row>
    <row r="4151" spans="1:4" x14ac:dyDescent="0.25">
      <c r="A4151" t="s">
        <v>910</v>
      </c>
      <c r="B4151" t="s">
        <v>1073</v>
      </c>
      <c r="C4151" s="1">
        <v>46079.479166666664</v>
      </c>
      <c r="D4151" t="s">
        <v>5639</v>
      </c>
    </row>
    <row r="4152" spans="1:4" x14ac:dyDescent="0.25">
      <c r="A4152" t="s">
        <v>505</v>
      </c>
      <c r="B4152" t="s">
        <v>38</v>
      </c>
      <c r="C4152" s="1">
        <v>46042.724999999999</v>
      </c>
      <c r="D4152" t="s">
        <v>5639</v>
      </c>
    </row>
    <row r="4153" spans="1:4" x14ac:dyDescent="0.25">
      <c r="A4153" t="s">
        <v>504</v>
      </c>
      <c r="B4153" t="s">
        <v>38</v>
      </c>
      <c r="C4153" s="1">
        <v>46049.551388888889</v>
      </c>
      <c r="D4153" t="s">
        <v>5639</v>
      </c>
    </row>
    <row r="4154" spans="1:4" x14ac:dyDescent="0.25">
      <c r="A4154" t="s">
        <v>503</v>
      </c>
      <c r="B4154" t="s">
        <v>38</v>
      </c>
      <c r="C4154" s="1">
        <v>46046.758333333331</v>
      </c>
      <c r="D4154" t="s">
        <v>5639</v>
      </c>
    </row>
    <row r="4155" spans="1:4" x14ac:dyDescent="0.25">
      <c r="A4155" t="s">
        <v>501</v>
      </c>
      <c r="B4155" t="s">
        <v>38</v>
      </c>
      <c r="C4155" s="1">
        <v>46044.595833333333</v>
      </c>
      <c r="D4155" t="s">
        <v>5639</v>
      </c>
    </row>
    <row r="4156" spans="1:4" x14ac:dyDescent="0.25">
      <c r="A4156" t="s">
        <v>514</v>
      </c>
      <c r="B4156" t="s">
        <v>39</v>
      </c>
      <c r="C4156" s="1">
        <v>46062.759027777778</v>
      </c>
      <c r="D4156" t="s">
        <v>5639</v>
      </c>
    </row>
    <row r="4157" spans="1:4" x14ac:dyDescent="0.25">
      <c r="A4157" t="s">
        <v>500</v>
      </c>
      <c r="B4157" t="s">
        <v>38</v>
      </c>
      <c r="C4157" s="1">
        <v>46044.693055555559</v>
      </c>
      <c r="D4157" t="s">
        <v>5639</v>
      </c>
    </row>
    <row r="4158" spans="1:4" x14ac:dyDescent="0.25">
      <c r="A4158" t="s">
        <v>499</v>
      </c>
      <c r="B4158" t="s">
        <v>38</v>
      </c>
      <c r="C4158" s="1">
        <v>46050.876388888886</v>
      </c>
      <c r="D4158" t="s">
        <v>5639</v>
      </c>
    </row>
    <row r="4159" spans="1:4" x14ac:dyDescent="0.25">
      <c r="A4159" t="s">
        <v>498</v>
      </c>
      <c r="B4159" t="s">
        <v>38</v>
      </c>
      <c r="C4159" s="1">
        <v>46052.559027777781</v>
      </c>
      <c r="D4159" t="s">
        <v>5639</v>
      </c>
    </row>
    <row r="4160" spans="1:4" x14ac:dyDescent="0.25">
      <c r="A4160" t="s">
        <v>497</v>
      </c>
      <c r="B4160" t="s">
        <v>38</v>
      </c>
      <c r="C4160" s="1">
        <v>46044.697916666664</v>
      </c>
      <c r="D4160" t="s">
        <v>5639</v>
      </c>
    </row>
    <row r="4161" spans="1:4" x14ac:dyDescent="0.25">
      <c r="A4161" t="s">
        <v>911</v>
      </c>
      <c r="B4161" t="s">
        <v>1239</v>
      </c>
      <c r="C4161" s="1">
        <v>46074.5625</v>
      </c>
      <c r="D4161" t="s">
        <v>5639</v>
      </c>
    </row>
    <row r="4162" spans="1:4" x14ac:dyDescent="0.25">
      <c r="A4162" t="s">
        <v>912</v>
      </c>
      <c r="B4162" t="s">
        <v>1239</v>
      </c>
      <c r="C4162" s="1">
        <v>46074.551388888889</v>
      </c>
      <c r="D4162" t="s">
        <v>5639</v>
      </c>
    </row>
    <row r="4163" spans="1:4" x14ac:dyDescent="0.25">
      <c r="A4163" t="s">
        <v>495</v>
      </c>
      <c r="B4163" t="s">
        <v>38</v>
      </c>
      <c r="C4163" s="1">
        <v>46046.605555555558</v>
      </c>
      <c r="D4163" t="s">
        <v>5639</v>
      </c>
    </row>
    <row r="4164" spans="1:4" x14ac:dyDescent="0.25">
      <c r="A4164" t="s">
        <v>494</v>
      </c>
      <c r="B4164" t="s">
        <v>39</v>
      </c>
      <c r="C4164" s="1">
        <v>46078.524305555555</v>
      </c>
      <c r="D4164" t="s">
        <v>5639</v>
      </c>
    </row>
    <row r="4165" spans="1:4" x14ac:dyDescent="0.25">
      <c r="A4165" t="s">
        <v>891</v>
      </c>
      <c r="B4165" t="s">
        <v>38</v>
      </c>
      <c r="C4165" s="1">
        <v>46077.499305555553</v>
      </c>
      <c r="D4165" t="s">
        <v>5639</v>
      </c>
    </row>
    <row r="4166" spans="1:4" x14ac:dyDescent="0.25">
      <c r="A4166" t="s">
        <v>492</v>
      </c>
      <c r="B4166" t="s">
        <v>38</v>
      </c>
      <c r="C4166" s="1">
        <v>46052.531944444447</v>
      </c>
      <c r="D4166" t="s">
        <v>5639</v>
      </c>
    </row>
    <row r="4167" spans="1:4" x14ac:dyDescent="0.25">
      <c r="A4167" t="s">
        <v>490</v>
      </c>
      <c r="B4167" t="s">
        <v>38</v>
      </c>
      <c r="C4167" s="1">
        <v>46046.536805555559</v>
      </c>
      <c r="D4167" t="s">
        <v>5639</v>
      </c>
    </row>
    <row r="4168" spans="1:4" x14ac:dyDescent="0.25">
      <c r="A4168" t="s">
        <v>512</v>
      </c>
      <c r="B4168" t="s">
        <v>38</v>
      </c>
      <c r="C4168" s="1">
        <v>46044.529166666667</v>
      </c>
      <c r="D4168" t="s">
        <v>5639</v>
      </c>
    </row>
    <row r="4169" spans="1:4" x14ac:dyDescent="0.25">
      <c r="A4169" t="s">
        <v>511</v>
      </c>
      <c r="B4169" t="s">
        <v>39</v>
      </c>
      <c r="C4169" s="1">
        <v>46051.65902777778</v>
      </c>
      <c r="D4169" t="s">
        <v>5639</v>
      </c>
    </row>
    <row r="4170" spans="1:4" x14ac:dyDescent="0.25">
      <c r="A4170" t="s">
        <v>892</v>
      </c>
      <c r="B4170" t="s">
        <v>38</v>
      </c>
      <c r="C4170" s="1">
        <v>46077.513194444444</v>
      </c>
      <c r="D4170" t="s">
        <v>5639</v>
      </c>
    </row>
    <row r="4171" spans="1:4" x14ac:dyDescent="0.25">
      <c r="A4171" t="s">
        <v>523</v>
      </c>
      <c r="B4171" t="s">
        <v>39</v>
      </c>
      <c r="C4171" s="1">
        <v>46042.759722222225</v>
      </c>
      <c r="D4171" t="s">
        <v>5639</v>
      </c>
    </row>
    <row r="4172" spans="1:4" x14ac:dyDescent="0.25">
      <c r="A4172" t="s">
        <v>521</v>
      </c>
      <c r="B4172" t="s">
        <v>38</v>
      </c>
      <c r="C4172" s="1">
        <v>46042.571527777778</v>
      </c>
      <c r="D4172" t="s">
        <v>5639</v>
      </c>
    </row>
    <row r="4173" spans="1:4" x14ac:dyDescent="0.25">
      <c r="A4173" t="s">
        <v>893</v>
      </c>
      <c r="B4173" t="s">
        <v>38</v>
      </c>
      <c r="C4173" s="1">
        <v>46077.540972222225</v>
      </c>
      <c r="D4173" t="s">
        <v>5639</v>
      </c>
    </row>
    <row r="4174" spans="1:4" x14ac:dyDescent="0.25">
      <c r="A4174" t="s">
        <v>520</v>
      </c>
      <c r="B4174" t="s">
        <v>38</v>
      </c>
      <c r="C4174" s="1">
        <v>46052.576388888891</v>
      </c>
      <c r="D4174" t="s">
        <v>5639</v>
      </c>
    </row>
    <row r="4175" spans="1:4" x14ac:dyDescent="0.25">
      <c r="A4175" t="s">
        <v>593</v>
      </c>
      <c r="B4175" t="s">
        <v>38</v>
      </c>
      <c r="C4175" s="1">
        <v>46057.484027777777</v>
      </c>
      <c r="D4175" t="s">
        <v>5639</v>
      </c>
    </row>
    <row r="4176" spans="1:4" x14ac:dyDescent="0.25">
      <c r="A4176" t="s">
        <v>518</v>
      </c>
      <c r="B4176" t="s">
        <v>38</v>
      </c>
      <c r="C4176" s="1">
        <v>46044.65347222222</v>
      </c>
      <c r="D4176" t="s">
        <v>5639</v>
      </c>
    </row>
    <row r="4177" spans="1:4" x14ac:dyDescent="0.25">
      <c r="A4177" t="s">
        <v>516</v>
      </c>
      <c r="B4177" t="s">
        <v>38</v>
      </c>
      <c r="C4177" s="1">
        <v>46055.491666666669</v>
      </c>
      <c r="D4177" t="s">
        <v>5639</v>
      </c>
    </row>
    <row r="4178" spans="1:4" x14ac:dyDescent="0.25">
      <c r="A4178" t="s">
        <v>526</v>
      </c>
      <c r="B4178" t="s">
        <v>39</v>
      </c>
      <c r="C4178" s="1">
        <v>46062.686111111114</v>
      </c>
      <c r="D4178" t="s">
        <v>5639</v>
      </c>
    </row>
    <row r="4179" spans="1:4" x14ac:dyDescent="0.25">
      <c r="A4179" t="s">
        <v>530</v>
      </c>
      <c r="B4179" t="s">
        <v>38</v>
      </c>
      <c r="C4179" s="1">
        <v>46049.724999999999</v>
      </c>
      <c r="D4179" t="s">
        <v>5639</v>
      </c>
    </row>
    <row r="4180" spans="1:4" x14ac:dyDescent="0.25">
      <c r="A4180" t="s">
        <v>542</v>
      </c>
      <c r="B4180" t="s">
        <v>38</v>
      </c>
      <c r="C4180" s="1">
        <v>46044.70416666667</v>
      </c>
      <c r="D4180" t="s">
        <v>5639</v>
      </c>
    </row>
    <row r="4181" spans="1:4" x14ac:dyDescent="0.25">
      <c r="A4181" t="s">
        <v>896</v>
      </c>
      <c r="B4181" t="s">
        <v>38</v>
      </c>
      <c r="C4181" s="1">
        <v>46076.543055555558</v>
      </c>
      <c r="D4181" t="s">
        <v>5639</v>
      </c>
    </row>
    <row r="4182" spans="1:4" x14ac:dyDescent="0.25">
      <c r="A4182" t="s">
        <v>553</v>
      </c>
      <c r="B4182" t="s">
        <v>38</v>
      </c>
      <c r="C4182" s="1">
        <v>46049.706944444442</v>
      </c>
      <c r="D4182" t="s">
        <v>5639</v>
      </c>
    </row>
    <row r="4183" spans="1:4" x14ac:dyDescent="0.25">
      <c r="A4183" t="s">
        <v>898</v>
      </c>
      <c r="B4183" t="s">
        <v>1129</v>
      </c>
      <c r="C4183" s="1">
        <v>46079.779861111114</v>
      </c>
      <c r="D4183" t="s">
        <v>5639</v>
      </c>
    </row>
    <row r="4184" spans="1:4" x14ac:dyDescent="0.25">
      <c r="A4184" t="s">
        <v>549</v>
      </c>
      <c r="B4184" t="s">
        <v>39</v>
      </c>
      <c r="C4184" s="1">
        <v>46052.558333333334</v>
      </c>
      <c r="D4184" t="s">
        <v>5639</v>
      </c>
    </row>
    <row r="4185" spans="1:4" x14ac:dyDescent="0.25">
      <c r="A4185" t="s">
        <v>547</v>
      </c>
      <c r="B4185" t="s">
        <v>38</v>
      </c>
      <c r="C4185" s="1">
        <v>46077.829861111109</v>
      </c>
      <c r="D4185" t="s">
        <v>5639</v>
      </c>
    </row>
    <row r="4186" spans="1:4" x14ac:dyDescent="0.25">
      <c r="A4186" t="s">
        <v>546</v>
      </c>
      <c r="B4186" t="s">
        <v>38</v>
      </c>
      <c r="C4186" s="1">
        <v>46063.570833333331</v>
      </c>
      <c r="D4186" t="s">
        <v>5639</v>
      </c>
    </row>
    <row r="4187" spans="1:4" x14ac:dyDescent="0.25">
      <c r="A4187" t="s">
        <v>543</v>
      </c>
      <c r="B4187" t="s">
        <v>38</v>
      </c>
      <c r="C4187" s="1">
        <v>46046.644444444442</v>
      </c>
      <c r="D4187" t="s">
        <v>5639</v>
      </c>
    </row>
    <row r="4188" spans="1:4" x14ac:dyDescent="0.25">
      <c r="A4188" t="s">
        <v>555</v>
      </c>
      <c r="B4188" t="s">
        <v>38</v>
      </c>
      <c r="C4188" s="1">
        <v>46055.518055555556</v>
      </c>
      <c r="D4188" t="s">
        <v>5639</v>
      </c>
    </row>
    <row r="4189" spans="1:4" x14ac:dyDescent="0.25">
      <c r="A4189" t="s">
        <v>592</v>
      </c>
      <c r="B4189" t="s">
        <v>38</v>
      </c>
      <c r="C4189" s="1">
        <v>46060.481249999997</v>
      </c>
      <c r="D4189" t="s">
        <v>5639</v>
      </c>
    </row>
    <row r="4190" spans="1:4" x14ac:dyDescent="0.25">
      <c r="A4190" t="s">
        <v>589</v>
      </c>
      <c r="B4190" t="s">
        <v>38</v>
      </c>
      <c r="C4190" s="1">
        <v>46053.587500000001</v>
      </c>
      <c r="D4190" t="s">
        <v>5639</v>
      </c>
    </row>
    <row r="4191" spans="1:4" x14ac:dyDescent="0.25">
      <c r="A4191" t="s">
        <v>587</v>
      </c>
      <c r="B4191" t="s">
        <v>38</v>
      </c>
      <c r="C4191" s="1">
        <v>46069.59375</v>
      </c>
      <c r="D4191" t="s">
        <v>5639</v>
      </c>
    </row>
    <row r="4192" spans="1:4" x14ac:dyDescent="0.25">
      <c r="A4192" t="s">
        <v>585</v>
      </c>
      <c r="B4192" t="s">
        <v>38</v>
      </c>
      <c r="C4192" s="1">
        <v>46052.80972222222</v>
      </c>
      <c r="D4192" t="s">
        <v>5639</v>
      </c>
    </row>
    <row r="4193" spans="1:4" x14ac:dyDescent="0.25">
      <c r="A4193" t="s">
        <v>583</v>
      </c>
      <c r="B4193" t="s">
        <v>39</v>
      </c>
      <c r="C4193" s="1">
        <v>46049.565972222219</v>
      </c>
      <c r="D4193" t="s">
        <v>5639</v>
      </c>
    </row>
    <row r="4194" spans="1:4" x14ac:dyDescent="0.25">
      <c r="A4194" t="s">
        <v>582</v>
      </c>
      <c r="B4194" t="s">
        <v>38</v>
      </c>
      <c r="C4194" s="1">
        <v>46053.582638888889</v>
      </c>
      <c r="D4194" t="s">
        <v>5639</v>
      </c>
    </row>
    <row r="4195" spans="1:4" x14ac:dyDescent="0.25">
      <c r="A4195" t="s">
        <v>576</v>
      </c>
      <c r="B4195" t="s">
        <v>38</v>
      </c>
      <c r="C4195" s="1">
        <v>46053.670138888891</v>
      </c>
      <c r="D4195" t="s">
        <v>5639</v>
      </c>
    </row>
    <row r="4196" spans="1:4" x14ac:dyDescent="0.25">
      <c r="A4196" t="s">
        <v>901</v>
      </c>
      <c r="B4196" t="s">
        <v>38</v>
      </c>
      <c r="C4196" s="1">
        <v>46078.542361111111</v>
      </c>
      <c r="D4196" t="s">
        <v>5639</v>
      </c>
    </row>
    <row r="4197" spans="1:4" x14ac:dyDescent="0.25">
      <c r="A4197" t="s">
        <v>575</v>
      </c>
      <c r="B4197" t="s">
        <v>38</v>
      </c>
      <c r="C4197" s="1">
        <v>46051.568749999999</v>
      </c>
      <c r="D4197" t="s">
        <v>5639</v>
      </c>
    </row>
    <row r="4198" spans="1:4" x14ac:dyDescent="0.25">
      <c r="A4198" t="s">
        <v>574</v>
      </c>
      <c r="B4198" t="s">
        <v>38</v>
      </c>
      <c r="C4198" s="1">
        <v>46056.734027777777</v>
      </c>
      <c r="D4198" t="s">
        <v>5639</v>
      </c>
    </row>
    <row r="4199" spans="1:4" x14ac:dyDescent="0.25">
      <c r="A4199" t="s">
        <v>571</v>
      </c>
      <c r="B4199" t="s">
        <v>38</v>
      </c>
      <c r="C4199" s="1">
        <v>46077.454861111109</v>
      </c>
      <c r="D4199" t="s">
        <v>5639</v>
      </c>
    </row>
    <row r="4200" spans="1:4" x14ac:dyDescent="0.25">
      <c r="A4200" t="s">
        <v>902</v>
      </c>
      <c r="B4200" t="s">
        <v>38</v>
      </c>
      <c r="C4200" s="1">
        <v>46076.47152777778</v>
      </c>
      <c r="D4200" t="s">
        <v>5639</v>
      </c>
    </row>
    <row r="4201" spans="1:4" x14ac:dyDescent="0.25">
      <c r="A4201" t="s">
        <v>570</v>
      </c>
      <c r="B4201" t="s">
        <v>38</v>
      </c>
      <c r="C4201" s="1">
        <v>46051.59375</v>
      </c>
      <c r="D4201" t="s">
        <v>5639</v>
      </c>
    </row>
    <row r="4202" spans="1:4" x14ac:dyDescent="0.25">
      <c r="A4202" t="s">
        <v>569</v>
      </c>
      <c r="B4202" t="s">
        <v>38</v>
      </c>
      <c r="C4202" s="1">
        <v>46055.684027777781</v>
      </c>
      <c r="D4202" t="s">
        <v>5639</v>
      </c>
    </row>
    <row r="4203" spans="1:4" x14ac:dyDescent="0.25">
      <c r="A4203" t="s">
        <v>567</v>
      </c>
      <c r="B4203" t="s">
        <v>38</v>
      </c>
      <c r="C4203" s="1">
        <v>46050.558333333334</v>
      </c>
      <c r="D4203" t="s">
        <v>5639</v>
      </c>
    </row>
    <row r="4204" spans="1:4" x14ac:dyDescent="0.25">
      <c r="A4204" t="s">
        <v>994</v>
      </c>
      <c r="B4204" t="s">
        <v>1239</v>
      </c>
      <c r="C4204" s="1">
        <v>46079.474999999999</v>
      </c>
      <c r="D4204" t="s">
        <v>5639</v>
      </c>
    </row>
    <row r="4205" spans="1:4" x14ac:dyDescent="0.25">
      <c r="A4205" t="s">
        <v>566</v>
      </c>
      <c r="B4205" t="s">
        <v>38</v>
      </c>
      <c r="C4205" s="1">
        <v>46055.518750000003</v>
      </c>
      <c r="D4205" t="s">
        <v>5639</v>
      </c>
    </row>
    <row r="4206" spans="1:4" x14ac:dyDescent="0.25">
      <c r="A4206" t="s">
        <v>903</v>
      </c>
      <c r="B4206" t="s">
        <v>35</v>
      </c>
      <c r="C4206" s="1">
        <v>46074.633333333331</v>
      </c>
      <c r="D4206" t="s">
        <v>5639</v>
      </c>
    </row>
    <row r="4207" spans="1:4" x14ac:dyDescent="0.25">
      <c r="A4207" t="s">
        <v>904</v>
      </c>
      <c r="B4207" t="s">
        <v>38</v>
      </c>
      <c r="C4207" s="1">
        <v>46077.745138888888</v>
      </c>
      <c r="D4207" t="s">
        <v>5639</v>
      </c>
    </row>
    <row r="4208" spans="1:4" x14ac:dyDescent="0.25">
      <c r="A4208" t="s">
        <v>561</v>
      </c>
      <c r="B4208" t="s">
        <v>38</v>
      </c>
      <c r="C4208" s="1">
        <v>46063.467361111114</v>
      </c>
      <c r="D4208" t="s">
        <v>5639</v>
      </c>
    </row>
    <row r="4209" spans="1:4" x14ac:dyDescent="0.25">
      <c r="A4209" t="s">
        <v>558</v>
      </c>
      <c r="B4209" t="s">
        <v>38</v>
      </c>
      <c r="C4209" s="1">
        <v>46050.763194444444</v>
      </c>
      <c r="D4209" t="s">
        <v>5639</v>
      </c>
    </row>
    <row r="4210" spans="1:4" x14ac:dyDescent="0.25">
      <c r="A4210" t="s">
        <v>557</v>
      </c>
      <c r="B4210" t="s">
        <v>38</v>
      </c>
      <c r="C4210" s="1">
        <v>46055.763888888891</v>
      </c>
      <c r="D4210" t="s">
        <v>5639</v>
      </c>
    </row>
    <row r="4211" spans="1:4" x14ac:dyDescent="0.25">
      <c r="A4211" t="s">
        <v>596</v>
      </c>
      <c r="B4211" t="s">
        <v>38</v>
      </c>
      <c r="C4211" s="1">
        <v>46052.683333333334</v>
      </c>
      <c r="D4211" t="s">
        <v>5639</v>
      </c>
    </row>
    <row r="4212" spans="1:4" x14ac:dyDescent="0.25">
      <c r="A4212" t="s">
        <v>616</v>
      </c>
      <c r="B4212" t="s">
        <v>38</v>
      </c>
      <c r="C4212" s="1">
        <v>46067.852083333331</v>
      </c>
      <c r="D4212" t="s">
        <v>5639</v>
      </c>
    </row>
    <row r="4213" spans="1:4" x14ac:dyDescent="0.25">
      <c r="A4213" t="s">
        <v>609</v>
      </c>
      <c r="B4213" t="s">
        <v>38</v>
      </c>
      <c r="C4213" s="1">
        <v>46055.777777777781</v>
      </c>
      <c r="D4213" t="s">
        <v>5639</v>
      </c>
    </row>
    <row r="4214" spans="1:4" x14ac:dyDescent="0.25">
      <c r="A4214" t="s">
        <v>608</v>
      </c>
      <c r="B4214" t="s">
        <v>38</v>
      </c>
      <c r="C4214" s="1">
        <v>46052.720833333333</v>
      </c>
      <c r="D4214" t="s">
        <v>5639</v>
      </c>
    </row>
    <row r="4215" spans="1:4" x14ac:dyDescent="0.25">
      <c r="A4215" t="s">
        <v>607</v>
      </c>
      <c r="B4215" t="s">
        <v>38</v>
      </c>
      <c r="C4215" s="1">
        <v>46055.78402777778</v>
      </c>
      <c r="D4215" t="s">
        <v>5639</v>
      </c>
    </row>
    <row r="4216" spans="1:4" x14ac:dyDescent="0.25">
      <c r="A4216" t="s">
        <v>606</v>
      </c>
      <c r="B4216" t="s">
        <v>38</v>
      </c>
      <c r="C4216" s="1">
        <v>46055.689583333333</v>
      </c>
      <c r="D4216" t="s">
        <v>5639</v>
      </c>
    </row>
    <row r="4217" spans="1:4" x14ac:dyDescent="0.25">
      <c r="A4217" t="s">
        <v>603</v>
      </c>
      <c r="B4217" t="s">
        <v>38</v>
      </c>
      <c r="C4217" s="1">
        <v>46062.572916666664</v>
      </c>
      <c r="D4217" t="s">
        <v>5639</v>
      </c>
    </row>
    <row r="4218" spans="1:4" x14ac:dyDescent="0.25">
      <c r="A4218" t="s">
        <v>620</v>
      </c>
      <c r="B4218" t="s">
        <v>38</v>
      </c>
      <c r="C4218" s="1">
        <v>46058.475694444445</v>
      </c>
      <c r="D4218" t="s">
        <v>5639</v>
      </c>
    </row>
    <row r="4219" spans="1:4" x14ac:dyDescent="0.25">
      <c r="A4219" t="s">
        <v>619</v>
      </c>
      <c r="B4219" t="s">
        <v>38</v>
      </c>
      <c r="C4219" s="1">
        <v>46057.457638888889</v>
      </c>
      <c r="D4219" t="s">
        <v>5639</v>
      </c>
    </row>
    <row r="4220" spans="1:4" x14ac:dyDescent="0.25">
      <c r="A4220" t="s">
        <v>639</v>
      </c>
      <c r="B4220" t="s">
        <v>38</v>
      </c>
      <c r="C4220" s="1">
        <v>46065.547222222223</v>
      </c>
      <c r="D4220" t="s">
        <v>5639</v>
      </c>
    </row>
    <row r="4221" spans="1:4" x14ac:dyDescent="0.25">
      <c r="A4221" t="s">
        <v>638</v>
      </c>
      <c r="B4221" t="s">
        <v>38</v>
      </c>
      <c r="C4221" s="1">
        <v>46058.701388888891</v>
      </c>
      <c r="D4221" t="s">
        <v>5639</v>
      </c>
    </row>
    <row r="4222" spans="1:4" x14ac:dyDescent="0.25">
      <c r="A4222" t="s">
        <v>637</v>
      </c>
      <c r="B4222" t="s">
        <v>38</v>
      </c>
      <c r="C4222" s="1">
        <v>46059.559027777781</v>
      </c>
      <c r="D4222" t="s">
        <v>5639</v>
      </c>
    </row>
    <row r="4223" spans="1:4" x14ac:dyDescent="0.25">
      <c r="A4223" t="s">
        <v>909</v>
      </c>
      <c r="B4223" t="s">
        <v>30</v>
      </c>
      <c r="C4223" s="1">
        <v>46079.470833333333</v>
      </c>
      <c r="D4223" t="s">
        <v>5639</v>
      </c>
    </row>
    <row r="4224" spans="1:4" x14ac:dyDescent="0.25">
      <c r="A4224" t="s">
        <v>636</v>
      </c>
      <c r="B4224" t="s">
        <v>38</v>
      </c>
      <c r="C4224" s="1">
        <v>46062.543055555558</v>
      </c>
      <c r="D4224" t="s">
        <v>5639</v>
      </c>
    </row>
    <row r="4225" spans="1:4" x14ac:dyDescent="0.25">
      <c r="A4225" t="s">
        <v>634</v>
      </c>
      <c r="B4225" t="s">
        <v>39</v>
      </c>
      <c r="C4225" s="1">
        <v>46058.507638888892</v>
      </c>
      <c r="D4225" t="s">
        <v>5639</v>
      </c>
    </row>
    <row r="4226" spans="1:4" x14ac:dyDescent="0.25">
      <c r="A4226" t="s">
        <v>633</v>
      </c>
      <c r="B4226" t="s">
        <v>38</v>
      </c>
      <c r="C4226" s="1">
        <v>46057.720833333333</v>
      </c>
      <c r="D4226" t="s">
        <v>5639</v>
      </c>
    </row>
    <row r="4227" spans="1:4" x14ac:dyDescent="0.25">
      <c r="A4227" t="s">
        <v>632</v>
      </c>
      <c r="B4227" t="s">
        <v>38</v>
      </c>
      <c r="C4227" s="1">
        <v>46058.710416666669</v>
      </c>
      <c r="D4227" t="s">
        <v>5639</v>
      </c>
    </row>
    <row r="4228" spans="1:4" x14ac:dyDescent="0.25">
      <c r="A4228" t="s">
        <v>631</v>
      </c>
      <c r="B4228" t="s">
        <v>38</v>
      </c>
      <c r="C4228" s="1">
        <v>46058.761111111111</v>
      </c>
      <c r="D4228" t="s">
        <v>5639</v>
      </c>
    </row>
    <row r="4229" spans="1:4" x14ac:dyDescent="0.25">
      <c r="A4229" t="s">
        <v>630</v>
      </c>
      <c r="B4229" t="s">
        <v>38</v>
      </c>
      <c r="C4229" s="1">
        <v>46057.727777777778</v>
      </c>
      <c r="D4229" t="s">
        <v>5639</v>
      </c>
    </row>
    <row r="4230" spans="1:4" x14ac:dyDescent="0.25">
      <c r="A4230" t="s">
        <v>663</v>
      </c>
      <c r="B4230" t="s">
        <v>38</v>
      </c>
      <c r="C4230" s="1">
        <v>46058.725694444445</v>
      </c>
      <c r="D4230" t="s">
        <v>5639</v>
      </c>
    </row>
    <row r="4231" spans="1:4" x14ac:dyDescent="0.25">
      <c r="A4231" t="s">
        <v>662</v>
      </c>
      <c r="B4231" t="s">
        <v>38</v>
      </c>
      <c r="C4231" s="1">
        <v>46064.424305555556</v>
      </c>
      <c r="D4231" t="s">
        <v>5639</v>
      </c>
    </row>
    <row r="4232" spans="1:4" x14ac:dyDescent="0.25">
      <c r="A4232" t="s">
        <v>887</v>
      </c>
      <c r="B4232" t="s">
        <v>35</v>
      </c>
      <c r="C4232" s="1">
        <v>46078.589583333334</v>
      </c>
      <c r="D4232" t="s">
        <v>5639</v>
      </c>
    </row>
    <row r="4233" spans="1:4" x14ac:dyDescent="0.25">
      <c r="A4233" t="s">
        <v>888</v>
      </c>
      <c r="B4233" t="s">
        <v>1129</v>
      </c>
      <c r="C4233" s="1">
        <v>46079.811805555553</v>
      </c>
      <c r="D4233" t="s">
        <v>5639</v>
      </c>
    </row>
    <row r="4234" spans="1:4" x14ac:dyDescent="0.25">
      <c r="A4234" t="s">
        <v>889</v>
      </c>
      <c r="B4234" t="s">
        <v>38</v>
      </c>
      <c r="C4234" s="1">
        <v>46077.584722222222</v>
      </c>
      <c r="D4234" t="s">
        <v>5639</v>
      </c>
    </row>
    <row r="4235" spans="1:4" x14ac:dyDescent="0.25">
      <c r="A4235" t="s">
        <v>658</v>
      </c>
      <c r="B4235" t="s">
        <v>38</v>
      </c>
      <c r="C4235" s="1">
        <v>46058.734027777777</v>
      </c>
      <c r="D4235" t="s">
        <v>5639</v>
      </c>
    </row>
    <row r="4236" spans="1:4" x14ac:dyDescent="0.25">
      <c r="A4236" t="s">
        <v>655</v>
      </c>
      <c r="B4236" t="s">
        <v>38</v>
      </c>
      <c r="C4236" s="1">
        <v>46057.581250000003</v>
      </c>
      <c r="D4236" t="s">
        <v>5639</v>
      </c>
    </row>
    <row r="4237" spans="1:4" x14ac:dyDescent="0.25">
      <c r="A4237" t="s">
        <v>873</v>
      </c>
      <c r="B4237" t="s">
        <v>38</v>
      </c>
      <c r="C4237" s="1">
        <v>46074.586111111108</v>
      </c>
      <c r="D4237" t="s">
        <v>5639</v>
      </c>
    </row>
    <row r="4238" spans="1:4" x14ac:dyDescent="0.25">
      <c r="A4238" t="s">
        <v>652</v>
      </c>
      <c r="B4238" t="s">
        <v>38</v>
      </c>
      <c r="C4238" s="1">
        <v>46074.509722222225</v>
      </c>
      <c r="D4238" t="s">
        <v>5639</v>
      </c>
    </row>
    <row r="4239" spans="1:4" x14ac:dyDescent="0.25">
      <c r="A4239" t="s">
        <v>651</v>
      </c>
      <c r="B4239" t="s">
        <v>38</v>
      </c>
      <c r="C4239" s="1">
        <v>46058.741666666669</v>
      </c>
      <c r="D4239" t="s">
        <v>5639</v>
      </c>
    </row>
    <row r="4240" spans="1:4" x14ac:dyDescent="0.25">
      <c r="A4240" t="s">
        <v>874</v>
      </c>
      <c r="B4240" t="s">
        <v>38</v>
      </c>
      <c r="C4240" s="1">
        <v>46074.582638888889</v>
      </c>
      <c r="D4240" t="s">
        <v>5639</v>
      </c>
    </row>
    <row r="4241" spans="1:4" x14ac:dyDescent="0.25">
      <c r="A4241" t="s">
        <v>650</v>
      </c>
      <c r="B4241" t="s">
        <v>38</v>
      </c>
      <c r="C4241" s="1">
        <v>46060.748611111114</v>
      </c>
      <c r="D4241" t="s">
        <v>5639</v>
      </c>
    </row>
    <row r="4242" spans="1:4" x14ac:dyDescent="0.25">
      <c r="A4242" t="s">
        <v>649</v>
      </c>
      <c r="B4242" t="s">
        <v>38</v>
      </c>
      <c r="C4242" s="1">
        <v>46056.540972222225</v>
      </c>
      <c r="D4242" t="s">
        <v>5639</v>
      </c>
    </row>
    <row r="4243" spans="1:4" x14ac:dyDescent="0.25">
      <c r="A4243" t="s">
        <v>644</v>
      </c>
      <c r="B4243" t="s">
        <v>38</v>
      </c>
      <c r="C4243" s="1">
        <v>46058.736805555556</v>
      </c>
      <c r="D4243" t="s">
        <v>5639</v>
      </c>
    </row>
    <row r="4244" spans="1:4" x14ac:dyDescent="0.25">
      <c r="A4244" t="s">
        <v>642</v>
      </c>
      <c r="B4244" t="s">
        <v>38</v>
      </c>
      <c r="C4244" s="1">
        <v>46058.765277777777</v>
      </c>
      <c r="D4244" t="s">
        <v>5639</v>
      </c>
    </row>
    <row r="4245" spans="1:4" x14ac:dyDescent="0.25">
      <c r="A4245" t="s">
        <v>686</v>
      </c>
      <c r="B4245" t="s">
        <v>38</v>
      </c>
      <c r="C4245" s="1">
        <v>46057.506944444445</v>
      </c>
      <c r="D4245" t="s">
        <v>5639</v>
      </c>
    </row>
    <row r="4246" spans="1:4" x14ac:dyDescent="0.25">
      <c r="A4246" t="s">
        <v>675</v>
      </c>
      <c r="B4246" t="s">
        <v>38</v>
      </c>
      <c r="C4246" s="1">
        <v>46058.768750000003</v>
      </c>
      <c r="D4246" t="s">
        <v>5639</v>
      </c>
    </row>
    <row r="4247" spans="1:4" x14ac:dyDescent="0.25">
      <c r="A4247" t="s">
        <v>674</v>
      </c>
      <c r="B4247" t="s">
        <v>38</v>
      </c>
      <c r="C4247" s="1">
        <v>46058.947916666664</v>
      </c>
      <c r="D4247" t="s">
        <v>5639</v>
      </c>
    </row>
    <row r="4248" spans="1:4" x14ac:dyDescent="0.25">
      <c r="A4248" t="s">
        <v>673</v>
      </c>
      <c r="B4248" t="s">
        <v>38</v>
      </c>
      <c r="C4248" s="1">
        <v>46058.938194444447</v>
      </c>
      <c r="D4248" t="s">
        <v>5639</v>
      </c>
    </row>
    <row r="4249" spans="1:4" x14ac:dyDescent="0.25">
      <c r="A4249" t="s">
        <v>685</v>
      </c>
      <c r="B4249" t="s">
        <v>38</v>
      </c>
      <c r="C4249" s="1">
        <v>46074.542361111111</v>
      </c>
      <c r="D4249" t="s">
        <v>5639</v>
      </c>
    </row>
    <row r="4250" spans="1:4" x14ac:dyDescent="0.25">
      <c r="A4250" t="s">
        <v>877</v>
      </c>
      <c r="B4250" t="s">
        <v>35</v>
      </c>
      <c r="C4250" s="1">
        <v>46079.605555555558</v>
      </c>
      <c r="D4250" t="s">
        <v>5639</v>
      </c>
    </row>
    <row r="4251" spans="1:4" x14ac:dyDescent="0.25">
      <c r="A4251" t="s">
        <v>667</v>
      </c>
      <c r="B4251" t="s">
        <v>38</v>
      </c>
      <c r="C4251" s="1">
        <v>46062.493750000001</v>
      </c>
      <c r="D4251" t="s">
        <v>5639</v>
      </c>
    </row>
    <row r="4252" spans="1:4" x14ac:dyDescent="0.25">
      <c r="A4252" t="s">
        <v>665</v>
      </c>
      <c r="B4252" t="s">
        <v>38</v>
      </c>
      <c r="C4252" s="1">
        <v>46058.529861111114</v>
      </c>
      <c r="D4252" t="s">
        <v>5639</v>
      </c>
    </row>
    <row r="4253" spans="1:4" x14ac:dyDescent="0.25">
      <c r="A4253" t="s">
        <v>698</v>
      </c>
      <c r="B4253" t="s">
        <v>38</v>
      </c>
      <c r="C4253" s="1">
        <v>46076.73333333333</v>
      </c>
      <c r="D4253" t="s">
        <v>5639</v>
      </c>
    </row>
    <row r="4254" spans="1:4" x14ac:dyDescent="0.25">
      <c r="A4254" t="s">
        <v>692</v>
      </c>
      <c r="B4254" t="s">
        <v>38</v>
      </c>
      <c r="C4254" s="1">
        <v>46059.727777777778</v>
      </c>
      <c r="D4254" t="s">
        <v>5639</v>
      </c>
    </row>
    <row r="4255" spans="1:4" x14ac:dyDescent="0.25">
      <c r="A4255" t="s">
        <v>879</v>
      </c>
      <c r="B4255" t="s">
        <v>38</v>
      </c>
      <c r="C4255" s="1">
        <v>46077.602777777778</v>
      </c>
      <c r="D4255" t="s">
        <v>5639</v>
      </c>
    </row>
    <row r="4256" spans="1:4" x14ac:dyDescent="0.25">
      <c r="A4256" t="s">
        <v>691</v>
      </c>
      <c r="B4256" t="s">
        <v>38</v>
      </c>
      <c r="C4256" s="1">
        <v>46060.700694444444</v>
      </c>
      <c r="D4256" t="s">
        <v>5639</v>
      </c>
    </row>
    <row r="4257" spans="1:4" x14ac:dyDescent="0.25">
      <c r="A4257" t="s">
        <v>690</v>
      </c>
      <c r="B4257" t="s">
        <v>38</v>
      </c>
      <c r="C4257" s="1">
        <v>46079.491666666669</v>
      </c>
      <c r="D4257" t="s">
        <v>5639</v>
      </c>
    </row>
    <row r="4258" spans="1:4" x14ac:dyDescent="0.25">
      <c r="A4258" t="s">
        <v>688</v>
      </c>
      <c r="B4258" t="s">
        <v>38</v>
      </c>
      <c r="C4258" s="1">
        <v>46059.734027777777</v>
      </c>
      <c r="D4258" t="s">
        <v>5639</v>
      </c>
    </row>
    <row r="4259" spans="1:4" x14ac:dyDescent="0.25">
      <c r="A4259" t="s">
        <v>766</v>
      </c>
      <c r="B4259" t="s">
        <v>38</v>
      </c>
      <c r="C4259" s="1">
        <v>46066.671527777777</v>
      </c>
      <c r="D4259" t="s">
        <v>5639</v>
      </c>
    </row>
    <row r="4260" spans="1:4" x14ac:dyDescent="0.25">
      <c r="A4260" t="s">
        <v>880</v>
      </c>
      <c r="B4260" t="s">
        <v>38</v>
      </c>
      <c r="C4260" s="1">
        <v>46077.60833333333</v>
      </c>
      <c r="D4260" t="s">
        <v>5639</v>
      </c>
    </row>
    <row r="4261" spans="1:4" x14ac:dyDescent="0.25">
      <c r="A4261" t="s">
        <v>720</v>
      </c>
      <c r="B4261" t="s">
        <v>38</v>
      </c>
      <c r="C4261" s="1">
        <v>46060.694444444445</v>
      </c>
      <c r="D4261" t="s">
        <v>5639</v>
      </c>
    </row>
    <row r="4262" spans="1:4" x14ac:dyDescent="0.25">
      <c r="A4262" t="s">
        <v>719</v>
      </c>
      <c r="B4262" t="s">
        <v>38</v>
      </c>
      <c r="C4262" s="1">
        <v>46067.727083333331</v>
      </c>
      <c r="D4262" t="s">
        <v>5639</v>
      </c>
    </row>
    <row r="4263" spans="1:4" x14ac:dyDescent="0.25">
      <c r="A4263" t="s">
        <v>715</v>
      </c>
      <c r="B4263" t="s">
        <v>38</v>
      </c>
      <c r="C4263" s="1">
        <v>46062.517361111109</v>
      </c>
      <c r="D4263" t="s">
        <v>5639</v>
      </c>
    </row>
    <row r="4264" spans="1:4" x14ac:dyDescent="0.25">
      <c r="A4264" t="s">
        <v>712</v>
      </c>
      <c r="B4264" t="s">
        <v>38</v>
      </c>
      <c r="C4264" s="1">
        <v>46062.557638888888</v>
      </c>
      <c r="D4264" t="s">
        <v>5639</v>
      </c>
    </row>
    <row r="4265" spans="1:4" x14ac:dyDescent="0.25">
      <c r="A4265" t="s">
        <v>709</v>
      </c>
      <c r="B4265" t="s">
        <v>38</v>
      </c>
      <c r="C4265" s="1">
        <v>46062.524305555555</v>
      </c>
      <c r="D4265" t="s">
        <v>5639</v>
      </c>
    </row>
    <row r="4266" spans="1:4" x14ac:dyDescent="0.25">
      <c r="A4266" t="s">
        <v>848</v>
      </c>
      <c r="B4266" t="s">
        <v>38</v>
      </c>
      <c r="C4266" s="1">
        <v>46076.56527777778</v>
      </c>
      <c r="D4266" t="s">
        <v>5639</v>
      </c>
    </row>
    <row r="4267" spans="1:4" x14ac:dyDescent="0.25">
      <c r="A4267" t="s">
        <v>708</v>
      </c>
      <c r="B4267" t="s">
        <v>38</v>
      </c>
      <c r="C4267" s="1">
        <v>46067.604166666664</v>
      </c>
      <c r="D4267" t="s">
        <v>5639</v>
      </c>
    </row>
    <row r="4268" spans="1:4" x14ac:dyDescent="0.25">
      <c r="A4268" t="s">
        <v>707</v>
      </c>
      <c r="B4268" t="s">
        <v>38</v>
      </c>
      <c r="C4268" s="1">
        <v>46065.708333333336</v>
      </c>
      <c r="D4268" t="s">
        <v>5639</v>
      </c>
    </row>
    <row r="4269" spans="1:4" x14ac:dyDescent="0.25">
      <c r="A4269" t="s">
        <v>706</v>
      </c>
      <c r="B4269" t="s">
        <v>38</v>
      </c>
      <c r="C4269" s="1">
        <v>46079.792361111111</v>
      </c>
      <c r="D4269" t="s">
        <v>5639</v>
      </c>
    </row>
    <row r="4270" spans="1:4" x14ac:dyDescent="0.25">
      <c r="A4270" t="s">
        <v>705</v>
      </c>
      <c r="B4270" t="s">
        <v>38</v>
      </c>
      <c r="C4270" s="1">
        <v>46060.65902777778</v>
      </c>
      <c r="D4270" t="s">
        <v>5639</v>
      </c>
    </row>
    <row r="4271" spans="1:4" x14ac:dyDescent="0.25">
      <c r="A4271" t="s">
        <v>704</v>
      </c>
      <c r="B4271" t="s">
        <v>38</v>
      </c>
      <c r="C4271" s="1">
        <v>46065.69027777778</v>
      </c>
      <c r="D4271" t="s">
        <v>5639</v>
      </c>
    </row>
    <row r="4272" spans="1:4" x14ac:dyDescent="0.25">
      <c r="A4272" t="s">
        <v>703</v>
      </c>
      <c r="B4272" t="s">
        <v>38</v>
      </c>
      <c r="C4272" s="1">
        <v>46060.67291666667</v>
      </c>
      <c r="D4272" t="s">
        <v>5639</v>
      </c>
    </row>
    <row r="4273" spans="1:4" x14ac:dyDescent="0.25">
      <c r="A4273" t="s">
        <v>702</v>
      </c>
      <c r="B4273" t="s">
        <v>38</v>
      </c>
      <c r="C4273" s="1">
        <v>46060.683333333334</v>
      </c>
      <c r="D4273" t="s">
        <v>5639</v>
      </c>
    </row>
    <row r="4274" spans="1:4" x14ac:dyDescent="0.25">
      <c r="A4274" t="s">
        <v>701</v>
      </c>
      <c r="B4274" t="s">
        <v>38</v>
      </c>
      <c r="C4274" s="1">
        <v>46062.594444444447</v>
      </c>
      <c r="D4274" t="s">
        <v>5639</v>
      </c>
    </row>
    <row r="4275" spans="1:4" x14ac:dyDescent="0.25">
      <c r="A4275" t="s">
        <v>700</v>
      </c>
      <c r="B4275" t="s">
        <v>38</v>
      </c>
      <c r="C4275" s="1">
        <v>46060.677777777775</v>
      </c>
      <c r="D4275" t="s">
        <v>5639</v>
      </c>
    </row>
    <row r="4276" spans="1:4" x14ac:dyDescent="0.25">
      <c r="A4276" t="s">
        <v>736</v>
      </c>
      <c r="B4276" t="s">
        <v>38</v>
      </c>
      <c r="C4276" s="1">
        <v>46071.529166666667</v>
      </c>
      <c r="D4276" t="s">
        <v>5639</v>
      </c>
    </row>
    <row r="4277" spans="1:4" x14ac:dyDescent="0.25">
      <c r="A4277" t="s">
        <v>852</v>
      </c>
      <c r="B4277" t="s">
        <v>38</v>
      </c>
      <c r="C4277" s="1">
        <v>46078.535416666666</v>
      </c>
      <c r="D4277" t="s">
        <v>5639</v>
      </c>
    </row>
    <row r="4278" spans="1:4" x14ac:dyDescent="0.25">
      <c r="A4278" t="s">
        <v>729</v>
      </c>
      <c r="B4278" t="s">
        <v>38</v>
      </c>
      <c r="C4278" s="1">
        <v>46062.557638888888</v>
      </c>
      <c r="D4278" t="s">
        <v>5639</v>
      </c>
    </row>
    <row r="4279" spans="1:4" x14ac:dyDescent="0.25">
      <c r="A4279" t="s">
        <v>856</v>
      </c>
      <c r="B4279" t="s">
        <v>39</v>
      </c>
      <c r="C4279" s="1">
        <v>46075.986805555556</v>
      </c>
      <c r="D4279" t="s">
        <v>5639</v>
      </c>
    </row>
    <row r="4280" spans="1:4" x14ac:dyDescent="0.25">
      <c r="A4280" t="s">
        <v>858</v>
      </c>
      <c r="B4280" t="s">
        <v>1129</v>
      </c>
      <c r="C4280" s="1">
        <v>46079.570833333331</v>
      </c>
      <c r="D4280" t="s">
        <v>5639</v>
      </c>
    </row>
    <row r="4281" spans="1:4" x14ac:dyDescent="0.25">
      <c r="A4281" t="s">
        <v>746</v>
      </c>
      <c r="B4281" t="s">
        <v>38</v>
      </c>
      <c r="C4281" s="1">
        <v>46060.524305555555</v>
      </c>
      <c r="D4281" t="s">
        <v>5639</v>
      </c>
    </row>
    <row r="4282" spans="1:4" x14ac:dyDescent="0.25">
      <c r="A4282" t="s">
        <v>744</v>
      </c>
      <c r="B4282" t="s">
        <v>38</v>
      </c>
      <c r="C4282" s="1">
        <v>46061.928472222222</v>
      </c>
      <c r="D4282" t="s">
        <v>5639</v>
      </c>
    </row>
    <row r="4283" spans="1:4" x14ac:dyDescent="0.25">
      <c r="A4283" t="s">
        <v>748</v>
      </c>
      <c r="B4283" t="s">
        <v>38</v>
      </c>
      <c r="C4283" s="1">
        <v>46065.690972222219</v>
      </c>
      <c r="D4283" t="s">
        <v>5639</v>
      </c>
    </row>
    <row r="4284" spans="1:4" x14ac:dyDescent="0.25">
      <c r="A4284" t="s">
        <v>863</v>
      </c>
      <c r="B4284" t="s">
        <v>38</v>
      </c>
      <c r="C4284" s="1">
        <v>46074.521527777775</v>
      </c>
      <c r="D4284" t="s">
        <v>5639</v>
      </c>
    </row>
    <row r="4285" spans="1:4" x14ac:dyDescent="0.25">
      <c r="A4285" t="s">
        <v>866</v>
      </c>
      <c r="B4285" t="s">
        <v>38</v>
      </c>
      <c r="C4285" s="1">
        <v>46079.525000000001</v>
      </c>
      <c r="D4285" t="s">
        <v>5639</v>
      </c>
    </row>
    <row r="4286" spans="1:4" x14ac:dyDescent="0.25">
      <c r="A4286" t="s">
        <v>769</v>
      </c>
      <c r="B4286" t="s">
        <v>38</v>
      </c>
      <c r="C4286" s="1">
        <v>46078.824999999997</v>
      </c>
      <c r="D4286" t="s">
        <v>5639</v>
      </c>
    </row>
    <row r="4287" spans="1:4" x14ac:dyDescent="0.25">
      <c r="A4287" t="s">
        <v>768</v>
      </c>
      <c r="B4287" t="s">
        <v>38</v>
      </c>
      <c r="C4287" s="1">
        <v>46063.496527777781</v>
      </c>
      <c r="D4287" t="s">
        <v>5639</v>
      </c>
    </row>
    <row r="4288" spans="1:4" x14ac:dyDescent="0.25">
      <c r="A4288" t="s">
        <v>767</v>
      </c>
      <c r="B4288" t="s">
        <v>38</v>
      </c>
      <c r="C4288" s="1">
        <v>46074.543055555558</v>
      </c>
      <c r="D4288" t="s">
        <v>5639</v>
      </c>
    </row>
    <row r="4289" spans="1:4" x14ac:dyDescent="0.25">
      <c r="A4289" t="s">
        <v>777</v>
      </c>
      <c r="B4289" t="s">
        <v>38</v>
      </c>
      <c r="C4289" s="1">
        <v>46062.804166666669</v>
      </c>
      <c r="D4289" t="s">
        <v>5639</v>
      </c>
    </row>
    <row r="4290" spans="1:4" x14ac:dyDescent="0.25">
      <c r="A4290" t="s">
        <v>774</v>
      </c>
      <c r="B4290" t="s">
        <v>38</v>
      </c>
      <c r="C4290" s="1">
        <v>46071.715277777781</v>
      </c>
      <c r="D4290" t="s">
        <v>5639</v>
      </c>
    </row>
    <row r="4291" spans="1:4" x14ac:dyDescent="0.25">
      <c r="A4291" t="s">
        <v>773</v>
      </c>
      <c r="B4291" t="s">
        <v>38</v>
      </c>
      <c r="C4291" s="1">
        <v>46064.613888888889</v>
      </c>
      <c r="D4291" t="s">
        <v>5639</v>
      </c>
    </row>
    <row r="4292" spans="1:4" x14ac:dyDescent="0.25">
      <c r="A4292" t="s">
        <v>771</v>
      </c>
      <c r="B4292" t="s">
        <v>38</v>
      </c>
      <c r="C4292" s="1">
        <v>46065.745833333334</v>
      </c>
      <c r="D4292" t="s">
        <v>5639</v>
      </c>
    </row>
    <row r="4293" spans="1:4" x14ac:dyDescent="0.25">
      <c r="A4293" t="s">
        <v>770</v>
      </c>
      <c r="B4293" t="s">
        <v>38</v>
      </c>
      <c r="C4293" s="1">
        <v>46071.618055555555</v>
      </c>
      <c r="D4293" t="s">
        <v>5639</v>
      </c>
    </row>
    <row r="4294" spans="1:4" x14ac:dyDescent="0.25">
      <c r="A4294" t="s">
        <v>827</v>
      </c>
      <c r="B4294" t="s">
        <v>38</v>
      </c>
      <c r="C4294" s="1">
        <v>46064.622916666667</v>
      </c>
      <c r="D4294" t="s">
        <v>5639</v>
      </c>
    </row>
    <row r="4295" spans="1:4" x14ac:dyDescent="0.25">
      <c r="A4295" t="s">
        <v>830</v>
      </c>
      <c r="B4295" t="s">
        <v>30</v>
      </c>
      <c r="C4295" s="1">
        <v>46078.584027777775</v>
      </c>
      <c r="D4295" t="s">
        <v>5639</v>
      </c>
    </row>
    <row r="4296" spans="1:4" x14ac:dyDescent="0.25">
      <c r="A4296" t="s">
        <v>821</v>
      </c>
      <c r="B4296" t="s">
        <v>38</v>
      </c>
      <c r="C4296" s="1">
        <v>46079.70208333333</v>
      </c>
      <c r="D4296" t="s">
        <v>5639</v>
      </c>
    </row>
    <row r="4297" spans="1:4" x14ac:dyDescent="0.25">
      <c r="A4297" t="s">
        <v>819</v>
      </c>
      <c r="B4297" t="s">
        <v>38</v>
      </c>
      <c r="C4297" s="1">
        <v>46065.750694444447</v>
      </c>
      <c r="D4297" t="s">
        <v>5639</v>
      </c>
    </row>
    <row r="4298" spans="1:4" x14ac:dyDescent="0.25">
      <c r="A4298" t="s">
        <v>815</v>
      </c>
      <c r="B4298" t="s">
        <v>38</v>
      </c>
      <c r="C4298" s="1">
        <v>46077.722916666666</v>
      </c>
      <c r="D4298" t="s">
        <v>5639</v>
      </c>
    </row>
    <row r="4299" spans="1:4" x14ac:dyDescent="0.25">
      <c r="A4299" t="s">
        <v>813</v>
      </c>
      <c r="B4299" t="s">
        <v>38</v>
      </c>
      <c r="C4299" s="1">
        <v>46067.647916666669</v>
      </c>
      <c r="D4299" t="s">
        <v>5639</v>
      </c>
    </row>
    <row r="4300" spans="1:4" x14ac:dyDescent="0.25">
      <c r="A4300" t="s">
        <v>836</v>
      </c>
      <c r="B4300" t="s">
        <v>38</v>
      </c>
      <c r="C4300" s="1">
        <v>46073.768750000003</v>
      </c>
      <c r="D4300" t="s">
        <v>5639</v>
      </c>
    </row>
    <row r="4301" spans="1:4" x14ac:dyDescent="0.25">
      <c r="A4301" t="s">
        <v>837</v>
      </c>
      <c r="B4301" t="s">
        <v>38</v>
      </c>
      <c r="C4301" s="1">
        <v>46073.65625</v>
      </c>
      <c r="D4301" t="s">
        <v>5639</v>
      </c>
    </row>
    <row r="4302" spans="1:4" x14ac:dyDescent="0.25">
      <c r="A4302" t="s">
        <v>838</v>
      </c>
      <c r="B4302" t="s">
        <v>38</v>
      </c>
      <c r="C4302" s="1">
        <v>46074.515277777777</v>
      </c>
      <c r="D4302" t="s">
        <v>5639</v>
      </c>
    </row>
    <row r="4303" spans="1:4" x14ac:dyDescent="0.25">
      <c r="A4303" t="s">
        <v>811</v>
      </c>
      <c r="B4303" t="s">
        <v>38</v>
      </c>
      <c r="C4303" s="1">
        <v>46067.635416666664</v>
      </c>
      <c r="D4303" t="s">
        <v>5639</v>
      </c>
    </row>
    <row r="4304" spans="1:4" x14ac:dyDescent="0.25">
      <c r="A4304" t="s">
        <v>809</v>
      </c>
      <c r="B4304" t="s">
        <v>1372</v>
      </c>
      <c r="C4304" s="1">
        <v>46078.842361111114</v>
      </c>
      <c r="D4304" t="s">
        <v>5639</v>
      </c>
    </row>
    <row r="4305" spans="1:4" x14ac:dyDescent="0.25">
      <c r="A4305" t="s">
        <v>808</v>
      </c>
      <c r="B4305" t="s">
        <v>38</v>
      </c>
      <c r="C4305" s="1">
        <v>46064.770833333336</v>
      </c>
      <c r="D4305" t="s">
        <v>5639</v>
      </c>
    </row>
    <row r="4306" spans="1:4" x14ac:dyDescent="0.25">
      <c r="A4306" t="s">
        <v>807</v>
      </c>
      <c r="B4306" t="s">
        <v>38</v>
      </c>
      <c r="C4306" s="1">
        <v>46070.643055555556</v>
      </c>
      <c r="D4306" t="s">
        <v>5639</v>
      </c>
    </row>
    <row r="4307" spans="1:4" x14ac:dyDescent="0.25">
      <c r="A4307" t="s">
        <v>806</v>
      </c>
      <c r="B4307" t="s">
        <v>38</v>
      </c>
      <c r="C4307" s="1">
        <v>46066.73541666667</v>
      </c>
      <c r="D4307" t="s">
        <v>5639</v>
      </c>
    </row>
    <row r="4308" spans="1:4" x14ac:dyDescent="0.25">
      <c r="A4308" t="s">
        <v>805</v>
      </c>
      <c r="B4308" t="s">
        <v>38</v>
      </c>
      <c r="C4308" s="1">
        <v>46069.781944444447</v>
      </c>
      <c r="D4308" t="s">
        <v>5639</v>
      </c>
    </row>
    <row r="4309" spans="1:4" x14ac:dyDescent="0.25">
      <c r="A4309" t="s">
        <v>797</v>
      </c>
      <c r="B4309" t="s">
        <v>39</v>
      </c>
      <c r="C4309" s="1">
        <v>46080.347222222219</v>
      </c>
      <c r="D4309" t="s">
        <v>5639</v>
      </c>
    </row>
    <row r="4310" spans="1:4" x14ac:dyDescent="0.25">
      <c r="A4310" t="s">
        <v>796</v>
      </c>
      <c r="B4310" t="s">
        <v>38</v>
      </c>
      <c r="C4310" s="1">
        <v>46074.584722222222</v>
      </c>
      <c r="D4310" t="s">
        <v>5639</v>
      </c>
    </row>
    <row r="4311" spans="1:4" x14ac:dyDescent="0.25">
      <c r="A4311" t="s">
        <v>791</v>
      </c>
      <c r="B4311" t="s">
        <v>38</v>
      </c>
      <c r="C4311" s="1">
        <v>46069.678472222222</v>
      </c>
      <c r="D4311" t="s">
        <v>5639</v>
      </c>
    </row>
    <row r="4312" spans="1:4" x14ac:dyDescent="0.25">
      <c r="A4312" t="s">
        <v>790</v>
      </c>
      <c r="B4312" t="s">
        <v>38</v>
      </c>
      <c r="C4312" s="1">
        <v>46069.619444444441</v>
      </c>
      <c r="D4312" t="s">
        <v>5639</v>
      </c>
    </row>
    <row r="4313" spans="1:4" x14ac:dyDescent="0.25">
      <c r="A4313" t="s">
        <v>786</v>
      </c>
      <c r="B4313" t="s">
        <v>38</v>
      </c>
      <c r="C4313" s="1">
        <v>46069.693055555559</v>
      </c>
      <c r="D4313" t="s">
        <v>5639</v>
      </c>
    </row>
    <row r="4314" spans="1:4" x14ac:dyDescent="0.25">
      <c r="A4314" t="s">
        <v>785</v>
      </c>
      <c r="B4314" t="s">
        <v>38</v>
      </c>
      <c r="C4314" s="1">
        <v>46069.572222222225</v>
      </c>
      <c r="D4314" t="s">
        <v>5639</v>
      </c>
    </row>
    <row r="4315" spans="1:4" x14ac:dyDescent="0.25">
      <c r="A4315" t="s">
        <v>784</v>
      </c>
      <c r="B4315" t="s">
        <v>38</v>
      </c>
      <c r="C4315" s="1">
        <v>46073.615972222222</v>
      </c>
      <c r="D4315" t="s">
        <v>5639</v>
      </c>
    </row>
    <row r="4316" spans="1:4" x14ac:dyDescent="0.25">
      <c r="A4316" t="s">
        <v>783</v>
      </c>
      <c r="B4316" t="s">
        <v>38</v>
      </c>
      <c r="C4316" s="1">
        <v>46071.57708333333</v>
      </c>
      <c r="D4316" t="s">
        <v>5639</v>
      </c>
    </row>
    <row r="4317" spans="1:4" x14ac:dyDescent="0.25">
      <c r="A4317" t="s">
        <v>782</v>
      </c>
      <c r="B4317" t="s">
        <v>38</v>
      </c>
      <c r="C4317" s="1">
        <v>46070.546527777777</v>
      </c>
      <c r="D4317" t="s">
        <v>5639</v>
      </c>
    </row>
    <row r="4318" spans="1:4" x14ac:dyDescent="0.25">
      <c r="A4318" t="s">
        <v>780</v>
      </c>
      <c r="B4318" t="s">
        <v>38</v>
      </c>
      <c r="C4318" s="1">
        <v>46070.633333333331</v>
      </c>
      <c r="D4318" t="s">
        <v>5639</v>
      </c>
    </row>
    <row r="4319" spans="1:4" x14ac:dyDescent="0.25">
      <c r="A4319" t="s">
        <v>847</v>
      </c>
      <c r="B4319" t="s">
        <v>38</v>
      </c>
      <c r="C4319" s="1">
        <v>46074.509722222225</v>
      </c>
      <c r="D4319" t="s">
        <v>5639</v>
      </c>
    </row>
    <row r="4320" spans="1:4" x14ac:dyDescent="0.25">
      <c r="A4320" t="s">
        <v>845</v>
      </c>
      <c r="B4320" t="s">
        <v>38</v>
      </c>
      <c r="C4320" s="1">
        <v>46071.586111111108</v>
      </c>
      <c r="D4320" t="s">
        <v>5639</v>
      </c>
    </row>
    <row r="4321" spans="1:4" x14ac:dyDescent="0.25">
      <c r="A4321" t="s">
        <v>843</v>
      </c>
      <c r="B4321" t="s">
        <v>38</v>
      </c>
      <c r="C4321" s="1">
        <v>46076.402777777781</v>
      </c>
      <c r="D4321" t="s">
        <v>5639</v>
      </c>
    </row>
    <row r="4322" spans="1:4" x14ac:dyDescent="0.25">
      <c r="A4322" t="s">
        <v>64</v>
      </c>
      <c r="B4322" t="s">
        <v>38</v>
      </c>
      <c r="C4322" s="1">
        <v>45996.569444444445</v>
      </c>
      <c r="D4322" t="s">
        <v>5639</v>
      </c>
    </row>
    <row r="4323" spans="1:4" x14ac:dyDescent="0.25">
      <c r="A4323" t="s">
        <v>63</v>
      </c>
      <c r="B4323" t="s">
        <v>38</v>
      </c>
      <c r="C4323" s="1">
        <v>46036.688194444447</v>
      </c>
      <c r="D4323" t="s">
        <v>5639</v>
      </c>
    </row>
    <row r="4324" spans="1:4" x14ac:dyDescent="0.25">
      <c r="A4324" t="s">
        <v>966</v>
      </c>
      <c r="B4324" t="s">
        <v>1239</v>
      </c>
      <c r="C4324" s="1">
        <v>46079.799305555556</v>
      </c>
      <c r="D4324" t="s">
        <v>5639</v>
      </c>
    </row>
    <row r="4325" spans="1:4" x14ac:dyDescent="0.25">
      <c r="A4325" t="s">
        <v>80</v>
      </c>
      <c r="B4325" t="s">
        <v>38</v>
      </c>
      <c r="C4325" s="1">
        <v>45995.543749999997</v>
      </c>
      <c r="D4325" t="s">
        <v>5639</v>
      </c>
    </row>
    <row r="4326" spans="1:4" x14ac:dyDescent="0.25">
      <c r="A4326" t="s">
        <v>91</v>
      </c>
      <c r="B4326" t="s">
        <v>38</v>
      </c>
      <c r="C4326" s="1">
        <v>46036.54583333333</v>
      </c>
      <c r="D4326" t="s">
        <v>5639</v>
      </c>
    </row>
    <row r="4327" spans="1:4" x14ac:dyDescent="0.25">
      <c r="A4327" t="s">
        <v>92</v>
      </c>
      <c r="B4327" t="s">
        <v>38</v>
      </c>
      <c r="C4327" s="1">
        <v>46036.54583333333</v>
      </c>
      <c r="D4327" t="s">
        <v>5639</v>
      </c>
    </row>
    <row r="4328" spans="1:4" x14ac:dyDescent="0.25">
      <c r="A4328" t="s">
        <v>107</v>
      </c>
      <c r="B4328" t="s">
        <v>38</v>
      </c>
      <c r="C4328" s="1">
        <v>46036.546527777777</v>
      </c>
      <c r="D4328" t="s">
        <v>5639</v>
      </c>
    </row>
    <row r="4329" spans="1:4" x14ac:dyDescent="0.25">
      <c r="A4329" t="s">
        <v>106</v>
      </c>
      <c r="B4329" t="s">
        <v>38</v>
      </c>
      <c r="C4329" s="1">
        <v>46036.546527777777</v>
      </c>
      <c r="D4329" t="s">
        <v>5639</v>
      </c>
    </row>
    <row r="4330" spans="1:4" x14ac:dyDescent="0.25">
      <c r="A4330" t="s">
        <v>103</v>
      </c>
      <c r="B4330" t="s">
        <v>38</v>
      </c>
      <c r="C4330" s="1">
        <v>46036.54791666667</v>
      </c>
      <c r="D4330" t="s">
        <v>5639</v>
      </c>
    </row>
    <row r="4331" spans="1:4" x14ac:dyDescent="0.25">
      <c r="A4331" t="s">
        <v>101</v>
      </c>
      <c r="B4331" t="s">
        <v>38</v>
      </c>
      <c r="C4331" s="1">
        <v>46000.570833333331</v>
      </c>
      <c r="D4331" t="s">
        <v>5639</v>
      </c>
    </row>
    <row r="4332" spans="1:4" x14ac:dyDescent="0.25">
      <c r="A4332" t="s">
        <v>100</v>
      </c>
      <c r="B4332" t="s">
        <v>38</v>
      </c>
      <c r="C4332" s="1">
        <v>45997.623611111114</v>
      </c>
      <c r="D4332" t="s">
        <v>5639</v>
      </c>
    </row>
    <row r="4333" spans="1:4" x14ac:dyDescent="0.25">
      <c r="A4333" t="s">
        <v>968</v>
      </c>
      <c r="B4333" t="s">
        <v>1239</v>
      </c>
      <c r="C4333" s="1">
        <v>46079.711111111108</v>
      </c>
      <c r="D4333" t="s">
        <v>5639</v>
      </c>
    </row>
    <row r="4334" spans="1:4" x14ac:dyDescent="0.25">
      <c r="A4334" t="s">
        <v>118</v>
      </c>
      <c r="B4334" t="s">
        <v>38</v>
      </c>
      <c r="C4334" s="1">
        <v>46036.552777777775</v>
      </c>
      <c r="D4334" t="s">
        <v>5639</v>
      </c>
    </row>
    <row r="4335" spans="1:4" x14ac:dyDescent="0.25">
      <c r="A4335" t="s">
        <v>132</v>
      </c>
      <c r="B4335" t="s">
        <v>38</v>
      </c>
      <c r="C4335" s="1">
        <v>46036.554861111108</v>
      </c>
      <c r="D4335" t="s">
        <v>5639</v>
      </c>
    </row>
    <row r="4336" spans="1:4" x14ac:dyDescent="0.25">
      <c r="A4336" t="s">
        <v>123</v>
      </c>
      <c r="B4336" t="s">
        <v>38</v>
      </c>
      <c r="C4336" s="1">
        <v>46036.557638888888</v>
      </c>
      <c r="D4336" t="s">
        <v>5639</v>
      </c>
    </row>
    <row r="4337" spans="1:4" x14ac:dyDescent="0.25">
      <c r="A4337" t="s">
        <v>150</v>
      </c>
      <c r="B4337" t="s">
        <v>38</v>
      </c>
      <c r="C4337" s="1">
        <v>46036.558333333334</v>
      </c>
      <c r="D4337" t="s">
        <v>5639</v>
      </c>
    </row>
    <row r="4338" spans="1:4" x14ac:dyDescent="0.25">
      <c r="A4338" t="s">
        <v>144</v>
      </c>
      <c r="B4338" t="s">
        <v>38</v>
      </c>
      <c r="C4338" s="1">
        <v>46036.560416666667</v>
      </c>
      <c r="D4338" t="s">
        <v>5639</v>
      </c>
    </row>
    <row r="4339" spans="1:4" x14ac:dyDescent="0.25">
      <c r="A4339" t="s">
        <v>143</v>
      </c>
      <c r="B4339" t="s">
        <v>38</v>
      </c>
      <c r="C4339" s="1">
        <v>46036.560416666667</v>
      </c>
      <c r="D4339" t="s">
        <v>5639</v>
      </c>
    </row>
    <row r="4340" spans="1:4" x14ac:dyDescent="0.25">
      <c r="A4340" t="s">
        <v>142</v>
      </c>
      <c r="B4340" t="s">
        <v>38</v>
      </c>
      <c r="C4340" s="1">
        <v>46036.569444444445</v>
      </c>
      <c r="D4340" t="s">
        <v>5639</v>
      </c>
    </row>
    <row r="4341" spans="1:4" x14ac:dyDescent="0.25">
      <c r="A4341" t="s">
        <v>157</v>
      </c>
      <c r="B4341" t="s">
        <v>38</v>
      </c>
      <c r="C4341" s="1">
        <v>46036.561111111114</v>
      </c>
      <c r="D4341" t="s">
        <v>5639</v>
      </c>
    </row>
    <row r="4342" spans="1:4" x14ac:dyDescent="0.25">
      <c r="A4342" t="s">
        <v>154</v>
      </c>
      <c r="B4342" t="s">
        <v>38</v>
      </c>
      <c r="C4342" s="1">
        <v>46036.561805555553</v>
      </c>
      <c r="D4342" t="s">
        <v>5639</v>
      </c>
    </row>
    <row r="4343" spans="1:4" x14ac:dyDescent="0.25">
      <c r="A4343" t="s">
        <v>160</v>
      </c>
      <c r="B4343" t="s">
        <v>38</v>
      </c>
      <c r="C4343" s="1">
        <v>46036.561805555553</v>
      </c>
      <c r="D4343" t="s">
        <v>5639</v>
      </c>
    </row>
    <row r="4344" spans="1:4" x14ac:dyDescent="0.25">
      <c r="A4344" t="s">
        <v>172</v>
      </c>
      <c r="B4344" t="s">
        <v>38</v>
      </c>
      <c r="C4344" s="1">
        <v>46036.567361111112</v>
      </c>
      <c r="D4344" t="s">
        <v>5639</v>
      </c>
    </row>
    <row r="4345" spans="1:4" x14ac:dyDescent="0.25">
      <c r="A4345" t="s">
        <v>164</v>
      </c>
      <c r="B4345" t="s">
        <v>38</v>
      </c>
      <c r="C4345" s="1">
        <v>46022.656944444447</v>
      </c>
      <c r="D4345" t="s">
        <v>5639</v>
      </c>
    </row>
    <row r="4346" spans="1:4" x14ac:dyDescent="0.25">
      <c r="A4346" t="s">
        <v>188</v>
      </c>
      <c r="B4346" t="s">
        <v>38</v>
      </c>
      <c r="C4346" s="1">
        <v>46007.709722222222</v>
      </c>
      <c r="D4346" t="s">
        <v>5639</v>
      </c>
    </row>
    <row r="4347" spans="1:4" x14ac:dyDescent="0.25">
      <c r="A4347" t="s">
        <v>185</v>
      </c>
      <c r="B4347" t="s">
        <v>38</v>
      </c>
      <c r="C4347" s="1">
        <v>46036.570138888892</v>
      </c>
      <c r="D4347" t="s">
        <v>5639</v>
      </c>
    </row>
    <row r="4348" spans="1:4" x14ac:dyDescent="0.25">
      <c r="A4348" t="s">
        <v>972</v>
      </c>
      <c r="B4348" t="s">
        <v>1239</v>
      </c>
      <c r="C4348" s="1">
        <v>46079.544444444444</v>
      </c>
      <c r="D4348" t="s">
        <v>5639</v>
      </c>
    </row>
    <row r="4349" spans="1:4" x14ac:dyDescent="0.25">
      <c r="A4349" t="s">
        <v>191</v>
      </c>
      <c r="B4349" t="s">
        <v>38</v>
      </c>
      <c r="C4349" s="1">
        <v>46036.570833333331</v>
      </c>
      <c r="D4349" t="s">
        <v>5639</v>
      </c>
    </row>
    <row r="4350" spans="1:4" x14ac:dyDescent="0.25">
      <c r="A4350" t="s">
        <v>221</v>
      </c>
      <c r="B4350" t="s">
        <v>38</v>
      </c>
      <c r="C4350" s="1">
        <v>46036.581250000003</v>
      </c>
      <c r="D4350" t="s">
        <v>5639</v>
      </c>
    </row>
    <row r="4351" spans="1:4" x14ac:dyDescent="0.25">
      <c r="A4351" t="s">
        <v>220</v>
      </c>
      <c r="B4351" t="s">
        <v>38</v>
      </c>
      <c r="C4351" s="1">
        <v>46036.581250000003</v>
      </c>
      <c r="D4351" t="s">
        <v>5639</v>
      </c>
    </row>
    <row r="4352" spans="1:4" x14ac:dyDescent="0.25">
      <c r="A4352" t="s">
        <v>336</v>
      </c>
      <c r="B4352" t="s">
        <v>38</v>
      </c>
      <c r="C4352" s="1">
        <v>46036.685416666667</v>
      </c>
      <c r="D4352" t="s">
        <v>5639</v>
      </c>
    </row>
    <row r="4353" spans="1:4" x14ac:dyDescent="0.25">
      <c r="A4353" t="s">
        <v>198</v>
      </c>
      <c r="B4353" t="s">
        <v>38</v>
      </c>
      <c r="C4353" s="1">
        <v>46036.578472222223</v>
      </c>
      <c r="D4353" t="s">
        <v>5639</v>
      </c>
    </row>
    <row r="4354" spans="1:4" x14ac:dyDescent="0.25">
      <c r="A4354" t="s">
        <v>219</v>
      </c>
      <c r="B4354" t="s">
        <v>38</v>
      </c>
      <c r="C4354" s="1">
        <v>46036.69027777778</v>
      </c>
      <c r="D4354" t="s">
        <v>5639</v>
      </c>
    </row>
    <row r="4355" spans="1:4" x14ac:dyDescent="0.25">
      <c r="A4355" t="s">
        <v>207</v>
      </c>
      <c r="B4355" t="s">
        <v>38</v>
      </c>
      <c r="C4355" s="1">
        <v>46013.584722222222</v>
      </c>
      <c r="D4355" t="s">
        <v>5639</v>
      </c>
    </row>
    <row r="4356" spans="1:4" x14ac:dyDescent="0.25">
      <c r="A4356" t="s">
        <v>211</v>
      </c>
      <c r="B4356" t="s">
        <v>38</v>
      </c>
      <c r="C4356" s="1">
        <v>46036.57916666667</v>
      </c>
      <c r="D4356" t="s">
        <v>5639</v>
      </c>
    </row>
    <row r="4357" spans="1:4" x14ac:dyDescent="0.25">
      <c r="A4357" t="s">
        <v>210</v>
      </c>
      <c r="B4357" t="s">
        <v>38</v>
      </c>
      <c r="C4357" s="1">
        <v>46036.579861111109</v>
      </c>
      <c r="D4357" t="s">
        <v>5639</v>
      </c>
    </row>
    <row r="4358" spans="1:4" x14ac:dyDescent="0.25">
      <c r="A4358" t="s">
        <v>243</v>
      </c>
      <c r="B4358" t="s">
        <v>38</v>
      </c>
      <c r="C4358" s="1">
        <v>46027.680555555555</v>
      </c>
      <c r="D4358" t="s">
        <v>5639</v>
      </c>
    </row>
    <row r="4359" spans="1:4" x14ac:dyDescent="0.25">
      <c r="A4359" t="s">
        <v>217</v>
      </c>
      <c r="B4359" t="s">
        <v>38</v>
      </c>
      <c r="C4359" s="1">
        <v>46010.665277777778</v>
      </c>
      <c r="D4359" t="s">
        <v>5639</v>
      </c>
    </row>
    <row r="4360" spans="1:4" x14ac:dyDescent="0.25">
      <c r="A4360" t="s">
        <v>216</v>
      </c>
      <c r="B4360" t="s">
        <v>38</v>
      </c>
      <c r="C4360" s="1">
        <v>46036.579861111109</v>
      </c>
      <c r="D4360" t="s">
        <v>5639</v>
      </c>
    </row>
    <row r="4361" spans="1:4" x14ac:dyDescent="0.25">
      <c r="A4361" t="s">
        <v>213</v>
      </c>
      <c r="B4361" t="s">
        <v>38</v>
      </c>
      <c r="C4361" s="1">
        <v>46036.580555555556</v>
      </c>
      <c r="D4361" t="s">
        <v>5639</v>
      </c>
    </row>
    <row r="4362" spans="1:4" x14ac:dyDescent="0.25">
      <c r="A4362" t="s">
        <v>974</v>
      </c>
      <c r="B4362" t="s">
        <v>35</v>
      </c>
      <c r="C4362" s="1">
        <v>46079.695833333331</v>
      </c>
      <c r="D4362" t="s">
        <v>5639</v>
      </c>
    </row>
    <row r="4363" spans="1:4" x14ac:dyDescent="0.25">
      <c r="A4363" t="s">
        <v>233</v>
      </c>
      <c r="B4363" t="s">
        <v>38</v>
      </c>
      <c r="C4363" s="1">
        <v>46031.585416666669</v>
      </c>
      <c r="D4363" t="s">
        <v>5639</v>
      </c>
    </row>
    <row r="4364" spans="1:4" x14ac:dyDescent="0.25">
      <c r="A4364" t="s">
        <v>249</v>
      </c>
      <c r="B4364" t="s">
        <v>38</v>
      </c>
      <c r="C4364" s="1">
        <v>46036.586805555555</v>
      </c>
      <c r="D4364" t="s">
        <v>5639</v>
      </c>
    </row>
    <row r="4365" spans="1:4" x14ac:dyDescent="0.25">
      <c r="A4365" t="s">
        <v>978</v>
      </c>
      <c r="B4365" t="s">
        <v>30</v>
      </c>
      <c r="C4365" s="1">
        <v>46079.598611111112</v>
      </c>
      <c r="D4365" t="s">
        <v>5639</v>
      </c>
    </row>
    <row r="4366" spans="1:4" x14ac:dyDescent="0.25">
      <c r="A4366" t="s">
        <v>248</v>
      </c>
      <c r="B4366" t="s">
        <v>38</v>
      </c>
      <c r="C4366" s="1">
        <v>46036.587500000001</v>
      </c>
      <c r="D4366" t="s">
        <v>5639</v>
      </c>
    </row>
    <row r="4367" spans="1:4" x14ac:dyDescent="0.25">
      <c r="A4367" t="s">
        <v>245</v>
      </c>
      <c r="B4367" t="s">
        <v>38</v>
      </c>
      <c r="C4367" s="1">
        <v>46036.587500000001</v>
      </c>
      <c r="D4367" t="s">
        <v>5639</v>
      </c>
    </row>
    <row r="4368" spans="1:4" x14ac:dyDescent="0.25">
      <c r="A4368" t="s">
        <v>256</v>
      </c>
      <c r="B4368" t="s">
        <v>38</v>
      </c>
      <c r="C4368" s="1">
        <v>46036.587500000001</v>
      </c>
      <c r="D4368" t="s">
        <v>5639</v>
      </c>
    </row>
    <row r="4369" spans="1:4" x14ac:dyDescent="0.25">
      <c r="A4369" t="s">
        <v>254</v>
      </c>
      <c r="B4369" t="s">
        <v>38</v>
      </c>
      <c r="C4369" s="1">
        <v>46036.589583333334</v>
      </c>
      <c r="D4369" t="s">
        <v>5639</v>
      </c>
    </row>
    <row r="4370" spans="1:4" x14ac:dyDescent="0.25">
      <c r="A4370" t="s">
        <v>252</v>
      </c>
      <c r="B4370" t="s">
        <v>38</v>
      </c>
      <c r="C4370" s="1">
        <v>46036.590277777781</v>
      </c>
      <c r="D4370" t="s">
        <v>5639</v>
      </c>
    </row>
    <row r="4371" spans="1:4" x14ac:dyDescent="0.25">
      <c r="A4371" t="s">
        <v>983</v>
      </c>
      <c r="B4371" t="s">
        <v>38</v>
      </c>
      <c r="C4371" s="1">
        <v>46079.580555555556</v>
      </c>
      <c r="D4371" t="s">
        <v>5639</v>
      </c>
    </row>
    <row r="4372" spans="1:4" x14ac:dyDescent="0.25">
      <c r="A4372" t="s">
        <v>277</v>
      </c>
      <c r="B4372" t="s">
        <v>38</v>
      </c>
      <c r="C4372" s="1">
        <v>46036.681944444441</v>
      </c>
      <c r="D4372" t="s">
        <v>5639</v>
      </c>
    </row>
    <row r="4373" spans="1:4" x14ac:dyDescent="0.25">
      <c r="A4373" t="s">
        <v>259</v>
      </c>
      <c r="B4373" t="s">
        <v>38</v>
      </c>
      <c r="C4373" s="1">
        <v>46036.677083333336</v>
      </c>
      <c r="D4373" t="s">
        <v>5639</v>
      </c>
    </row>
    <row r="4374" spans="1:4" x14ac:dyDescent="0.25">
      <c r="A4374" t="s">
        <v>985</v>
      </c>
      <c r="B4374" t="s">
        <v>1073</v>
      </c>
      <c r="C4374" s="1">
        <v>46079.601388888892</v>
      </c>
      <c r="D4374" t="s">
        <v>5639</v>
      </c>
    </row>
    <row r="4375" spans="1:4" x14ac:dyDescent="0.25">
      <c r="A4375" t="s">
        <v>284</v>
      </c>
      <c r="B4375" t="s">
        <v>38</v>
      </c>
      <c r="C4375" s="1">
        <v>46036.679861111108</v>
      </c>
      <c r="D4375" t="s">
        <v>5639</v>
      </c>
    </row>
    <row r="4376" spans="1:4" x14ac:dyDescent="0.25">
      <c r="A4376" t="s">
        <v>287</v>
      </c>
      <c r="B4376" t="s">
        <v>38</v>
      </c>
      <c r="C4376" s="1">
        <v>46036.680555555555</v>
      </c>
      <c r="D4376" t="s">
        <v>5639</v>
      </c>
    </row>
    <row r="4377" spans="1:4" x14ac:dyDescent="0.25">
      <c r="A4377" t="s">
        <v>294</v>
      </c>
      <c r="B4377" t="s">
        <v>38</v>
      </c>
      <c r="C4377" s="1">
        <v>46036.680555555555</v>
      </c>
      <c r="D4377" t="s">
        <v>5639</v>
      </c>
    </row>
    <row r="4378" spans="1:4" x14ac:dyDescent="0.25">
      <c r="A4378" t="s">
        <v>986</v>
      </c>
      <c r="B4378" t="s">
        <v>1129</v>
      </c>
      <c r="C4378" s="1">
        <v>46079.616666666669</v>
      </c>
      <c r="D4378" t="s">
        <v>5639</v>
      </c>
    </row>
    <row r="4379" spans="1:4" x14ac:dyDescent="0.25">
      <c r="A4379" t="s">
        <v>296</v>
      </c>
      <c r="B4379" t="s">
        <v>38</v>
      </c>
      <c r="C4379" s="1">
        <v>46036.681250000001</v>
      </c>
      <c r="D4379" t="s">
        <v>5639</v>
      </c>
    </row>
    <row r="4380" spans="1:4" x14ac:dyDescent="0.25">
      <c r="A4380" t="s">
        <v>299</v>
      </c>
      <c r="B4380" t="s">
        <v>39</v>
      </c>
      <c r="C4380" s="1">
        <v>46043.50277777778</v>
      </c>
      <c r="D4380" t="s">
        <v>5639</v>
      </c>
    </row>
    <row r="4381" spans="1:4" x14ac:dyDescent="0.25">
      <c r="A4381" t="s">
        <v>310</v>
      </c>
      <c r="B4381" t="s">
        <v>38</v>
      </c>
      <c r="C4381" s="1">
        <v>46036.681944444441</v>
      </c>
      <c r="D4381" t="s">
        <v>5639</v>
      </c>
    </row>
    <row r="4382" spans="1:4" x14ac:dyDescent="0.25">
      <c r="A4382" t="s">
        <v>309</v>
      </c>
      <c r="B4382" t="s">
        <v>38</v>
      </c>
      <c r="C4382" s="1">
        <v>46021.661805555559</v>
      </c>
      <c r="D4382" t="s">
        <v>5639</v>
      </c>
    </row>
    <row r="4383" spans="1:4" x14ac:dyDescent="0.25">
      <c r="A4383" t="s">
        <v>318</v>
      </c>
      <c r="B4383" t="s">
        <v>38</v>
      </c>
      <c r="C4383" s="1">
        <v>46036.68472222222</v>
      </c>
      <c r="D4383" t="s">
        <v>5639</v>
      </c>
    </row>
    <row r="4384" spans="1:4" x14ac:dyDescent="0.25">
      <c r="A4384" t="s">
        <v>314</v>
      </c>
      <c r="B4384" t="s">
        <v>38</v>
      </c>
      <c r="C4384" s="1">
        <v>46036.68472222222</v>
      </c>
      <c r="D4384" t="s">
        <v>5639</v>
      </c>
    </row>
    <row r="4385" spans="1:4" x14ac:dyDescent="0.25">
      <c r="A4385" t="s">
        <v>312</v>
      </c>
      <c r="B4385" t="s">
        <v>38</v>
      </c>
      <c r="C4385" s="1">
        <v>46036.685416666667</v>
      </c>
      <c r="D4385" t="s">
        <v>5639</v>
      </c>
    </row>
    <row r="4386" spans="1:4" x14ac:dyDescent="0.25">
      <c r="A4386" t="s">
        <v>321</v>
      </c>
      <c r="B4386" t="s">
        <v>38</v>
      </c>
      <c r="C4386" s="1">
        <v>46039.507638888892</v>
      </c>
      <c r="D4386" t="s">
        <v>5639</v>
      </c>
    </row>
    <row r="4387" spans="1:4" x14ac:dyDescent="0.25">
      <c r="A4387" t="s">
        <v>320</v>
      </c>
      <c r="B4387" t="s">
        <v>38</v>
      </c>
      <c r="C4387" s="1">
        <v>46025.738888888889</v>
      </c>
      <c r="D4387" t="s">
        <v>5639</v>
      </c>
    </row>
    <row r="4388" spans="1:4" x14ac:dyDescent="0.25">
      <c r="A4388" t="s">
        <v>325</v>
      </c>
      <c r="B4388" t="s">
        <v>38</v>
      </c>
      <c r="C4388" s="1">
        <v>46036.685416666667</v>
      </c>
      <c r="D4388" t="s">
        <v>5639</v>
      </c>
    </row>
    <row r="4389" spans="1:4" x14ac:dyDescent="0.25">
      <c r="A4389" t="s">
        <v>332</v>
      </c>
      <c r="B4389" t="s">
        <v>38</v>
      </c>
      <c r="C4389" s="1">
        <v>46034.728472222225</v>
      </c>
      <c r="D4389" t="s">
        <v>5639</v>
      </c>
    </row>
    <row r="4390" spans="1:4" x14ac:dyDescent="0.25">
      <c r="A4390" t="s">
        <v>331</v>
      </c>
      <c r="B4390" t="s">
        <v>38</v>
      </c>
      <c r="C4390" s="1">
        <v>46036.686111111114</v>
      </c>
      <c r="D4390" t="s">
        <v>5639</v>
      </c>
    </row>
    <row r="4391" spans="1:4" x14ac:dyDescent="0.25">
      <c r="A4391" t="s">
        <v>330</v>
      </c>
      <c r="B4391" t="s">
        <v>38</v>
      </c>
      <c r="C4391" s="1">
        <v>46036.686111111114</v>
      </c>
      <c r="D4391" t="s">
        <v>5639</v>
      </c>
    </row>
    <row r="4392" spans="1:4" x14ac:dyDescent="0.25">
      <c r="A4392" t="s">
        <v>339</v>
      </c>
      <c r="B4392" t="s">
        <v>38</v>
      </c>
      <c r="C4392" s="1">
        <v>46039.515277777777</v>
      </c>
      <c r="D4392" t="s">
        <v>5639</v>
      </c>
    </row>
    <row r="4393" spans="1:4" x14ac:dyDescent="0.25">
      <c r="A4393" t="s">
        <v>340</v>
      </c>
      <c r="B4393" t="s">
        <v>38</v>
      </c>
      <c r="C4393" s="1">
        <v>46039.517361111109</v>
      </c>
      <c r="D4393" t="s">
        <v>5639</v>
      </c>
    </row>
    <row r="4394" spans="1:4" x14ac:dyDescent="0.25">
      <c r="A4394" t="s">
        <v>348</v>
      </c>
      <c r="B4394" t="s">
        <v>38</v>
      </c>
      <c r="C4394" s="1">
        <v>46039.522222222222</v>
      </c>
      <c r="D4394" t="s">
        <v>5639</v>
      </c>
    </row>
    <row r="4395" spans="1:4" x14ac:dyDescent="0.25">
      <c r="A4395" t="s">
        <v>347</v>
      </c>
      <c r="B4395" t="s">
        <v>38</v>
      </c>
      <c r="C4395" s="1">
        <v>46039.520833333336</v>
      </c>
      <c r="D4395" t="s">
        <v>5639</v>
      </c>
    </row>
    <row r="4396" spans="1:4" x14ac:dyDescent="0.25">
      <c r="A4396" t="s">
        <v>346</v>
      </c>
      <c r="B4396" t="s">
        <v>38</v>
      </c>
      <c r="C4396" s="1">
        <v>46039.554166666669</v>
      </c>
      <c r="D4396" t="s">
        <v>5639</v>
      </c>
    </row>
    <row r="4397" spans="1:4" x14ac:dyDescent="0.25">
      <c r="A4397" t="s">
        <v>354</v>
      </c>
      <c r="B4397" t="s">
        <v>38</v>
      </c>
      <c r="C4397" s="1">
        <v>46039.556250000001</v>
      </c>
      <c r="D4397" t="s">
        <v>5639</v>
      </c>
    </row>
    <row r="4398" spans="1:4" x14ac:dyDescent="0.25">
      <c r="A4398" t="s">
        <v>369</v>
      </c>
      <c r="B4398" t="s">
        <v>39</v>
      </c>
      <c r="C4398" s="1">
        <v>46034.650694444441</v>
      </c>
      <c r="D4398" t="s">
        <v>5639</v>
      </c>
    </row>
    <row r="4399" spans="1:4" x14ac:dyDescent="0.25">
      <c r="A4399" t="s">
        <v>366</v>
      </c>
      <c r="B4399" t="s">
        <v>39</v>
      </c>
      <c r="C4399" s="1">
        <v>46028.869444444441</v>
      </c>
      <c r="D4399" t="s">
        <v>5639</v>
      </c>
    </row>
    <row r="4400" spans="1:4" x14ac:dyDescent="0.25">
      <c r="A4400" t="s">
        <v>376</v>
      </c>
      <c r="B4400" t="s">
        <v>38</v>
      </c>
      <c r="C4400" s="1">
        <v>46029.59652777778</v>
      </c>
      <c r="D4400" t="s">
        <v>5639</v>
      </c>
    </row>
    <row r="4401" spans="1:4" x14ac:dyDescent="0.25">
      <c r="A4401" t="s">
        <v>385</v>
      </c>
      <c r="B4401" t="s">
        <v>38</v>
      </c>
      <c r="C4401" s="1">
        <v>46029.748611111114</v>
      </c>
      <c r="D4401" t="s">
        <v>5639</v>
      </c>
    </row>
    <row r="4402" spans="1:4" x14ac:dyDescent="0.25">
      <c r="A4402" t="s">
        <v>384</v>
      </c>
      <c r="B4402" t="s">
        <v>38</v>
      </c>
      <c r="C4402" s="1">
        <v>46043.50277777778</v>
      </c>
      <c r="D4402" t="s">
        <v>5639</v>
      </c>
    </row>
    <row r="4403" spans="1:4" x14ac:dyDescent="0.25">
      <c r="A4403" t="s">
        <v>383</v>
      </c>
      <c r="B4403" t="s">
        <v>38</v>
      </c>
      <c r="C4403" s="1">
        <v>46028.591666666667</v>
      </c>
      <c r="D4403" t="s">
        <v>5639</v>
      </c>
    </row>
    <row r="4404" spans="1:4" x14ac:dyDescent="0.25">
      <c r="A4404" t="s">
        <v>382</v>
      </c>
      <c r="B4404" t="s">
        <v>39</v>
      </c>
      <c r="C4404" s="1">
        <v>46050.5</v>
      </c>
      <c r="D4404" t="s">
        <v>5639</v>
      </c>
    </row>
    <row r="4405" spans="1:4" x14ac:dyDescent="0.25">
      <c r="A4405" t="s">
        <v>381</v>
      </c>
      <c r="B4405" t="s">
        <v>38</v>
      </c>
      <c r="C4405" s="1">
        <v>46029.447916666664</v>
      </c>
      <c r="D4405" t="s">
        <v>5639</v>
      </c>
    </row>
    <row r="4406" spans="1:4" x14ac:dyDescent="0.25">
      <c r="A4406" t="s">
        <v>380</v>
      </c>
      <c r="B4406" t="s">
        <v>38</v>
      </c>
      <c r="C4406" s="1">
        <v>46039.667361111111</v>
      </c>
      <c r="D4406" t="s">
        <v>5639</v>
      </c>
    </row>
    <row r="4407" spans="1:4" x14ac:dyDescent="0.25">
      <c r="A4407" t="s">
        <v>379</v>
      </c>
      <c r="B4407" t="s">
        <v>39</v>
      </c>
      <c r="C4407" s="1">
        <v>46049.513194444444</v>
      </c>
      <c r="D4407" t="s">
        <v>5639</v>
      </c>
    </row>
    <row r="4408" spans="1:4" x14ac:dyDescent="0.25">
      <c r="A4408" t="s">
        <v>387</v>
      </c>
      <c r="B4408" t="s">
        <v>38</v>
      </c>
      <c r="C4408" s="1">
        <v>46043.501388888886</v>
      </c>
      <c r="D4408" t="s">
        <v>5639</v>
      </c>
    </row>
    <row r="4409" spans="1:4" x14ac:dyDescent="0.25">
      <c r="A4409" t="s">
        <v>386</v>
      </c>
      <c r="B4409" t="s">
        <v>38</v>
      </c>
      <c r="C4409" s="1">
        <v>46029.583333333336</v>
      </c>
      <c r="D4409" t="s">
        <v>5639</v>
      </c>
    </row>
    <row r="4410" spans="1:4" x14ac:dyDescent="0.25">
      <c r="A4410" t="s">
        <v>389</v>
      </c>
      <c r="B4410" t="s">
        <v>39</v>
      </c>
      <c r="C4410" s="1">
        <v>46042.806944444441</v>
      </c>
      <c r="D4410" t="s">
        <v>5639</v>
      </c>
    </row>
    <row r="4411" spans="1:4" x14ac:dyDescent="0.25">
      <c r="A4411" t="s">
        <v>394</v>
      </c>
      <c r="B4411" t="s">
        <v>38</v>
      </c>
      <c r="C4411" s="1">
        <v>46039.710416666669</v>
      </c>
      <c r="D4411" t="s">
        <v>5639</v>
      </c>
    </row>
    <row r="4412" spans="1:4" x14ac:dyDescent="0.25">
      <c r="A4412" t="s">
        <v>405</v>
      </c>
      <c r="B4412" t="s">
        <v>38</v>
      </c>
      <c r="C4412" s="1">
        <v>46039.693749999999</v>
      </c>
      <c r="D4412" t="s">
        <v>5639</v>
      </c>
    </row>
    <row r="4413" spans="1:4" x14ac:dyDescent="0.25">
      <c r="A4413" t="s">
        <v>404</v>
      </c>
      <c r="B4413" t="s">
        <v>38</v>
      </c>
      <c r="C4413" s="1">
        <v>46057.48541666667</v>
      </c>
      <c r="D4413" t="s">
        <v>5639</v>
      </c>
    </row>
    <row r="4414" spans="1:4" x14ac:dyDescent="0.25">
      <c r="A4414" t="s">
        <v>402</v>
      </c>
      <c r="B4414" t="s">
        <v>38</v>
      </c>
      <c r="C4414" s="1">
        <v>46059.505555555559</v>
      </c>
      <c r="D4414" t="s">
        <v>5639</v>
      </c>
    </row>
    <row r="4415" spans="1:4" x14ac:dyDescent="0.25">
      <c r="A4415" t="s">
        <v>397</v>
      </c>
      <c r="B4415" t="s">
        <v>38</v>
      </c>
      <c r="C4415" s="1">
        <v>46035.724305555559</v>
      </c>
      <c r="D4415" t="s">
        <v>5639</v>
      </c>
    </row>
    <row r="4416" spans="1:4" x14ac:dyDescent="0.25">
      <c r="A4416" t="s">
        <v>423</v>
      </c>
      <c r="B4416" t="s">
        <v>38</v>
      </c>
      <c r="C4416" s="1">
        <v>46031.48333333333</v>
      </c>
      <c r="D4416" t="s">
        <v>5639</v>
      </c>
    </row>
    <row r="4417" spans="1:4" x14ac:dyDescent="0.25">
      <c r="A4417" t="s">
        <v>421</v>
      </c>
      <c r="B4417" t="s">
        <v>38</v>
      </c>
      <c r="C4417" s="1">
        <v>46031.473611111112</v>
      </c>
      <c r="D4417" t="s">
        <v>5639</v>
      </c>
    </row>
    <row r="4418" spans="1:4" x14ac:dyDescent="0.25">
      <c r="A4418" t="s">
        <v>418</v>
      </c>
      <c r="B4418" t="s">
        <v>38</v>
      </c>
      <c r="C4418" s="1">
        <v>46039.697222222225</v>
      </c>
      <c r="D4418" t="s">
        <v>5639</v>
      </c>
    </row>
    <row r="4419" spans="1:4" x14ac:dyDescent="0.25">
      <c r="A4419" t="s">
        <v>434</v>
      </c>
      <c r="B4419" t="s">
        <v>38</v>
      </c>
      <c r="C4419" s="1">
        <v>46039.698611111111</v>
      </c>
      <c r="D4419" t="s">
        <v>5639</v>
      </c>
    </row>
    <row r="4420" spans="1:4" x14ac:dyDescent="0.25">
      <c r="A4420" t="s">
        <v>431</v>
      </c>
      <c r="B4420" t="s">
        <v>38</v>
      </c>
      <c r="C4420" s="1">
        <v>46039.698611111111</v>
      </c>
      <c r="D4420" t="s">
        <v>5639</v>
      </c>
    </row>
    <row r="4421" spans="1:4" x14ac:dyDescent="0.25">
      <c r="A4421" t="s">
        <v>940</v>
      </c>
      <c r="B4421" t="s">
        <v>1129</v>
      </c>
      <c r="C4421" s="1">
        <v>46080.359027777777</v>
      </c>
      <c r="D4421" t="s">
        <v>5639</v>
      </c>
    </row>
    <row r="4422" spans="1:4" x14ac:dyDescent="0.25">
      <c r="A4422" t="s">
        <v>446</v>
      </c>
      <c r="B4422" t="s">
        <v>38</v>
      </c>
      <c r="C4422" s="1">
        <v>46049.519444444442</v>
      </c>
      <c r="D4422" t="s">
        <v>5639</v>
      </c>
    </row>
    <row r="4423" spans="1:4" x14ac:dyDescent="0.25">
      <c r="A4423" t="s">
        <v>452</v>
      </c>
      <c r="B4423" t="s">
        <v>38</v>
      </c>
      <c r="C4423" s="1">
        <v>46053.570138888892</v>
      </c>
      <c r="D4423" t="s">
        <v>5639</v>
      </c>
    </row>
    <row r="4424" spans="1:4" x14ac:dyDescent="0.25">
      <c r="A4424" t="s">
        <v>454</v>
      </c>
      <c r="B4424" t="s">
        <v>38</v>
      </c>
      <c r="C4424" s="1">
        <v>46041.444444444445</v>
      </c>
      <c r="D4424" t="s">
        <v>5639</v>
      </c>
    </row>
    <row r="4425" spans="1:4" x14ac:dyDescent="0.25">
      <c r="A4425" t="s">
        <v>453</v>
      </c>
      <c r="B4425" t="s">
        <v>38</v>
      </c>
      <c r="C4425" s="1">
        <v>46039.489583333336</v>
      </c>
      <c r="D4425" t="s">
        <v>5639</v>
      </c>
    </row>
    <row r="4426" spans="1:4" x14ac:dyDescent="0.25">
      <c r="A4426" t="s">
        <v>464</v>
      </c>
      <c r="B4426" t="s">
        <v>38</v>
      </c>
      <c r="C4426" s="1">
        <v>46044.435416666667</v>
      </c>
      <c r="D4426" t="s">
        <v>5639</v>
      </c>
    </row>
    <row r="4427" spans="1:4" x14ac:dyDescent="0.25">
      <c r="A4427" t="s">
        <v>468</v>
      </c>
      <c r="B4427" t="s">
        <v>38</v>
      </c>
      <c r="C4427" s="1">
        <v>46041.474999999999</v>
      </c>
      <c r="D4427" t="s">
        <v>5639</v>
      </c>
    </row>
    <row r="4428" spans="1:4" x14ac:dyDescent="0.25">
      <c r="A4428" t="s">
        <v>482</v>
      </c>
      <c r="B4428" t="s">
        <v>38</v>
      </c>
      <c r="C4428" s="1">
        <v>46039.708333333336</v>
      </c>
      <c r="D4428" t="s">
        <v>5639</v>
      </c>
    </row>
    <row r="4429" spans="1:4" x14ac:dyDescent="0.25">
      <c r="A4429" t="s">
        <v>481</v>
      </c>
      <c r="B4429" t="s">
        <v>38</v>
      </c>
      <c r="C4429" s="1">
        <v>46042.453472222223</v>
      </c>
      <c r="D4429" t="s">
        <v>5639</v>
      </c>
    </row>
    <row r="4430" spans="1:4" x14ac:dyDescent="0.25">
      <c r="A4430" t="s">
        <v>475</v>
      </c>
      <c r="B4430" t="s">
        <v>38</v>
      </c>
      <c r="C4430" s="1">
        <v>46039.709722222222</v>
      </c>
      <c r="D4430" t="s">
        <v>5639</v>
      </c>
    </row>
    <row r="4431" spans="1:4" x14ac:dyDescent="0.25">
      <c r="A4431" t="s">
        <v>527</v>
      </c>
      <c r="B4431" t="s">
        <v>38</v>
      </c>
      <c r="C4431" s="1">
        <v>46043.484722222223</v>
      </c>
      <c r="D4431" t="s">
        <v>5639</v>
      </c>
    </row>
    <row r="4432" spans="1:4" x14ac:dyDescent="0.25">
      <c r="A4432" t="s">
        <v>491</v>
      </c>
      <c r="B4432" t="s">
        <v>38</v>
      </c>
      <c r="C4432" s="1">
        <v>46043.469444444447</v>
      </c>
      <c r="D4432" t="s">
        <v>5639</v>
      </c>
    </row>
    <row r="4433" spans="1:4" x14ac:dyDescent="0.25">
      <c r="A4433" t="s">
        <v>489</v>
      </c>
      <c r="B4433" t="s">
        <v>38</v>
      </c>
      <c r="C4433" s="1">
        <v>46042.568055555559</v>
      </c>
      <c r="D4433" t="s">
        <v>5639</v>
      </c>
    </row>
    <row r="4434" spans="1:4" x14ac:dyDescent="0.25">
      <c r="A4434" t="s">
        <v>513</v>
      </c>
      <c r="B4434" t="s">
        <v>38</v>
      </c>
      <c r="C4434" s="1">
        <v>46042.446527777778</v>
      </c>
      <c r="D4434" t="s">
        <v>5639</v>
      </c>
    </row>
    <row r="4435" spans="1:4" x14ac:dyDescent="0.25">
      <c r="A4435" t="s">
        <v>517</v>
      </c>
      <c r="B4435" t="s">
        <v>38</v>
      </c>
      <c r="C4435" s="1">
        <v>46044.532638888886</v>
      </c>
      <c r="D4435" t="s">
        <v>5639</v>
      </c>
    </row>
    <row r="4436" spans="1:4" x14ac:dyDescent="0.25">
      <c r="A4436" t="s">
        <v>524</v>
      </c>
      <c r="B4436" t="s">
        <v>38</v>
      </c>
      <c r="C4436" s="1">
        <v>46044.459722222222</v>
      </c>
      <c r="D4436" t="s">
        <v>5639</v>
      </c>
    </row>
    <row r="4437" spans="1:4" x14ac:dyDescent="0.25">
      <c r="A4437" t="s">
        <v>529</v>
      </c>
      <c r="B4437" t="s">
        <v>38</v>
      </c>
      <c r="C4437" s="1">
        <v>46044.537499999999</v>
      </c>
      <c r="D4437" t="s">
        <v>5639</v>
      </c>
    </row>
    <row r="4438" spans="1:4" x14ac:dyDescent="0.25">
      <c r="A4438" t="s">
        <v>531</v>
      </c>
      <c r="B4438" t="s">
        <v>38</v>
      </c>
      <c r="C4438" s="1">
        <v>46056.461111111108</v>
      </c>
      <c r="D4438" t="s">
        <v>5639</v>
      </c>
    </row>
    <row r="4439" spans="1:4" x14ac:dyDescent="0.25">
      <c r="A4439" t="s">
        <v>934</v>
      </c>
      <c r="B4439" t="s">
        <v>1129</v>
      </c>
      <c r="C4439" s="1">
        <v>46078.695138888892</v>
      </c>
      <c r="D4439" t="s">
        <v>5639</v>
      </c>
    </row>
    <row r="4440" spans="1:4" x14ac:dyDescent="0.25">
      <c r="A4440" t="s">
        <v>539</v>
      </c>
      <c r="B4440" t="s">
        <v>38</v>
      </c>
      <c r="C4440" s="1">
        <v>46043.500694444447</v>
      </c>
      <c r="D4440" t="s">
        <v>5639</v>
      </c>
    </row>
    <row r="4441" spans="1:4" x14ac:dyDescent="0.25">
      <c r="A4441" t="s">
        <v>548</v>
      </c>
      <c r="B4441" t="s">
        <v>38</v>
      </c>
      <c r="C4441" s="1">
        <v>46044.482638888891</v>
      </c>
      <c r="D4441" t="s">
        <v>5639</v>
      </c>
    </row>
    <row r="4442" spans="1:4" x14ac:dyDescent="0.25">
      <c r="A4442" t="s">
        <v>545</v>
      </c>
      <c r="B4442" t="s">
        <v>38</v>
      </c>
      <c r="C4442" s="1">
        <v>46046.525000000001</v>
      </c>
      <c r="D4442" t="s">
        <v>5639</v>
      </c>
    </row>
    <row r="4443" spans="1:4" x14ac:dyDescent="0.25">
      <c r="A4443" t="s">
        <v>544</v>
      </c>
      <c r="B4443" t="s">
        <v>38</v>
      </c>
      <c r="C4443" s="1">
        <v>46046.469444444447</v>
      </c>
      <c r="D4443" t="s">
        <v>5639</v>
      </c>
    </row>
    <row r="4444" spans="1:4" x14ac:dyDescent="0.25">
      <c r="A4444" t="s">
        <v>588</v>
      </c>
      <c r="B4444" t="s">
        <v>38</v>
      </c>
      <c r="C4444" s="1">
        <v>46052.51666666667</v>
      </c>
      <c r="D4444" t="s">
        <v>5639</v>
      </c>
    </row>
    <row r="4445" spans="1:4" x14ac:dyDescent="0.25">
      <c r="A4445" t="s">
        <v>586</v>
      </c>
      <c r="B4445" t="s">
        <v>38</v>
      </c>
      <c r="C4445" s="1">
        <v>46055.759722222225</v>
      </c>
      <c r="D4445" t="s">
        <v>5639</v>
      </c>
    </row>
    <row r="4446" spans="1:4" x14ac:dyDescent="0.25">
      <c r="A4446" t="s">
        <v>578</v>
      </c>
      <c r="B4446" t="s">
        <v>38</v>
      </c>
      <c r="C4446" s="1">
        <v>46053.479166666664</v>
      </c>
      <c r="D4446" t="s">
        <v>5639</v>
      </c>
    </row>
    <row r="4447" spans="1:4" x14ac:dyDescent="0.25">
      <c r="A4447" t="s">
        <v>565</v>
      </c>
      <c r="B4447" t="s">
        <v>39</v>
      </c>
      <c r="C4447" s="1">
        <v>46060.397222222222</v>
      </c>
      <c r="D4447" t="s">
        <v>5639</v>
      </c>
    </row>
    <row r="4448" spans="1:4" x14ac:dyDescent="0.25">
      <c r="A4448" t="s">
        <v>562</v>
      </c>
      <c r="B4448" t="s">
        <v>38</v>
      </c>
      <c r="C4448" s="1">
        <v>46078.599305555559</v>
      </c>
      <c r="D4448" t="s">
        <v>5639</v>
      </c>
    </row>
    <row r="4449" spans="1:4" x14ac:dyDescent="0.25">
      <c r="A4449" t="s">
        <v>560</v>
      </c>
      <c r="B4449" t="s">
        <v>38</v>
      </c>
      <c r="C4449" s="1">
        <v>46052.520138888889</v>
      </c>
      <c r="D4449" t="s">
        <v>5639</v>
      </c>
    </row>
    <row r="4450" spans="1:4" x14ac:dyDescent="0.25">
      <c r="A4450" t="s">
        <v>559</v>
      </c>
      <c r="B4450" t="s">
        <v>38</v>
      </c>
      <c r="C4450" s="1">
        <v>46057.648611111108</v>
      </c>
      <c r="D4450" t="s">
        <v>5639</v>
      </c>
    </row>
    <row r="4451" spans="1:4" x14ac:dyDescent="0.25">
      <c r="A4451" t="s">
        <v>931</v>
      </c>
      <c r="B4451" t="s">
        <v>1129</v>
      </c>
      <c r="C4451" s="1">
        <v>46078.722222222219</v>
      </c>
      <c r="D4451" t="s">
        <v>5639</v>
      </c>
    </row>
    <row r="4452" spans="1:4" x14ac:dyDescent="0.25">
      <c r="A4452" t="s">
        <v>605</v>
      </c>
      <c r="B4452" t="s">
        <v>38</v>
      </c>
      <c r="C4452" s="1">
        <v>46050.731249999997</v>
      </c>
      <c r="D4452" t="s">
        <v>5639</v>
      </c>
    </row>
    <row r="4453" spans="1:4" x14ac:dyDescent="0.25">
      <c r="A4453" t="s">
        <v>600</v>
      </c>
      <c r="B4453" t="s">
        <v>38</v>
      </c>
      <c r="C4453" s="1">
        <v>46052.526388888888</v>
      </c>
      <c r="D4453" t="s">
        <v>5639</v>
      </c>
    </row>
    <row r="4454" spans="1:4" x14ac:dyDescent="0.25">
      <c r="A4454" t="s">
        <v>599</v>
      </c>
      <c r="B4454" t="s">
        <v>38</v>
      </c>
      <c r="C4454" s="1">
        <v>46052.728472222225</v>
      </c>
      <c r="D4454" t="s">
        <v>5639</v>
      </c>
    </row>
    <row r="4455" spans="1:4" x14ac:dyDescent="0.25">
      <c r="A4455" t="s">
        <v>598</v>
      </c>
      <c r="B4455" t="s">
        <v>38</v>
      </c>
      <c r="C4455" s="1">
        <v>46063.431944444441</v>
      </c>
      <c r="D4455" t="s">
        <v>5639</v>
      </c>
    </row>
    <row r="4456" spans="1:4" x14ac:dyDescent="0.25">
      <c r="A4456" t="s">
        <v>932</v>
      </c>
      <c r="B4456" t="s">
        <v>38</v>
      </c>
      <c r="C4456" s="1">
        <v>46077.683333333334</v>
      </c>
      <c r="D4456" t="s">
        <v>5639</v>
      </c>
    </row>
    <row r="4457" spans="1:4" x14ac:dyDescent="0.25">
      <c r="A4457" t="s">
        <v>635</v>
      </c>
      <c r="B4457" t="s">
        <v>38</v>
      </c>
      <c r="C4457" s="1">
        <v>46053.611111111109</v>
      </c>
      <c r="D4457" t="s">
        <v>5639</v>
      </c>
    </row>
    <row r="4458" spans="1:4" x14ac:dyDescent="0.25">
      <c r="A4458" t="s">
        <v>648</v>
      </c>
      <c r="B4458" t="s">
        <v>38</v>
      </c>
      <c r="C4458" s="1">
        <v>46053.45208333333</v>
      </c>
      <c r="D4458" t="s">
        <v>5639</v>
      </c>
    </row>
    <row r="4459" spans="1:4" x14ac:dyDescent="0.25">
      <c r="A4459" t="s">
        <v>643</v>
      </c>
      <c r="B4459" t="s">
        <v>38</v>
      </c>
      <c r="C4459" s="1">
        <v>46060.432638888888</v>
      </c>
      <c r="D4459" t="s">
        <v>5639</v>
      </c>
    </row>
    <row r="4460" spans="1:4" x14ac:dyDescent="0.25">
      <c r="A4460" t="s">
        <v>683</v>
      </c>
      <c r="B4460" t="s">
        <v>38</v>
      </c>
      <c r="C4460" s="1">
        <v>46058.843055555553</v>
      </c>
      <c r="D4460" t="s">
        <v>5639</v>
      </c>
    </row>
    <row r="4461" spans="1:4" x14ac:dyDescent="0.25">
      <c r="A4461" t="s">
        <v>681</v>
      </c>
      <c r="B4461" t="s">
        <v>38</v>
      </c>
      <c r="C4461" s="1">
        <v>46070.553472222222</v>
      </c>
      <c r="D4461" t="s">
        <v>5639</v>
      </c>
    </row>
    <row r="4462" spans="1:4" x14ac:dyDescent="0.25">
      <c r="A4462" t="s">
        <v>676</v>
      </c>
      <c r="B4462" t="s">
        <v>38</v>
      </c>
      <c r="C4462" s="1">
        <v>46069.549305555556</v>
      </c>
      <c r="D4462" t="s">
        <v>5639</v>
      </c>
    </row>
    <row r="4463" spans="1:4" x14ac:dyDescent="0.25">
      <c r="A4463" t="s">
        <v>671</v>
      </c>
      <c r="B4463" t="s">
        <v>39</v>
      </c>
      <c r="C4463" s="1">
        <v>46066.46597222222</v>
      </c>
      <c r="D4463" t="s">
        <v>5639</v>
      </c>
    </row>
    <row r="4464" spans="1:4" x14ac:dyDescent="0.25">
      <c r="A4464" t="s">
        <v>668</v>
      </c>
      <c r="B4464" t="s">
        <v>38</v>
      </c>
      <c r="C4464" s="1">
        <v>46057.70416666667</v>
      </c>
      <c r="D4464" t="s">
        <v>5639</v>
      </c>
    </row>
    <row r="4465" spans="1:4" x14ac:dyDescent="0.25">
      <c r="A4465" t="s">
        <v>666</v>
      </c>
      <c r="B4465" t="s">
        <v>38</v>
      </c>
      <c r="C4465" s="1">
        <v>46057.713194444441</v>
      </c>
      <c r="D4465" t="s">
        <v>5639</v>
      </c>
    </row>
    <row r="4466" spans="1:4" x14ac:dyDescent="0.25">
      <c r="A4466" t="s">
        <v>724</v>
      </c>
      <c r="B4466" t="s">
        <v>38</v>
      </c>
      <c r="C4466" s="1">
        <v>46059.87222222222</v>
      </c>
      <c r="D4466" t="s">
        <v>5639</v>
      </c>
    </row>
    <row r="4467" spans="1:4" x14ac:dyDescent="0.25">
      <c r="A4467" t="s">
        <v>725</v>
      </c>
      <c r="B4467" t="s">
        <v>38</v>
      </c>
      <c r="C4467" s="1">
        <v>46064.42291666667</v>
      </c>
      <c r="D4467" t="s">
        <v>5639</v>
      </c>
    </row>
    <row r="4468" spans="1:4" x14ac:dyDescent="0.25">
      <c r="A4468" t="s">
        <v>737</v>
      </c>
      <c r="B4468" t="s">
        <v>39</v>
      </c>
      <c r="C4468" s="1">
        <v>46059.749305555553</v>
      </c>
      <c r="D4468" t="s">
        <v>5639</v>
      </c>
    </row>
    <row r="4469" spans="1:4" x14ac:dyDescent="0.25">
      <c r="A4469" t="s">
        <v>730</v>
      </c>
      <c r="B4469" t="s">
        <v>38</v>
      </c>
      <c r="C4469" s="1">
        <v>46060.525000000001</v>
      </c>
      <c r="D4469" t="s">
        <v>5639</v>
      </c>
    </row>
    <row r="4470" spans="1:4" x14ac:dyDescent="0.25">
      <c r="A4470" t="s">
        <v>750</v>
      </c>
      <c r="B4470" t="s">
        <v>38</v>
      </c>
      <c r="C4470" s="1">
        <v>46060.430555555555</v>
      </c>
      <c r="D4470" t="s">
        <v>5639</v>
      </c>
    </row>
    <row r="4471" spans="1:4" x14ac:dyDescent="0.25">
      <c r="A4471" t="s">
        <v>749</v>
      </c>
      <c r="B4471" t="s">
        <v>38</v>
      </c>
      <c r="C4471" s="1">
        <v>46067.484027777777</v>
      </c>
      <c r="D4471" t="s">
        <v>5639</v>
      </c>
    </row>
    <row r="4472" spans="1:4" x14ac:dyDescent="0.25">
      <c r="A4472" t="s">
        <v>755</v>
      </c>
      <c r="B4472" t="s">
        <v>38</v>
      </c>
      <c r="C4472" s="1">
        <v>46066.472916666666</v>
      </c>
      <c r="D4472" t="s">
        <v>5639</v>
      </c>
    </row>
    <row r="4473" spans="1:4" x14ac:dyDescent="0.25">
      <c r="A4473" t="s">
        <v>763</v>
      </c>
      <c r="B4473" t="s">
        <v>38</v>
      </c>
      <c r="C4473" s="1">
        <v>46072.615277777775</v>
      </c>
      <c r="D4473" t="s">
        <v>5639</v>
      </c>
    </row>
    <row r="4474" spans="1:4" x14ac:dyDescent="0.25">
      <c r="A4474" t="s">
        <v>914</v>
      </c>
      <c r="B4474" t="s">
        <v>38</v>
      </c>
      <c r="C4474" s="1">
        <v>46078.543055555558</v>
      </c>
      <c r="D4474" t="s">
        <v>5639</v>
      </c>
    </row>
    <row r="4475" spans="1:4" x14ac:dyDescent="0.25">
      <c r="A4475" t="s">
        <v>823</v>
      </c>
      <c r="B4475" t="s">
        <v>38</v>
      </c>
      <c r="C4475" s="1">
        <v>46065.738194444442</v>
      </c>
      <c r="D4475" t="s">
        <v>5639</v>
      </c>
    </row>
    <row r="4476" spans="1:4" x14ac:dyDescent="0.25">
      <c r="A4476" t="s">
        <v>814</v>
      </c>
      <c r="B4476" t="s">
        <v>38</v>
      </c>
      <c r="C4476" s="1">
        <v>46065.746527777781</v>
      </c>
      <c r="D4476" t="s">
        <v>5639</v>
      </c>
    </row>
    <row r="4477" spans="1:4" x14ac:dyDescent="0.25">
      <c r="A4477" t="s">
        <v>812</v>
      </c>
      <c r="B4477" t="s">
        <v>38</v>
      </c>
      <c r="C4477" s="1">
        <v>46074.433333333334</v>
      </c>
      <c r="D4477" t="s">
        <v>5639</v>
      </c>
    </row>
    <row r="4478" spans="1:4" x14ac:dyDescent="0.25">
      <c r="A4478" t="s">
        <v>810</v>
      </c>
      <c r="B4478" t="s">
        <v>30</v>
      </c>
      <c r="C4478" s="1">
        <v>46071.581944444442</v>
      </c>
      <c r="D4478" t="s">
        <v>5639</v>
      </c>
    </row>
    <row r="4479" spans="1:4" x14ac:dyDescent="0.25">
      <c r="A4479" t="s">
        <v>804</v>
      </c>
      <c r="B4479" t="s">
        <v>38</v>
      </c>
      <c r="C4479" s="1">
        <v>46066.582638888889</v>
      </c>
      <c r="D4479" t="s">
        <v>5639</v>
      </c>
    </row>
    <row r="4480" spans="1:4" x14ac:dyDescent="0.25">
      <c r="A4480" t="s">
        <v>795</v>
      </c>
      <c r="B4480" t="s">
        <v>38</v>
      </c>
      <c r="C4480" s="1">
        <v>46070.443055555559</v>
      </c>
      <c r="D4480" t="s">
        <v>5639</v>
      </c>
    </row>
    <row r="4481" spans="1:4" x14ac:dyDescent="0.25">
      <c r="A4481" t="s">
        <v>794</v>
      </c>
      <c r="B4481" t="s">
        <v>38</v>
      </c>
      <c r="C4481" s="1">
        <v>46073.729861111111</v>
      </c>
      <c r="D4481" t="s">
        <v>5639</v>
      </c>
    </row>
    <row r="4482" spans="1:4" x14ac:dyDescent="0.25">
      <c r="A4482" t="s">
        <v>781</v>
      </c>
      <c r="B4482" t="s">
        <v>38</v>
      </c>
      <c r="C4482" s="1">
        <v>46070.706944444442</v>
      </c>
      <c r="D4482" t="s">
        <v>5639</v>
      </c>
    </row>
    <row r="4483" spans="1:4" x14ac:dyDescent="0.25">
      <c r="A4483" t="s">
        <v>846</v>
      </c>
      <c r="B4483" t="s">
        <v>38</v>
      </c>
      <c r="C4483" s="1">
        <v>46074.578472222223</v>
      </c>
      <c r="D4483" t="s">
        <v>5639</v>
      </c>
    </row>
    <row r="4484" spans="1:4" x14ac:dyDescent="0.25">
      <c r="A4484" t="s">
        <v>844</v>
      </c>
      <c r="B4484" t="s">
        <v>38</v>
      </c>
      <c r="C4484" s="1">
        <v>46070.477777777778</v>
      </c>
      <c r="D4484" t="s">
        <v>5639</v>
      </c>
    </row>
    <row r="4485" spans="1:4" x14ac:dyDescent="0.25">
      <c r="A4485" t="s">
        <v>841</v>
      </c>
      <c r="B4485" t="s">
        <v>38</v>
      </c>
      <c r="C4485" s="1">
        <v>46071.60833333333</v>
      </c>
      <c r="D4485" t="s">
        <v>5639</v>
      </c>
    </row>
    <row r="4486" spans="1:4" x14ac:dyDescent="0.25">
      <c r="A4486" t="s">
        <v>840</v>
      </c>
      <c r="B4486" t="s">
        <v>38</v>
      </c>
      <c r="C4486" s="1">
        <v>46077.683333333334</v>
      </c>
      <c r="D4486" t="s">
        <v>5639</v>
      </c>
    </row>
    <row r="4487" spans="1:4" x14ac:dyDescent="0.25">
      <c r="A4487" t="s">
        <v>839</v>
      </c>
      <c r="B4487" t="s">
        <v>38</v>
      </c>
      <c r="C4487" s="1">
        <v>46077.494444444441</v>
      </c>
      <c r="D4487" t="s">
        <v>5639</v>
      </c>
    </row>
    <row r="4488" spans="1:4" x14ac:dyDescent="0.25">
      <c r="A4488" t="s">
        <v>829</v>
      </c>
      <c r="B4488" t="s">
        <v>38</v>
      </c>
      <c r="C4488" s="1">
        <v>46071.375</v>
      </c>
      <c r="D4488" t="s">
        <v>5639</v>
      </c>
    </row>
    <row r="4489" spans="1:4" x14ac:dyDescent="0.25">
      <c r="A4489" t="s">
        <v>828</v>
      </c>
      <c r="B4489" t="s">
        <v>38</v>
      </c>
      <c r="C4489" s="1">
        <v>46073.841666666667</v>
      </c>
      <c r="D4489" t="s">
        <v>5639</v>
      </c>
    </row>
    <row r="4490" spans="1:4" x14ac:dyDescent="0.25">
      <c r="A4490" t="s">
        <v>853</v>
      </c>
      <c r="B4490" t="s">
        <v>38</v>
      </c>
      <c r="C4490" s="1">
        <v>46073.55</v>
      </c>
      <c r="D4490" t="s">
        <v>5639</v>
      </c>
    </row>
    <row r="4491" spans="1:4" x14ac:dyDescent="0.25">
      <c r="A4491" t="s">
        <v>851</v>
      </c>
      <c r="B4491" t="s">
        <v>39</v>
      </c>
      <c r="C4491" s="1">
        <v>46076.40902777778</v>
      </c>
      <c r="D4491" t="s">
        <v>5639</v>
      </c>
    </row>
    <row r="4492" spans="1:4" x14ac:dyDescent="0.25">
      <c r="A4492" t="s">
        <v>850</v>
      </c>
      <c r="B4492" t="s">
        <v>1129</v>
      </c>
      <c r="C4492" s="1">
        <v>46078.40347222222</v>
      </c>
      <c r="D4492" t="s">
        <v>5639</v>
      </c>
    </row>
    <row r="4493" spans="1:4" x14ac:dyDescent="0.25">
      <c r="A4493" t="s">
        <v>878</v>
      </c>
      <c r="B4493" t="s">
        <v>38</v>
      </c>
      <c r="C4493" s="1">
        <v>46073.529861111114</v>
      </c>
      <c r="D4493" t="s">
        <v>5639</v>
      </c>
    </row>
    <row r="4494" spans="1:4" x14ac:dyDescent="0.25">
      <c r="A4494" t="s">
        <v>890</v>
      </c>
      <c r="B4494" t="s">
        <v>35</v>
      </c>
      <c r="C4494" s="1">
        <v>46080.35833333333</v>
      </c>
      <c r="D4494" t="s">
        <v>5639</v>
      </c>
    </row>
    <row r="4495" spans="1:4" x14ac:dyDescent="0.25">
      <c r="A4495" t="s">
        <v>906</v>
      </c>
      <c r="B4495" t="s">
        <v>38</v>
      </c>
      <c r="C4495" s="1">
        <v>46079.48333333333</v>
      </c>
      <c r="D4495" t="s">
        <v>5639</v>
      </c>
    </row>
    <row r="4496" spans="1:4" x14ac:dyDescent="0.25">
      <c r="A4496" t="s">
        <v>905</v>
      </c>
      <c r="B4496" t="s">
        <v>39</v>
      </c>
      <c r="C4496" s="1">
        <v>46079.781944444447</v>
      </c>
      <c r="D4496" t="s">
        <v>5639</v>
      </c>
    </row>
    <row r="4497" spans="1:4" x14ac:dyDescent="0.25">
      <c r="A4497" t="s">
        <v>899</v>
      </c>
      <c r="B4497" t="s">
        <v>38</v>
      </c>
      <c r="C4497" s="1">
        <v>46077.790277777778</v>
      </c>
      <c r="D4497" t="s">
        <v>5639</v>
      </c>
    </row>
    <row r="4498" spans="1:4" x14ac:dyDescent="0.25">
      <c r="A4498" t="s">
        <v>924</v>
      </c>
      <c r="B4498" t="s">
        <v>38</v>
      </c>
      <c r="C4498" s="1">
        <v>46077.45208333333</v>
      </c>
      <c r="D4498" t="s">
        <v>5639</v>
      </c>
    </row>
    <row r="4499" spans="1:4" x14ac:dyDescent="0.25">
      <c r="A4499" t="s">
        <v>922</v>
      </c>
      <c r="B4499" t="s">
        <v>38</v>
      </c>
      <c r="C4499" s="1">
        <v>46078.390972222223</v>
      </c>
      <c r="D4499" t="s">
        <v>5639</v>
      </c>
    </row>
    <row r="4500" spans="1:4" x14ac:dyDescent="0.25">
      <c r="A4500" t="s">
        <v>85</v>
      </c>
      <c r="B4500" t="s">
        <v>38</v>
      </c>
      <c r="C4500" s="1">
        <v>45997.263194444444</v>
      </c>
      <c r="D4500" t="s">
        <v>5639</v>
      </c>
    </row>
    <row r="4501" spans="1:4" x14ac:dyDescent="0.25">
      <c r="A4501" t="s">
        <v>222</v>
      </c>
      <c r="B4501" t="s">
        <v>38</v>
      </c>
      <c r="C4501" s="1">
        <v>46009.623611111114</v>
      </c>
      <c r="D4501" t="s">
        <v>5639</v>
      </c>
    </row>
    <row r="4502" spans="1:4" x14ac:dyDescent="0.25">
      <c r="A4502" t="s">
        <v>235</v>
      </c>
      <c r="B4502" t="s">
        <v>38</v>
      </c>
      <c r="C4502" s="1">
        <v>46036.581944444442</v>
      </c>
      <c r="D4502" t="s">
        <v>5639</v>
      </c>
    </row>
    <row r="4503" spans="1:4" x14ac:dyDescent="0.25">
      <c r="A4503" t="s">
        <v>239</v>
      </c>
      <c r="B4503" t="s">
        <v>38</v>
      </c>
      <c r="C4503" s="1">
        <v>46036.586805555555</v>
      </c>
      <c r="D4503" t="s">
        <v>5639</v>
      </c>
    </row>
    <row r="4504" spans="1:4" x14ac:dyDescent="0.25">
      <c r="A4504" t="s">
        <v>250</v>
      </c>
      <c r="B4504" t="s">
        <v>38</v>
      </c>
      <c r="C4504" s="1">
        <v>46057.791666666664</v>
      </c>
      <c r="D4504" t="s">
        <v>5639</v>
      </c>
    </row>
    <row r="4505" spans="1:4" x14ac:dyDescent="0.25">
      <c r="A4505" t="s">
        <v>265</v>
      </c>
      <c r="B4505" t="s">
        <v>38</v>
      </c>
      <c r="C4505" s="1">
        <v>46036.591666666667</v>
      </c>
      <c r="D4505" t="s">
        <v>5639</v>
      </c>
    </row>
    <row r="4506" spans="1:4" x14ac:dyDescent="0.25">
      <c r="A4506" t="s">
        <v>257</v>
      </c>
      <c r="B4506" t="s">
        <v>38</v>
      </c>
      <c r="C4506" s="1">
        <v>46039.50277777778</v>
      </c>
      <c r="D4506" t="s">
        <v>5639</v>
      </c>
    </row>
    <row r="4507" spans="1:4" x14ac:dyDescent="0.25">
      <c r="A4507" t="s">
        <v>282</v>
      </c>
      <c r="B4507" t="s">
        <v>38</v>
      </c>
      <c r="C4507" s="1">
        <v>46049.704861111109</v>
      </c>
      <c r="D4507" t="s">
        <v>5639</v>
      </c>
    </row>
    <row r="4508" spans="1:4" x14ac:dyDescent="0.25">
      <c r="A4508" t="s">
        <v>291</v>
      </c>
      <c r="B4508" t="s">
        <v>38</v>
      </c>
      <c r="C4508" s="1">
        <v>46018.613888888889</v>
      </c>
      <c r="D4508" t="s">
        <v>5639</v>
      </c>
    </row>
    <row r="4509" spans="1:4" x14ac:dyDescent="0.25">
      <c r="A4509" t="s">
        <v>308</v>
      </c>
      <c r="B4509" t="s">
        <v>38</v>
      </c>
      <c r="C4509" s="1">
        <v>46043.441666666666</v>
      </c>
      <c r="D4509" t="s">
        <v>5639</v>
      </c>
    </row>
    <row r="4510" spans="1:4" x14ac:dyDescent="0.25">
      <c r="A4510" t="s">
        <v>350</v>
      </c>
      <c r="B4510" t="s">
        <v>38</v>
      </c>
      <c r="C4510" s="1">
        <v>46039.519444444442</v>
      </c>
      <c r="D4510" t="s">
        <v>5639</v>
      </c>
    </row>
    <row r="4511" spans="1:4" x14ac:dyDescent="0.25">
      <c r="A4511" t="s">
        <v>392</v>
      </c>
      <c r="B4511" t="s">
        <v>38</v>
      </c>
      <c r="C4511" s="1">
        <v>46030.478472222225</v>
      </c>
      <c r="D4511" t="s">
        <v>5639</v>
      </c>
    </row>
    <row r="4512" spans="1:4" x14ac:dyDescent="0.25">
      <c r="A4512" t="s">
        <v>409</v>
      </c>
      <c r="B4512" t="s">
        <v>38</v>
      </c>
      <c r="C4512" s="1">
        <v>46056.478472222225</v>
      </c>
      <c r="D4512" t="s">
        <v>5639</v>
      </c>
    </row>
    <row r="4513" spans="1:4" x14ac:dyDescent="0.25">
      <c r="A4513" t="s">
        <v>479</v>
      </c>
      <c r="B4513" t="s">
        <v>38</v>
      </c>
      <c r="C4513" s="1">
        <v>46057.533333333333</v>
      </c>
      <c r="D4513" t="s">
        <v>5639</v>
      </c>
    </row>
    <row r="4514" spans="1:4" x14ac:dyDescent="0.25">
      <c r="A4514" t="s">
        <v>595</v>
      </c>
      <c r="B4514" t="s">
        <v>38</v>
      </c>
      <c r="C4514" s="1">
        <v>46076.677083333336</v>
      </c>
      <c r="D4514" t="s">
        <v>5639</v>
      </c>
    </row>
    <row r="4515" spans="1:4" x14ac:dyDescent="0.25">
      <c r="A4515" t="s">
        <v>622</v>
      </c>
      <c r="B4515" t="s">
        <v>38</v>
      </c>
      <c r="C4515" s="1">
        <v>46052.707638888889</v>
      </c>
      <c r="D4515" t="s">
        <v>5639</v>
      </c>
    </row>
    <row r="4516" spans="1:4" x14ac:dyDescent="0.25">
      <c r="A4516" t="s">
        <v>654</v>
      </c>
      <c r="B4516" t="s">
        <v>38</v>
      </c>
      <c r="C4516" s="1">
        <v>46071.581944444442</v>
      </c>
      <c r="D4516" t="s">
        <v>5639</v>
      </c>
    </row>
    <row r="4517" spans="1:4" x14ac:dyDescent="0.25">
      <c r="A4517" t="s">
        <v>641</v>
      </c>
      <c r="B4517" t="s">
        <v>38</v>
      </c>
      <c r="C4517" s="1">
        <v>46063.558333333334</v>
      </c>
      <c r="D4517" t="s">
        <v>5639</v>
      </c>
    </row>
    <row r="4518" spans="1:4" x14ac:dyDescent="0.25">
      <c r="A4518" t="s">
        <v>687</v>
      </c>
      <c r="B4518" t="s">
        <v>38</v>
      </c>
      <c r="C4518" s="1">
        <v>46066.728472222225</v>
      </c>
      <c r="D4518" t="s">
        <v>5639</v>
      </c>
    </row>
    <row r="4519" spans="1:4" x14ac:dyDescent="0.25">
      <c r="A4519" t="s">
        <v>733</v>
      </c>
      <c r="B4519" t="s">
        <v>38</v>
      </c>
      <c r="C4519" s="1">
        <v>46069.552777777775</v>
      </c>
      <c r="D4519" t="s">
        <v>5639</v>
      </c>
    </row>
    <row r="4520" spans="1:4" x14ac:dyDescent="0.25">
      <c r="A4520" t="s">
        <v>894</v>
      </c>
      <c r="B4520" t="s">
        <v>38</v>
      </c>
      <c r="C4520" s="1">
        <v>46077.629861111112</v>
      </c>
      <c r="D4520" t="s">
        <v>5639</v>
      </c>
    </row>
    <row r="4521" spans="1:4" x14ac:dyDescent="0.25">
      <c r="A4521" t="s">
        <v>410</v>
      </c>
      <c r="B4521" t="s">
        <v>38</v>
      </c>
      <c r="C4521" s="1">
        <v>46056.677777777775</v>
      </c>
      <c r="D4521" t="s">
        <v>5639</v>
      </c>
    </row>
    <row r="4522" spans="1:4" x14ac:dyDescent="0.25">
      <c r="A4522" t="s">
        <v>793</v>
      </c>
      <c r="B4522" t="s">
        <v>38</v>
      </c>
      <c r="C4522" s="1">
        <v>46069.554166666669</v>
      </c>
      <c r="D4522" t="s">
        <v>5639</v>
      </c>
    </row>
    <row r="4523" spans="1:4" x14ac:dyDescent="0.25">
      <c r="A4523" t="s">
        <v>58</v>
      </c>
      <c r="B4523" t="s">
        <v>39</v>
      </c>
      <c r="C4523" s="1">
        <v>46029.736805555556</v>
      </c>
      <c r="D4523" t="s">
        <v>5639</v>
      </c>
    </row>
    <row r="4524" spans="1:4" x14ac:dyDescent="0.25">
      <c r="A4524" t="s">
        <v>56</v>
      </c>
      <c r="B4524" t="s">
        <v>38</v>
      </c>
      <c r="C4524" s="1">
        <v>46036.539583333331</v>
      </c>
      <c r="D4524" t="s">
        <v>5639</v>
      </c>
    </row>
    <row r="4525" spans="1:4" x14ac:dyDescent="0.25">
      <c r="A4525" t="s">
        <v>51</v>
      </c>
      <c r="B4525" t="s">
        <v>38</v>
      </c>
      <c r="C4525" s="1">
        <v>46036.539583333331</v>
      </c>
      <c r="D4525" t="s">
        <v>5639</v>
      </c>
    </row>
    <row r="4526" spans="1:4" x14ac:dyDescent="0.25">
      <c r="A4526" t="s">
        <v>50</v>
      </c>
      <c r="B4526" t="s">
        <v>38</v>
      </c>
      <c r="C4526" s="1">
        <v>46022.570138888892</v>
      </c>
      <c r="D4526" t="s">
        <v>5639</v>
      </c>
    </row>
    <row r="4527" spans="1:4" x14ac:dyDescent="0.25">
      <c r="A4527" t="s">
        <v>964</v>
      </c>
      <c r="B4527" t="s">
        <v>1239</v>
      </c>
      <c r="C4527" s="1">
        <v>46080.425000000003</v>
      </c>
      <c r="D4527" t="s">
        <v>5639</v>
      </c>
    </row>
    <row r="4528" spans="1:4" x14ac:dyDescent="0.25">
      <c r="A4528" t="s">
        <v>47</v>
      </c>
      <c r="B4528" t="s">
        <v>38</v>
      </c>
      <c r="C4528" s="1">
        <v>45995.429166666669</v>
      </c>
      <c r="D4528" t="s">
        <v>5639</v>
      </c>
    </row>
    <row r="4529" spans="1:4" x14ac:dyDescent="0.25">
      <c r="A4529" t="s">
        <v>70</v>
      </c>
      <c r="B4529" t="s">
        <v>38</v>
      </c>
      <c r="C4529" s="1">
        <v>46036.541666666664</v>
      </c>
      <c r="D4529" t="s">
        <v>5639</v>
      </c>
    </row>
    <row r="4530" spans="1:4" x14ac:dyDescent="0.25">
      <c r="A4530" t="s">
        <v>69</v>
      </c>
      <c r="B4530" t="s">
        <v>38</v>
      </c>
      <c r="C4530" s="1">
        <v>46036.541666666664</v>
      </c>
      <c r="D4530" t="s">
        <v>5639</v>
      </c>
    </row>
    <row r="4531" spans="1:4" x14ac:dyDescent="0.25">
      <c r="A4531" t="s">
        <v>62</v>
      </c>
      <c r="B4531" t="s">
        <v>38</v>
      </c>
      <c r="C4531" s="1">
        <v>46036.688888888886</v>
      </c>
      <c r="D4531" t="s">
        <v>5639</v>
      </c>
    </row>
    <row r="4532" spans="1:4" x14ac:dyDescent="0.25">
      <c r="A4532" t="s">
        <v>96</v>
      </c>
      <c r="B4532" t="s">
        <v>38</v>
      </c>
      <c r="C4532" s="1">
        <v>46036.55</v>
      </c>
      <c r="D4532" t="s">
        <v>5639</v>
      </c>
    </row>
    <row r="4533" spans="1:4" x14ac:dyDescent="0.25">
      <c r="A4533" t="s">
        <v>95</v>
      </c>
      <c r="B4533" t="s">
        <v>38</v>
      </c>
      <c r="C4533" s="1">
        <v>46036.549305555556</v>
      </c>
      <c r="D4533" t="s">
        <v>5639</v>
      </c>
    </row>
    <row r="4534" spans="1:4" x14ac:dyDescent="0.25">
      <c r="A4534" t="s">
        <v>105</v>
      </c>
      <c r="B4534" t="s">
        <v>38</v>
      </c>
      <c r="C4534" s="1">
        <v>46036.547222222223</v>
      </c>
      <c r="D4534" t="s">
        <v>5639</v>
      </c>
    </row>
    <row r="4535" spans="1:4" x14ac:dyDescent="0.25">
      <c r="A4535" t="s">
        <v>109</v>
      </c>
      <c r="B4535" t="s">
        <v>38</v>
      </c>
      <c r="C4535" s="1">
        <v>46036.552777777775</v>
      </c>
      <c r="D4535" t="s">
        <v>5639</v>
      </c>
    </row>
    <row r="4536" spans="1:4" x14ac:dyDescent="0.25">
      <c r="A4536" t="s">
        <v>121</v>
      </c>
      <c r="B4536" t="s">
        <v>38</v>
      </c>
      <c r="C4536" s="1">
        <v>46022.647916666669</v>
      </c>
      <c r="D4536" t="s">
        <v>5639</v>
      </c>
    </row>
    <row r="4537" spans="1:4" x14ac:dyDescent="0.25">
      <c r="A4537" t="s">
        <v>128</v>
      </c>
      <c r="B4537" t="s">
        <v>38</v>
      </c>
      <c r="C4537" s="1">
        <v>46022.650694444441</v>
      </c>
      <c r="D4537" t="s">
        <v>5639</v>
      </c>
    </row>
    <row r="4538" spans="1:4" x14ac:dyDescent="0.25">
      <c r="A4538" t="s">
        <v>126</v>
      </c>
      <c r="B4538" t="s">
        <v>39</v>
      </c>
      <c r="C4538" s="1">
        <v>46000.659722222219</v>
      </c>
      <c r="D4538" t="s">
        <v>5639</v>
      </c>
    </row>
    <row r="4539" spans="1:4" x14ac:dyDescent="0.25">
      <c r="A4539" t="s">
        <v>148</v>
      </c>
      <c r="B4539" t="s">
        <v>38</v>
      </c>
      <c r="C4539" s="1">
        <v>46036.559027777781</v>
      </c>
      <c r="D4539" t="s">
        <v>5639</v>
      </c>
    </row>
    <row r="4540" spans="1:4" x14ac:dyDescent="0.25">
      <c r="A4540" t="s">
        <v>193</v>
      </c>
      <c r="B4540" t="s">
        <v>38</v>
      </c>
      <c r="C4540" s="1">
        <v>46036.563194444447</v>
      </c>
      <c r="D4540" t="s">
        <v>5639</v>
      </c>
    </row>
    <row r="4541" spans="1:4" x14ac:dyDescent="0.25">
      <c r="A4541" t="s">
        <v>197</v>
      </c>
      <c r="B4541" t="s">
        <v>38</v>
      </c>
      <c r="C4541" s="1">
        <v>46036.563194444447</v>
      </c>
      <c r="D4541" t="s">
        <v>5639</v>
      </c>
    </row>
    <row r="4542" spans="1:4" x14ac:dyDescent="0.25">
      <c r="A4542" t="s">
        <v>215</v>
      </c>
      <c r="B4542" t="s">
        <v>39</v>
      </c>
      <c r="C4542" s="1">
        <v>46029.734722222223</v>
      </c>
      <c r="D4542" t="s">
        <v>5639</v>
      </c>
    </row>
    <row r="4543" spans="1:4" x14ac:dyDescent="0.25">
      <c r="A4543" t="s">
        <v>214</v>
      </c>
      <c r="B4543" t="s">
        <v>38</v>
      </c>
      <c r="C4543" s="1">
        <v>46036.563194444447</v>
      </c>
      <c r="D4543" t="s">
        <v>5639</v>
      </c>
    </row>
    <row r="4544" spans="1:4" x14ac:dyDescent="0.25">
      <c r="A4544" t="s">
        <v>224</v>
      </c>
      <c r="B4544" t="s">
        <v>38</v>
      </c>
      <c r="C4544" s="1">
        <v>46036.563888888886</v>
      </c>
      <c r="D4544" t="s">
        <v>5639</v>
      </c>
    </row>
    <row r="4545" spans="1:4" x14ac:dyDescent="0.25">
      <c r="A4545" t="s">
        <v>236</v>
      </c>
      <c r="B4545" t="s">
        <v>38</v>
      </c>
      <c r="C4545" s="1">
        <v>46009.513888888891</v>
      </c>
      <c r="D4545" t="s">
        <v>5639</v>
      </c>
    </row>
    <row r="4546" spans="1:4" x14ac:dyDescent="0.25">
      <c r="A4546" t="s">
        <v>234</v>
      </c>
      <c r="B4546" t="s">
        <v>38</v>
      </c>
      <c r="C4546" s="1">
        <v>46036.563888888886</v>
      </c>
      <c r="D4546" t="s">
        <v>5639</v>
      </c>
    </row>
    <row r="4547" spans="1:4" x14ac:dyDescent="0.25">
      <c r="A4547" t="s">
        <v>229</v>
      </c>
      <c r="B4547" t="s">
        <v>38</v>
      </c>
      <c r="C4547" s="1">
        <v>46036.564583333333</v>
      </c>
      <c r="D4547" t="s">
        <v>5639</v>
      </c>
    </row>
    <row r="4548" spans="1:4" x14ac:dyDescent="0.25">
      <c r="A4548" t="s">
        <v>981</v>
      </c>
      <c r="B4548" t="s">
        <v>1129</v>
      </c>
      <c r="C4548" s="1">
        <v>46079.744444444441</v>
      </c>
      <c r="D4548" t="s">
        <v>5639</v>
      </c>
    </row>
    <row r="4549" spans="1:4" x14ac:dyDescent="0.25">
      <c r="A4549" t="s">
        <v>264</v>
      </c>
      <c r="B4549" t="s">
        <v>38</v>
      </c>
      <c r="C4549" s="1">
        <v>46036.56527777778</v>
      </c>
      <c r="D4549" t="s">
        <v>5639</v>
      </c>
    </row>
    <row r="4550" spans="1:4" x14ac:dyDescent="0.25">
      <c r="A4550" t="s">
        <v>273</v>
      </c>
      <c r="B4550" t="s">
        <v>38</v>
      </c>
      <c r="C4550" s="1">
        <v>46022.729861111111</v>
      </c>
      <c r="D4550" t="s">
        <v>5639</v>
      </c>
    </row>
    <row r="4551" spans="1:4" x14ac:dyDescent="0.25">
      <c r="A4551" t="s">
        <v>286</v>
      </c>
      <c r="B4551" t="s">
        <v>39</v>
      </c>
      <c r="C4551" s="1">
        <v>46029.732638888891</v>
      </c>
      <c r="D4551" t="s">
        <v>5639</v>
      </c>
    </row>
    <row r="4552" spans="1:4" x14ac:dyDescent="0.25">
      <c r="A4552" t="s">
        <v>289</v>
      </c>
      <c r="B4552" t="s">
        <v>39</v>
      </c>
      <c r="C4552" s="1">
        <v>46050.706250000003</v>
      </c>
      <c r="D4552" t="s">
        <v>5639</v>
      </c>
    </row>
    <row r="4553" spans="1:4" x14ac:dyDescent="0.25">
      <c r="A4553" t="s">
        <v>987</v>
      </c>
      <c r="B4553" t="s">
        <v>38</v>
      </c>
      <c r="C4553" s="1">
        <v>46079.668055555558</v>
      </c>
      <c r="D4553" t="s">
        <v>5639</v>
      </c>
    </row>
    <row r="4554" spans="1:4" x14ac:dyDescent="0.25">
      <c r="A4554" t="s">
        <v>324</v>
      </c>
      <c r="B4554" t="s">
        <v>38</v>
      </c>
      <c r="C4554" s="1">
        <v>46036.566666666666</v>
      </c>
      <c r="D4554" t="s">
        <v>5639</v>
      </c>
    </row>
    <row r="4555" spans="1:4" x14ac:dyDescent="0.25">
      <c r="A4555" t="s">
        <v>337</v>
      </c>
      <c r="B4555" t="s">
        <v>38</v>
      </c>
      <c r="C4555" s="1">
        <v>46025.5</v>
      </c>
      <c r="D4555" t="s">
        <v>5639</v>
      </c>
    </row>
    <row r="4556" spans="1:4" x14ac:dyDescent="0.25">
      <c r="A4556" t="s">
        <v>365</v>
      </c>
      <c r="B4556" t="s">
        <v>38</v>
      </c>
      <c r="C4556" s="1">
        <v>46039.554861111108</v>
      </c>
      <c r="D4556" t="s">
        <v>5639</v>
      </c>
    </row>
    <row r="4557" spans="1:4" x14ac:dyDescent="0.25">
      <c r="A4557" t="s">
        <v>370</v>
      </c>
      <c r="B4557" t="s">
        <v>38</v>
      </c>
      <c r="C4557" s="1">
        <v>46039.556250000001</v>
      </c>
      <c r="D4557" t="s">
        <v>5639</v>
      </c>
    </row>
    <row r="4558" spans="1:4" x14ac:dyDescent="0.25">
      <c r="A4558" t="s">
        <v>991</v>
      </c>
      <c r="B4558" t="s">
        <v>38</v>
      </c>
      <c r="C4558" s="1">
        <v>46079.65625</v>
      </c>
      <c r="D4558" t="s">
        <v>5639</v>
      </c>
    </row>
    <row r="4559" spans="1:4" x14ac:dyDescent="0.25">
      <c r="A4559" t="s">
        <v>393</v>
      </c>
      <c r="B4559" t="s">
        <v>38</v>
      </c>
      <c r="C4559" s="1">
        <v>46039.693055555559</v>
      </c>
      <c r="D4559" t="s">
        <v>5639</v>
      </c>
    </row>
    <row r="4560" spans="1:4" x14ac:dyDescent="0.25">
      <c r="A4560" t="s">
        <v>396</v>
      </c>
      <c r="B4560" t="s">
        <v>38</v>
      </c>
      <c r="C4560" s="1">
        <v>46039.695138888892</v>
      </c>
      <c r="D4560" t="s">
        <v>5639</v>
      </c>
    </row>
    <row r="4561" spans="1:4" x14ac:dyDescent="0.25">
      <c r="A4561" t="s">
        <v>415</v>
      </c>
      <c r="B4561" t="s">
        <v>38</v>
      </c>
      <c r="C4561" s="1">
        <v>46039.697222222225</v>
      </c>
      <c r="D4561" t="s">
        <v>5639</v>
      </c>
    </row>
    <row r="4562" spans="1:4" x14ac:dyDescent="0.25">
      <c r="A4562" t="s">
        <v>428</v>
      </c>
      <c r="B4562" t="s">
        <v>38</v>
      </c>
      <c r="C4562" s="1">
        <v>46039.697916666664</v>
      </c>
      <c r="D4562" t="s">
        <v>5639</v>
      </c>
    </row>
    <row r="4563" spans="1:4" x14ac:dyDescent="0.25">
      <c r="A4563" t="s">
        <v>440</v>
      </c>
      <c r="B4563" t="s">
        <v>38</v>
      </c>
      <c r="C4563" s="1">
        <v>46035.467361111114</v>
      </c>
      <c r="D4563" t="s">
        <v>5639</v>
      </c>
    </row>
    <row r="4564" spans="1:4" x14ac:dyDescent="0.25">
      <c r="A4564" t="s">
        <v>438</v>
      </c>
      <c r="B4564" t="s">
        <v>38</v>
      </c>
      <c r="C4564" s="1">
        <v>46055.759722222225</v>
      </c>
      <c r="D4564" t="s">
        <v>5639</v>
      </c>
    </row>
    <row r="4565" spans="1:4" x14ac:dyDescent="0.25">
      <c r="A4565" t="s">
        <v>942</v>
      </c>
      <c r="B4565" t="s">
        <v>1129</v>
      </c>
      <c r="C4565" s="1">
        <v>46078.75277777778</v>
      </c>
      <c r="D4565" t="s">
        <v>5639</v>
      </c>
    </row>
    <row r="4566" spans="1:4" x14ac:dyDescent="0.25">
      <c r="A4566" t="s">
        <v>455</v>
      </c>
      <c r="B4566" t="s">
        <v>38</v>
      </c>
      <c r="C4566" s="1">
        <v>46041.71875</v>
      </c>
      <c r="D4566" t="s">
        <v>5639</v>
      </c>
    </row>
    <row r="4567" spans="1:4" x14ac:dyDescent="0.25">
      <c r="A4567" t="s">
        <v>462</v>
      </c>
      <c r="B4567" t="s">
        <v>38</v>
      </c>
      <c r="C4567" s="1">
        <v>46042.438888888886</v>
      </c>
      <c r="D4567" t="s">
        <v>5639</v>
      </c>
    </row>
    <row r="4568" spans="1:4" x14ac:dyDescent="0.25">
      <c r="A4568" t="s">
        <v>459</v>
      </c>
      <c r="B4568" t="s">
        <v>38</v>
      </c>
      <c r="C4568" s="1">
        <v>46042.438888888886</v>
      </c>
      <c r="D4568" t="s">
        <v>5639</v>
      </c>
    </row>
    <row r="4569" spans="1:4" x14ac:dyDescent="0.25">
      <c r="A4569" t="s">
        <v>467</v>
      </c>
      <c r="B4569" t="s">
        <v>38</v>
      </c>
      <c r="C4569" s="1">
        <v>46041.709722222222</v>
      </c>
      <c r="D4569" t="s">
        <v>5639</v>
      </c>
    </row>
    <row r="4570" spans="1:4" x14ac:dyDescent="0.25">
      <c r="A4570" t="s">
        <v>465</v>
      </c>
      <c r="B4570" t="s">
        <v>39</v>
      </c>
      <c r="C4570" s="1">
        <v>46050.626388888886</v>
      </c>
      <c r="D4570" t="s">
        <v>5639</v>
      </c>
    </row>
    <row r="4571" spans="1:4" x14ac:dyDescent="0.25">
      <c r="A4571" t="s">
        <v>473</v>
      </c>
      <c r="B4571" t="s">
        <v>38</v>
      </c>
      <c r="C4571" s="1">
        <v>46041.478472222225</v>
      </c>
      <c r="D4571" t="s">
        <v>5639</v>
      </c>
    </row>
    <row r="4572" spans="1:4" x14ac:dyDescent="0.25">
      <c r="A4572" t="s">
        <v>528</v>
      </c>
      <c r="B4572" t="s">
        <v>38</v>
      </c>
      <c r="C4572" s="1">
        <v>46043.440972222219</v>
      </c>
      <c r="D4572" t="s">
        <v>5639</v>
      </c>
    </row>
    <row r="4573" spans="1:4" x14ac:dyDescent="0.25">
      <c r="A4573" t="s">
        <v>540</v>
      </c>
      <c r="B4573" t="s">
        <v>38</v>
      </c>
      <c r="C4573" s="1">
        <v>46044.465277777781</v>
      </c>
      <c r="D4573" t="s">
        <v>5639</v>
      </c>
    </row>
    <row r="4574" spans="1:4" x14ac:dyDescent="0.25">
      <c r="A4574" t="s">
        <v>551</v>
      </c>
      <c r="B4574" t="s">
        <v>38</v>
      </c>
      <c r="C4574" s="1">
        <v>46052.541666666664</v>
      </c>
      <c r="D4574" t="s">
        <v>5639</v>
      </c>
    </row>
    <row r="4575" spans="1:4" x14ac:dyDescent="0.25">
      <c r="A4575" t="s">
        <v>584</v>
      </c>
      <c r="B4575" t="s">
        <v>38</v>
      </c>
      <c r="C4575" s="1">
        <v>46049.509027777778</v>
      </c>
      <c r="D4575" t="s">
        <v>5639</v>
      </c>
    </row>
    <row r="4576" spans="1:4" x14ac:dyDescent="0.25">
      <c r="A4576" t="s">
        <v>581</v>
      </c>
      <c r="B4576" t="s">
        <v>38</v>
      </c>
      <c r="C4576" s="1">
        <v>46067.57708333333</v>
      </c>
      <c r="D4576" t="s">
        <v>5639</v>
      </c>
    </row>
    <row r="4577" spans="1:4" x14ac:dyDescent="0.25">
      <c r="A4577" t="s">
        <v>577</v>
      </c>
      <c r="B4577" t="s">
        <v>38</v>
      </c>
      <c r="C4577" s="1">
        <v>46055.759722222225</v>
      </c>
      <c r="D4577" t="s">
        <v>5639</v>
      </c>
    </row>
    <row r="4578" spans="1:4" x14ac:dyDescent="0.25">
      <c r="A4578" t="s">
        <v>615</v>
      </c>
      <c r="B4578" t="s">
        <v>38</v>
      </c>
      <c r="C4578" s="1">
        <v>46051.446527777778</v>
      </c>
      <c r="D4578" t="s">
        <v>5639</v>
      </c>
    </row>
    <row r="4579" spans="1:4" x14ac:dyDescent="0.25">
      <c r="A4579" t="s">
        <v>614</v>
      </c>
      <c r="B4579" t="s">
        <v>38</v>
      </c>
      <c r="C4579" s="1">
        <v>46051.470833333333</v>
      </c>
      <c r="D4579" t="s">
        <v>5639</v>
      </c>
    </row>
    <row r="4580" spans="1:4" x14ac:dyDescent="0.25">
      <c r="A4580" t="s">
        <v>604</v>
      </c>
      <c r="B4580" t="s">
        <v>38</v>
      </c>
      <c r="C4580" s="1">
        <v>46052.511111111111</v>
      </c>
      <c r="D4580" t="s">
        <v>5639</v>
      </c>
    </row>
    <row r="4581" spans="1:4" x14ac:dyDescent="0.25">
      <c r="A4581" t="s">
        <v>628</v>
      </c>
      <c r="B4581" t="s">
        <v>38</v>
      </c>
      <c r="C4581" s="1">
        <v>46055.440972222219</v>
      </c>
      <c r="D4581" t="s">
        <v>5639</v>
      </c>
    </row>
    <row r="4582" spans="1:4" x14ac:dyDescent="0.25">
      <c r="A4582" t="s">
        <v>625</v>
      </c>
      <c r="B4582" t="s">
        <v>38</v>
      </c>
      <c r="C4582" s="1">
        <v>46053.620833333334</v>
      </c>
      <c r="D4582" t="s">
        <v>5639</v>
      </c>
    </row>
    <row r="4583" spans="1:4" x14ac:dyDescent="0.25">
      <c r="A4583" t="s">
        <v>623</v>
      </c>
      <c r="B4583" t="s">
        <v>38</v>
      </c>
      <c r="C4583" s="1">
        <v>46053.626388888886</v>
      </c>
      <c r="D4583" t="s">
        <v>5639</v>
      </c>
    </row>
    <row r="4584" spans="1:4" x14ac:dyDescent="0.25">
      <c r="A4584" t="s">
        <v>933</v>
      </c>
      <c r="B4584" t="s">
        <v>1239</v>
      </c>
      <c r="C4584" s="1">
        <v>46077.5</v>
      </c>
      <c r="D4584" t="s">
        <v>5639</v>
      </c>
    </row>
    <row r="4585" spans="1:4" x14ac:dyDescent="0.25">
      <c r="A4585" t="s">
        <v>669</v>
      </c>
      <c r="B4585" t="s">
        <v>38</v>
      </c>
      <c r="C4585" s="1">
        <v>46059.517361111109</v>
      </c>
      <c r="D4585" t="s">
        <v>5639</v>
      </c>
    </row>
    <row r="4586" spans="1:4" x14ac:dyDescent="0.25">
      <c r="A4586" t="s">
        <v>696</v>
      </c>
      <c r="B4586" t="s">
        <v>38</v>
      </c>
      <c r="C4586" s="1">
        <v>46058.534722222219</v>
      </c>
      <c r="D4586" t="s">
        <v>5639</v>
      </c>
    </row>
    <row r="4587" spans="1:4" x14ac:dyDescent="0.25">
      <c r="A4587" t="s">
        <v>723</v>
      </c>
      <c r="B4587" t="s">
        <v>38</v>
      </c>
      <c r="C4587" s="1">
        <v>46060.571527777778</v>
      </c>
      <c r="D4587" t="s">
        <v>5639</v>
      </c>
    </row>
    <row r="4588" spans="1:4" x14ac:dyDescent="0.25">
      <c r="A4588" t="s">
        <v>718</v>
      </c>
      <c r="B4588" t="s">
        <v>38</v>
      </c>
      <c r="C4588" s="1">
        <v>46069.418055555558</v>
      </c>
      <c r="D4588" t="s">
        <v>5639</v>
      </c>
    </row>
    <row r="4589" spans="1:4" x14ac:dyDescent="0.25">
      <c r="A4589" t="s">
        <v>711</v>
      </c>
      <c r="B4589" t="s">
        <v>38</v>
      </c>
      <c r="C4589" s="1">
        <v>46059.574999999997</v>
      </c>
      <c r="D4589" t="s">
        <v>5639</v>
      </c>
    </row>
    <row r="4590" spans="1:4" x14ac:dyDescent="0.25">
      <c r="A4590" t="s">
        <v>735</v>
      </c>
      <c r="B4590" t="s">
        <v>38</v>
      </c>
      <c r="C4590" s="1">
        <v>46060.614583333336</v>
      </c>
      <c r="D4590" t="s">
        <v>5639</v>
      </c>
    </row>
    <row r="4591" spans="1:4" x14ac:dyDescent="0.25">
      <c r="A4591" t="s">
        <v>726</v>
      </c>
      <c r="B4591" t="s">
        <v>38</v>
      </c>
      <c r="C4591" s="1">
        <v>46071.582638888889</v>
      </c>
      <c r="D4591" t="s">
        <v>5639</v>
      </c>
    </row>
    <row r="4592" spans="1:4" x14ac:dyDescent="0.25">
      <c r="A4592" t="s">
        <v>740</v>
      </c>
      <c r="B4592" t="s">
        <v>38</v>
      </c>
      <c r="C4592" s="1">
        <v>46062.567361111112</v>
      </c>
      <c r="D4592" t="s">
        <v>5639</v>
      </c>
    </row>
    <row r="4593" spans="1:4" x14ac:dyDescent="0.25">
      <c r="A4593" t="s">
        <v>754</v>
      </c>
      <c r="B4593" t="s">
        <v>38</v>
      </c>
      <c r="C4593" s="1">
        <v>46074.595833333333</v>
      </c>
      <c r="D4593" t="s">
        <v>5639</v>
      </c>
    </row>
    <row r="4594" spans="1:4" x14ac:dyDescent="0.25">
      <c r="A4594" t="s">
        <v>775</v>
      </c>
      <c r="B4594" t="s">
        <v>38</v>
      </c>
      <c r="C4594" s="1">
        <v>46064.697222222225</v>
      </c>
      <c r="D4594" t="s">
        <v>5639</v>
      </c>
    </row>
    <row r="4595" spans="1:4" x14ac:dyDescent="0.25">
      <c r="A4595" t="s">
        <v>772</v>
      </c>
      <c r="B4595" t="s">
        <v>38</v>
      </c>
      <c r="C4595" s="1">
        <v>46065.519444444442</v>
      </c>
      <c r="D4595" t="s">
        <v>5639</v>
      </c>
    </row>
    <row r="4596" spans="1:4" x14ac:dyDescent="0.25">
      <c r="A4596" t="s">
        <v>779</v>
      </c>
      <c r="B4596" t="s">
        <v>38</v>
      </c>
      <c r="C4596" s="1">
        <v>46065.711805555555</v>
      </c>
      <c r="D4596" t="s">
        <v>5639</v>
      </c>
    </row>
    <row r="4597" spans="1:4" x14ac:dyDescent="0.25">
      <c r="A4597" t="s">
        <v>798</v>
      </c>
      <c r="B4597" t="s">
        <v>38</v>
      </c>
      <c r="C4597" s="1">
        <v>46067.508333333331</v>
      </c>
      <c r="D4597" t="s">
        <v>5639</v>
      </c>
    </row>
    <row r="4598" spans="1:4" x14ac:dyDescent="0.25">
      <c r="A4598" t="s">
        <v>835</v>
      </c>
      <c r="B4598" t="s">
        <v>38</v>
      </c>
      <c r="C4598" s="1">
        <v>46070.446527777778</v>
      </c>
      <c r="D4598" t="s">
        <v>5639</v>
      </c>
    </row>
    <row r="4599" spans="1:4" x14ac:dyDescent="0.25">
      <c r="A4599" t="s">
        <v>865</v>
      </c>
      <c r="B4599" t="s">
        <v>39</v>
      </c>
      <c r="C4599" s="1">
        <v>46074.379166666666</v>
      </c>
      <c r="D4599" t="s">
        <v>5639</v>
      </c>
    </row>
    <row r="4600" spans="1:4" x14ac:dyDescent="0.25">
      <c r="A4600" t="s">
        <v>897</v>
      </c>
      <c r="B4600" t="s">
        <v>38</v>
      </c>
      <c r="C4600" s="1">
        <v>46078.480555555558</v>
      </c>
      <c r="D4600" t="s">
        <v>5639</v>
      </c>
    </row>
    <row r="4601" spans="1:4" x14ac:dyDescent="0.25">
      <c r="A4601" t="s">
        <v>345</v>
      </c>
      <c r="B4601" t="s">
        <v>38</v>
      </c>
      <c r="C4601" s="1">
        <v>46029.464583333334</v>
      </c>
      <c r="D4601" t="s">
        <v>5640</v>
      </c>
    </row>
    <row r="4602" spans="1:4" x14ac:dyDescent="0.25">
      <c r="A4602" t="s">
        <v>344</v>
      </c>
      <c r="B4602" t="s">
        <v>39</v>
      </c>
      <c r="C4602" s="1">
        <v>46034.690972222219</v>
      </c>
      <c r="D4602" t="s">
        <v>5640</v>
      </c>
    </row>
    <row r="4603" spans="1:4" x14ac:dyDescent="0.25">
      <c r="A4603" t="s">
        <v>343</v>
      </c>
      <c r="B4603" t="s">
        <v>38</v>
      </c>
      <c r="C4603" s="1">
        <v>46050.547222222223</v>
      </c>
      <c r="D4603" t="s">
        <v>5640</v>
      </c>
    </row>
    <row r="4604" spans="1:4" x14ac:dyDescent="0.25">
      <c r="A4604" t="s">
        <v>341</v>
      </c>
      <c r="B4604" t="s">
        <v>38</v>
      </c>
      <c r="C4604" s="1">
        <v>46029.490277777775</v>
      </c>
      <c r="D4604" t="s">
        <v>5640</v>
      </c>
    </row>
    <row r="4605" spans="1:4" x14ac:dyDescent="0.25">
      <c r="A4605" t="s">
        <v>352</v>
      </c>
      <c r="B4605" t="s">
        <v>38</v>
      </c>
      <c r="C4605" s="1">
        <v>46039.673611111109</v>
      </c>
      <c r="D4605" t="s">
        <v>5640</v>
      </c>
    </row>
    <row r="4606" spans="1:4" x14ac:dyDescent="0.25">
      <c r="A4606" t="s">
        <v>364</v>
      </c>
      <c r="B4606" t="s">
        <v>38</v>
      </c>
      <c r="C4606" s="1">
        <v>46029.496527777781</v>
      </c>
      <c r="D4606" t="s">
        <v>5640</v>
      </c>
    </row>
    <row r="4607" spans="1:4" x14ac:dyDescent="0.25">
      <c r="A4607" t="s">
        <v>363</v>
      </c>
      <c r="B4607" t="s">
        <v>38</v>
      </c>
      <c r="C4607" s="1">
        <v>46029.500694444447</v>
      </c>
      <c r="D4607" t="s">
        <v>5640</v>
      </c>
    </row>
    <row r="4608" spans="1:4" x14ac:dyDescent="0.25">
      <c r="A4608" t="s">
        <v>371</v>
      </c>
      <c r="B4608" t="s">
        <v>38</v>
      </c>
      <c r="C4608" s="1">
        <v>46057.541666666664</v>
      </c>
      <c r="D4608" t="s">
        <v>5640</v>
      </c>
    </row>
    <row r="4609" spans="1:4" x14ac:dyDescent="0.25">
      <c r="A4609" t="s">
        <v>1272</v>
      </c>
      <c r="B4609" t="s">
        <v>1239</v>
      </c>
      <c r="C4609" s="1">
        <v>46111.763194444444</v>
      </c>
      <c r="D4609" t="s">
        <v>5640</v>
      </c>
    </row>
    <row r="4610" spans="1:4" x14ac:dyDescent="0.25">
      <c r="A4610" t="s">
        <v>374</v>
      </c>
      <c r="B4610" t="s">
        <v>38</v>
      </c>
      <c r="C4610" s="1">
        <v>46032.595833333333</v>
      </c>
      <c r="D4610" t="s">
        <v>5640</v>
      </c>
    </row>
    <row r="4611" spans="1:4" x14ac:dyDescent="0.25">
      <c r="A4611" t="s">
        <v>1274</v>
      </c>
      <c r="B4611" t="s">
        <v>1239</v>
      </c>
      <c r="C4611" s="1">
        <v>46111.747916666667</v>
      </c>
      <c r="D4611" t="s">
        <v>5640</v>
      </c>
    </row>
    <row r="4612" spans="1:4" x14ac:dyDescent="0.25">
      <c r="A4612" t="s">
        <v>1275</v>
      </c>
      <c r="B4612" t="s">
        <v>1239</v>
      </c>
      <c r="C4612" s="1">
        <v>46111.744444444441</v>
      </c>
      <c r="D4612" t="s">
        <v>5640</v>
      </c>
    </row>
    <row r="4613" spans="1:4" x14ac:dyDescent="0.25">
      <c r="A4613" t="s">
        <v>395</v>
      </c>
      <c r="B4613" t="s">
        <v>38</v>
      </c>
      <c r="C4613" s="1">
        <v>46039.556944444441</v>
      </c>
      <c r="D4613" t="s">
        <v>5640</v>
      </c>
    </row>
    <row r="4614" spans="1:4" x14ac:dyDescent="0.25">
      <c r="A4614" t="s">
        <v>411</v>
      </c>
      <c r="B4614" t="s">
        <v>38</v>
      </c>
      <c r="C4614" s="1">
        <v>46031.534722222219</v>
      </c>
      <c r="D4614" t="s">
        <v>5640</v>
      </c>
    </row>
    <row r="4615" spans="1:4" x14ac:dyDescent="0.25">
      <c r="A4615" t="s">
        <v>408</v>
      </c>
      <c r="B4615" t="s">
        <v>39</v>
      </c>
      <c r="C4615" s="1">
        <v>46042.761111111111</v>
      </c>
      <c r="D4615" t="s">
        <v>5640</v>
      </c>
    </row>
    <row r="4616" spans="1:4" x14ac:dyDescent="0.25">
      <c r="A4616" t="s">
        <v>407</v>
      </c>
      <c r="B4616" t="s">
        <v>38</v>
      </c>
      <c r="C4616" s="1">
        <v>46057.542361111111</v>
      </c>
      <c r="D4616" t="s">
        <v>5640</v>
      </c>
    </row>
    <row r="4617" spans="1:4" x14ac:dyDescent="0.25">
      <c r="A4617" t="s">
        <v>406</v>
      </c>
      <c r="B4617" t="s">
        <v>38</v>
      </c>
      <c r="C4617" s="1">
        <v>46039.700694444444</v>
      </c>
      <c r="D4617" t="s">
        <v>5640</v>
      </c>
    </row>
    <row r="4618" spans="1:4" x14ac:dyDescent="0.25">
      <c r="A4618" t="s">
        <v>403</v>
      </c>
      <c r="B4618" t="s">
        <v>38</v>
      </c>
      <c r="C4618" s="1">
        <v>46039.554166666669</v>
      </c>
      <c r="D4618" t="s">
        <v>5640</v>
      </c>
    </row>
    <row r="4619" spans="1:4" x14ac:dyDescent="0.25">
      <c r="A4619" t="s">
        <v>399</v>
      </c>
      <c r="B4619" t="s">
        <v>38</v>
      </c>
      <c r="C4619" s="1">
        <v>46034.533333333333</v>
      </c>
      <c r="D4619" t="s">
        <v>5640</v>
      </c>
    </row>
    <row r="4620" spans="1:4" x14ac:dyDescent="0.25">
      <c r="A4620" t="s">
        <v>1277</v>
      </c>
      <c r="B4620" t="s">
        <v>1073</v>
      </c>
      <c r="C4620" s="1">
        <v>46111.7</v>
      </c>
      <c r="D4620" t="s">
        <v>5640</v>
      </c>
    </row>
    <row r="4621" spans="1:4" x14ac:dyDescent="0.25">
      <c r="A4621" t="s">
        <v>398</v>
      </c>
      <c r="B4621" t="s">
        <v>39</v>
      </c>
      <c r="C4621" s="1">
        <v>46030.701388888891</v>
      </c>
      <c r="D4621" t="s">
        <v>5640</v>
      </c>
    </row>
    <row r="4622" spans="1:4" x14ac:dyDescent="0.25">
      <c r="A4622" t="s">
        <v>419</v>
      </c>
      <c r="B4622" t="s">
        <v>38</v>
      </c>
      <c r="C4622" s="1">
        <v>46035.566666666666</v>
      </c>
      <c r="D4622" t="s">
        <v>5640</v>
      </c>
    </row>
    <row r="4623" spans="1:4" x14ac:dyDescent="0.25">
      <c r="A4623" t="s">
        <v>417</v>
      </c>
      <c r="B4623" t="s">
        <v>38</v>
      </c>
      <c r="C4623" s="1">
        <v>46039.549305555556</v>
      </c>
      <c r="D4623" t="s">
        <v>5640</v>
      </c>
    </row>
    <row r="4624" spans="1:4" x14ac:dyDescent="0.25">
      <c r="A4624" t="s">
        <v>416</v>
      </c>
      <c r="B4624" t="s">
        <v>38</v>
      </c>
      <c r="C4624" s="1">
        <v>46034.54583333333</v>
      </c>
      <c r="D4624" t="s">
        <v>5640</v>
      </c>
    </row>
    <row r="4625" spans="1:4" x14ac:dyDescent="0.25">
      <c r="A4625" t="s">
        <v>425</v>
      </c>
      <c r="B4625" t="s">
        <v>38</v>
      </c>
      <c r="C4625" s="1">
        <v>46039.684027777781</v>
      </c>
      <c r="D4625" t="s">
        <v>5640</v>
      </c>
    </row>
    <row r="4626" spans="1:4" x14ac:dyDescent="0.25">
      <c r="A4626" t="s">
        <v>427</v>
      </c>
      <c r="B4626" t="s">
        <v>38</v>
      </c>
      <c r="C4626" s="1">
        <v>46049.512499999997</v>
      </c>
      <c r="D4626" t="s">
        <v>5640</v>
      </c>
    </row>
    <row r="4627" spans="1:4" x14ac:dyDescent="0.25">
      <c r="A4627" t="s">
        <v>436</v>
      </c>
      <c r="B4627" t="s">
        <v>38</v>
      </c>
      <c r="C4627" s="1">
        <v>46037.535416666666</v>
      </c>
      <c r="D4627" t="s">
        <v>5640</v>
      </c>
    </row>
    <row r="4628" spans="1:4" x14ac:dyDescent="0.25">
      <c r="A4628" t="s">
        <v>435</v>
      </c>
      <c r="B4628" t="s">
        <v>38</v>
      </c>
      <c r="C4628" s="1">
        <v>46039.546527777777</v>
      </c>
      <c r="D4628" t="s">
        <v>5640</v>
      </c>
    </row>
    <row r="4629" spans="1:4" x14ac:dyDescent="0.25">
      <c r="A4629" t="s">
        <v>445</v>
      </c>
      <c r="B4629" t="s">
        <v>38</v>
      </c>
      <c r="C4629" s="1">
        <v>46039.544444444444</v>
      </c>
      <c r="D4629" t="s">
        <v>5640</v>
      </c>
    </row>
    <row r="4630" spans="1:4" x14ac:dyDescent="0.25">
      <c r="A4630" t="s">
        <v>439</v>
      </c>
      <c r="B4630" t="s">
        <v>38</v>
      </c>
      <c r="C4630" s="1">
        <v>46036.527777777781</v>
      </c>
      <c r="D4630" t="s">
        <v>5640</v>
      </c>
    </row>
    <row r="4631" spans="1:4" x14ac:dyDescent="0.25">
      <c r="A4631" t="s">
        <v>437</v>
      </c>
      <c r="B4631" t="s">
        <v>38</v>
      </c>
      <c r="C4631" s="1">
        <v>46039.70208333333</v>
      </c>
      <c r="D4631" t="s">
        <v>5640</v>
      </c>
    </row>
    <row r="4632" spans="1:4" x14ac:dyDescent="0.25">
      <c r="A4632" t="s">
        <v>457</v>
      </c>
      <c r="B4632" t="s">
        <v>38</v>
      </c>
      <c r="C4632" s="1">
        <v>46039.686805555553</v>
      </c>
      <c r="D4632" t="s">
        <v>5640</v>
      </c>
    </row>
    <row r="4633" spans="1:4" x14ac:dyDescent="0.25">
      <c r="A4633" t="s">
        <v>456</v>
      </c>
      <c r="B4633" t="s">
        <v>39</v>
      </c>
      <c r="C4633" s="1">
        <v>46049.484722222223</v>
      </c>
      <c r="D4633" t="s">
        <v>5640</v>
      </c>
    </row>
    <row r="4634" spans="1:4" x14ac:dyDescent="0.25">
      <c r="A4634" t="s">
        <v>1254</v>
      </c>
      <c r="B4634" t="s">
        <v>1073</v>
      </c>
      <c r="C4634" s="1">
        <v>46111.686805555553</v>
      </c>
      <c r="D4634" t="s">
        <v>5640</v>
      </c>
    </row>
    <row r="4635" spans="1:4" x14ac:dyDescent="0.25">
      <c r="A4635" t="s">
        <v>463</v>
      </c>
      <c r="B4635" t="s">
        <v>38</v>
      </c>
      <c r="C4635" s="1">
        <v>46043.510416666664</v>
      </c>
      <c r="D4635" t="s">
        <v>5640</v>
      </c>
    </row>
    <row r="4636" spans="1:4" x14ac:dyDescent="0.25">
      <c r="A4636" t="s">
        <v>461</v>
      </c>
      <c r="B4636" t="s">
        <v>39</v>
      </c>
      <c r="C4636" s="1">
        <v>46050.427777777775</v>
      </c>
      <c r="D4636" t="s">
        <v>5640</v>
      </c>
    </row>
    <row r="4637" spans="1:4" x14ac:dyDescent="0.25">
      <c r="A4637" t="s">
        <v>466</v>
      </c>
      <c r="B4637" t="s">
        <v>38</v>
      </c>
      <c r="C4637" s="1">
        <v>46042.542361111111</v>
      </c>
      <c r="D4637" t="s">
        <v>5640</v>
      </c>
    </row>
    <row r="4638" spans="1:4" x14ac:dyDescent="0.25">
      <c r="A4638" t="s">
        <v>469</v>
      </c>
      <c r="B4638" t="s">
        <v>38</v>
      </c>
      <c r="C4638" s="1">
        <v>46043.520833333336</v>
      </c>
      <c r="D4638" t="s">
        <v>5640</v>
      </c>
    </row>
    <row r="4639" spans="1:4" x14ac:dyDescent="0.25">
      <c r="A4639" t="s">
        <v>483</v>
      </c>
      <c r="B4639" t="s">
        <v>38</v>
      </c>
      <c r="C4639" s="1">
        <v>46042.570833333331</v>
      </c>
      <c r="D4639" t="s">
        <v>5640</v>
      </c>
    </row>
    <row r="4640" spans="1:4" x14ac:dyDescent="0.25">
      <c r="A4640" t="s">
        <v>476</v>
      </c>
      <c r="B4640" t="s">
        <v>39</v>
      </c>
      <c r="C4640" s="1">
        <v>46041.443749999999</v>
      </c>
      <c r="D4640" t="s">
        <v>5640</v>
      </c>
    </row>
    <row r="4641" spans="1:4" x14ac:dyDescent="0.25">
      <c r="A4641" t="s">
        <v>474</v>
      </c>
      <c r="B4641" t="s">
        <v>38</v>
      </c>
      <c r="C4641" s="1">
        <v>46042.57708333333</v>
      </c>
      <c r="D4641" t="s">
        <v>5640</v>
      </c>
    </row>
    <row r="4642" spans="1:4" x14ac:dyDescent="0.25">
      <c r="A4642" t="s">
        <v>488</v>
      </c>
      <c r="B4642" t="s">
        <v>38</v>
      </c>
      <c r="C4642" s="1">
        <v>46043.660416666666</v>
      </c>
      <c r="D4642" t="s">
        <v>5640</v>
      </c>
    </row>
    <row r="4643" spans="1:4" x14ac:dyDescent="0.25">
      <c r="A4643" t="s">
        <v>471</v>
      </c>
      <c r="B4643" t="s">
        <v>39</v>
      </c>
      <c r="C4643" s="1">
        <v>46049.511111111111</v>
      </c>
      <c r="D4643" t="s">
        <v>5640</v>
      </c>
    </row>
    <row r="4644" spans="1:4" x14ac:dyDescent="0.25">
      <c r="A4644" t="s">
        <v>509</v>
      </c>
      <c r="B4644" t="s">
        <v>38</v>
      </c>
      <c r="C4644" s="1">
        <v>46042.431944444441</v>
      </c>
      <c r="D4644" t="s">
        <v>5640</v>
      </c>
    </row>
    <row r="4645" spans="1:4" x14ac:dyDescent="0.25">
      <c r="A4645" t="s">
        <v>502</v>
      </c>
      <c r="B4645" t="s">
        <v>39</v>
      </c>
      <c r="C4645" s="1">
        <v>46056.526388888888</v>
      </c>
      <c r="D4645" t="s">
        <v>5640</v>
      </c>
    </row>
    <row r="4646" spans="1:4" x14ac:dyDescent="0.25">
      <c r="A4646" t="s">
        <v>496</v>
      </c>
      <c r="B4646" t="s">
        <v>38</v>
      </c>
      <c r="C4646" s="1">
        <v>46044.525000000001</v>
      </c>
      <c r="D4646" t="s">
        <v>5640</v>
      </c>
    </row>
    <row r="4647" spans="1:4" x14ac:dyDescent="0.25">
      <c r="A4647" t="s">
        <v>522</v>
      </c>
      <c r="B4647" t="s">
        <v>38</v>
      </c>
      <c r="C4647" s="1">
        <v>46063.48333333333</v>
      </c>
      <c r="D4647" t="s">
        <v>5640</v>
      </c>
    </row>
    <row r="4648" spans="1:4" x14ac:dyDescent="0.25">
      <c r="A4648" t="s">
        <v>515</v>
      </c>
      <c r="B4648" t="s">
        <v>39</v>
      </c>
      <c r="C4648" s="1">
        <v>46053.486111111109</v>
      </c>
      <c r="D4648" t="s">
        <v>5640</v>
      </c>
    </row>
    <row r="4649" spans="1:4" x14ac:dyDescent="0.25">
      <c r="A4649" t="s">
        <v>541</v>
      </c>
      <c r="B4649" t="s">
        <v>38</v>
      </c>
      <c r="C4649" s="1">
        <v>46044.532638888886</v>
      </c>
      <c r="D4649" t="s">
        <v>5640</v>
      </c>
    </row>
    <row r="4650" spans="1:4" x14ac:dyDescent="0.25">
      <c r="A4650" t="s">
        <v>538</v>
      </c>
      <c r="B4650" t="s">
        <v>38</v>
      </c>
      <c r="C4650" s="1">
        <v>46093.77847222222</v>
      </c>
      <c r="D4650" t="s">
        <v>5640</v>
      </c>
    </row>
    <row r="4651" spans="1:4" x14ac:dyDescent="0.25">
      <c r="A4651" t="s">
        <v>534</v>
      </c>
      <c r="B4651" t="s">
        <v>38</v>
      </c>
      <c r="C4651" s="1">
        <v>46049.486111111109</v>
      </c>
      <c r="D4651" t="s">
        <v>5640</v>
      </c>
    </row>
    <row r="4652" spans="1:4" x14ac:dyDescent="0.25">
      <c r="A4652" t="s">
        <v>533</v>
      </c>
      <c r="B4652" t="s">
        <v>38</v>
      </c>
      <c r="C4652" s="1">
        <v>46046.622916666667</v>
      </c>
      <c r="D4652" t="s">
        <v>5640</v>
      </c>
    </row>
    <row r="4653" spans="1:4" x14ac:dyDescent="0.25">
      <c r="A4653" t="s">
        <v>532</v>
      </c>
      <c r="B4653" t="s">
        <v>38</v>
      </c>
      <c r="C4653" s="1">
        <v>46046.611805555556</v>
      </c>
      <c r="D4653" t="s">
        <v>5640</v>
      </c>
    </row>
    <row r="4654" spans="1:4" x14ac:dyDescent="0.25">
      <c r="A4654" t="s">
        <v>554</v>
      </c>
      <c r="B4654" t="s">
        <v>38</v>
      </c>
      <c r="C4654" s="1">
        <v>46049.569444444445</v>
      </c>
      <c r="D4654" t="s">
        <v>5640</v>
      </c>
    </row>
    <row r="4655" spans="1:4" x14ac:dyDescent="0.25">
      <c r="A4655" t="s">
        <v>556</v>
      </c>
      <c r="B4655" t="s">
        <v>38</v>
      </c>
      <c r="C4655" s="1">
        <v>46049.698611111111</v>
      </c>
      <c r="D4655" t="s">
        <v>5640</v>
      </c>
    </row>
    <row r="4656" spans="1:4" x14ac:dyDescent="0.25">
      <c r="A4656" t="s">
        <v>1247</v>
      </c>
      <c r="B4656" t="s">
        <v>30</v>
      </c>
      <c r="C4656" s="1">
        <v>46109.767361111109</v>
      </c>
      <c r="D4656" t="s">
        <v>5640</v>
      </c>
    </row>
    <row r="4657" spans="1:4" x14ac:dyDescent="0.25">
      <c r="A4657" t="s">
        <v>580</v>
      </c>
      <c r="B4657" t="s">
        <v>38</v>
      </c>
      <c r="C4657" s="1">
        <v>46051.504861111112</v>
      </c>
      <c r="D4657" t="s">
        <v>5640</v>
      </c>
    </row>
    <row r="4658" spans="1:4" x14ac:dyDescent="0.25">
      <c r="A4658" t="s">
        <v>579</v>
      </c>
      <c r="B4658" t="s">
        <v>39</v>
      </c>
      <c r="C4658" s="1">
        <v>46093.663194444445</v>
      </c>
      <c r="D4658" t="s">
        <v>5640</v>
      </c>
    </row>
    <row r="4659" spans="1:4" x14ac:dyDescent="0.25">
      <c r="A4659" t="s">
        <v>573</v>
      </c>
      <c r="B4659" t="s">
        <v>38</v>
      </c>
      <c r="C4659" s="1">
        <v>46052.675694444442</v>
      </c>
      <c r="D4659" t="s">
        <v>5640</v>
      </c>
    </row>
    <row r="4660" spans="1:4" x14ac:dyDescent="0.25">
      <c r="A4660" t="s">
        <v>572</v>
      </c>
      <c r="B4660" t="s">
        <v>38</v>
      </c>
      <c r="C4660" s="1">
        <v>46050.546527777777</v>
      </c>
      <c r="D4660" t="s">
        <v>5640</v>
      </c>
    </row>
    <row r="4661" spans="1:4" x14ac:dyDescent="0.25">
      <c r="A4661" t="s">
        <v>594</v>
      </c>
      <c r="B4661" t="s">
        <v>38</v>
      </c>
      <c r="C4661" s="1">
        <v>46050.458333333336</v>
      </c>
      <c r="D4661" t="s">
        <v>5640</v>
      </c>
    </row>
    <row r="4662" spans="1:4" x14ac:dyDescent="0.25">
      <c r="A4662" t="s">
        <v>597</v>
      </c>
      <c r="B4662" t="s">
        <v>38</v>
      </c>
      <c r="C4662" s="1">
        <v>46058.856249999997</v>
      </c>
      <c r="D4662" t="s">
        <v>5640</v>
      </c>
    </row>
    <row r="4663" spans="1:4" x14ac:dyDescent="0.25">
      <c r="A4663" t="s">
        <v>613</v>
      </c>
      <c r="B4663" t="s">
        <v>39</v>
      </c>
      <c r="C4663" s="1">
        <v>46093.659722222219</v>
      </c>
      <c r="D4663" t="s">
        <v>5640</v>
      </c>
    </row>
    <row r="4664" spans="1:4" x14ac:dyDescent="0.25">
      <c r="A4664" t="s">
        <v>612</v>
      </c>
      <c r="B4664" t="s">
        <v>38</v>
      </c>
      <c r="C4664" s="1">
        <v>46077.473611111112</v>
      </c>
      <c r="D4664" t="s">
        <v>5640</v>
      </c>
    </row>
    <row r="4665" spans="1:4" x14ac:dyDescent="0.25">
      <c r="A4665" t="s">
        <v>611</v>
      </c>
      <c r="B4665" t="s">
        <v>38</v>
      </c>
      <c r="C4665" s="1">
        <v>46066.530555555553</v>
      </c>
      <c r="D4665" t="s">
        <v>5640</v>
      </c>
    </row>
    <row r="4666" spans="1:4" x14ac:dyDescent="0.25">
      <c r="A4666" t="s">
        <v>610</v>
      </c>
      <c r="B4666" t="s">
        <v>39</v>
      </c>
      <c r="C4666" s="1">
        <v>46093.658333333333</v>
      </c>
      <c r="D4666" t="s">
        <v>5640</v>
      </c>
    </row>
    <row r="4667" spans="1:4" x14ac:dyDescent="0.25">
      <c r="A4667" t="s">
        <v>602</v>
      </c>
      <c r="B4667" t="s">
        <v>38</v>
      </c>
      <c r="C4667" s="1">
        <v>46052.543749999997</v>
      </c>
      <c r="D4667" t="s">
        <v>5640</v>
      </c>
    </row>
    <row r="4668" spans="1:4" x14ac:dyDescent="0.25">
      <c r="A4668" t="s">
        <v>601</v>
      </c>
      <c r="B4668" t="s">
        <v>39</v>
      </c>
      <c r="C4668" s="1">
        <v>46093.656944444447</v>
      </c>
      <c r="D4668" t="s">
        <v>5640</v>
      </c>
    </row>
    <row r="4669" spans="1:4" x14ac:dyDescent="0.25">
      <c r="A4669" t="s">
        <v>621</v>
      </c>
      <c r="B4669" t="s">
        <v>38</v>
      </c>
      <c r="C4669" s="1">
        <v>46053.697916666664</v>
      </c>
      <c r="D4669" t="s">
        <v>5640</v>
      </c>
    </row>
    <row r="4670" spans="1:4" x14ac:dyDescent="0.25">
      <c r="A4670" t="s">
        <v>618</v>
      </c>
      <c r="B4670" t="s">
        <v>38</v>
      </c>
      <c r="C4670" s="1">
        <v>46052.550694444442</v>
      </c>
      <c r="D4670" t="s">
        <v>5640</v>
      </c>
    </row>
    <row r="4671" spans="1:4" x14ac:dyDescent="0.25">
      <c r="A4671" t="s">
        <v>629</v>
      </c>
      <c r="B4671" t="s">
        <v>38</v>
      </c>
      <c r="C4671" s="1">
        <v>46053.702777777777</v>
      </c>
      <c r="D4671" t="s">
        <v>5640</v>
      </c>
    </row>
    <row r="4672" spans="1:4" x14ac:dyDescent="0.25">
      <c r="A4672" t="s">
        <v>627</v>
      </c>
      <c r="B4672" t="s">
        <v>38</v>
      </c>
      <c r="C4672" s="1">
        <v>46057.511805555558</v>
      </c>
      <c r="D4672" t="s">
        <v>5640</v>
      </c>
    </row>
    <row r="4673" spans="1:4" x14ac:dyDescent="0.25">
      <c r="A4673" t="s">
        <v>626</v>
      </c>
      <c r="B4673" t="s">
        <v>39</v>
      </c>
      <c r="C4673" s="1">
        <v>46093.654861111114</v>
      </c>
      <c r="D4673" t="s">
        <v>5640</v>
      </c>
    </row>
    <row r="4674" spans="1:4" x14ac:dyDescent="0.25">
      <c r="A4674" t="s">
        <v>624</v>
      </c>
      <c r="B4674" t="s">
        <v>39</v>
      </c>
      <c r="C4674" s="1">
        <v>46093.654166666667</v>
      </c>
      <c r="D4674" t="s">
        <v>5640</v>
      </c>
    </row>
    <row r="4675" spans="1:4" x14ac:dyDescent="0.25">
      <c r="A4675" t="s">
        <v>664</v>
      </c>
      <c r="B4675" t="s">
        <v>38</v>
      </c>
      <c r="C4675" s="1">
        <v>46089.900694444441</v>
      </c>
      <c r="D4675" t="s">
        <v>5640</v>
      </c>
    </row>
    <row r="4676" spans="1:4" x14ac:dyDescent="0.25">
      <c r="A4676" t="s">
        <v>653</v>
      </c>
      <c r="B4676" t="s">
        <v>38</v>
      </c>
      <c r="C4676" s="1">
        <v>46057.538194444445</v>
      </c>
      <c r="D4676" t="s">
        <v>5640</v>
      </c>
    </row>
    <row r="4677" spans="1:4" x14ac:dyDescent="0.25">
      <c r="A4677" t="s">
        <v>1228</v>
      </c>
      <c r="B4677" t="s">
        <v>30</v>
      </c>
      <c r="C4677" s="1">
        <v>46109.768055555556</v>
      </c>
      <c r="D4677" t="s">
        <v>5640</v>
      </c>
    </row>
    <row r="4678" spans="1:4" x14ac:dyDescent="0.25">
      <c r="A4678" t="s">
        <v>1231</v>
      </c>
      <c r="B4678" t="s">
        <v>1129</v>
      </c>
      <c r="C4678" s="1">
        <v>46111.579861111109</v>
      </c>
      <c r="D4678" t="s">
        <v>5640</v>
      </c>
    </row>
    <row r="4679" spans="1:4" x14ac:dyDescent="0.25">
      <c r="A4679" t="s">
        <v>1232</v>
      </c>
      <c r="B4679" t="s">
        <v>30</v>
      </c>
      <c r="C4679" s="1">
        <v>46109.768750000003</v>
      </c>
      <c r="D4679" t="s">
        <v>5640</v>
      </c>
    </row>
    <row r="4680" spans="1:4" x14ac:dyDescent="0.25">
      <c r="A4680" t="s">
        <v>1233</v>
      </c>
      <c r="B4680" t="s">
        <v>35</v>
      </c>
      <c r="C4680" s="1">
        <v>46109.770138888889</v>
      </c>
      <c r="D4680" t="s">
        <v>5640</v>
      </c>
    </row>
    <row r="4681" spans="1:4" x14ac:dyDescent="0.25">
      <c r="A4681" t="s">
        <v>646</v>
      </c>
      <c r="B4681" t="s">
        <v>38</v>
      </c>
      <c r="C4681" s="1">
        <v>46058.722916666666</v>
      </c>
      <c r="D4681" t="s">
        <v>5640</v>
      </c>
    </row>
    <row r="4682" spans="1:4" x14ac:dyDescent="0.25">
      <c r="A4682" t="s">
        <v>645</v>
      </c>
      <c r="B4682" t="s">
        <v>38</v>
      </c>
      <c r="C4682" s="1">
        <v>46057.543055555558</v>
      </c>
      <c r="D4682" t="s">
        <v>5640</v>
      </c>
    </row>
    <row r="4683" spans="1:4" x14ac:dyDescent="0.25">
      <c r="A4683" t="s">
        <v>1234</v>
      </c>
      <c r="B4683" t="s">
        <v>30</v>
      </c>
      <c r="C4683" s="1">
        <v>46109.770833333336</v>
      </c>
      <c r="D4683" t="s">
        <v>5640</v>
      </c>
    </row>
    <row r="4684" spans="1:4" x14ac:dyDescent="0.25">
      <c r="A4684" t="s">
        <v>1235</v>
      </c>
      <c r="B4684" t="s">
        <v>30</v>
      </c>
      <c r="C4684" s="1">
        <v>46109.771527777775</v>
      </c>
      <c r="D4684" t="s">
        <v>5640</v>
      </c>
    </row>
    <row r="4685" spans="1:4" x14ac:dyDescent="0.25">
      <c r="A4685" t="s">
        <v>640</v>
      </c>
      <c r="B4685" t="s">
        <v>38</v>
      </c>
      <c r="C4685" s="1">
        <v>46057.547222222223</v>
      </c>
      <c r="D4685" t="s">
        <v>5640</v>
      </c>
    </row>
    <row r="4686" spans="1:4" x14ac:dyDescent="0.25">
      <c r="A4686" t="s">
        <v>684</v>
      </c>
      <c r="B4686" t="s">
        <v>38</v>
      </c>
      <c r="C4686" s="1">
        <v>46058.71875</v>
      </c>
      <c r="D4686" t="s">
        <v>5640</v>
      </c>
    </row>
    <row r="4687" spans="1:4" x14ac:dyDescent="0.25">
      <c r="A4687" t="s">
        <v>680</v>
      </c>
      <c r="B4687" t="s">
        <v>38</v>
      </c>
      <c r="C4687" s="1">
        <v>46060.477777777778</v>
      </c>
      <c r="D4687" t="s">
        <v>5640</v>
      </c>
    </row>
    <row r="4688" spans="1:4" x14ac:dyDescent="0.25">
      <c r="A4688" t="s">
        <v>679</v>
      </c>
      <c r="B4688" t="s">
        <v>38</v>
      </c>
      <c r="C4688" s="1">
        <v>46058.681250000001</v>
      </c>
      <c r="D4688" t="s">
        <v>5640</v>
      </c>
    </row>
    <row r="4689" spans="1:4" x14ac:dyDescent="0.25">
      <c r="A4689" t="s">
        <v>678</v>
      </c>
      <c r="B4689" t="s">
        <v>38</v>
      </c>
      <c r="C4689" s="1">
        <v>46059.739583333336</v>
      </c>
      <c r="D4689" t="s">
        <v>5640</v>
      </c>
    </row>
    <row r="4690" spans="1:4" x14ac:dyDescent="0.25">
      <c r="A4690" t="s">
        <v>1236</v>
      </c>
      <c r="B4690" t="s">
        <v>1073</v>
      </c>
      <c r="C4690" s="1">
        <v>46107.880555555559</v>
      </c>
      <c r="D4690" t="s">
        <v>5640</v>
      </c>
    </row>
    <row r="4691" spans="1:4" x14ac:dyDescent="0.25">
      <c r="A4691" t="s">
        <v>669</v>
      </c>
      <c r="B4691" t="s">
        <v>38</v>
      </c>
      <c r="C4691" s="1">
        <v>46107.480555555558</v>
      </c>
      <c r="D4691" t="s">
        <v>5640</v>
      </c>
    </row>
    <row r="4692" spans="1:4" x14ac:dyDescent="0.25">
      <c r="A4692" t="s">
        <v>699</v>
      </c>
      <c r="B4692" t="s">
        <v>38</v>
      </c>
      <c r="C4692" s="1">
        <v>46057.560416666667</v>
      </c>
      <c r="D4692" t="s">
        <v>5640</v>
      </c>
    </row>
    <row r="4693" spans="1:4" x14ac:dyDescent="0.25">
      <c r="A4693" t="s">
        <v>697</v>
      </c>
      <c r="B4693" t="s">
        <v>38</v>
      </c>
      <c r="C4693" s="1">
        <v>46059.805555555555</v>
      </c>
      <c r="D4693" t="s">
        <v>5640</v>
      </c>
    </row>
    <row r="4694" spans="1:4" x14ac:dyDescent="0.25">
      <c r="A4694" t="s">
        <v>695</v>
      </c>
      <c r="B4694" t="s">
        <v>38</v>
      </c>
      <c r="C4694" s="1">
        <v>46058.772222222222</v>
      </c>
      <c r="D4694" t="s">
        <v>5640</v>
      </c>
    </row>
    <row r="4695" spans="1:4" x14ac:dyDescent="0.25">
      <c r="A4695" t="s">
        <v>694</v>
      </c>
      <c r="B4695" t="s">
        <v>38</v>
      </c>
      <c r="C4695" s="1">
        <v>46058.708333333336</v>
      </c>
      <c r="D4695" t="s">
        <v>5640</v>
      </c>
    </row>
    <row r="4696" spans="1:4" x14ac:dyDescent="0.25">
      <c r="A4696" t="s">
        <v>693</v>
      </c>
      <c r="B4696" t="s">
        <v>38</v>
      </c>
      <c r="C4696" s="1">
        <v>46058.712500000001</v>
      </c>
      <c r="D4696" t="s">
        <v>5640</v>
      </c>
    </row>
    <row r="4697" spans="1:4" x14ac:dyDescent="0.25">
      <c r="A4697" t="s">
        <v>721</v>
      </c>
      <c r="B4697" t="s">
        <v>39</v>
      </c>
      <c r="C4697" s="1">
        <v>46093.648611111108</v>
      </c>
      <c r="D4697" t="s">
        <v>5640</v>
      </c>
    </row>
    <row r="4698" spans="1:4" x14ac:dyDescent="0.25">
      <c r="A4698" t="s">
        <v>717</v>
      </c>
      <c r="B4698" t="s">
        <v>38</v>
      </c>
      <c r="C4698" s="1">
        <v>46059.8125</v>
      </c>
      <c r="D4698" t="s">
        <v>5640</v>
      </c>
    </row>
    <row r="4699" spans="1:4" x14ac:dyDescent="0.25">
      <c r="A4699" t="s">
        <v>716</v>
      </c>
      <c r="B4699" t="s">
        <v>38</v>
      </c>
      <c r="C4699" s="1">
        <v>46060.53402777778</v>
      </c>
      <c r="D4699" t="s">
        <v>5640</v>
      </c>
    </row>
    <row r="4700" spans="1:4" x14ac:dyDescent="0.25">
      <c r="A4700" t="s">
        <v>714</v>
      </c>
      <c r="B4700" t="s">
        <v>38</v>
      </c>
      <c r="C4700" s="1">
        <v>46060.557638888888</v>
      </c>
      <c r="D4700" t="s">
        <v>5640</v>
      </c>
    </row>
    <row r="4701" spans="1:4" x14ac:dyDescent="0.25">
      <c r="A4701" t="s">
        <v>710</v>
      </c>
      <c r="B4701" t="s">
        <v>39</v>
      </c>
      <c r="C4701" s="1">
        <v>46093.645833333336</v>
      </c>
      <c r="D4701" t="s">
        <v>5640</v>
      </c>
    </row>
    <row r="4702" spans="1:4" x14ac:dyDescent="0.25">
      <c r="A4702" t="s">
        <v>734</v>
      </c>
      <c r="B4702" t="s">
        <v>39</v>
      </c>
      <c r="C4702" s="1">
        <v>46093.640277777777</v>
      </c>
      <c r="D4702" t="s">
        <v>5640</v>
      </c>
    </row>
    <row r="4703" spans="1:4" x14ac:dyDescent="0.25">
      <c r="A4703" t="s">
        <v>732</v>
      </c>
      <c r="B4703" t="s">
        <v>38</v>
      </c>
      <c r="C4703" s="1">
        <v>46065.663888888892</v>
      </c>
      <c r="D4703" t="s">
        <v>5640</v>
      </c>
    </row>
    <row r="4704" spans="1:4" x14ac:dyDescent="0.25">
      <c r="A4704" t="s">
        <v>731</v>
      </c>
      <c r="B4704" t="s">
        <v>38</v>
      </c>
      <c r="C4704" s="1">
        <v>46093.63958333333</v>
      </c>
      <c r="D4704" t="s">
        <v>5640</v>
      </c>
    </row>
    <row r="4705" spans="1:4" x14ac:dyDescent="0.25">
      <c r="A4705" t="s">
        <v>728</v>
      </c>
      <c r="B4705" t="s">
        <v>39</v>
      </c>
      <c r="C4705" s="1">
        <v>46058.772222222222</v>
      </c>
      <c r="D4705" t="s">
        <v>5640</v>
      </c>
    </row>
    <row r="4706" spans="1:4" x14ac:dyDescent="0.25">
      <c r="A4706" t="s">
        <v>727</v>
      </c>
      <c r="B4706" t="s">
        <v>38</v>
      </c>
      <c r="C4706" s="1">
        <v>46064.509722222225</v>
      </c>
      <c r="D4706" t="s">
        <v>5640</v>
      </c>
    </row>
    <row r="4707" spans="1:4" x14ac:dyDescent="0.25">
      <c r="A4707" t="s">
        <v>739</v>
      </c>
      <c r="B4707" t="s">
        <v>38</v>
      </c>
      <c r="C4707" s="1">
        <v>46093.636805555558</v>
      </c>
      <c r="D4707" t="s">
        <v>5640</v>
      </c>
    </row>
    <row r="4708" spans="1:4" x14ac:dyDescent="0.25">
      <c r="A4708" t="s">
        <v>738</v>
      </c>
      <c r="B4708" t="s">
        <v>39</v>
      </c>
      <c r="C4708" s="1">
        <v>46093.633333333331</v>
      </c>
      <c r="D4708" t="s">
        <v>5640</v>
      </c>
    </row>
    <row r="4709" spans="1:4" x14ac:dyDescent="0.25">
      <c r="A4709" t="s">
        <v>741</v>
      </c>
      <c r="B4709" t="s">
        <v>38</v>
      </c>
      <c r="C4709" s="1">
        <v>46062.513888888891</v>
      </c>
      <c r="D4709" t="s">
        <v>5640</v>
      </c>
    </row>
    <row r="4710" spans="1:4" x14ac:dyDescent="0.25">
      <c r="A4710" t="s">
        <v>747</v>
      </c>
      <c r="B4710" t="s">
        <v>38</v>
      </c>
      <c r="C4710" s="1">
        <v>46062.705555555556</v>
      </c>
      <c r="D4710" t="s">
        <v>5640</v>
      </c>
    </row>
    <row r="4711" spans="1:4" x14ac:dyDescent="0.25">
      <c r="A4711" t="s">
        <v>753</v>
      </c>
      <c r="B4711" t="s">
        <v>38</v>
      </c>
      <c r="C4711" s="1">
        <v>46062.518055555556</v>
      </c>
      <c r="D4711" t="s">
        <v>5640</v>
      </c>
    </row>
    <row r="4712" spans="1:4" x14ac:dyDescent="0.25">
      <c r="A4712" t="s">
        <v>756</v>
      </c>
      <c r="B4712" t="s">
        <v>38</v>
      </c>
      <c r="C4712" s="1">
        <v>46064.513888888891</v>
      </c>
      <c r="D4712" t="s">
        <v>5640</v>
      </c>
    </row>
    <row r="4713" spans="1:4" x14ac:dyDescent="0.25">
      <c r="A4713" t="s">
        <v>757</v>
      </c>
      <c r="B4713" t="s">
        <v>38</v>
      </c>
      <c r="C4713" s="1">
        <v>46064.604861111111</v>
      </c>
      <c r="D4713" t="s">
        <v>5640</v>
      </c>
    </row>
    <row r="4714" spans="1:4" x14ac:dyDescent="0.25">
      <c r="A4714" t="s">
        <v>762</v>
      </c>
      <c r="B4714" t="s">
        <v>38</v>
      </c>
      <c r="C4714" s="1">
        <v>46062.709027777775</v>
      </c>
      <c r="D4714" t="s">
        <v>5640</v>
      </c>
    </row>
    <row r="4715" spans="1:4" x14ac:dyDescent="0.25">
      <c r="A4715" t="s">
        <v>761</v>
      </c>
      <c r="B4715" t="s">
        <v>38</v>
      </c>
      <c r="C4715" s="1">
        <v>46063.55</v>
      </c>
      <c r="D4715" t="s">
        <v>5640</v>
      </c>
    </row>
    <row r="4716" spans="1:4" x14ac:dyDescent="0.25">
      <c r="A4716" t="s">
        <v>760</v>
      </c>
      <c r="B4716" t="s">
        <v>38</v>
      </c>
      <c r="C4716" s="1">
        <v>46063.578472222223</v>
      </c>
      <c r="D4716" t="s">
        <v>5640</v>
      </c>
    </row>
    <row r="4717" spans="1:4" x14ac:dyDescent="0.25">
      <c r="A4717" t="s">
        <v>758</v>
      </c>
      <c r="B4717" t="s">
        <v>38</v>
      </c>
      <c r="C4717" s="1">
        <v>46062.713194444441</v>
      </c>
      <c r="D4717" t="s">
        <v>5640</v>
      </c>
    </row>
    <row r="4718" spans="1:4" x14ac:dyDescent="0.25">
      <c r="A4718" t="s">
        <v>764</v>
      </c>
      <c r="B4718" t="s">
        <v>38</v>
      </c>
      <c r="C4718" s="1">
        <v>46063.617361111108</v>
      </c>
      <c r="D4718" t="s">
        <v>5640</v>
      </c>
    </row>
    <row r="4719" spans="1:4" x14ac:dyDescent="0.25">
      <c r="A4719" t="s">
        <v>776</v>
      </c>
      <c r="B4719" t="s">
        <v>39</v>
      </c>
      <c r="C4719" s="1">
        <v>46093.622916666667</v>
      </c>
      <c r="D4719" t="s">
        <v>5640</v>
      </c>
    </row>
    <row r="4720" spans="1:4" x14ac:dyDescent="0.25">
      <c r="A4720" t="s">
        <v>775</v>
      </c>
      <c r="B4720" t="s">
        <v>38</v>
      </c>
      <c r="C4720" s="1">
        <v>46107.480555555558</v>
      </c>
      <c r="D4720" t="s">
        <v>5640</v>
      </c>
    </row>
    <row r="4721" spans="1:4" x14ac:dyDescent="0.25">
      <c r="A4721" t="s">
        <v>778</v>
      </c>
      <c r="B4721" t="s">
        <v>38</v>
      </c>
      <c r="C4721" s="1">
        <v>46067.535416666666</v>
      </c>
      <c r="D4721" t="s">
        <v>5640</v>
      </c>
    </row>
    <row r="4722" spans="1:4" x14ac:dyDescent="0.25">
      <c r="A4722" t="s">
        <v>825</v>
      </c>
      <c r="B4722" t="s">
        <v>38</v>
      </c>
      <c r="C4722" s="1">
        <v>46066.728472222225</v>
      </c>
      <c r="D4722" t="s">
        <v>5640</v>
      </c>
    </row>
    <row r="4723" spans="1:4" x14ac:dyDescent="0.25">
      <c r="A4723" t="s">
        <v>824</v>
      </c>
      <c r="B4723" t="s">
        <v>38</v>
      </c>
      <c r="C4723" s="1">
        <v>46067.550694444442</v>
      </c>
      <c r="D4723" t="s">
        <v>5640</v>
      </c>
    </row>
    <row r="4724" spans="1:4" x14ac:dyDescent="0.25">
      <c r="A4724" t="s">
        <v>822</v>
      </c>
      <c r="B4724" t="s">
        <v>39</v>
      </c>
      <c r="C4724" s="1">
        <v>46093.619444444441</v>
      </c>
      <c r="D4724" t="s">
        <v>5640</v>
      </c>
    </row>
    <row r="4725" spans="1:4" x14ac:dyDescent="0.25">
      <c r="A4725" t="s">
        <v>820</v>
      </c>
      <c r="B4725" t="s">
        <v>38</v>
      </c>
      <c r="C4725" s="1">
        <v>46069.749305555553</v>
      </c>
      <c r="D4725" t="s">
        <v>5640</v>
      </c>
    </row>
    <row r="4726" spans="1:4" x14ac:dyDescent="0.25">
      <c r="A4726" t="s">
        <v>818</v>
      </c>
      <c r="B4726" t="s">
        <v>39</v>
      </c>
      <c r="C4726" s="1">
        <v>46093.618750000001</v>
      </c>
      <c r="D4726" t="s">
        <v>5640</v>
      </c>
    </row>
    <row r="4727" spans="1:4" x14ac:dyDescent="0.25">
      <c r="A4727" t="s">
        <v>817</v>
      </c>
      <c r="B4727" t="s">
        <v>39</v>
      </c>
      <c r="C4727" s="1">
        <v>46093.617361111108</v>
      </c>
      <c r="D4727" t="s">
        <v>5640</v>
      </c>
    </row>
    <row r="4728" spans="1:4" x14ac:dyDescent="0.25">
      <c r="A4728" t="s">
        <v>816</v>
      </c>
      <c r="B4728" t="s">
        <v>39</v>
      </c>
      <c r="C4728" s="1">
        <v>46093.617361111108</v>
      </c>
      <c r="D4728" t="s">
        <v>5640</v>
      </c>
    </row>
    <row r="4729" spans="1:4" x14ac:dyDescent="0.25">
      <c r="A4729" t="s">
        <v>803</v>
      </c>
      <c r="B4729" t="s">
        <v>38</v>
      </c>
      <c r="C4729" s="1">
        <v>46076.668055555558</v>
      </c>
      <c r="D4729" t="s">
        <v>5640</v>
      </c>
    </row>
    <row r="4730" spans="1:4" x14ac:dyDescent="0.25">
      <c r="A4730" t="s">
        <v>1215</v>
      </c>
      <c r="B4730" t="s">
        <v>35</v>
      </c>
      <c r="C4730" s="1">
        <v>46108.815972222219</v>
      </c>
      <c r="D4730" t="s">
        <v>5640</v>
      </c>
    </row>
    <row r="4731" spans="1:4" x14ac:dyDescent="0.25">
      <c r="A4731" t="s">
        <v>802</v>
      </c>
      <c r="B4731" t="s">
        <v>38</v>
      </c>
      <c r="C4731" s="1">
        <v>46069.500694444447</v>
      </c>
      <c r="D4731" t="s">
        <v>5640</v>
      </c>
    </row>
    <row r="4732" spans="1:4" x14ac:dyDescent="0.25">
      <c r="A4732" t="s">
        <v>801</v>
      </c>
      <c r="B4732" t="s">
        <v>38</v>
      </c>
      <c r="C4732" s="1">
        <v>46071.572916666664</v>
      </c>
      <c r="D4732" t="s">
        <v>5640</v>
      </c>
    </row>
    <row r="4733" spans="1:4" x14ac:dyDescent="0.25">
      <c r="A4733" t="s">
        <v>800</v>
      </c>
      <c r="B4733" t="s">
        <v>38</v>
      </c>
      <c r="C4733" s="1">
        <v>46070.453472222223</v>
      </c>
      <c r="D4733" t="s">
        <v>5640</v>
      </c>
    </row>
    <row r="4734" spans="1:4" x14ac:dyDescent="0.25">
      <c r="A4734" t="s">
        <v>799</v>
      </c>
      <c r="B4734" t="s">
        <v>38</v>
      </c>
      <c r="C4734" s="1">
        <v>46069.572222222225</v>
      </c>
      <c r="D4734" t="s">
        <v>5640</v>
      </c>
    </row>
    <row r="4735" spans="1:4" x14ac:dyDescent="0.25">
      <c r="A4735" t="s">
        <v>789</v>
      </c>
      <c r="B4735" t="s">
        <v>38</v>
      </c>
      <c r="C4735" s="1">
        <v>46067.580555555556</v>
      </c>
      <c r="D4735" t="s">
        <v>5640</v>
      </c>
    </row>
    <row r="4736" spans="1:4" x14ac:dyDescent="0.25">
      <c r="A4736" t="s">
        <v>788</v>
      </c>
      <c r="B4736" t="s">
        <v>38</v>
      </c>
      <c r="C4736" s="1">
        <v>46067.572222222225</v>
      </c>
      <c r="D4736" t="s">
        <v>5640</v>
      </c>
    </row>
    <row r="4737" spans="1:4" x14ac:dyDescent="0.25">
      <c r="A4737" t="s">
        <v>1217</v>
      </c>
      <c r="B4737" t="s">
        <v>35</v>
      </c>
      <c r="C4737" s="1">
        <v>46108.82708333333</v>
      </c>
      <c r="D4737" t="s">
        <v>5640</v>
      </c>
    </row>
    <row r="4738" spans="1:4" x14ac:dyDescent="0.25">
      <c r="A4738" t="s">
        <v>842</v>
      </c>
      <c r="B4738" t="s">
        <v>38</v>
      </c>
      <c r="C4738" s="1">
        <v>46070.457638888889</v>
      </c>
      <c r="D4738" t="s">
        <v>5640</v>
      </c>
    </row>
    <row r="4739" spans="1:4" x14ac:dyDescent="0.25">
      <c r="A4739" t="s">
        <v>1219</v>
      </c>
      <c r="B4739" t="s">
        <v>35</v>
      </c>
      <c r="C4739" s="1">
        <v>46108.818749999999</v>
      </c>
      <c r="D4739" t="s">
        <v>5640</v>
      </c>
    </row>
    <row r="4740" spans="1:4" x14ac:dyDescent="0.25">
      <c r="A4740" t="s">
        <v>834</v>
      </c>
      <c r="B4740" t="s">
        <v>38</v>
      </c>
      <c r="C4740" s="1">
        <v>46076.458333333336</v>
      </c>
      <c r="D4740" t="s">
        <v>5640</v>
      </c>
    </row>
    <row r="4741" spans="1:4" x14ac:dyDescent="0.25">
      <c r="A4741" t="s">
        <v>833</v>
      </c>
      <c r="B4741" t="s">
        <v>38</v>
      </c>
      <c r="C4741" s="1">
        <v>46071.509722222225</v>
      </c>
      <c r="D4741" t="s">
        <v>5640</v>
      </c>
    </row>
    <row r="4742" spans="1:4" x14ac:dyDescent="0.25">
      <c r="A4742" t="s">
        <v>832</v>
      </c>
      <c r="B4742" t="s">
        <v>38</v>
      </c>
      <c r="C4742" s="1">
        <v>46074.498611111114</v>
      </c>
      <c r="D4742" t="s">
        <v>5640</v>
      </c>
    </row>
    <row r="4743" spans="1:4" x14ac:dyDescent="0.25">
      <c r="A4743" t="s">
        <v>831</v>
      </c>
      <c r="B4743" t="s">
        <v>38</v>
      </c>
      <c r="C4743" s="1">
        <v>46076.672222222223</v>
      </c>
      <c r="D4743" t="s">
        <v>5640</v>
      </c>
    </row>
    <row r="4744" spans="1:4" x14ac:dyDescent="0.25">
      <c r="A4744" t="s">
        <v>872</v>
      </c>
      <c r="B4744" t="s">
        <v>38</v>
      </c>
      <c r="C4744" s="1">
        <v>46071.581944444442</v>
      </c>
      <c r="D4744" t="s">
        <v>5640</v>
      </c>
    </row>
    <row r="4745" spans="1:4" x14ac:dyDescent="0.25">
      <c r="A4745" t="s">
        <v>871</v>
      </c>
      <c r="B4745" t="s">
        <v>38</v>
      </c>
      <c r="C4745" s="1">
        <v>46076.470138888886</v>
      </c>
      <c r="D4745" t="s">
        <v>5640</v>
      </c>
    </row>
    <row r="4746" spans="1:4" x14ac:dyDescent="0.25">
      <c r="A4746" t="s">
        <v>870</v>
      </c>
      <c r="B4746" t="s">
        <v>38</v>
      </c>
      <c r="C4746" s="1">
        <v>46078.377083333333</v>
      </c>
      <c r="D4746" t="s">
        <v>5640</v>
      </c>
    </row>
    <row r="4747" spans="1:4" x14ac:dyDescent="0.25">
      <c r="A4747" t="s">
        <v>869</v>
      </c>
      <c r="B4747" t="s">
        <v>39</v>
      </c>
      <c r="C4747" s="1">
        <v>46093.602777777778</v>
      </c>
      <c r="D4747" t="s">
        <v>5640</v>
      </c>
    </row>
    <row r="4748" spans="1:4" x14ac:dyDescent="0.25">
      <c r="A4748" t="s">
        <v>867</v>
      </c>
      <c r="B4748" t="s">
        <v>38</v>
      </c>
      <c r="C4748" s="1">
        <v>46073.555555555555</v>
      </c>
      <c r="D4748" t="s">
        <v>5640</v>
      </c>
    </row>
    <row r="4749" spans="1:4" x14ac:dyDescent="0.25">
      <c r="A4749" t="s">
        <v>864</v>
      </c>
      <c r="B4749" t="s">
        <v>38</v>
      </c>
      <c r="C4749" s="1">
        <v>46076.491666666669</v>
      </c>
      <c r="D4749" t="s">
        <v>5640</v>
      </c>
    </row>
    <row r="4750" spans="1:4" x14ac:dyDescent="0.25">
      <c r="A4750" t="s">
        <v>862</v>
      </c>
      <c r="B4750" t="s">
        <v>38</v>
      </c>
      <c r="C4750" s="1">
        <v>46073.563888888886</v>
      </c>
      <c r="D4750" t="s">
        <v>5640</v>
      </c>
    </row>
    <row r="4751" spans="1:4" x14ac:dyDescent="0.25">
      <c r="A4751" t="s">
        <v>861</v>
      </c>
      <c r="B4751" t="s">
        <v>38</v>
      </c>
      <c r="C4751" s="1">
        <v>46076.495833333334</v>
      </c>
      <c r="D4751" t="s">
        <v>5640</v>
      </c>
    </row>
    <row r="4752" spans="1:4" x14ac:dyDescent="0.25">
      <c r="A4752" t="s">
        <v>859</v>
      </c>
      <c r="B4752" t="s">
        <v>38</v>
      </c>
      <c r="C4752" s="1">
        <v>46093.568055555559</v>
      </c>
      <c r="D4752" t="s">
        <v>5640</v>
      </c>
    </row>
    <row r="4753" spans="1:4" x14ac:dyDescent="0.25">
      <c r="A4753" t="s">
        <v>857</v>
      </c>
      <c r="B4753" t="s">
        <v>38</v>
      </c>
      <c r="C4753" s="1">
        <v>46076.518055555556</v>
      </c>
      <c r="D4753" t="s">
        <v>5640</v>
      </c>
    </row>
    <row r="4754" spans="1:4" x14ac:dyDescent="0.25">
      <c r="A4754" t="s">
        <v>855</v>
      </c>
      <c r="B4754" t="s">
        <v>39</v>
      </c>
      <c r="C4754" s="1">
        <v>46093.567361111112</v>
      </c>
      <c r="D4754" t="s">
        <v>5640</v>
      </c>
    </row>
    <row r="4755" spans="1:4" x14ac:dyDescent="0.25">
      <c r="A4755" t="s">
        <v>854</v>
      </c>
      <c r="B4755" t="s">
        <v>38</v>
      </c>
      <c r="C4755" s="1">
        <v>46080.589583333334</v>
      </c>
      <c r="D4755" t="s">
        <v>5640</v>
      </c>
    </row>
    <row r="4756" spans="1:4" x14ac:dyDescent="0.25">
      <c r="A4756" t="s">
        <v>875</v>
      </c>
      <c r="B4756" t="s">
        <v>39</v>
      </c>
      <c r="C4756" s="1">
        <v>46093.561805555553</v>
      </c>
      <c r="D4756" t="s">
        <v>5640</v>
      </c>
    </row>
    <row r="4757" spans="1:4" x14ac:dyDescent="0.25">
      <c r="A4757" t="s">
        <v>886</v>
      </c>
      <c r="B4757" t="s">
        <v>38</v>
      </c>
      <c r="C4757" s="1">
        <v>46076.548611111109</v>
      </c>
      <c r="D4757" t="s">
        <v>5640</v>
      </c>
    </row>
    <row r="4758" spans="1:4" x14ac:dyDescent="0.25">
      <c r="A4758" t="s">
        <v>885</v>
      </c>
      <c r="B4758" t="s">
        <v>38</v>
      </c>
      <c r="C4758" s="1">
        <v>46078.767361111109</v>
      </c>
      <c r="D4758" t="s">
        <v>5640</v>
      </c>
    </row>
    <row r="4759" spans="1:4" x14ac:dyDescent="0.25">
      <c r="A4759" t="s">
        <v>908</v>
      </c>
      <c r="B4759" t="s">
        <v>38</v>
      </c>
      <c r="C4759" s="1">
        <v>46074.479166666664</v>
      </c>
      <c r="D4759" t="s">
        <v>5640</v>
      </c>
    </row>
    <row r="4760" spans="1:4" x14ac:dyDescent="0.25">
      <c r="A4760" t="s">
        <v>907</v>
      </c>
      <c r="B4760" t="s">
        <v>39</v>
      </c>
      <c r="C4760" s="1">
        <v>46093.560416666667</v>
      </c>
      <c r="D4760" t="s">
        <v>5640</v>
      </c>
    </row>
    <row r="4761" spans="1:4" x14ac:dyDescent="0.25">
      <c r="A4761" t="s">
        <v>897</v>
      </c>
      <c r="B4761" t="s">
        <v>38</v>
      </c>
      <c r="C4761" s="1">
        <v>46085.695833333331</v>
      </c>
      <c r="D4761" t="s">
        <v>5640</v>
      </c>
    </row>
    <row r="4762" spans="1:4" x14ac:dyDescent="0.25">
      <c r="A4762" t="s">
        <v>926</v>
      </c>
      <c r="B4762" t="s">
        <v>38</v>
      </c>
      <c r="C4762" s="1">
        <v>46080.475694444445</v>
      </c>
      <c r="D4762" t="s">
        <v>5640</v>
      </c>
    </row>
    <row r="4763" spans="1:4" x14ac:dyDescent="0.25">
      <c r="A4763" t="s">
        <v>918</v>
      </c>
      <c r="B4763" t="s">
        <v>38</v>
      </c>
      <c r="C4763" s="1">
        <v>46077.479861111111</v>
      </c>
      <c r="D4763" t="s">
        <v>5640</v>
      </c>
    </row>
    <row r="4764" spans="1:4" x14ac:dyDescent="0.25">
      <c r="A4764" t="s">
        <v>929</v>
      </c>
      <c r="B4764" t="s">
        <v>38</v>
      </c>
      <c r="C4764" s="1">
        <v>46079.586111111108</v>
      </c>
      <c r="D4764" t="s">
        <v>5640</v>
      </c>
    </row>
    <row r="4765" spans="1:4" x14ac:dyDescent="0.25">
      <c r="A4765" t="s">
        <v>928</v>
      </c>
      <c r="B4765" t="s">
        <v>38</v>
      </c>
      <c r="C4765" s="1">
        <v>46081.543749999997</v>
      </c>
      <c r="D4765" t="s">
        <v>5640</v>
      </c>
    </row>
    <row r="4766" spans="1:4" x14ac:dyDescent="0.25">
      <c r="A4766" t="s">
        <v>938</v>
      </c>
      <c r="B4766" t="s">
        <v>38</v>
      </c>
      <c r="C4766" s="1">
        <v>46079.59097222222</v>
      </c>
      <c r="D4766" t="s">
        <v>5640</v>
      </c>
    </row>
    <row r="4767" spans="1:4" x14ac:dyDescent="0.25">
      <c r="A4767" t="s">
        <v>1200</v>
      </c>
      <c r="B4767" t="s">
        <v>38</v>
      </c>
      <c r="C4767" s="1">
        <v>46109.501388888886</v>
      </c>
      <c r="D4767" t="s">
        <v>5640</v>
      </c>
    </row>
    <row r="4768" spans="1:4" x14ac:dyDescent="0.25">
      <c r="A4768" t="s">
        <v>1201</v>
      </c>
      <c r="B4768" t="s">
        <v>30</v>
      </c>
      <c r="C4768" s="1">
        <v>46107.414583333331</v>
      </c>
      <c r="D4768" t="s">
        <v>5640</v>
      </c>
    </row>
    <row r="4769" spans="1:4" x14ac:dyDescent="0.25">
      <c r="A4769" t="s">
        <v>1202</v>
      </c>
      <c r="B4769" t="s">
        <v>30</v>
      </c>
      <c r="C4769" s="1">
        <v>46111.505555555559</v>
      </c>
      <c r="D4769" t="s">
        <v>5640</v>
      </c>
    </row>
    <row r="4770" spans="1:4" x14ac:dyDescent="0.25">
      <c r="A4770" t="s">
        <v>1203</v>
      </c>
      <c r="B4770" t="s">
        <v>30</v>
      </c>
      <c r="C4770" s="1">
        <v>46107.414583333331</v>
      </c>
      <c r="D4770" t="s">
        <v>5640</v>
      </c>
    </row>
    <row r="4771" spans="1:4" x14ac:dyDescent="0.25">
      <c r="A4771" t="s">
        <v>1204</v>
      </c>
      <c r="B4771" t="s">
        <v>30</v>
      </c>
      <c r="C4771" s="1">
        <v>46109.697916666664</v>
      </c>
      <c r="D4771" t="s">
        <v>5640</v>
      </c>
    </row>
    <row r="4772" spans="1:4" x14ac:dyDescent="0.25">
      <c r="A4772" t="s">
        <v>980</v>
      </c>
      <c r="B4772" t="s">
        <v>39</v>
      </c>
      <c r="C4772" s="1">
        <v>46087.465277777781</v>
      </c>
      <c r="D4772" t="s">
        <v>5640</v>
      </c>
    </row>
    <row r="4773" spans="1:4" x14ac:dyDescent="0.25">
      <c r="A4773" t="s">
        <v>977</v>
      </c>
      <c r="B4773" t="s">
        <v>39</v>
      </c>
      <c r="C4773" s="1">
        <v>46093.55</v>
      </c>
      <c r="D4773" t="s">
        <v>5640</v>
      </c>
    </row>
    <row r="4774" spans="1:4" x14ac:dyDescent="0.25">
      <c r="A4774" t="s">
        <v>965</v>
      </c>
      <c r="B4774" t="s">
        <v>38</v>
      </c>
      <c r="C4774" s="1">
        <v>46086.642361111109</v>
      </c>
      <c r="D4774" t="s">
        <v>5640</v>
      </c>
    </row>
    <row r="4775" spans="1:4" x14ac:dyDescent="0.25">
      <c r="A4775" t="s">
        <v>963</v>
      </c>
      <c r="B4775" t="s">
        <v>38</v>
      </c>
      <c r="C4775" s="1">
        <v>46087.59097222222</v>
      </c>
      <c r="D4775" t="s">
        <v>5640</v>
      </c>
    </row>
    <row r="4776" spans="1:4" x14ac:dyDescent="0.25">
      <c r="A4776" t="s">
        <v>961</v>
      </c>
      <c r="B4776" t="s">
        <v>39</v>
      </c>
      <c r="C4776" s="1">
        <v>46093.548611111109</v>
      </c>
      <c r="D4776" t="s">
        <v>5640</v>
      </c>
    </row>
    <row r="4777" spans="1:4" x14ac:dyDescent="0.25">
      <c r="A4777" t="s">
        <v>960</v>
      </c>
      <c r="B4777" t="s">
        <v>39</v>
      </c>
      <c r="C4777" s="1">
        <v>46093.547222222223</v>
      </c>
      <c r="D4777" t="s">
        <v>5640</v>
      </c>
    </row>
    <row r="4778" spans="1:4" x14ac:dyDescent="0.25">
      <c r="A4778" t="s">
        <v>952</v>
      </c>
      <c r="B4778" t="s">
        <v>38</v>
      </c>
      <c r="C4778" s="1">
        <v>46083.49722222222</v>
      </c>
      <c r="D4778" t="s">
        <v>5640</v>
      </c>
    </row>
    <row r="4779" spans="1:4" x14ac:dyDescent="0.25">
      <c r="A4779" t="s">
        <v>951</v>
      </c>
      <c r="B4779" t="s">
        <v>38</v>
      </c>
      <c r="C4779" s="1">
        <v>46083.520138888889</v>
      </c>
      <c r="D4779" t="s">
        <v>5640</v>
      </c>
    </row>
    <row r="4780" spans="1:4" x14ac:dyDescent="0.25">
      <c r="A4780" t="s">
        <v>1004</v>
      </c>
      <c r="B4780" t="s">
        <v>39</v>
      </c>
      <c r="C4780" s="1">
        <v>46092.376388888886</v>
      </c>
      <c r="D4780" t="s">
        <v>5640</v>
      </c>
    </row>
    <row r="4781" spans="1:4" x14ac:dyDescent="0.25">
      <c r="A4781" t="s">
        <v>1001</v>
      </c>
      <c r="B4781" t="s">
        <v>39</v>
      </c>
      <c r="C4781" s="1">
        <v>46104.71597222222</v>
      </c>
      <c r="D4781" t="s">
        <v>5640</v>
      </c>
    </row>
    <row r="4782" spans="1:4" x14ac:dyDescent="0.25">
      <c r="A4782" t="s">
        <v>999</v>
      </c>
      <c r="B4782" t="s">
        <v>38</v>
      </c>
      <c r="C4782" s="1">
        <v>46087.563888888886</v>
      </c>
      <c r="D4782" t="s">
        <v>5640</v>
      </c>
    </row>
    <row r="4783" spans="1:4" x14ac:dyDescent="0.25">
      <c r="A4783" t="s">
        <v>1012</v>
      </c>
      <c r="B4783" t="s">
        <v>38</v>
      </c>
      <c r="C4783" s="1">
        <v>46095.427083333336</v>
      </c>
      <c r="D4783" t="s">
        <v>5640</v>
      </c>
    </row>
    <row r="4784" spans="1:4" x14ac:dyDescent="0.25">
      <c r="A4784" t="s">
        <v>1011</v>
      </c>
      <c r="B4784" t="s">
        <v>39</v>
      </c>
      <c r="C4784" s="1">
        <v>46093.849305555559</v>
      </c>
      <c r="D4784" t="s">
        <v>5640</v>
      </c>
    </row>
    <row r="4785" spans="1:4" x14ac:dyDescent="0.25">
      <c r="A4785" t="s">
        <v>1010</v>
      </c>
      <c r="B4785" t="s">
        <v>38</v>
      </c>
      <c r="C4785" s="1">
        <v>46087.568749999999</v>
      </c>
      <c r="D4785" t="s">
        <v>5640</v>
      </c>
    </row>
    <row r="4786" spans="1:4" x14ac:dyDescent="0.25">
      <c r="A4786" t="s">
        <v>1008</v>
      </c>
      <c r="B4786" t="s">
        <v>38</v>
      </c>
      <c r="C4786" s="1">
        <v>46087.573611111111</v>
      </c>
      <c r="D4786" t="s">
        <v>5640</v>
      </c>
    </row>
    <row r="4787" spans="1:4" x14ac:dyDescent="0.25">
      <c r="A4787" t="s">
        <v>1006</v>
      </c>
      <c r="B4787" t="s">
        <v>38</v>
      </c>
      <c r="C4787" s="1">
        <v>46087.579861111109</v>
      </c>
      <c r="D4787" t="s">
        <v>5640</v>
      </c>
    </row>
    <row r="4788" spans="1:4" x14ac:dyDescent="0.25">
      <c r="A4788" t="s">
        <v>1021</v>
      </c>
      <c r="B4788" t="s">
        <v>38</v>
      </c>
      <c r="C4788" s="1">
        <v>46087.559027777781</v>
      </c>
      <c r="D4788" t="s">
        <v>5640</v>
      </c>
    </row>
    <row r="4789" spans="1:4" x14ac:dyDescent="0.25">
      <c r="A4789" t="s">
        <v>1018</v>
      </c>
      <c r="B4789" t="s">
        <v>38</v>
      </c>
      <c r="C4789" s="1">
        <v>46088.601388888892</v>
      </c>
      <c r="D4789" t="s">
        <v>5640</v>
      </c>
    </row>
    <row r="4790" spans="1:4" x14ac:dyDescent="0.25">
      <c r="A4790" t="s">
        <v>1030</v>
      </c>
      <c r="B4790" t="s">
        <v>38</v>
      </c>
      <c r="C4790" s="1">
        <v>46088.588194444441</v>
      </c>
      <c r="D4790" t="s">
        <v>5640</v>
      </c>
    </row>
    <row r="4791" spans="1:4" x14ac:dyDescent="0.25">
      <c r="A4791" t="s">
        <v>1026</v>
      </c>
      <c r="B4791" t="s">
        <v>38</v>
      </c>
      <c r="C4791" s="1">
        <v>46088.645833333336</v>
      </c>
      <c r="D4791" t="s">
        <v>5640</v>
      </c>
    </row>
    <row r="4792" spans="1:4" x14ac:dyDescent="0.25">
      <c r="A4792" t="s">
        <v>1023</v>
      </c>
      <c r="B4792" t="s">
        <v>38</v>
      </c>
      <c r="C4792" s="1">
        <v>46090.507638888892</v>
      </c>
      <c r="D4792" t="s">
        <v>5640</v>
      </c>
    </row>
    <row r="4793" spans="1:4" x14ac:dyDescent="0.25">
      <c r="A4793" t="s">
        <v>1022</v>
      </c>
      <c r="B4793" t="s">
        <v>38</v>
      </c>
      <c r="C4793" s="1">
        <v>46090.493750000001</v>
      </c>
      <c r="D4793" t="s">
        <v>5640</v>
      </c>
    </row>
    <row r="4794" spans="1:4" x14ac:dyDescent="0.25">
      <c r="A4794" t="s">
        <v>1050</v>
      </c>
      <c r="B4794" t="s">
        <v>38</v>
      </c>
      <c r="C4794" s="1">
        <v>46092.495138888888</v>
      </c>
      <c r="D4794" t="s">
        <v>5640</v>
      </c>
    </row>
    <row r="4795" spans="1:4" x14ac:dyDescent="0.25">
      <c r="A4795" t="s">
        <v>1048</v>
      </c>
      <c r="B4795" t="s">
        <v>38</v>
      </c>
      <c r="C4795" s="1">
        <v>46091.636805555558</v>
      </c>
      <c r="D4795" t="s">
        <v>5640</v>
      </c>
    </row>
    <row r="4796" spans="1:4" x14ac:dyDescent="0.25">
      <c r="A4796" t="s">
        <v>1046</v>
      </c>
      <c r="B4796" t="s">
        <v>38</v>
      </c>
      <c r="C4796" s="1">
        <v>46094.431944444441</v>
      </c>
      <c r="D4796" t="s">
        <v>5640</v>
      </c>
    </row>
    <row r="4797" spans="1:4" x14ac:dyDescent="0.25">
      <c r="A4797" t="s">
        <v>1044</v>
      </c>
      <c r="B4797" t="s">
        <v>38</v>
      </c>
      <c r="C4797" s="1">
        <v>46090.486111111109</v>
      </c>
      <c r="D4797" t="s">
        <v>5640</v>
      </c>
    </row>
    <row r="4798" spans="1:4" x14ac:dyDescent="0.25">
      <c r="A4798" t="s">
        <v>1039</v>
      </c>
      <c r="B4798" t="s">
        <v>38</v>
      </c>
      <c r="C4798" s="1">
        <v>46107.479861111111</v>
      </c>
      <c r="D4798" t="s">
        <v>5640</v>
      </c>
    </row>
    <row r="4799" spans="1:4" x14ac:dyDescent="0.25">
      <c r="A4799" t="s">
        <v>1037</v>
      </c>
      <c r="B4799" t="s">
        <v>38</v>
      </c>
      <c r="C4799" s="1">
        <v>46091.432638888888</v>
      </c>
      <c r="D4799" t="s">
        <v>5640</v>
      </c>
    </row>
    <row r="4800" spans="1:4" x14ac:dyDescent="0.25">
      <c r="A4800" t="s">
        <v>1036</v>
      </c>
      <c r="B4800" t="s">
        <v>38</v>
      </c>
      <c r="C4800" s="1">
        <v>46093.52847222222</v>
      </c>
      <c r="D4800" t="s">
        <v>5640</v>
      </c>
    </row>
    <row r="4801" spans="1:4" x14ac:dyDescent="0.25">
      <c r="A4801" t="s">
        <v>1035</v>
      </c>
      <c r="B4801" t="s">
        <v>38</v>
      </c>
      <c r="C4801" s="1">
        <v>46090.477083333331</v>
      </c>
      <c r="D4801" t="s">
        <v>5640</v>
      </c>
    </row>
    <row r="4802" spans="1:4" x14ac:dyDescent="0.25">
      <c r="A4802" t="s">
        <v>1032</v>
      </c>
      <c r="B4802" t="s">
        <v>38</v>
      </c>
      <c r="C4802" s="1">
        <v>46090.465277777781</v>
      </c>
      <c r="D4802" t="s">
        <v>5640</v>
      </c>
    </row>
    <row r="4803" spans="1:4" x14ac:dyDescent="0.25">
      <c r="A4803" t="s">
        <v>1056</v>
      </c>
      <c r="B4803" t="s">
        <v>38</v>
      </c>
      <c r="C4803" s="1">
        <v>46092.643750000003</v>
      </c>
      <c r="D4803" t="s">
        <v>5640</v>
      </c>
    </row>
    <row r="4804" spans="1:4" x14ac:dyDescent="0.25">
      <c r="A4804" t="s">
        <v>1055</v>
      </c>
      <c r="B4804" t="s">
        <v>38</v>
      </c>
      <c r="C4804" s="1">
        <v>46092.461111111108</v>
      </c>
      <c r="D4804" t="s">
        <v>5640</v>
      </c>
    </row>
    <row r="4805" spans="1:4" x14ac:dyDescent="0.25">
      <c r="A4805" t="s">
        <v>1060</v>
      </c>
      <c r="B4805" t="s">
        <v>38</v>
      </c>
      <c r="C4805" s="1">
        <v>46092.454861111109</v>
      </c>
      <c r="D4805" t="s">
        <v>5640</v>
      </c>
    </row>
    <row r="4806" spans="1:4" x14ac:dyDescent="0.25">
      <c r="A4806" t="s">
        <v>1067</v>
      </c>
      <c r="B4806" t="s">
        <v>38</v>
      </c>
      <c r="C4806" s="1">
        <v>46092.443055555559</v>
      </c>
      <c r="D4806" t="s">
        <v>5640</v>
      </c>
    </row>
    <row r="4807" spans="1:4" x14ac:dyDescent="0.25">
      <c r="A4807" t="s">
        <v>1066</v>
      </c>
      <c r="B4807" t="s">
        <v>39</v>
      </c>
      <c r="C4807" s="1">
        <v>46094.588888888888</v>
      </c>
      <c r="D4807" t="s">
        <v>5640</v>
      </c>
    </row>
    <row r="4808" spans="1:4" x14ac:dyDescent="0.25">
      <c r="A4808" t="s">
        <v>1063</v>
      </c>
      <c r="B4808" t="s">
        <v>38</v>
      </c>
      <c r="C4808" s="1">
        <v>46093.387499999997</v>
      </c>
      <c r="D4808" t="s">
        <v>5640</v>
      </c>
    </row>
    <row r="4809" spans="1:4" x14ac:dyDescent="0.25">
      <c r="A4809" t="s">
        <v>1062</v>
      </c>
      <c r="B4809" t="s">
        <v>38</v>
      </c>
      <c r="C4809" s="1">
        <v>46100.556944444441</v>
      </c>
      <c r="D4809" t="s">
        <v>5640</v>
      </c>
    </row>
    <row r="4810" spans="1:4" x14ac:dyDescent="0.25">
      <c r="A4810" t="s">
        <v>1061</v>
      </c>
      <c r="B4810" t="s">
        <v>38</v>
      </c>
      <c r="C4810" s="1">
        <v>46103.820138888892</v>
      </c>
      <c r="D4810" t="s">
        <v>5640</v>
      </c>
    </row>
    <row r="4811" spans="1:4" x14ac:dyDescent="0.25">
      <c r="A4811" t="s">
        <v>1071</v>
      </c>
      <c r="B4811" t="s">
        <v>38</v>
      </c>
      <c r="C4811" s="1">
        <v>46095.440972222219</v>
      </c>
      <c r="D4811" t="s">
        <v>5640</v>
      </c>
    </row>
    <row r="4812" spans="1:4" x14ac:dyDescent="0.25">
      <c r="A4812" t="s">
        <v>1070</v>
      </c>
      <c r="B4812" t="s">
        <v>38</v>
      </c>
      <c r="C4812" s="1">
        <v>46100.659722222219</v>
      </c>
      <c r="D4812" t="s">
        <v>5640</v>
      </c>
    </row>
    <row r="4813" spans="1:4" x14ac:dyDescent="0.25">
      <c r="A4813" t="s">
        <v>1069</v>
      </c>
      <c r="B4813" t="s">
        <v>38</v>
      </c>
      <c r="C4813" s="1">
        <v>46093.381944444445</v>
      </c>
      <c r="D4813" t="s">
        <v>5640</v>
      </c>
    </row>
    <row r="4814" spans="1:4" x14ac:dyDescent="0.25">
      <c r="A4814" t="s">
        <v>1068</v>
      </c>
      <c r="B4814" t="s">
        <v>39</v>
      </c>
      <c r="C4814" s="1">
        <v>46100.425694444442</v>
      </c>
      <c r="D4814" t="s">
        <v>5640</v>
      </c>
    </row>
    <row r="4815" spans="1:4" x14ac:dyDescent="0.25">
      <c r="A4815" t="s">
        <v>1081</v>
      </c>
      <c r="B4815" t="s">
        <v>38</v>
      </c>
      <c r="C4815" s="1">
        <v>46094.427777777775</v>
      </c>
      <c r="D4815" t="s">
        <v>5640</v>
      </c>
    </row>
    <row r="4816" spans="1:4" x14ac:dyDescent="0.25">
      <c r="A4816" t="s">
        <v>1189</v>
      </c>
      <c r="B4816" t="s">
        <v>35</v>
      </c>
      <c r="C4816" s="1">
        <v>46104.724305555559</v>
      </c>
      <c r="D4816" t="s">
        <v>5640</v>
      </c>
    </row>
    <row r="4817" spans="1:4" x14ac:dyDescent="0.25">
      <c r="A4817" t="s">
        <v>1190</v>
      </c>
      <c r="B4817" t="s">
        <v>38</v>
      </c>
      <c r="C4817" s="1">
        <v>46105.441666666666</v>
      </c>
      <c r="D4817" t="s">
        <v>5640</v>
      </c>
    </row>
    <row r="4818" spans="1:4" x14ac:dyDescent="0.25">
      <c r="A4818" t="s">
        <v>1191</v>
      </c>
      <c r="B4818" t="s">
        <v>30</v>
      </c>
      <c r="C4818" s="1">
        <v>46107.411111111112</v>
      </c>
      <c r="D4818" t="s">
        <v>5640</v>
      </c>
    </row>
    <row r="4819" spans="1:4" x14ac:dyDescent="0.25">
      <c r="A4819" t="s">
        <v>1192</v>
      </c>
      <c r="B4819" t="s">
        <v>38</v>
      </c>
      <c r="C4819" s="1">
        <v>46109.488888888889</v>
      </c>
      <c r="D4819" t="s">
        <v>5640</v>
      </c>
    </row>
    <row r="4820" spans="1:4" x14ac:dyDescent="0.25">
      <c r="A4820" t="s">
        <v>1194</v>
      </c>
      <c r="B4820" t="s">
        <v>35</v>
      </c>
      <c r="C4820" s="1">
        <v>46106.836805555555</v>
      </c>
      <c r="D4820" t="s">
        <v>5640</v>
      </c>
    </row>
    <row r="4821" spans="1:4" x14ac:dyDescent="0.25">
      <c r="A4821" t="s">
        <v>1195</v>
      </c>
      <c r="B4821" t="s">
        <v>39</v>
      </c>
      <c r="C4821" s="1">
        <v>46102.752083333333</v>
      </c>
      <c r="D4821" t="s">
        <v>5640</v>
      </c>
    </row>
    <row r="4822" spans="1:4" x14ac:dyDescent="0.25">
      <c r="A4822" t="s">
        <v>1197</v>
      </c>
      <c r="B4822" t="s">
        <v>38</v>
      </c>
      <c r="C4822" s="1">
        <v>46108.633333333331</v>
      </c>
      <c r="D4822" t="s">
        <v>5640</v>
      </c>
    </row>
    <row r="4823" spans="1:4" x14ac:dyDescent="0.25">
      <c r="A4823" t="s">
        <v>1088</v>
      </c>
      <c r="B4823" t="s">
        <v>38</v>
      </c>
      <c r="C4823" s="1">
        <v>46097.531944444447</v>
      </c>
      <c r="D4823" t="s">
        <v>5640</v>
      </c>
    </row>
    <row r="4824" spans="1:4" x14ac:dyDescent="0.25">
      <c r="A4824" t="s">
        <v>1096</v>
      </c>
      <c r="B4824" t="s">
        <v>38</v>
      </c>
      <c r="C4824" s="1">
        <v>46099.482638888891</v>
      </c>
      <c r="D4824" t="s">
        <v>5640</v>
      </c>
    </row>
    <row r="4825" spans="1:4" x14ac:dyDescent="0.25">
      <c r="A4825" t="s">
        <v>1095</v>
      </c>
      <c r="B4825" t="s">
        <v>38</v>
      </c>
      <c r="C4825" s="1">
        <v>46098.484027777777</v>
      </c>
      <c r="D4825" t="s">
        <v>5640</v>
      </c>
    </row>
    <row r="4826" spans="1:4" x14ac:dyDescent="0.25">
      <c r="A4826" t="s">
        <v>1183</v>
      </c>
      <c r="B4826" t="s">
        <v>1129</v>
      </c>
      <c r="C4826" s="1">
        <v>46107.8125</v>
      </c>
      <c r="D4826" t="s">
        <v>5640</v>
      </c>
    </row>
    <row r="4827" spans="1:4" x14ac:dyDescent="0.25">
      <c r="A4827" t="s">
        <v>1113</v>
      </c>
      <c r="B4827" t="s">
        <v>38</v>
      </c>
      <c r="C4827" s="1">
        <v>46097.541666666664</v>
      </c>
      <c r="D4827" t="s">
        <v>5640</v>
      </c>
    </row>
    <row r="4828" spans="1:4" x14ac:dyDescent="0.25">
      <c r="A4828" t="s">
        <v>1109</v>
      </c>
      <c r="B4828" t="s">
        <v>38</v>
      </c>
      <c r="C4828" s="1">
        <v>46099.488194444442</v>
      </c>
      <c r="D4828" t="s">
        <v>5640</v>
      </c>
    </row>
    <row r="4829" spans="1:4" x14ac:dyDescent="0.25">
      <c r="A4829" t="s">
        <v>1107</v>
      </c>
      <c r="B4829" t="s">
        <v>38</v>
      </c>
      <c r="C4829" s="1">
        <v>46097.551388888889</v>
      </c>
      <c r="D4829" t="s">
        <v>5640</v>
      </c>
    </row>
    <row r="4830" spans="1:4" x14ac:dyDescent="0.25">
      <c r="A4830" t="s">
        <v>1106</v>
      </c>
      <c r="B4830" t="s">
        <v>38</v>
      </c>
      <c r="C4830" s="1">
        <v>46104.580555555556</v>
      </c>
      <c r="D4830" t="s">
        <v>5640</v>
      </c>
    </row>
    <row r="4831" spans="1:4" x14ac:dyDescent="0.25">
      <c r="A4831" t="s">
        <v>1104</v>
      </c>
      <c r="B4831" t="s">
        <v>38</v>
      </c>
      <c r="C4831" s="1">
        <v>46098.509027777778</v>
      </c>
      <c r="D4831" t="s">
        <v>5640</v>
      </c>
    </row>
    <row r="4832" spans="1:4" x14ac:dyDescent="0.25">
      <c r="A4832" t="s">
        <v>1102</v>
      </c>
      <c r="B4832" t="s">
        <v>38</v>
      </c>
      <c r="C4832" s="1">
        <v>46097.55972222222</v>
      </c>
      <c r="D4832" t="s">
        <v>5640</v>
      </c>
    </row>
    <row r="4833" spans="1:4" x14ac:dyDescent="0.25">
      <c r="A4833" t="s">
        <v>1101</v>
      </c>
      <c r="B4833" t="s">
        <v>38</v>
      </c>
      <c r="C4833" s="1">
        <v>46094.611805555556</v>
      </c>
      <c r="D4833" t="s">
        <v>5640</v>
      </c>
    </row>
    <row r="4834" spans="1:4" x14ac:dyDescent="0.25">
      <c r="A4834" t="s">
        <v>1165</v>
      </c>
      <c r="B4834" t="s">
        <v>38</v>
      </c>
      <c r="C4834" s="1">
        <v>46108.553472222222</v>
      </c>
      <c r="D4834" t="s">
        <v>5640</v>
      </c>
    </row>
    <row r="4835" spans="1:4" x14ac:dyDescent="0.25">
      <c r="A4835" t="s">
        <v>1164</v>
      </c>
      <c r="B4835" t="s">
        <v>39</v>
      </c>
      <c r="C4835" s="1">
        <v>46102.71597222222</v>
      </c>
      <c r="D4835" t="s">
        <v>5640</v>
      </c>
    </row>
    <row r="4836" spans="1:4" x14ac:dyDescent="0.25">
      <c r="A4836" t="s">
        <v>1160</v>
      </c>
      <c r="B4836" t="s">
        <v>38</v>
      </c>
      <c r="C4836" s="1">
        <v>46105.424305555556</v>
      </c>
      <c r="D4836" t="s">
        <v>5640</v>
      </c>
    </row>
    <row r="4837" spans="1:4" x14ac:dyDescent="0.25">
      <c r="A4837" t="s">
        <v>1159</v>
      </c>
      <c r="B4837" t="s">
        <v>38</v>
      </c>
      <c r="C4837" s="1">
        <v>46108.613888888889</v>
      </c>
      <c r="D4837" t="s">
        <v>5640</v>
      </c>
    </row>
    <row r="4838" spans="1:4" x14ac:dyDescent="0.25">
      <c r="A4838" t="s">
        <v>1158</v>
      </c>
      <c r="B4838" t="s">
        <v>38</v>
      </c>
      <c r="C4838" s="1">
        <v>46108.561111111114</v>
      </c>
      <c r="D4838" t="s">
        <v>5640</v>
      </c>
    </row>
    <row r="4839" spans="1:4" x14ac:dyDescent="0.25">
      <c r="A4839" t="s">
        <v>1155</v>
      </c>
      <c r="B4839" t="s">
        <v>38</v>
      </c>
      <c r="C4839" s="1">
        <v>46107.636805555558</v>
      </c>
      <c r="D4839" t="s">
        <v>5640</v>
      </c>
    </row>
    <row r="4840" spans="1:4" x14ac:dyDescent="0.25">
      <c r="A4840" t="s">
        <v>1172</v>
      </c>
      <c r="B4840" t="s">
        <v>38</v>
      </c>
      <c r="C4840" s="1">
        <v>46101.768055555556</v>
      </c>
      <c r="D4840" t="s">
        <v>5640</v>
      </c>
    </row>
    <row r="4841" spans="1:4" x14ac:dyDescent="0.25">
      <c r="A4841" t="s">
        <v>1169</v>
      </c>
      <c r="B4841" t="s">
        <v>39</v>
      </c>
      <c r="C4841" s="1">
        <v>46106.392361111109</v>
      </c>
      <c r="D4841" t="s">
        <v>5640</v>
      </c>
    </row>
    <row r="4842" spans="1:4" x14ac:dyDescent="0.25">
      <c r="A4842" t="s">
        <v>1174</v>
      </c>
      <c r="B4842" t="s">
        <v>35</v>
      </c>
      <c r="C4842" s="1">
        <v>46106.804166666669</v>
      </c>
      <c r="D4842" t="s">
        <v>5640</v>
      </c>
    </row>
    <row r="4843" spans="1:4" x14ac:dyDescent="0.25">
      <c r="A4843" t="s">
        <v>895</v>
      </c>
      <c r="B4843" t="s">
        <v>38</v>
      </c>
      <c r="C4843" s="1">
        <v>46085.599305555559</v>
      </c>
      <c r="D4843" t="s">
        <v>5640</v>
      </c>
    </row>
    <row r="4844" spans="1:4" x14ac:dyDescent="0.25">
      <c r="A4844" t="s">
        <v>1087</v>
      </c>
      <c r="B4844" t="s">
        <v>5638</v>
      </c>
      <c r="C4844" s="1">
        <v>46107.609722222223</v>
      </c>
      <c r="D4844" t="s">
        <v>5640</v>
      </c>
    </row>
    <row r="4845" spans="1:4" x14ac:dyDescent="0.25">
      <c r="A4845" t="s">
        <v>1086</v>
      </c>
      <c r="B4845" t="s">
        <v>5638</v>
      </c>
      <c r="C4845" s="1">
        <v>46111.435416666667</v>
      </c>
      <c r="D4845" t="s">
        <v>5640</v>
      </c>
    </row>
    <row r="4846" spans="1:4" x14ac:dyDescent="0.25">
      <c r="A4846" t="s">
        <v>1085</v>
      </c>
      <c r="B4846" t="s">
        <v>39</v>
      </c>
      <c r="C4846" s="1">
        <v>46104.474305555559</v>
      </c>
      <c r="D4846" t="s">
        <v>5640</v>
      </c>
    </row>
    <row r="4847" spans="1:4" x14ac:dyDescent="0.25">
      <c r="A4847" t="s">
        <v>1084</v>
      </c>
      <c r="B4847" t="s">
        <v>5638</v>
      </c>
      <c r="C4847" s="1">
        <v>46104.859722222223</v>
      </c>
      <c r="D4847" t="s">
        <v>5640</v>
      </c>
    </row>
    <row r="4848" spans="1:4" x14ac:dyDescent="0.25">
      <c r="A4848" t="s">
        <v>1145</v>
      </c>
      <c r="B4848" t="s">
        <v>5638</v>
      </c>
      <c r="C4848" s="1">
        <v>46111.568055555559</v>
      </c>
      <c r="D4848" t="s">
        <v>5640</v>
      </c>
    </row>
    <row r="4849" spans="1:4" x14ac:dyDescent="0.25">
      <c r="A4849" t="s">
        <v>1269</v>
      </c>
      <c r="B4849" t="s">
        <v>1239</v>
      </c>
      <c r="C4849" s="1">
        <v>46111.785416666666</v>
      </c>
      <c r="D4849" t="s">
        <v>5640</v>
      </c>
    </row>
    <row r="4850" spans="1:4" x14ac:dyDescent="0.25">
      <c r="A4850" t="s">
        <v>361</v>
      </c>
      <c r="B4850" t="s">
        <v>38</v>
      </c>
      <c r="C4850" s="1">
        <v>46030.655555555553</v>
      </c>
      <c r="D4850" t="s">
        <v>5640</v>
      </c>
    </row>
    <row r="4851" spans="1:4" x14ac:dyDescent="0.25">
      <c r="A4851" t="s">
        <v>1273</v>
      </c>
      <c r="B4851" t="s">
        <v>1239</v>
      </c>
      <c r="C4851" s="1">
        <v>46111.753472222219</v>
      </c>
      <c r="D4851" t="s">
        <v>5640</v>
      </c>
    </row>
    <row r="4852" spans="1:4" x14ac:dyDescent="0.25">
      <c r="A4852" t="s">
        <v>378</v>
      </c>
      <c r="B4852" t="s">
        <v>38</v>
      </c>
      <c r="C4852" s="1">
        <v>46032.65625</v>
      </c>
      <c r="D4852" t="s">
        <v>5640</v>
      </c>
    </row>
    <row r="4853" spans="1:4" x14ac:dyDescent="0.25">
      <c r="A4853" t="s">
        <v>1255</v>
      </c>
      <c r="B4853" t="s">
        <v>35</v>
      </c>
      <c r="C4853" s="1">
        <v>46112.024305555555</v>
      </c>
      <c r="D4853" t="s">
        <v>5640</v>
      </c>
    </row>
    <row r="4854" spans="1:4" x14ac:dyDescent="0.25">
      <c r="A4854" t="s">
        <v>510</v>
      </c>
      <c r="B4854" t="s">
        <v>38</v>
      </c>
      <c r="C4854" s="1">
        <v>46041.881944444445</v>
      </c>
      <c r="D4854" t="s">
        <v>5640</v>
      </c>
    </row>
    <row r="4855" spans="1:4" x14ac:dyDescent="0.25">
      <c r="A4855" t="s">
        <v>508</v>
      </c>
      <c r="B4855" t="s">
        <v>38</v>
      </c>
      <c r="C4855" s="1">
        <v>46042.552777777775</v>
      </c>
      <c r="D4855" t="s">
        <v>5640</v>
      </c>
    </row>
    <row r="4856" spans="1:4" x14ac:dyDescent="0.25">
      <c r="A4856" t="s">
        <v>493</v>
      </c>
      <c r="B4856" t="s">
        <v>39</v>
      </c>
      <c r="C4856" s="1">
        <v>46093.668749999997</v>
      </c>
      <c r="D4856" t="s">
        <v>5640</v>
      </c>
    </row>
    <row r="4857" spans="1:4" x14ac:dyDescent="0.25">
      <c r="A4857" t="s">
        <v>519</v>
      </c>
      <c r="B4857" t="s">
        <v>38</v>
      </c>
      <c r="C4857" s="1">
        <v>46052.813888888886</v>
      </c>
      <c r="D4857" t="s">
        <v>5640</v>
      </c>
    </row>
    <row r="4858" spans="1:4" x14ac:dyDescent="0.25">
      <c r="A4858" t="s">
        <v>1244</v>
      </c>
      <c r="B4858" t="s">
        <v>1073</v>
      </c>
      <c r="C4858" s="1">
        <v>46108.790277777778</v>
      </c>
      <c r="D4858" t="s">
        <v>5640</v>
      </c>
    </row>
    <row r="4859" spans="1:4" x14ac:dyDescent="0.25">
      <c r="A4859" t="s">
        <v>535</v>
      </c>
      <c r="B4859" t="s">
        <v>39</v>
      </c>
      <c r="C4859" s="1">
        <v>46093.665972222225</v>
      </c>
      <c r="D4859" t="s">
        <v>5640</v>
      </c>
    </row>
    <row r="4860" spans="1:4" x14ac:dyDescent="0.25">
      <c r="A4860" t="s">
        <v>552</v>
      </c>
      <c r="B4860" t="s">
        <v>38</v>
      </c>
      <c r="C4860" s="1">
        <v>46070.790972222225</v>
      </c>
      <c r="D4860" t="s">
        <v>5640</v>
      </c>
    </row>
    <row r="4861" spans="1:4" x14ac:dyDescent="0.25">
      <c r="A4861" t="s">
        <v>564</v>
      </c>
      <c r="B4861" t="s">
        <v>38</v>
      </c>
      <c r="C4861" s="1">
        <v>46093.661111111112</v>
      </c>
      <c r="D4861" t="s">
        <v>5640</v>
      </c>
    </row>
    <row r="4862" spans="1:4" x14ac:dyDescent="0.25">
      <c r="A4862" t="s">
        <v>563</v>
      </c>
      <c r="B4862" t="s">
        <v>38</v>
      </c>
      <c r="C4862" s="1">
        <v>46067.759722222225</v>
      </c>
      <c r="D4862" t="s">
        <v>5640</v>
      </c>
    </row>
    <row r="4863" spans="1:4" x14ac:dyDescent="0.25">
      <c r="A4863" t="s">
        <v>661</v>
      </c>
      <c r="B4863" t="s">
        <v>38</v>
      </c>
      <c r="C4863" s="1">
        <v>46053.481249999997</v>
      </c>
      <c r="D4863" t="s">
        <v>5640</v>
      </c>
    </row>
    <row r="4864" spans="1:4" x14ac:dyDescent="0.25">
      <c r="A4864" t="s">
        <v>660</v>
      </c>
      <c r="B4864" t="s">
        <v>38</v>
      </c>
      <c r="C4864" s="1">
        <v>46053.490972222222</v>
      </c>
      <c r="D4864" t="s">
        <v>5640</v>
      </c>
    </row>
    <row r="4865" spans="1:4" x14ac:dyDescent="0.25">
      <c r="A4865" t="s">
        <v>659</v>
      </c>
      <c r="B4865" t="s">
        <v>38</v>
      </c>
      <c r="C4865" s="1">
        <v>46053.500694444447</v>
      </c>
      <c r="D4865" t="s">
        <v>5640</v>
      </c>
    </row>
    <row r="4866" spans="1:4" x14ac:dyDescent="0.25">
      <c r="A4866" t="s">
        <v>657</v>
      </c>
      <c r="B4866" t="s">
        <v>38</v>
      </c>
      <c r="C4866" s="1">
        <v>46053.509722222225</v>
      </c>
      <c r="D4866" t="s">
        <v>5640</v>
      </c>
    </row>
    <row r="4867" spans="1:4" x14ac:dyDescent="0.25">
      <c r="A4867" t="s">
        <v>656</v>
      </c>
      <c r="B4867" t="s">
        <v>39</v>
      </c>
      <c r="C4867" s="1">
        <v>46093.65347222222</v>
      </c>
      <c r="D4867" t="s">
        <v>5640</v>
      </c>
    </row>
    <row r="4868" spans="1:4" x14ac:dyDescent="0.25">
      <c r="A4868" t="s">
        <v>647</v>
      </c>
      <c r="B4868" t="s">
        <v>38</v>
      </c>
      <c r="C4868" s="1">
        <v>46058.576388888891</v>
      </c>
      <c r="D4868" t="s">
        <v>5640</v>
      </c>
    </row>
    <row r="4869" spans="1:4" x14ac:dyDescent="0.25">
      <c r="A4869" t="s">
        <v>677</v>
      </c>
      <c r="B4869" t="s">
        <v>38</v>
      </c>
      <c r="C4869" s="1">
        <v>46074.59097222222</v>
      </c>
      <c r="D4869" t="s">
        <v>5640</v>
      </c>
    </row>
    <row r="4870" spans="1:4" x14ac:dyDescent="0.25">
      <c r="A4870" t="s">
        <v>689</v>
      </c>
      <c r="B4870" t="s">
        <v>39</v>
      </c>
      <c r="C4870" s="1">
        <v>46093.649305555555</v>
      </c>
      <c r="D4870" t="s">
        <v>5640</v>
      </c>
    </row>
    <row r="4871" spans="1:4" x14ac:dyDescent="0.25">
      <c r="A4871" t="s">
        <v>722</v>
      </c>
      <c r="B4871" t="s">
        <v>38</v>
      </c>
      <c r="C4871" s="1">
        <v>46058.526388888888</v>
      </c>
      <c r="D4871" t="s">
        <v>5640</v>
      </c>
    </row>
    <row r="4872" spans="1:4" x14ac:dyDescent="0.25">
      <c r="A4872" t="s">
        <v>733</v>
      </c>
      <c r="B4872" t="s">
        <v>38</v>
      </c>
      <c r="C4872" s="1">
        <v>46107.479861111111</v>
      </c>
      <c r="D4872" t="s">
        <v>5640</v>
      </c>
    </row>
    <row r="4873" spans="1:4" x14ac:dyDescent="0.25">
      <c r="A4873" t="s">
        <v>745</v>
      </c>
      <c r="B4873" t="s">
        <v>38</v>
      </c>
      <c r="C4873" s="1">
        <v>46085.631249999999</v>
      </c>
      <c r="D4873" t="s">
        <v>5640</v>
      </c>
    </row>
    <row r="4874" spans="1:4" x14ac:dyDescent="0.25">
      <c r="A4874" t="s">
        <v>743</v>
      </c>
      <c r="B4874" t="s">
        <v>38</v>
      </c>
      <c r="C4874" s="1">
        <v>46070.515972222223</v>
      </c>
      <c r="D4874" t="s">
        <v>5640</v>
      </c>
    </row>
    <row r="4875" spans="1:4" x14ac:dyDescent="0.25">
      <c r="A4875" t="s">
        <v>751</v>
      </c>
      <c r="B4875" t="s">
        <v>38</v>
      </c>
      <c r="C4875" s="1">
        <v>46070.643750000003</v>
      </c>
      <c r="D4875" t="s">
        <v>5640</v>
      </c>
    </row>
    <row r="4876" spans="1:4" x14ac:dyDescent="0.25">
      <c r="A4876" t="s">
        <v>752</v>
      </c>
      <c r="B4876" t="s">
        <v>38</v>
      </c>
      <c r="C4876" s="1">
        <v>46062.577777777777</v>
      </c>
      <c r="D4876" t="s">
        <v>5640</v>
      </c>
    </row>
    <row r="4877" spans="1:4" x14ac:dyDescent="0.25">
      <c r="A4877" t="s">
        <v>787</v>
      </c>
      <c r="B4877" t="s">
        <v>39</v>
      </c>
      <c r="C4877" s="1">
        <v>46093.612500000003</v>
      </c>
      <c r="D4877" t="s">
        <v>5640</v>
      </c>
    </row>
    <row r="4878" spans="1:4" x14ac:dyDescent="0.25">
      <c r="A4878" t="s">
        <v>1220</v>
      </c>
      <c r="B4878" t="s">
        <v>30</v>
      </c>
      <c r="C4878" s="1">
        <v>46111.663888888892</v>
      </c>
      <c r="D4878" t="s">
        <v>5640</v>
      </c>
    </row>
    <row r="4879" spans="1:4" x14ac:dyDescent="0.25">
      <c r="A4879" t="s">
        <v>849</v>
      </c>
      <c r="B4879" t="s">
        <v>38</v>
      </c>
      <c r="C4879" s="1">
        <v>46083.859027777777</v>
      </c>
      <c r="D4879" t="s">
        <v>5640</v>
      </c>
    </row>
    <row r="4880" spans="1:4" x14ac:dyDescent="0.25">
      <c r="A4880" t="s">
        <v>900</v>
      </c>
      <c r="B4880" t="s">
        <v>38</v>
      </c>
      <c r="C4880" s="1">
        <v>46076.409722222219</v>
      </c>
      <c r="D4880" t="s">
        <v>5640</v>
      </c>
    </row>
    <row r="4881" spans="1:4" x14ac:dyDescent="0.25">
      <c r="A4881" t="s">
        <v>973</v>
      </c>
      <c r="B4881" t="s">
        <v>38</v>
      </c>
      <c r="C4881" s="1">
        <v>46084.306944444441</v>
      </c>
      <c r="D4881" t="s">
        <v>5640</v>
      </c>
    </row>
    <row r="4882" spans="1:4" x14ac:dyDescent="0.25">
      <c r="A4882" t="s">
        <v>1007</v>
      </c>
      <c r="B4882" t="s">
        <v>38</v>
      </c>
      <c r="C4882" s="1">
        <v>46093.538888888892</v>
      </c>
      <c r="D4882" t="s">
        <v>5640</v>
      </c>
    </row>
    <row r="4883" spans="1:4" x14ac:dyDescent="0.25">
      <c r="A4883" t="s">
        <v>1005</v>
      </c>
      <c r="B4883" t="s">
        <v>38</v>
      </c>
      <c r="C4883" s="1">
        <v>46093.537499999999</v>
      </c>
      <c r="D4883" t="s">
        <v>5640</v>
      </c>
    </row>
    <row r="4884" spans="1:4" x14ac:dyDescent="0.25">
      <c r="A4884" t="s">
        <v>1016</v>
      </c>
      <c r="B4884" t="s">
        <v>38</v>
      </c>
      <c r="C4884" s="1">
        <v>46108.386805555558</v>
      </c>
      <c r="D4884" t="s">
        <v>5640</v>
      </c>
    </row>
    <row r="4885" spans="1:4" x14ac:dyDescent="0.25">
      <c r="A4885" t="s">
        <v>1076</v>
      </c>
      <c r="B4885" t="s">
        <v>38</v>
      </c>
      <c r="C4885" s="1">
        <v>46095.640972222223</v>
      </c>
      <c r="D4885" t="s">
        <v>5640</v>
      </c>
    </row>
    <row r="4886" spans="1:4" x14ac:dyDescent="0.25">
      <c r="A4886" t="s">
        <v>1089</v>
      </c>
      <c r="B4886" t="s">
        <v>38</v>
      </c>
      <c r="C4886" s="1">
        <v>46107.561805555553</v>
      </c>
      <c r="D4886" t="s">
        <v>5640</v>
      </c>
    </row>
    <row r="4887" spans="1:4" x14ac:dyDescent="0.25">
      <c r="A4887" t="s">
        <v>1100</v>
      </c>
      <c r="B4887" t="s">
        <v>38</v>
      </c>
      <c r="C4887" s="1">
        <v>46097.71875</v>
      </c>
      <c r="D4887" t="s">
        <v>5640</v>
      </c>
    </row>
    <row r="4888" spans="1:4" x14ac:dyDescent="0.25">
      <c r="A4888" t="s">
        <v>1154</v>
      </c>
      <c r="B4888" t="s">
        <v>38</v>
      </c>
      <c r="C4888" s="1">
        <v>46100.623611111114</v>
      </c>
      <c r="D4888" t="s">
        <v>5640</v>
      </c>
    </row>
    <row r="4889" spans="1:4" x14ac:dyDescent="0.25">
      <c r="A4889" t="s">
        <v>1146</v>
      </c>
      <c r="B4889" t="s">
        <v>38</v>
      </c>
      <c r="C4889" s="1">
        <v>46107.567361111112</v>
      </c>
      <c r="D4889" t="s">
        <v>5640</v>
      </c>
    </row>
    <row r="4890" spans="1:4" x14ac:dyDescent="0.25">
      <c r="A4890" t="s">
        <v>1142</v>
      </c>
      <c r="B4890" t="s">
        <v>38</v>
      </c>
      <c r="C4890" s="1">
        <v>46111.698611111111</v>
      </c>
      <c r="D4890" t="s">
        <v>5640</v>
      </c>
    </row>
    <row r="4891" spans="1:4" x14ac:dyDescent="0.25">
      <c r="A4891" t="s">
        <v>1153</v>
      </c>
      <c r="B4891" t="s">
        <v>30</v>
      </c>
      <c r="C4891" s="1">
        <v>46108.633333333331</v>
      </c>
      <c r="D4891" t="s">
        <v>5640</v>
      </c>
    </row>
    <row r="4892" spans="1:4" x14ac:dyDescent="0.25">
      <c r="A4892" t="s">
        <v>1152</v>
      </c>
      <c r="B4892" t="s">
        <v>30</v>
      </c>
      <c r="C4892" s="1">
        <v>46111.513888888891</v>
      </c>
      <c r="D4892" t="s">
        <v>5640</v>
      </c>
    </row>
    <row r="4893" spans="1:4" x14ac:dyDescent="0.25">
      <c r="A4893" t="s">
        <v>1176</v>
      </c>
      <c r="B4893" t="s">
        <v>38</v>
      </c>
      <c r="C4893" s="1">
        <v>46106.484722222223</v>
      </c>
      <c r="D4893" t="s">
        <v>5640</v>
      </c>
    </row>
    <row r="4894" spans="1:4" x14ac:dyDescent="0.25">
      <c r="A4894" t="s">
        <v>1180</v>
      </c>
      <c r="B4894" t="s">
        <v>1129</v>
      </c>
      <c r="C4894" s="1">
        <v>46107.529861111114</v>
      </c>
      <c r="D4894" t="s">
        <v>5640</v>
      </c>
    </row>
    <row r="4895" spans="1:4" x14ac:dyDescent="0.25">
      <c r="A4895" t="s">
        <v>349</v>
      </c>
      <c r="B4895" t="s">
        <v>38</v>
      </c>
      <c r="C4895" s="1">
        <v>46039.67291666667</v>
      </c>
      <c r="D4895" t="s">
        <v>5640</v>
      </c>
    </row>
    <row r="4896" spans="1:4" x14ac:dyDescent="0.25">
      <c r="A4896" t="s">
        <v>342</v>
      </c>
      <c r="B4896" t="s">
        <v>38</v>
      </c>
      <c r="C4896" s="1">
        <v>46025.491666666669</v>
      </c>
      <c r="D4896" t="s">
        <v>5640</v>
      </c>
    </row>
    <row r="4897" spans="1:4" x14ac:dyDescent="0.25">
      <c r="A4897" t="s">
        <v>353</v>
      </c>
      <c r="B4897" t="s">
        <v>39</v>
      </c>
      <c r="C4897" s="1">
        <v>46038.481249999997</v>
      </c>
      <c r="D4897" t="s">
        <v>5640</v>
      </c>
    </row>
    <row r="4898" spans="1:4" x14ac:dyDescent="0.25">
      <c r="A4898" t="s">
        <v>351</v>
      </c>
      <c r="B4898" t="s">
        <v>38</v>
      </c>
      <c r="C4898" s="1">
        <v>46039.673611111109</v>
      </c>
      <c r="D4898" t="s">
        <v>5640</v>
      </c>
    </row>
    <row r="4899" spans="1:4" x14ac:dyDescent="0.25">
      <c r="A4899" t="s">
        <v>362</v>
      </c>
      <c r="B4899" t="s">
        <v>38</v>
      </c>
      <c r="C4899" s="1">
        <v>46039.55</v>
      </c>
      <c r="D4899" t="s">
        <v>5640</v>
      </c>
    </row>
    <row r="4900" spans="1:4" x14ac:dyDescent="0.25">
      <c r="A4900" t="s">
        <v>1270</v>
      </c>
      <c r="B4900" t="s">
        <v>1239</v>
      </c>
      <c r="C4900" s="1">
        <v>46111.784722222219</v>
      </c>
      <c r="D4900" t="s">
        <v>5640</v>
      </c>
    </row>
    <row r="4901" spans="1:4" x14ac:dyDescent="0.25">
      <c r="A4901" t="s">
        <v>360</v>
      </c>
      <c r="B4901" t="s">
        <v>38</v>
      </c>
      <c r="C4901" s="1">
        <v>46030.631249999999</v>
      </c>
      <c r="D4901" t="s">
        <v>5640</v>
      </c>
    </row>
    <row r="4902" spans="1:4" x14ac:dyDescent="0.25">
      <c r="A4902" t="s">
        <v>359</v>
      </c>
      <c r="B4902" t="s">
        <v>39</v>
      </c>
      <c r="C4902" s="1">
        <v>46029.743750000001</v>
      </c>
      <c r="D4902" t="s">
        <v>5640</v>
      </c>
    </row>
    <row r="4903" spans="1:4" x14ac:dyDescent="0.25">
      <c r="A4903" t="s">
        <v>358</v>
      </c>
      <c r="B4903" t="s">
        <v>38</v>
      </c>
      <c r="C4903" s="1">
        <v>46039.552083333336</v>
      </c>
      <c r="D4903" t="s">
        <v>5640</v>
      </c>
    </row>
    <row r="4904" spans="1:4" x14ac:dyDescent="0.25">
      <c r="A4904" t="s">
        <v>357</v>
      </c>
      <c r="B4904" t="s">
        <v>38</v>
      </c>
      <c r="C4904" s="1">
        <v>46030.646527777775</v>
      </c>
      <c r="D4904" t="s">
        <v>5640</v>
      </c>
    </row>
    <row r="4905" spans="1:4" x14ac:dyDescent="0.25">
      <c r="A4905" t="s">
        <v>356</v>
      </c>
      <c r="B4905" t="s">
        <v>38</v>
      </c>
      <c r="C4905" s="1">
        <v>46039.552777777775</v>
      </c>
      <c r="D4905" t="s">
        <v>5640</v>
      </c>
    </row>
    <row r="4906" spans="1:4" x14ac:dyDescent="0.25">
      <c r="A4906" t="s">
        <v>355</v>
      </c>
      <c r="B4906" t="s">
        <v>38</v>
      </c>
      <c r="C4906" s="1">
        <v>46039.554861111108</v>
      </c>
      <c r="D4906" t="s">
        <v>5640</v>
      </c>
    </row>
    <row r="4907" spans="1:4" x14ac:dyDescent="0.25">
      <c r="A4907" t="s">
        <v>368</v>
      </c>
      <c r="B4907" t="s">
        <v>39</v>
      </c>
      <c r="C4907" s="1">
        <v>46034.636805555558</v>
      </c>
      <c r="D4907" t="s">
        <v>5640</v>
      </c>
    </row>
    <row r="4908" spans="1:4" x14ac:dyDescent="0.25">
      <c r="A4908" t="s">
        <v>367</v>
      </c>
      <c r="B4908" t="s">
        <v>38</v>
      </c>
      <c r="C4908" s="1">
        <v>46031.685416666667</v>
      </c>
      <c r="D4908" t="s">
        <v>5640</v>
      </c>
    </row>
    <row r="4909" spans="1:4" x14ac:dyDescent="0.25">
      <c r="A4909" t="s">
        <v>372</v>
      </c>
      <c r="B4909" t="s">
        <v>38</v>
      </c>
      <c r="C4909" s="1">
        <v>46035.827777777777</v>
      </c>
      <c r="D4909" t="s">
        <v>5640</v>
      </c>
    </row>
    <row r="4910" spans="1:4" x14ac:dyDescent="0.25">
      <c r="A4910" t="s">
        <v>377</v>
      </c>
      <c r="B4910" t="s">
        <v>38</v>
      </c>
      <c r="C4910" s="1">
        <v>46031.696527777778</v>
      </c>
      <c r="D4910" t="s">
        <v>5640</v>
      </c>
    </row>
    <row r="4911" spans="1:4" x14ac:dyDescent="0.25">
      <c r="A4911" t="s">
        <v>414</v>
      </c>
      <c r="B4911" t="s">
        <v>38</v>
      </c>
      <c r="C4911" s="1">
        <v>46036.629166666666</v>
      </c>
      <c r="D4911" t="s">
        <v>5640</v>
      </c>
    </row>
    <row r="4912" spans="1:4" x14ac:dyDescent="0.25">
      <c r="A4912" t="s">
        <v>388</v>
      </c>
      <c r="B4912" t="s">
        <v>38</v>
      </c>
      <c r="C4912" s="1">
        <v>46039.699305555558</v>
      </c>
      <c r="D4912" t="s">
        <v>5640</v>
      </c>
    </row>
    <row r="4913" spans="1:4" x14ac:dyDescent="0.25">
      <c r="A4913" t="s">
        <v>391</v>
      </c>
      <c r="B4913" t="s">
        <v>38</v>
      </c>
      <c r="C4913" s="1">
        <v>46032.54583333333</v>
      </c>
      <c r="D4913" t="s">
        <v>5640</v>
      </c>
    </row>
    <row r="4914" spans="1:4" x14ac:dyDescent="0.25">
      <c r="A4914" t="s">
        <v>390</v>
      </c>
      <c r="B4914" t="s">
        <v>38</v>
      </c>
      <c r="C4914" s="1">
        <v>46039.556250000001</v>
      </c>
      <c r="D4914" t="s">
        <v>5640</v>
      </c>
    </row>
    <row r="4915" spans="1:4" x14ac:dyDescent="0.25">
      <c r="A4915" t="s">
        <v>413</v>
      </c>
      <c r="B4915" t="s">
        <v>38</v>
      </c>
      <c r="C4915" s="1">
        <v>46043.693055555559</v>
      </c>
      <c r="D4915" t="s">
        <v>5640</v>
      </c>
    </row>
    <row r="4916" spans="1:4" x14ac:dyDescent="0.25">
      <c r="A4916" t="s">
        <v>412</v>
      </c>
      <c r="B4916" t="s">
        <v>38</v>
      </c>
      <c r="C4916" s="1">
        <v>46039.563194444447</v>
      </c>
      <c r="D4916" t="s">
        <v>5640</v>
      </c>
    </row>
    <row r="4917" spans="1:4" x14ac:dyDescent="0.25">
      <c r="A4917" t="s">
        <v>1276</v>
      </c>
      <c r="B4917" t="s">
        <v>1073</v>
      </c>
      <c r="C4917" s="1">
        <v>46111.740972222222</v>
      </c>
      <c r="D4917" t="s">
        <v>5640</v>
      </c>
    </row>
    <row r="4918" spans="1:4" x14ac:dyDescent="0.25">
      <c r="A4918" t="s">
        <v>401</v>
      </c>
      <c r="B4918" t="s">
        <v>38</v>
      </c>
      <c r="C4918" s="1">
        <v>46032.675000000003</v>
      </c>
      <c r="D4918" t="s">
        <v>5640</v>
      </c>
    </row>
    <row r="4919" spans="1:4" x14ac:dyDescent="0.25">
      <c r="A4919" t="s">
        <v>422</v>
      </c>
      <c r="B4919" t="s">
        <v>38</v>
      </c>
      <c r="C4919" s="1">
        <v>46039.695833333331</v>
      </c>
      <c r="D4919" t="s">
        <v>5640</v>
      </c>
    </row>
    <row r="4920" spans="1:4" x14ac:dyDescent="0.25">
      <c r="A4920" t="s">
        <v>420</v>
      </c>
      <c r="B4920" t="s">
        <v>38</v>
      </c>
      <c r="C4920" s="1">
        <v>46032.680555555555</v>
      </c>
      <c r="D4920" t="s">
        <v>5640</v>
      </c>
    </row>
    <row r="4921" spans="1:4" x14ac:dyDescent="0.25">
      <c r="A4921" t="s">
        <v>1279</v>
      </c>
      <c r="B4921" t="s">
        <v>1073</v>
      </c>
      <c r="C4921" s="1">
        <v>46111.685416666667</v>
      </c>
      <c r="D4921" t="s">
        <v>5640</v>
      </c>
    </row>
    <row r="4922" spans="1:4" x14ac:dyDescent="0.25">
      <c r="A4922" t="s">
        <v>426</v>
      </c>
      <c r="B4922" t="s">
        <v>38</v>
      </c>
      <c r="C4922" s="1">
        <v>46050.488194444442</v>
      </c>
      <c r="D4922" t="s">
        <v>5640</v>
      </c>
    </row>
    <row r="4923" spans="1:4" x14ac:dyDescent="0.25">
      <c r="A4923" t="s">
        <v>424</v>
      </c>
      <c r="B4923" t="s">
        <v>38</v>
      </c>
      <c r="C4923" s="1">
        <v>46104.477777777778</v>
      </c>
      <c r="D4923" t="s">
        <v>5640</v>
      </c>
    </row>
    <row r="4924" spans="1:4" x14ac:dyDescent="0.25">
      <c r="A4924" t="s">
        <v>1280</v>
      </c>
      <c r="B4924" t="s">
        <v>1239</v>
      </c>
      <c r="C4924" s="1">
        <v>46111.629166666666</v>
      </c>
      <c r="D4924" t="s">
        <v>5640</v>
      </c>
    </row>
    <row r="4925" spans="1:4" x14ac:dyDescent="0.25">
      <c r="A4925" t="s">
        <v>430</v>
      </c>
      <c r="B4925" t="s">
        <v>38</v>
      </c>
      <c r="C4925" s="1">
        <v>46038.57916666667</v>
      </c>
      <c r="D4925" t="s">
        <v>5640</v>
      </c>
    </row>
    <row r="4926" spans="1:4" x14ac:dyDescent="0.25">
      <c r="A4926" t="s">
        <v>433</v>
      </c>
      <c r="B4926" t="s">
        <v>38</v>
      </c>
      <c r="C4926" s="1">
        <v>46034.579861111109</v>
      </c>
      <c r="D4926" t="s">
        <v>5640</v>
      </c>
    </row>
    <row r="4927" spans="1:4" x14ac:dyDescent="0.25">
      <c r="A4927" t="s">
        <v>432</v>
      </c>
      <c r="B4927" t="s">
        <v>38</v>
      </c>
      <c r="C4927" s="1">
        <v>46034.604166666664</v>
      </c>
      <c r="D4927" t="s">
        <v>5640</v>
      </c>
    </row>
    <row r="4928" spans="1:4" x14ac:dyDescent="0.25">
      <c r="A4928" t="s">
        <v>449</v>
      </c>
      <c r="B4928" t="s">
        <v>38</v>
      </c>
      <c r="C4928" s="1">
        <v>46039.546527777777</v>
      </c>
      <c r="D4928" t="s">
        <v>5640</v>
      </c>
    </row>
    <row r="4929" spans="1:4" x14ac:dyDescent="0.25">
      <c r="A4929" t="s">
        <v>448</v>
      </c>
      <c r="B4929" t="s">
        <v>38</v>
      </c>
      <c r="C4929" s="1">
        <v>46036.61041666667</v>
      </c>
      <c r="D4929" t="s">
        <v>5640</v>
      </c>
    </row>
    <row r="4930" spans="1:4" x14ac:dyDescent="0.25">
      <c r="A4930" t="s">
        <v>447</v>
      </c>
      <c r="B4930" t="s">
        <v>38</v>
      </c>
      <c r="C4930" s="1">
        <v>46039.544444444444</v>
      </c>
      <c r="D4930" t="s">
        <v>5640</v>
      </c>
    </row>
    <row r="4931" spans="1:4" x14ac:dyDescent="0.25">
      <c r="A4931" t="s">
        <v>458</v>
      </c>
      <c r="B4931" t="s">
        <v>38</v>
      </c>
      <c r="C4931" s="1">
        <v>46037.599999999999</v>
      </c>
      <c r="D4931" t="s">
        <v>5640</v>
      </c>
    </row>
    <row r="4932" spans="1:4" x14ac:dyDescent="0.25">
      <c r="A4932" t="s">
        <v>525</v>
      </c>
      <c r="B4932" t="s">
        <v>38</v>
      </c>
      <c r="C4932" s="1">
        <v>46043.51458333333</v>
      </c>
      <c r="D4932" t="s">
        <v>5640</v>
      </c>
    </row>
    <row r="4933" spans="1:4" x14ac:dyDescent="0.25">
      <c r="A4933" t="s">
        <v>460</v>
      </c>
      <c r="B4933" t="s">
        <v>39</v>
      </c>
      <c r="C4933" s="1">
        <v>46041.756944444445</v>
      </c>
      <c r="D4933" t="s">
        <v>5640</v>
      </c>
    </row>
    <row r="4934" spans="1:4" x14ac:dyDescent="0.25">
      <c r="A4934" t="s">
        <v>485</v>
      </c>
      <c r="B4934" t="s">
        <v>38</v>
      </c>
      <c r="C4934" s="1">
        <v>46086.423611111109</v>
      </c>
      <c r="D4934" t="s">
        <v>5640</v>
      </c>
    </row>
    <row r="4935" spans="1:4" x14ac:dyDescent="0.25">
      <c r="A4935" t="s">
        <v>484</v>
      </c>
      <c r="B4935" t="s">
        <v>38</v>
      </c>
      <c r="C4935" s="1">
        <v>46046.492361111108</v>
      </c>
      <c r="D4935" t="s">
        <v>5640</v>
      </c>
    </row>
    <row r="4936" spans="1:4" x14ac:dyDescent="0.25">
      <c r="A4936" t="s">
        <v>480</v>
      </c>
      <c r="B4936" t="s">
        <v>38</v>
      </c>
      <c r="C4936" s="1">
        <v>46046.597222222219</v>
      </c>
      <c r="D4936" t="s">
        <v>5640</v>
      </c>
    </row>
    <row r="4937" spans="1:4" x14ac:dyDescent="0.25">
      <c r="A4937" t="s">
        <v>478</v>
      </c>
      <c r="B4937" t="s">
        <v>38</v>
      </c>
      <c r="C4937" s="1">
        <v>46042.677083333336</v>
      </c>
      <c r="D4937" t="s">
        <v>5640</v>
      </c>
    </row>
    <row r="4938" spans="1:4" x14ac:dyDescent="0.25">
      <c r="A4938" t="s">
        <v>477</v>
      </c>
      <c r="B4938" t="s">
        <v>38</v>
      </c>
      <c r="C4938" s="1">
        <v>46049.773611111108</v>
      </c>
      <c r="D4938" t="s">
        <v>5640</v>
      </c>
    </row>
    <row r="4939" spans="1:4" x14ac:dyDescent="0.25">
      <c r="A4939" t="s">
        <v>472</v>
      </c>
      <c r="B4939" t="s">
        <v>38</v>
      </c>
      <c r="C4939" s="1">
        <v>46052.677083333336</v>
      </c>
      <c r="D4939" t="s">
        <v>5640</v>
      </c>
    </row>
    <row r="4940" spans="1:4" x14ac:dyDescent="0.25">
      <c r="A4940" t="s">
        <v>470</v>
      </c>
      <c r="B4940" t="s">
        <v>38</v>
      </c>
      <c r="C4940" s="1">
        <v>46043.640972222223</v>
      </c>
      <c r="D4940" t="s">
        <v>5640</v>
      </c>
    </row>
    <row r="4941" spans="1:4" x14ac:dyDescent="0.25">
      <c r="A4941" t="s">
        <v>487</v>
      </c>
      <c r="B4941" t="s">
        <v>38</v>
      </c>
      <c r="C4941" s="1">
        <v>46044.800694444442</v>
      </c>
      <c r="D4941" t="s">
        <v>5640</v>
      </c>
    </row>
    <row r="4942" spans="1:4" x14ac:dyDescent="0.25">
      <c r="A4942" t="s">
        <v>486</v>
      </c>
      <c r="B4942" t="s">
        <v>38</v>
      </c>
      <c r="C4942" s="1">
        <v>46042.686805555553</v>
      </c>
      <c r="D4942" t="s">
        <v>5640</v>
      </c>
    </row>
    <row r="4943" spans="1:4" x14ac:dyDescent="0.25">
      <c r="A4943" t="s">
        <v>1258</v>
      </c>
      <c r="B4943" t="s">
        <v>5638</v>
      </c>
      <c r="C4943" s="1">
        <v>46112.004861111112</v>
      </c>
      <c r="D4943" t="s">
        <v>5640</v>
      </c>
    </row>
    <row r="4944" spans="1:4" x14ac:dyDescent="0.25">
      <c r="A4944" t="s">
        <v>507</v>
      </c>
      <c r="B4944" t="s">
        <v>38</v>
      </c>
      <c r="C4944" s="1">
        <v>46042.704861111109</v>
      </c>
      <c r="D4944" t="s">
        <v>5640</v>
      </c>
    </row>
    <row r="4945" spans="1:4" x14ac:dyDescent="0.25">
      <c r="A4945" t="s">
        <v>506</v>
      </c>
      <c r="B4945" t="s">
        <v>39</v>
      </c>
      <c r="C4945" s="1">
        <v>46069.463888888888</v>
      </c>
      <c r="D4945" t="s">
        <v>5640</v>
      </c>
    </row>
    <row r="4946" spans="1:4" x14ac:dyDescent="0.25">
      <c r="A4946" t="s">
        <v>505</v>
      </c>
      <c r="B4946" t="s">
        <v>38</v>
      </c>
      <c r="C4946" s="1">
        <v>46042.724999999999</v>
      </c>
      <c r="D4946" t="s">
        <v>5640</v>
      </c>
    </row>
    <row r="4947" spans="1:4" x14ac:dyDescent="0.25">
      <c r="A4947" t="s">
        <v>504</v>
      </c>
      <c r="B4947" t="s">
        <v>38</v>
      </c>
      <c r="C4947" s="1">
        <v>46049.551388888889</v>
      </c>
      <c r="D4947" t="s">
        <v>5640</v>
      </c>
    </row>
    <row r="4948" spans="1:4" x14ac:dyDescent="0.25">
      <c r="A4948" t="s">
        <v>503</v>
      </c>
      <c r="B4948" t="s">
        <v>38</v>
      </c>
      <c r="C4948" s="1">
        <v>46046.758333333331</v>
      </c>
      <c r="D4948" t="s">
        <v>5640</v>
      </c>
    </row>
    <row r="4949" spans="1:4" x14ac:dyDescent="0.25">
      <c r="A4949" t="s">
        <v>501</v>
      </c>
      <c r="B4949" t="s">
        <v>38</v>
      </c>
      <c r="C4949" s="1">
        <v>46044.595833333333</v>
      </c>
      <c r="D4949" t="s">
        <v>5640</v>
      </c>
    </row>
    <row r="4950" spans="1:4" x14ac:dyDescent="0.25">
      <c r="A4950" t="s">
        <v>514</v>
      </c>
      <c r="B4950" t="s">
        <v>39</v>
      </c>
      <c r="C4950" s="1">
        <v>46093.668749999997</v>
      </c>
      <c r="D4950" t="s">
        <v>5640</v>
      </c>
    </row>
    <row r="4951" spans="1:4" x14ac:dyDescent="0.25">
      <c r="A4951" t="s">
        <v>500</v>
      </c>
      <c r="B4951" t="s">
        <v>38</v>
      </c>
      <c r="C4951" s="1">
        <v>46044.693055555559</v>
      </c>
      <c r="D4951" t="s">
        <v>5640</v>
      </c>
    </row>
    <row r="4952" spans="1:4" x14ac:dyDescent="0.25">
      <c r="A4952" t="s">
        <v>499</v>
      </c>
      <c r="B4952" t="s">
        <v>38</v>
      </c>
      <c r="C4952" s="1">
        <v>46050.876388888886</v>
      </c>
      <c r="D4952" t="s">
        <v>5640</v>
      </c>
    </row>
    <row r="4953" spans="1:4" x14ac:dyDescent="0.25">
      <c r="A4953" t="s">
        <v>498</v>
      </c>
      <c r="B4953" t="s">
        <v>38</v>
      </c>
      <c r="C4953" s="1">
        <v>46052.559027777781</v>
      </c>
      <c r="D4953" t="s">
        <v>5640</v>
      </c>
    </row>
    <row r="4954" spans="1:4" x14ac:dyDescent="0.25">
      <c r="A4954" t="s">
        <v>497</v>
      </c>
      <c r="B4954" t="s">
        <v>38</v>
      </c>
      <c r="C4954" s="1">
        <v>46044.697916666664</v>
      </c>
      <c r="D4954" t="s">
        <v>5640</v>
      </c>
    </row>
    <row r="4955" spans="1:4" x14ac:dyDescent="0.25">
      <c r="A4955" t="s">
        <v>495</v>
      </c>
      <c r="B4955" t="s">
        <v>38</v>
      </c>
      <c r="C4955" s="1">
        <v>46046.605555555558</v>
      </c>
      <c r="D4955" t="s">
        <v>5640</v>
      </c>
    </row>
    <row r="4956" spans="1:4" x14ac:dyDescent="0.25">
      <c r="A4956" t="s">
        <v>494</v>
      </c>
      <c r="B4956" t="s">
        <v>39</v>
      </c>
      <c r="C4956" s="1">
        <v>46078.524305555555</v>
      </c>
      <c r="D4956" t="s">
        <v>5640</v>
      </c>
    </row>
    <row r="4957" spans="1:4" x14ac:dyDescent="0.25">
      <c r="A4957" t="s">
        <v>492</v>
      </c>
      <c r="B4957" t="s">
        <v>38</v>
      </c>
      <c r="C4957" s="1">
        <v>46052.531944444447</v>
      </c>
      <c r="D4957" t="s">
        <v>5640</v>
      </c>
    </row>
    <row r="4958" spans="1:4" x14ac:dyDescent="0.25">
      <c r="A4958" t="s">
        <v>490</v>
      </c>
      <c r="B4958" t="s">
        <v>38</v>
      </c>
      <c r="C4958" s="1">
        <v>46046.536805555559</v>
      </c>
      <c r="D4958" t="s">
        <v>5640</v>
      </c>
    </row>
    <row r="4959" spans="1:4" x14ac:dyDescent="0.25">
      <c r="A4959" t="s">
        <v>512</v>
      </c>
      <c r="B4959" t="s">
        <v>38</v>
      </c>
      <c r="C4959" s="1">
        <v>46044.529166666667</v>
      </c>
      <c r="D4959" t="s">
        <v>5640</v>
      </c>
    </row>
    <row r="4960" spans="1:4" x14ac:dyDescent="0.25">
      <c r="A4960" t="s">
        <v>511</v>
      </c>
      <c r="B4960" t="s">
        <v>39</v>
      </c>
      <c r="C4960" s="1">
        <v>46090.45416666667</v>
      </c>
      <c r="D4960" t="s">
        <v>5640</v>
      </c>
    </row>
    <row r="4961" spans="1:4" x14ac:dyDescent="0.25">
      <c r="A4961" t="s">
        <v>523</v>
      </c>
      <c r="B4961" t="s">
        <v>39</v>
      </c>
      <c r="C4961" s="1">
        <v>46042.759722222225</v>
      </c>
      <c r="D4961" t="s">
        <v>5640</v>
      </c>
    </row>
    <row r="4962" spans="1:4" x14ac:dyDescent="0.25">
      <c r="A4962" t="s">
        <v>521</v>
      </c>
      <c r="B4962" t="s">
        <v>38</v>
      </c>
      <c r="C4962" s="1">
        <v>46042.571527777778</v>
      </c>
      <c r="D4962" t="s">
        <v>5640</v>
      </c>
    </row>
    <row r="4963" spans="1:4" x14ac:dyDescent="0.25">
      <c r="A4963" t="s">
        <v>520</v>
      </c>
      <c r="B4963" t="s">
        <v>38</v>
      </c>
      <c r="C4963" s="1">
        <v>46052.576388888891</v>
      </c>
      <c r="D4963" t="s">
        <v>5640</v>
      </c>
    </row>
    <row r="4964" spans="1:4" x14ac:dyDescent="0.25">
      <c r="A4964" t="s">
        <v>593</v>
      </c>
      <c r="B4964" t="s">
        <v>38</v>
      </c>
      <c r="C4964" s="1">
        <v>46057.484027777777</v>
      </c>
      <c r="D4964" t="s">
        <v>5640</v>
      </c>
    </row>
    <row r="4965" spans="1:4" x14ac:dyDescent="0.25">
      <c r="A4965" t="s">
        <v>518</v>
      </c>
      <c r="B4965" t="s">
        <v>38</v>
      </c>
      <c r="C4965" s="1">
        <v>46044.65347222222</v>
      </c>
      <c r="D4965" t="s">
        <v>5640</v>
      </c>
    </row>
    <row r="4966" spans="1:4" x14ac:dyDescent="0.25">
      <c r="A4966" t="s">
        <v>516</v>
      </c>
      <c r="B4966" t="s">
        <v>38</v>
      </c>
      <c r="C4966" s="1">
        <v>46055.491666666669</v>
      </c>
      <c r="D4966" t="s">
        <v>5640</v>
      </c>
    </row>
    <row r="4967" spans="1:4" x14ac:dyDescent="0.25">
      <c r="A4967" t="s">
        <v>526</v>
      </c>
      <c r="B4967" t="s">
        <v>39</v>
      </c>
      <c r="C4967" s="1">
        <v>46093.668055555558</v>
      </c>
      <c r="D4967" t="s">
        <v>5640</v>
      </c>
    </row>
    <row r="4968" spans="1:4" x14ac:dyDescent="0.25">
      <c r="A4968" t="s">
        <v>530</v>
      </c>
      <c r="B4968" t="s">
        <v>38</v>
      </c>
      <c r="C4968" s="1">
        <v>46049.724999999999</v>
      </c>
      <c r="D4968" t="s">
        <v>5640</v>
      </c>
    </row>
    <row r="4969" spans="1:4" x14ac:dyDescent="0.25">
      <c r="A4969" t="s">
        <v>542</v>
      </c>
      <c r="B4969" t="s">
        <v>38</v>
      </c>
      <c r="C4969" s="1">
        <v>46044.70416666667</v>
      </c>
      <c r="D4969" t="s">
        <v>5640</v>
      </c>
    </row>
    <row r="4970" spans="1:4" x14ac:dyDescent="0.25">
      <c r="A4970" t="s">
        <v>553</v>
      </c>
      <c r="B4970" t="s">
        <v>38</v>
      </c>
      <c r="C4970" s="1">
        <v>46049.706944444442</v>
      </c>
      <c r="D4970" t="s">
        <v>5640</v>
      </c>
    </row>
    <row r="4971" spans="1:4" x14ac:dyDescent="0.25">
      <c r="A4971" t="s">
        <v>549</v>
      </c>
      <c r="B4971" t="s">
        <v>39</v>
      </c>
      <c r="C4971" s="1">
        <v>46093.665277777778</v>
      </c>
      <c r="D4971" t="s">
        <v>5640</v>
      </c>
    </row>
    <row r="4972" spans="1:4" x14ac:dyDescent="0.25">
      <c r="A4972" t="s">
        <v>547</v>
      </c>
      <c r="B4972" t="s">
        <v>38</v>
      </c>
      <c r="C4972" s="1">
        <v>46077.829861111109</v>
      </c>
      <c r="D4972" t="s">
        <v>5640</v>
      </c>
    </row>
    <row r="4973" spans="1:4" x14ac:dyDescent="0.25">
      <c r="A4973" t="s">
        <v>546</v>
      </c>
      <c r="B4973" t="s">
        <v>38</v>
      </c>
      <c r="C4973" s="1">
        <v>46063.570833333331</v>
      </c>
      <c r="D4973" t="s">
        <v>5640</v>
      </c>
    </row>
    <row r="4974" spans="1:4" x14ac:dyDescent="0.25">
      <c r="A4974" t="s">
        <v>543</v>
      </c>
      <c r="B4974" t="s">
        <v>38</v>
      </c>
      <c r="C4974" s="1">
        <v>46046.644444444442</v>
      </c>
      <c r="D4974" t="s">
        <v>5640</v>
      </c>
    </row>
    <row r="4975" spans="1:4" x14ac:dyDescent="0.25">
      <c r="A4975" t="s">
        <v>555</v>
      </c>
      <c r="B4975" t="s">
        <v>38</v>
      </c>
      <c r="C4975" s="1">
        <v>46055.518055555556</v>
      </c>
      <c r="D4975" t="s">
        <v>5640</v>
      </c>
    </row>
    <row r="4976" spans="1:4" x14ac:dyDescent="0.25">
      <c r="A4976" t="s">
        <v>592</v>
      </c>
      <c r="B4976" t="s">
        <v>38</v>
      </c>
      <c r="C4976" s="1">
        <v>46088.77847222222</v>
      </c>
      <c r="D4976" t="s">
        <v>5640</v>
      </c>
    </row>
    <row r="4977" spans="1:4" x14ac:dyDescent="0.25">
      <c r="A4977" t="s">
        <v>589</v>
      </c>
      <c r="B4977" t="s">
        <v>38</v>
      </c>
      <c r="C4977" s="1">
        <v>46053.587500000001</v>
      </c>
      <c r="D4977" t="s">
        <v>5640</v>
      </c>
    </row>
    <row r="4978" spans="1:4" x14ac:dyDescent="0.25">
      <c r="A4978" t="s">
        <v>587</v>
      </c>
      <c r="B4978" t="s">
        <v>38</v>
      </c>
      <c r="C4978" s="1">
        <v>46069.59375</v>
      </c>
      <c r="D4978" t="s">
        <v>5640</v>
      </c>
    </row>
    <row r="4979" spans="1:4" x14ac:dyDescent="0.25">
      <c r="A4979" t="s">
        <v>585</v>
      </c>
      <c r="B4979" t="s">
        <v>38</v>
      </c>
      <c r="C4979" s="1">
        <v>46052.80972222222</v>
      </c>
      <c r="D4979" t="s">
        <v>5640</v>
      </c>
    </row>
    <row r="4980" spans="1:4" x14ac:dyDescent="0.25">
      <c r="A4980" t="s">
        <v>583</v>
      </c>
      <c r="B4980" t="s">
        <v>39</v>
      </c>
      <c r="C4980" s="1">
        <v>46093.663888888892</v>
      </c>
      <c r="D4980" t="s">
        <v>5640</v>
      </c>
    </row>
    <row r="4981" spans="1:4" x14ac:dyDescent="0.25">
      <c r="A4981" t="s">
        <v>582</v>
      </c>
      <c r="B4981" t="s">
        <v>38</v>
      </c>
      <c r="C4981" s="1">
        <v>46053.582638888889</v>
      </c>
      <c r="D4981" t="s">
        <v>5640</v>
      </c>
    </row>
    <row r="4982" spans="1:4" x14ac:dyDescent="0.25">
      <c r="A4982" t="s">
        <v>1248</v>
      </c>
      <c r="B4982" t="s">
        <v>5638</v>
      </c>
      <c r="C4982" s="1">
        <v>46111.796527777777</v>
      </c>
      <c r="D4982" t="s">
        <v>5640</v>
      </c>
    </row>
    <row r="4983" spans="1:4" x14ac:dyDescent="0.25">
      <c r="A4983" t="s">
        <v>576</v>
      </c>
      <c r="B4983" t="s">
        <v>38</v>
      </c>
      <c r="C4983" s="1">
        <v>46053.670138888891</v>
      </c>
      <c r="D4983" t="s">
        <v>5640</v>
      </c>
    </row>
    <row r="4984" spans="1:4" x14ac:dyDescent="0.25">
      <c r="A4984" t="s">
        <v>575</v>
      </c>
      <c r="B4984" t="s">
        <v>38</v>
      </c>
      <c r="C4984" s="1">
        <v>46051.568749999999</v>
      </c>
      <c r="D4984" t="s">
        <v>5640</v>
      </c>
    </row>
    <row r="4985" spans="1:4" x14ac:dyDescent="0.25">
      <c r="A4985" t="s">
        <v>574</v>
      </c>
      <c r="B4985" t="s">
        <v>38</v>
      </c>
      <c r="C4985" s="1">
        <v>46056.734027777777</v>
      </c>
      <c r="D4985" t="s">
        <v>5640</v>
      </c>
    </row>
    <row r="4986" spans="1:4" x14ac:dyDescent="0.25">
      <c r="A4986" t="s">
        <v>571</v>
      </c>
      <c r="B4986" t="s">
        <v>38</v>
      </c>
      <c r="C4986" s="1">
        <v>46077.454861111109</v>
      </c>
      <c r="D4986" t="s">
        <v>5640</v>
      </c>
    </row>
    <row r="4987" spans="1:4" x14ac:dyDescent="0.25">
      <c r="A4987" t="s">
        <v>570</v>
      </c>
      <c r="B4987" t="s">
        <v>38</v>
      </c>
      <c r="C4987" s="1">
        <v>46051.59375</v>
      </c>
      <c r="D4987" t="s">
        <v>5640</v>
      </c>
    </row>
    <row r="4988" spans="1:4" x14ac:dyDescent="0.25">
      <c r="A4988" t="s">
        <v>569</v>
      </c>
      <c r="B4988" t="s">
        <v>38</v>
      </c>
      <c r="C4988" s="1">
        <v>46055.684027777781</v>
      </c>
      <c r="D4988" t="s">
        <v>5640</v>
      </c>
    </row>
    <row r="4989" spans="1:4" x14ac:dyDescent="0.25">
      <c r="A4989" t="s">
        <v>567</v>
      </c>
      <c r="B4989" t="s">
        <v>38</v>
      </c>
      <c r="C4989" s="1">
        <v>46050.558333333334</v>
      </c>
      <c r="D4989" t="s">
        <v>5640</v>
      </c>
    </row>
    <row r="4990" spans="1:4" x14ac:dyDescent="0.25">
      <c r="A4990" t="s">
        <v>566</v>
      </c>
      <c r="B4990" t="s">
        <v>38</v>
      </c>
      <c r="C4990" s="1">
        <v>46055.518750000003</v>
      </c>
      <c r="D4990" t="s">
        <v>5640</v>
      </c>
    </row>
    <row r="4991" spans="1:4" x14ac:dyDescent="0.25">
      <c r="A4991" t="s">
        <v>561</v>
      </c>
      <c r="B4991" t="s">
        <v>38</v>
      </c>
      <c r="C4991" s="1">
        <v>46063.467361111114</v>
      </c>
      <c r="D4991" t="s">
        <v>5640</v>
      </c>
    </row>
    <row r="4992" spans="1:4" x14ac:dyDescent="0.25">
      <c r="A4992" t="s">
        <v>1249</v>
      </c>
      <c r="B4992" t="s">
        <v>35</v>
      </c>
      <c r="C4992" s="1">
        <v>46109.518750000003</v>
      </c>
      <c r="D4992" t="s">
        <v>5640</v>
      </c>
    </row>
    <row r="4993" spans="1:4" x14ac:dyDescent="0.25">
      <c r="A4993" t="s">
        <v>558</v>
      </c>
      <c r="B4993" t="s">
        <v>38</v>
      </c>
      <c r="C4993" s="1">
        <v>46050.763194444444</v>
      </c>
      <c r="D4993" t="s">
        <v>5640</v>
      </c>
    </row>
    <row r="4994" spans="1:4" x14ac:dyDescent="0.25">
      <c r="A4994" t="s">
        <v>557</v>
      </c>
      <c r="B4994" t="s">
        <v>38</v>
      </c>
      <c r="C4994" s="1">
        <v>46055.763888888891</v>
      </c>
      <c r="D4994" t="s">
        <v>5640</v>
      </c>
    </row>
    <row r="4995" spans="1:4" x14ac:dyDescent="0.25">
      <c r="A4995" t="s">
        <v>596</v>
      </c>
      <c r="B4995" t="s">
        <v>38</v>
      </c>
      <c r="C4995" s="1">
        <v>46052.683333333334</v>
      </c>
      <c r="D4995" t="s">
        <v>5640</v>
      </c>
    </row>
    <row r="4996" spans="1:4" x14ac:dyDescent="0.25">
      <c r="A4996" t="s">
        <v>616</v>
      </c>
      <c r="B4996" t="s">
        <v>38</v>
      </c>
      <c r="C4996" s="1">
        <v>46067.852083333331</v>
      </c>
      <c r="D4996" t="s">
        <v>5640</v>
      </c>
    </row>
    <row r="4997" spans="1:4" x14ac:dyDescent="0.25">
      <c r="A4997" t="s">
        <v>609</v>
      </c>
      <c r="B4997" t="s">
        <v>38</v>
      </c>
      <c r="C4997" s="1">
        <v>46055.777777777781</v>
      </c>
      <c r="D4997" t="s">
        <v>5640</v>
      </c>
    </row>
    <row r="4998" spans="1:4" x14ac:dyDescent="0.25">
      <c r="A4998" t="s">
        <v>608</v>
      </c>
      <c r="B4998" t="s">
        <v>38</v>
      </c>
      <c r="C4998" s="1">
        <v>46052.720833333333</v>
      </c>
      <c r="D4998" t="s">
        <v>5640</v>
      </c>
    </row>
    <row r="4999" spans="1:4" x14ac:dyDescent="0.25">
      <c r="A4999" t="s">
        <v>607</v>
      </c>
      <c r="B4999" t="s">
        <v>38</v>
      </c>
      <c r="C4999" s="1">
        <v>46055.78402777778</v>
      </c>
      <c r="D4999" t="s">
        <v>5640</v>
      </c>
    </row>
    <row r="5000" spans="1:4" x14ac:dyDescent="0.25">
      <c r="A5000" t="s">
        <v>606</v>
      </c>
      <c r="B5000" t="s">
        <v>38</v>
      </c>
      <c r="C5000" s="1">
        <v>46055.689583333333</v>
      </c>
      <c r="D5000" t="s">
        <v>5640</v>
      </c>
    </row>
    <row r="5001" spans="1:4" x14ac:dyDescent="0.25">
      <c r="A5001" t="s">
        <v>603</v>
      </c>
      <c r="B5001" t="s">
        <v>38</v>
      </c>
      <c r="C5001" s="1">
        <v>46093.657638888886</v>
      </c>
      <c r="D5001" t="s">
        <v>5640</v>
      </c>
    </row>
    <row r="5002" spans="1:4" x14ac:dyDescent="0.25">
      <c r="A5002" t="s">
        <v>1238</v>
      </c>
      <c r="B5002" t="s">
        <v>35</v>
      </c>
      <c r="C5002" s="1">
        <v>46108.586805555555</v>
      </c>
      <c r="D5002" t="s">
        <v>5640</v>
      </c>
    </row>
    <row r="5003" spans="1:4" x14ac:dyDescent="0.25">
      <c r="A5003" t="s">
        <v>620</v>
      </c>
      <c r="B5003" t="s">
        <v>38</v>
      </c>
      <c r="C5003" s="1">
        <v>46058.475694444445</v>
      </c>
      <c r="D5003" t="s">
        <v>5640</v>
      </c>
    </row>
    <row r="5004" spans="1:4" x14ac:dyDescent="0.25">
      <c r="A5004" t="s">
        <v>619</v>
      </c>
      <c r="B5004" t="s">
        <v>38</v>
      </c>
      <c r="C5004" s="1">
        <v>46057.457638888889</v>
      </c>
      <c r="D5004" t="s">
        <v>5640</v>
      </c>
    </row>
    <row r="5005" spans="1:4" x14ac:dyDescent="0.25">
      <c r="A5005" t="s">
        <v>1241</v>
      </c>
      <c r="B5005" t="s">
        <v>35</v>
      </c>
      <c r="C5005" s="1">
        <v>46109.799305555556</v>
      </c>
      <c r="D5005" t="s">
        <v>5640</v>
      </c>
    </row>
    <row r="5006" spans="1:4" x14ac:dyDescent="0.25">
      <c r="A5006" t="s">
        <v>639</v>
      </c>
      <c r="B5006" t="s">
        <v>38</v>
      </c>
      <c r="C5006" s="1">
        <v>46093.469444444447</v>
      </c>
      <c r="D5006" t="s">
        <v>5640</v>
      </c>
    </row>
    <row r="5007" spans="1:4" x14ac:dyDescent="0.25">
      <c r="A5007" t="s">
        <v>1242</v>
      </c>
      <c r="B5007" t="s">
        <v>35</v>
      </c>
      <c r="C5007" s="1">
        <v>46112.024305555555</v>
      </c>
      <c r="D5007" t="s">
        <v>5640</v>
      </c>
    </row>
    <row r="5008" spans="1:4" x14ac:dyDescent="0.25">
      <c r="A5008" t="s">
        <v>638</v>
      </c>
      <c r="B5008" t="s">
        <v>38</v>
      </c>
      <c r="C5008" s="1">
        <v>46104.477083333331</v>
      </c>
      <c r="D5008" t="s">
        <v>5640</v>
      </c>
    </row>
    <row r="5009" spans="1:4" x14ac:dyDescent="0.25">
      <c r="A5009" t="s">
        <v>1243</v>
      </c>
      <c r="B5009" t="s">
        <v>35</v>
      </c>
      <c r="C5009" s="1">
        <v>46108.557638888888</v>
      </c>
      <c r="D5009" t="s">
        <v>5640</v>
      </c>
    </row>
    <row r="5010" spans="1:4" x14ac:dyDescent="0.25">
      <c r="A5010" t="s">
        <v>637</v>
      </c>
      <c r="B5010" t="s">
        <v>38</v>
      </c>
      <c r="C5010" s="1">
        <v>46059.559027777781</v>
      </c>
      <c r="D5010" t="s">
        <v>5640</v>
      </c>
    </row>
    <row r="5011" spans="1:4" x14ac:dyDescent="0.25">
      <c r="A5011" t="s">
        <v>636</v>
      </c>
      <c r="B5011" t="s">
        <v>38</v>
      </c>
      <c r="C5011" s="1">
        <v>46062.543055555558</v>
      </c>
      <c r="D5011" t="s">
        <v>5640</v>
      </c>
    </row>
    <row r="5012" spans="1:4" x14ac:dyDescent="0.25">
      <c r="A5012" t="s">
        <v>634</v>
      </c>
      <c r="B5012" t="s">
        <v>39</v>
      </c>
      <c r="C5012" s="1">
        <v>46093.655555555553</v>
      </c>
      <c r="D5012" t="s">
        <v>5640</v>
      </c>
    </row>
    <row r="5013" spans="1:4" x14ac:dyDescent="0.25">
      <c r="A5013" t="s">
        <v>633</v>
      </c>
      <c r="B5013" t="s">
        <v>38</v>
      </c>
      <c r="C5013" s="1">
        <v>46057.720833333333</v>
      </c>
      <c r="D5013" t="s">
        <v>5640</v>
      </c>
    </row>
    <row r="5014" spans="1:4" x14ac:dyDescent="0.25">
      <c r="A5014" t="s">
        <v>632</v>
      </c>
      <c r="B5014" t="s">
        <v>38</v>
      </c>
      <c r="C5014" s="1">
        <v>46058.710416666669</v>
      </c>
      <c r="D5014" t="s">
        <v>5640</v>
      </c>
    </row>
    <row r="5015" spans="1:4" x14ac:dyDescent="0.25">
      <c r="A5015" t="s">
        <v>631</v>
      </c>
      <c r="B5015" t="s">
        <v>38</v>
      </c>
      <c r="C5015" s="1">
        <v>46058.761111111111</v>
      </c>
      <c r="D5015" t="s">
        <v>5640</v>
      </c>
    </row>
    <row r="5016" spans="1:4" x14ac:dyDescent="0.25">
      <c r="A5016" t="s">
        <v>630</v>
      </c>
      <c r="B5016" t="s">
        <v>38</v>
      </c>
      <c r="C5016" s="1">
        <v>46057.727777777778</v>
      </c>
      <c r="D5016" t="s">
        <v>5640</v>
      </c>
    </row>
    <row r="5017" spans="1:4" x14ac:dyDescent="0.25">
      <c r="A5017" t="s">
        <v>1237</v>
      </c>
      <c r="B5017" t="s">
        <v>35</v>
      </c>
      <c r="C5017" s="1">
        <v>46111.767361111109</v>
      </c>
      <c r="D5017" t="s">
        <v>5640</v>
      </c>
    </row>
    <row r="5018" spans="1:4" x14ac:dyDescent="0.25">
      <c r="A5018" t="s">
        <v>663</v>
      </c>
      <c r="B5018" t="s">
        <v>38</v>
      </c>
      <c r="C5018" s="1">
        <v>46058.725694444445</v>
      </c>
      <c r="D5018" t="s">
        <v>5640</v>
      </c>
    </row>
    <row r="5019" spans="1:4" x14ac:dyDescent="0.25">
      <c r="A5019" t="s">
        <v>662</v>
      </c>
      <c r="B5019" t="s">
        <v>38</v>
      </c>
      <c r="C5019" s="1">
        <v>46064.424305555556</v>
      </c>
      <c r="D5019" t="s">
        <v>5640</v>
      </c>
    </row>
    <row r="5020" spans="1:4" x14ac:dyDescent="0.25">
      <c r="A5020" t="s">
        <v>658</v>
      </c>
      <c r="B5020" t="s">
        <v>38</v>
      </c>
      <c r="C5020" s="1">
        <v>46058.734027777777</v>
      </c>
      <c r="D5020" t="s">
        <v>5640</v>
      </c>
    </row>
    <row r="5021" spans="1:4" x14ac:dyDescent="0.25">
      <c r="A5021" t="s">
        <v>655</v>
      </c>
      <c r="B5021" t="s">
        <v>38</v>
      </c>
      <c r="C5021" s="1">
        <v>46057.581250000003</v>
      </c>
      <c r="D5021" t="s">
        <v>5640</v>
      </c>
    </row>
    <row r="5022" spans="1:4" x14ac:dyDescent="0.25">
      <c r="A5022" t="s">
        <v>652</v>
      </c>
      <c r="B5022" t="s">
        <v>38</v>
      </c>
      <c r="C5022" s="1">
        <v>46098.555555555555</v>
      </c>
      <c r="D5022" t="s">
        <v>5640</v>
      </c>
    </row>
    <row r="5023" spans="1:4" x14ac:dyDescent="0.25">
      <c r="A5023" t="s">
        <v>651</v>
      </c>
      <c r="B5023" t="s">
        <v>38</v>
      </c>
      <c r="C5023" s="1">
        <v>46058.741666666669</v>
      </c>
      <c r="D5023" t="s">
        <v>5640</v>
      </c>
    </row>
    <row r="5024" spans="1:4" x14ac:dyDescent="0.25">
      <c r="A5024" t="s">
        <v>650</v>
      </c>
      <c r="B5024" t="s">
        <v>38</v>
      </c>
      <c r="C5024" s="1">
        <v>46093.65347222222</v>
      </c>
      <c r="D5024" t="s">
        <v>5640</v>
      </c>
    </row>
    <row r="5025" spans="1:4" x14ac:dyDescent="0.25">
      <c r="A5025" t="s">
        <v>649</v>
      </c>
      <c r="B5025" t="s">
        <v>38</v>
      </c>
      <c r="C5025" s="1">
        <v>46056.540972222225</v>
      </c>
      <c r="D5025" t="s">
        <v>5640</v>
      </c>
    </row>
    <row r="5026" spans="1:4" x14ac:dyDescent="0.25">
      <c r="A5026" t="s">
        <v>644</v>
      </c>
      <c r="B5026" t="s">
        <v>38</v>
      </c>
      <c r="C5026" s="1">
        <v>46058.736805555556</v>
      </c>
      <c r="D5026" t="s">
        <v>5640</v>
      </c>
    </row>
    <row r="5027" spans="1:4" x14ac:dyDescent="0.25">
      <c r="A5027" t="s">
        <v>642</v>
      </c>
      <c r="B5027" t="s">
        <v>38</v>
      </c>
      <c r="C5027" s="1">
        <v>46058.765277777777</v>
      </c>
      <c r="D5027" t="s">
        <v>5640</v>
      </c>
    </row>
    <row r="5028" spans="1:4" x14ac:dyDescent="0.25">
      <c r="A5028" t="s">
        <v>686</v>
      </c>
      <c r="B5028" t="s">
        <v>38</v>
      </c>
      <c r="C5028" s="1">
        <v>46057.506944444445</v>
      </c>
      <c r="D5028" t="s">
        <v>5640</v>
      </c>
    </row>
    <row r="5029" spans="1:4" x14ac:dyDescent="0.25">
      <c r="A5029" t="s">
        <v>675</v>
      </c>
      <c r="B5029" t="s">
        <v>38</v>
      </c>
      <c r="C5029" s="1">
        <v>46058.768750000003</v>
      </c>
      <c r="D5029" t="s">
        <v>5640</v>
      </c>
    </row>
    <row r="5030" spans="1:4" x14ac:dyDescent="0.25">
      <c r="A5030" t="s">
        <v>674</v>
      </c>
      <c r="B5030" t="s">
        <v>38</v>
      </c>
      <c r="C5030" s="1">
        <v>46058.947916666664</v>
      </c>
      <c r="D5030" t="s">
        <v>5640</v>
      </c>
    </row>
    <row r="5031" spans="1:4" x14ac:dyDescent="0.25">
      <c r="A5031" t="s">
        <v>673</v>
      </c>
      <c r="B5031" t="s">
        <v>38</v>
      </c>
      <c r="C5031" s="1">
        <v>46058.938194444447</v>
      </c>
      <c r="D5031" t="s">
        <v>5640</v>
      </c>
    </row>
    <row r="5032" spans="1:4" x14ac:dyDescent="0.25">
      <c r="A5032" t="s">
        <v>685</v>
      </c>
      <c r="B5032" t="s">
        <v>38</v>
      </c>
      <c r="C5032" s="1">
        <v>46074.542361111111</v>
      </c>
      <c r="D5032" t="s">
        <v>5640</v>
      </c>
    </row>
    <row r="5033" spans="1:4" x14ac:dyDescent="0.25">
      <c r="A5033" t="s">
        <v>667</v>
      </c>
      <c r="B5033" t="s">
        <v>38</v>
      </c>
      <c r="C5033" s="1">
        <v>46062.493750000001</v>
      </c>
      <c r="D5033" t="s">
        <v>5640</v>
      </c>
    </row>
    <row r="5034" spans="1:4" x14ac:dyDescent="0.25">
      <c r="A5034" t="s">
        <v>665</v>
      </c>
      <c r="B5034" t="s">
        <v>38</v>
      </c>
      <c r="C5034" s="1">
        <v>46058.529861111114</v>
      </c>
      <c r="D5034" t="s">
        <v>5640</v>
      </c>
    </row>
    <row r="5035" spans="1:4" x14ac:dyDescent="0.25">
      <c r="A5035" t="s">
        <v>698</v>
      </c>
      <c r="B5035" t="s">
        <v>38</v>
      </c>
      <c r="C5035" s="1">
        <v>46076.73333333333</v>
      </c>
      <c r="D5035" t="s">
        <v>5640</v>
      </c>
    </row>
    <row r="5036" spans="1:4" x14ac:dyDescent="0.25">
      <c r="A5036" t="s">
        <v>692</v>
      </c>
      <c r="B5036" t="s">
        <v>38</v>
      </c>
      <c r="C5036" s="1">
        <v>46059.727777777778</v>
      </c>
      <c r="D5036" t="s">
        <v>5640</v>
      </c>
    </row>
    <row r="5037" spans="1:4" x14ac:dyDescent="0.25">
      <c r="A5037" t="s">
        <v>691</v>
      </c>
      <c r="B5037" t="s">
        <v>38</v>
      </c>
      <c r="C5037" s="1">
        <v>46060.700694444444</v>
      </c>
      <c r="D5037" t="s">
        <v>5640</v>
      </c>
    </row>
    <row r="5038" spans="1:4" x14ac:dyDescent="0.25">
      <c r="A5038" t="s">
        <v>690</v>
      </c>
      <c r="B5038" t="s">
        <v>38</v>
      </c>
      <c r="C5038" s="1">
        <v>46079.491666666669</v>
      </c>
      <c r="D5038" t="s">
        <v>5640</v>
      </c>
    </row>
    <row r="5039" spans="1:4" x14ac:dyDescent="0.25">
      <c r="A5039" t="s">
        <v>688</v>
      </c>
      <c r="B5039" t="s">
        <v>38</v>
      </c>
      <c r="C5039" s="1">
        <v>46059.734027777777</v>
      </c>
      <c r="D5039" t="s">
        <v>5640</v>
      </c>
    </row>
    <row r="5040" spans="1:4" x14ac:dyDescent="0.25">
      <c r="A5040" t="s">
        <v>766</v>
      </c>
      <c r="B5040" t="s">
        <v>38</v>
      </c>
      <c r="C5040" s="1">
        <v>46066.671527777777</v>
      </c>
      <c r="D5040" t="s">
        <v>5640</v>
      </c>
    </row>
    <row r="5041" spans="1:4" x14ac:dyDescent="0.25">
      <c r="A5041" t="s">
        <v>720</v>
      </c>
      <c r="B5041" t="s">
        <v>38</v>
      </c>
      <c r="C5041" s="1">
        <v>46060.694444444445</v>
      </c>
      <c r="D5041" t="s">
        <v>5640</v>
      </c>
    </row>
    <row r="5042" spans="1:4" x14ac:dyDescent="0.25">
      <c r="A5042" t="s">
        <v>719</v>
      </c>
      <c r="B5042" t="s">
        <v>38</v>
      </c>
      <c r="C5042" s="1">
        <v>46067.727083333331</v>
      </c>
      <c r="D5042" t="s">
        <v>5640</v>
      </c>
    </row>
    <row r="5043" spans="1:4" x14ac:dyDescent="0.25">
      <c r="A5043" t="s">
        <v>715</v>
      </c>
      <c r="B5043" t="s">
        <v>38</v>
      </c>
      <c r="C5043" s="1">
        <v>46062.517361111109</v>
      </c>
      <c r="D5043" t="s">
        <v>5640</v>
      </c>
    </row>
    <row r="5044" spans="1:4" x14ac:dyDescent="0.25">
      <c r="A5044" t="s">
        <v>712</v>
      </c>
      <c r="B5044" t="s">
        <v>38</v>
      </c>
      <c r="C5044" s="1">
        <v>46062.557638888888</v>
      </c>
      <c r="D5044" t="s">
        <v>5640</v>
      </c>
    </row>
    <row r="5045" spans="1:4" x14ac:dyDescent="0.25">
      <c r="A5045" t="s">
        <v>709</v>
      </c>
      <c r="B5045" t="s">
        <v>38</v>
      </c>
      <c r="C5045" s="1">
        <v>46062.524305555555</v>
      </c>
      <c r="D5045" t="s">
        <v>5640</v>
      </c>
    </row>
    <row r="5046" spans="1:4" x14ac:dyDescent="0.25">
      <c r="A5046" t="s">
        <v>708</v>
      </c>
      <c r="B5046" t="s">
        <v>38</v>
      </c>
      <c r="C5046" s="1">
        <v>46067.604166666664</v>
      </c>
      <c r="D5046" t="s">
        <v>5640</v>
      </c>
    </row>
    <row r="5047" spans="1:4" x14ac:dyDescent="0.25">
      <c r="A5047" t="s">
        <v>707</v>
      </c>
      <c r="B5047" t="s">
        <v>38</v>
      </c>
      <c r="C5047" s="1">
        <v>46065.708333333336</v>
      </c>
      <c r="D5047" t="s">
        <v>5640</v>
      </c>
    </row>
    <row r="5048" spans="1:4" x14ac:dyDescent="0.25">
      <c r="A5048" t="s">
        <v>706</v>
      </c>
      <c r="B5048" t="s">
        <v>38</v>
      </c>
      <c r="C5048" s="1">
        <v>46091.494444444441</v>
      </c>
      <c r="D5048" t="s">
        <v>5640</v>
      </c>
    </row>
    <row r="5049" spans="1:4" x14ac:dyDescent="0.25">
      <c r="A5049" t="s">
        <v>705</v>
      </c>
      <c r="B5049" t="s">
        <v>38</v>
      </c>
      <c r="C5049" s="1">
        <v>46060.65902777778</v>
      </c>
      <c r="D5049" t="s">
        <v>5640</v>
      </c>
    </row>
    <row r="5050" spans="1:4" x14ac:dyDescent="0.25">
      <c r="A5050" t="s">
        <v>704</v>
      </c>
      <c r="B5050" t="s">
        <v>38</v>
      </c>
      <c r="C5050" s="1">
        <v>46065.69027777778</v>
      </c>
      <c r="D5050" t="s">
        <v>5640</v>
      </c>
    </row>
    <row r="5051" spans="1:4" x14ac:dyDescent="0.25">
      <c r="A5051" t="s">
        <v>703</v>
      </c>
      <c r="B5051" t="s">
        <v>38</v>
      </c>
      <c r="C5051" s="1">
        <v>46060.67291666667</v>
      </c>
      <c r="D5051" t="s">
        <v>5640</v>
      </c>
    </row>
    <row r="5052" spans="1:4" x14ac:dyDescent="0.25">
      <c r="A5052" t="s">
        <v>702</v>
      </c>
      <c r="B5052" t="s">
        <v>38</v>
      </c>
      <c r="C5052" s="1">
        <v>46060.683333333334</v>
      </c>
      <c r="D5052" t="s">
        <v>5640</v>
      </c>
    </row>
    <row r="5053" spans="1:4" x14ac:dyDescent="0.25">
      <c r="A5053" t="s">
        <v>701</v>
      </c>
      <c r="B5053" t="s">
        <v>38</v>
      </c>
      <c r="C5053" s="1">
        <v>46062.594444444447</v>
      </c>
      <c r="D5053" t="s">
        <v>5640</v>
      </c>
    </row>
    <row r="5054" spans="1:4" x14ac:dyDescent="0.25">
      <c r="A5054" t="s">
        <v>700</v>
      </c>
      <c r="B5054" t="s">
        <v>38</v>
      </c>
      <c r="C5054" s="1">
        <v>46060.677777777775</v>
      </c>
      <c r="D5054" t="s">
        <v>5640</v>
      </c>
    </row>
    <row r="5055" spans="1:4" x14ac:dyDescent="0.25">
      <c r="A5055" t="s">
        <v>736</v>
      </c>
      <c r="B5055" t="s">
        <v>38</v>
      </c>
      <c r="C5055" s="1">
        <v>46071.529166666667</v>
      </c>
      <c r="D5055" t="s">
        <v>5640</v>
      </c>
    </row>
    <row r="5056" spans="1:4" x14ac:dyDescent="0.25">
      <c r="A5056" t="s">
        <v>729</v>
      </c>
      <c r="B5056" t="s">
        <v>38</v>
      </c>
      <c r="C5056" s="1">
        <v>46093.638888888891</v>
      </c>
      <c r="D5056" t="s">
        <v>5640</v>
      </c>
    </row>
    <row r="5057" spans="1:4" x14ac:dyDescent="0.25">
      <c r="A5057" t="s">
        <v>746</v>
      </c>
      <c r="B5057" t="s">
        <v>38</v>
      </c>
      <c r="C5057" s="1">
        <v>46060.524305555555</v>
      </c>
      <c r="D5057" t="s">
        <v>5640</v>
      </c>
    </row>
    <row r="5058" spans="1:4" x14ac:dyDescent="0.25">
      <c r="A5058" t="s">
        <v>1227</v>
      </c>
      <c r="B5058" t="s">
        <v>5638</v>
      </c>
      <c r="C5058" s="1">
        <v>46111.976388888892</v>
      </c>
      <c r="D5058" t="s">
        <v>5640</v>
      </c>
    </row>
    <row r="5059" spans="1:4" x14ac:dyDescent="0.25">
      <c r="A5059" t="s">
        <v>744</v>
      </c>
      <c r="B5059" t="s">
        <v>38</v>
      </c>
      <c r="C5059" s="1">
        <v>46093.630555555559</v>
      </c>
      <c r="D5059" t="s">
        <v>5640</v>
      </c>
    </row>
    <row r="5060" spans="1:4" x14ac:dyDescent="0.25">
      <c r="A5060" t="s">
        <v>1224</v>
      </c>
      <c r="B5060" t="s">
        <v>5638</v>
      </c>
      <c r="C5060" s="1">
        <v>46108.80972222222</v>
      </c>
      <c r="D5060" t="s">
        <v>5640</v>
      </c>
    </row>
    <row r="5061" spans="1:4" x14ac:dyDescent="0.25">
      <c r="A5061" t="s">
        <v>748</v>
      </c>
      <c r="B5061" t="s">
        <v>38</v>
      </c>
      <c r="C5061" s="1">
        <v>46065.690972222219</v>
      </c>
      <c r="D5061" t="s">
        <v>5640</v>
      </c>
    </row>
    <row r="5062" spans="1:4" x14ac:dyDescent="0.25">
      <c r="A5062" t="s">
        <v>769</v>
      </c>
      <c r="B5062" t="s">
        <v>38</v>
      </c>
      <c r="C5062" s="1">
        <v>46093.42291666667</v>
      </c>
      <c r="D5062" t="s">
        <v>5640</v>
      </c>
    </row>
    <row r="5063" spans="1:4" x14ac:dyDescent="0.25">
      <c r="A5063" t="s">
        <v>768</v>
      </c>
      <c r="B5063" t="s">
        <v>38</v>
      </c>
      <c r="C5063" s="1">
        <v>46063.496527777781</v>
      </c>
      <c r="D5063" t="s">
        <v>5640</v>
      </c>
    </row>
    <row r="5064" spans="1:4" x14ac:dyDescent="0.25">
      <c r="A5064" t="s">
        <v>767</v>
      </c>
      <c r="B5064" t="s">
        <v>38</v>
      </c>
      <c r="C5064" s="1">
        <v>46074.543055555558</v>
      </c>
      <c r="D5064" t="s">
        <v>5640</v>
      </c>
    </row>
    <row r="5065" spans="1:4" x14ac:dyDescent="0.25">
      <c r="A5065" t="s">
        <v>777</v>
      </c>
      <c r="B5065" t="s">
        <v>38</v>
      </c>
      <c r="C5065" s="1">
        <v>46062.804166666669</v>
      </c>
      <c r="D5065" t="s">
        <v>5640</v>
      </c>
    </row>
    <row r="5066" spans="1:4" x14ac:dyDescent="0.25">
      <c r="A5066" t="s">
        <v>774</v>
      </c>
      <c r="B5066" t="s">
        <v>38</v>
      </c>
      <c r="C5066" s="1">
        <v>46071.715277777781</v>
      </c>
      <c r="D5066" t="s">
        <v>5640</v>
      </c>
    </row>
    <row r="5067" spans="1:4" x14ac:dyDescent="0.25">
      <c r="A5067" t="s">
        <v>773</v>
      </c>
      <c r="B5067" t="s">
        <v>38</v>
      </c>
      <c r="C5067" s="1">
        <v>46064.613888888889</v>
      </c>
      <c r="D5067" t="s">
        <v>5640</v>
      </c>
    </row>
    <row r="5068" spans="1:4" x14ac:dyDescent="0.25">
      <c r="A5068" t="s">
        <v>771</v>
      </c>
      <c r="B5068" t="s">
        <v>38</v>
      </c>
      <c r="C5068" s="1">
        <v>46065.745833333334</v>
      </c>
      <c r="D5068" t="s">
        <v>5640</v>
      </c>
    </row>
    <row r="5069" spans="1:4" x14ac:dyDescent="0.25">
      <c r="A5069" t="s">
        <v>770</v>
      </c>
      <c r="B5069" t="s">
        <v>38</v>
      </c>
      <c r="C5069" s="1">
        <v>46071.618055555555</v>
      </c>
      <c r="D5069" t="s">
        <v>5640</v>
      </c>
    </row>
    <row r="5070" spans="1:4" x14ac:dyDescent="0.25">
      <c r="A5070" t="s">
        <v>1209</v>
      </c>
      <c r="B5070" t="s">
        <v>5638</v>
      </c>
      <c r="C5070" s="1">
        <v>46111.722916666666</v>
      </c>
      <c r="D5070" t="s">
        <v>5640</v>
      </c>
    </row>
    <row r="5071" spans="1:4" x14ac:dyDescent="0.25">
      <c r="A5071" t="s">
        <v>827</v>
      </c>
      <c r="B5071" t="s">
        <v>38</v>
      </c>
      <c r="C5071" s="1">
        <v>46064.622916666667</v>
      </c>
      <c r="D5071" t="s">
        <v>5640</v>
      </c>
    </row>
    <row r="5072" spans="1:4" x14ac:dyDescent="0.25">
      <c r="A5072" t="s">
        <v>821</v>
      </c>
      <c r="B5072" t="s">
        <v>38</v>
      </c>
      <c r="C5072" s="1">
        <v>46079.70208333333</v>
      </c>
      <c r="D5072" t="s">
        <v>5640</v>
      </c>
    </row>
    <row r="5073" spans="1:4" x14ac:dyDescent="0.25">
      <c r="A5073" t="s">
        <v>1212</v>
      </c>
      <c r="B5073" t="s">
        <v>35</v>
      </c>
      <c r="C5073" s="1">
        <v>46111.604166666664</v>
      </c>
      <c r="D5073" t="s">
        <v>5640</v>
      </c>
    </row>
    <row r="5074" spans="1:4" x14ac:dyDescent="0.25">
      <c r="A5074" t="s">
        <v>819</v>
      </c>
      <c r="B5074" t="s">
        <v>38</v>
      </c>
      <c r="C5074" s="1">
        <v>46065.750694444447</v>
      </c>
      <c r="D5074" t="s">
        <v>5640</v>
      </c>
    </row>
    <row r="5075" spans="1:4" x14ac:dyDescent="0.25">
      <c r="A5075" t="s">
        <v>1213</v>
      </c>
      <c r="B5075" t="s">
        <v>35</v>
      </c>
      <c r="C5075" s="1">
        <v>46107.689583333333</v>
      </c>
      <c r="D5075" t="s">
        <v>5640</v>
      </c>
    </row>
    <row r="5076" spans="1:4" x14ac:dyDescent="0.25">
      <c r="A5076" t="s">
        <v>1214</v>
      </c>
      <c r="B5076" t="s">
        <v>35</v>
      </c>
      <c r="C5076" s="1">
        <v>46111.46597222222</v>
      </c>
      <c r="D5076" t="s">
        <v>5640</v>
      </c>
    </row>
    <row r="5077" spans="1:4" x14ac:dyDescent="0.25">
      <c r="A5077" t="s">
        <v>815</v>
      </c>
      <c r="B5077" t="s">
        <v>38</v>
      </c>
      <c r="C5077" s="1">
        <v>46077.722916666666</v>
      </c>
      <c r="D5077" t="s">
        <v>5640</v>
      </c>
    </row>
    <row r="5078" spans="1:4" x14ac:dyDescent="0.25">
      <c r="A5078" t="s">
        <v>813</v>
      </c>
      <c r="B5078" t="s">
        <v>38</v>
      </c>
      <c r="C5078" s="1">
        <v>46067.647916666669</v>
      </c>
      <c r="D5078" t="s">
        <v>5640</v>
      </c>
    </row>
    <row r="5079" spans="1:4" x14ac:dyDescent="0.25">
      <c r="A5079" t="s">
        <v>811</v>
      </c>
      <c r="B5079" t="s">
        <v>38</v>
      </c>
      <c r="C5079" s="1">
        <v>46067.635416666664</v>
      </c>
      <c r="D5079" t="s">
        <v>5640</v>
      </c>
    </row>
    <row r="5080" spans="1:4" x14ac:dyDescent="0.25">
      <c r="A5080" t="s">
        <v>809</v>
      </c>
      <c r="B5080" t="s">
        <v>38</v>
      </c>
      <c r="C5080" s="1">
        <v>46080.574999999997</v>
      </c>
      <c r="D5080" t="s">
        <v>5640</v>
      </c>
    </row>
    <row r="5081" spans="1:4" x14ac:dyDescent="0.25">
      <c r="A5081" t="s">
        <v>808</v>
      </c>
      <c r="B5081" t="s">
        <v>38</v>
      </c>
      <c r="C5081" s="1">
        <v>46064.770833333336</v>
      </c>
      <c r="D5081" t="s">
        <v>5640</v>
      </c>
    </row>
    <row r="5082" spans="1:4" x14ac:dyDescent="0.25">
      <c r="A5082" t="s">
        <v>807</v>
      </c>
      <c r="B5082" t="s">
        <v>38</v>
      </c>
      <c r="C5082" s="1">
        <v>46070.643055555556</v>
      </c>
      <c r="D5082" t="s">
        <v>5640</v>
      </c>
    </row>
    <row r="5083" spans="1:4" x14ac:dyDescent="0.25">
      <c r="A5083" t="s">
        <v>806</v>
      </c>
      <c r="B5083" t="s">
        <v>38</v>
      </c>
      <c r="C5083" s="1">
        <v>46066.73541666667</v>
      </c>
      <c r="D5083" t="s">
        <v>5640</v>
      </c>
    </row>
    <row r="5084" spans="1:4" x14ac:dyDescent="0.25">
      <c r="A5084" t="s">
        <v>805</v>
      </c>
      <c r="B5084" t="s">
        <v>38</v>
      </c>
      <c r="C5084" s="1">
        <v>46069.781944444447</v>
      </c>
      <c r="D5084" t="s">
        <v>5640</v>
      </c>
    </row>
    <row r="5085" spans="1:4" x14ac:dyDescent="0.25">
      <c r="A5085" t="s">
        <v>797</v>
      </c>
      <c r="B5085" t="s">
        <v>38</v>
      </c>
      <c r="C5085" s="1">
        <v>46080.502083333333</v>
      </c>
      <c r="D5085" t="s">
        <v>5640</v>
      </c>
    </row>
    <row r="5086" spans="1:4" x14ac:dyDescent="0.25">
      <c r="A5086" t="s">
        <v>796</v>
      </c>
      <c r="B5086" t="s">
        <v>38</v>
      </c>
      <c r="C5086" s="1">
        <v>46074.584722222222</v>
      </c>
      <c r="D5086" t="s">
        <v>5640</v>
      </c>
    </row>
    <row r="5087" spans="1:4" x14ac:dyDescent="0.25">
      <c r="A5087" t="s">
        <v>791</v>
      </c>
      <c r="B5087" t="s">
        <v>38</v>
      </c>
      <c r="C5087" s="1">
        <v>46069.678472222222</v>
      </c>
      <c r="D5087" t="s">
        <v>5640</v>
      </c>
    </row>
    <row r="5088" spans="1:4" x14ac:dyDescent="0.25">
      <c r="A5088" t="s">
        <v>790</v>
      </c>
      <c r="B5088" t="s">
        <v>38</v>
      </c>
      <c r="C5088" s="1">
        <v>46069.619444444441</v>
      </c>
      <c r="D5088" t="s">
        <v>5640</v>
      </c>
    </row>
    <row r="5089" spans="1:4" x14ac:dyDescent="0.25">
      <c r="A5089" t="s">
        <v>786</v>
      </c>
      <c r="B5089" t="s">
        <v>38</v>
      </c>
      <c r="C5089" s="1">
        <v>46069.693055555559</v>
      </c>
      <c r="D5089" t="s">
        <v>5640</v>
      </c>
    </row>
    <row r="5090" spans="1:4" x14ac:dyDescent="0.25">
      <c r="A5090" t="s">
        <v>785</v>
      </c>
      <c r="B5090" t="s">
        <v>38</v>
      </c>
      <c r="C5090" s="1">
        <v>46069.572222222225</v>
      </c>
      <c r="D5090" t="s">
        <v>5640</v>
      </c>
    </row>
    <row r="5091" spans="1:4" x14ac:dyDescent="0.25">
      <c r="A5091" t="s">
        <v>784</v>
      </c>
      <c r="B5091" t="s">
        <v>38</v>
      </c>
      <c r="C5091" s="1">
        <v>46073.615972222222</v>
      </c>
      <c r="D5091" t="s">
        <v>5640</v>
      </c>
    </row>
    <row r="5092" spans="1:4" x14ac:dyDescent="0.25">
      <c r="A5092" t="s">
        <v>783</v>
      </c>
      <c r="B5092" t="s">
        <v>38</v>
      </c>
      <c r="C5092" s="1">
        <v>46071.57708333333</v>
      </c>
      <c r="D5092" t="s">
        <v>5640</v>
      </c>
    </row>
    <row r="5093" spans="1:4" x14ac:dyDescent="0.25">
      <c r="A5093" t="s">
        <v>782</v>
      </c>
      <c r="B5093" t="s">
        <v>38</v>
      </c>
      <c r="C5093" s="1">
        <v>46070.546527777777</v>
      </c>
      <c r="D5093" t="s">
        <v>5640</v>
      </c>
    </row>
    <row r="5094" spans="1:4" x14ac:dyDescent="0.25">
      <c r="A5094" t="s">
        <v>780</v>
      </c>
      <c r="B5094" t="s">
        <v>38</v>
      </c>
      <c r="C5094" s="1">
        <v>46070.633333333331</v>
      </c>
      <c r="D5094" t="s">
        <v>5640</v>
      </c>
    </row>
    <row r="5095" spans="1:4" x14ac:dyDescent="0.25">
      <c r="A5095" t="s">
        <v>847</v>
      </c>
      <c r="B5095" t="s">
        <v>38</v>
      </c>
      <c r="C5095" s="1">
        <v>46074.509722222225</v>
      </c>
      <c r="D5095" t="s">
        <v>5640</v>
      </c>
    </row>
    <row r="5096" spans="1:4" x14ac:dyDescent="0.25">
      <c r="A5096" t="s">
        <v>845</v>
      </c>
      <c r="B5096" t="s">
        <v>38</v>
      </c>
      <c r="C5096" s="1">
        <v>46071.586111111108</v>
      </c>
      <c r="D5096" t="s">
        <v>5640</v>
      </c>
    </row>
    <row r="5097" spans="1:4" x14ac:dyDescent="0.25">
      <c r="A5097" t="s">
        <v>843</v>
      </c>
      <c r="B5097" t="s">
        <v>38</v>
      </c>
      <c r="C5097" s="1">
        <v>46076.402777777781</v>
      </c>
      <c r="D5097" t="s">
        <v>5640</v>
      </c>
    </row>
    <row r="5098" spans="1:4" x14ac:dyDescent="0.25">
      <c r="A5098" t="s">
        <v>838</v>
      </c>
      <c r="B5098" t="s">
        <v>38</v>
      </c>
      <c r="C5098" s="1">
        <v>46093.60833333333</v>
      </c>
      <c r="D5098" t="s">
        <v>5640</v>
      </c>
    </row>
    <row r="5099" spans="1:4" x14ac:dyDescent="0.25">
      <c r="A5099" t="s">
        <v>837</v>
      </c>
      <c r="B5099" t="s">
        <v>38</v>
      </c>
      <c r="C5099" s="1">
        <v>46073.65625</v>
      </c>
      <c r="D5099" t="s">
        <v>5640</v>
      </c>
    </row>
    <row r="5100" spans="1:4" x14ac:dyDescent="0.25">
      <c r="A5100" t="s">
        <v>836</v>
      </c>
      <c r="B5100" t="s">
        <v>38</v>
      </c>
      <c r="C5100" s="1">
        <v>46093.607638888891</v>
      </c>
      <c r="D5100" t="s">
        <v>5640</v>
      </c>
    </row>
    <row r="5101" spans="1:4" x14ac:dyDescent="0.25">
      <c r="A5101" t="s">
        <v>830</v>
      </c>
      <c r="B5101" t="s">
        <v>38</v>
      </c>
      <c r="C5101" s="1">
        <v>46091.535416666666</v>
      </c>
      <c r="D5101" t="s">
        <v>5640</v>
      </c>
    </row>
    <row r="5102" spans="1:4" x14ac:dyDescent="0.25">
      <c r="A5102" t="s">
        <v>866</v>
      </c>
      <c r="B5102" t="s">
        <v>38</v>
      </c>
      <c r="C5102" s="1">
        <v>46079.525000000001</v>
      </c>
      <c r="D5102" t="s">
        <v>5640</v>
      </c>
    </row>
    <row r="5103" spans="1:4" x14ac:dyDescent="0.25">
      <c r="A5103" t="s">
        <v>863</v>
      </c>
      <c r="B5103" t="s">
        <v>38</v>
      </c>
      <c r="C5103" s="1">
        <v>46074.521527777775</v>
      </c>
      <c r="D5103" t="s">
        <v>5640</v>
      </c>
    </row>
    <row r="5104" spans="1:4" x14ac:dyDescent="0.25">
      <c r="A5104" t="s">
        <v>858</v>
      </c>
      <c r="B5104" t="s">
        <v>38</v>
      </c>
      <c r="C5104" s="1">
        <v>46107.496527777781</v>
      </c>
      <c r="D5104" t="s">
        <v>5640</v>
      </c>
    </row>
    <row r="5105" spans="1:4" x14ac:dyDescent="0.25">
      <c r="A5105" t="s">
        <v>856</v>
      </c>
      <c r="B5105" t="s">
        <v>39</v>
      </c>
      <c r="C5105" s="1">
        <v>46111.699305555558</v>
      </c>
      <c r="D5105" t="s">
        <v>5640</v>
      </c>
    </row>
    <row r="5106" spans="1:4" x14ac:dyDescent="0.25">
      <c r="A5106" t="s">
        <v>852</v>
      </c>
      <c r="B5106" t="s">
        <v>38</v>
      </c>
      <c r="C5106" s="1">
        <v>46078.535416666666</v>
      </c>
      <c r="D5106" t="s">
        <v>5640</v>
      </c>
    </row>
    <row r="5107" spans="1:4" x14ac:dyDescent="0.25">
      <c r="A5107" t="s">
        <v>848</v>
      </c>
      <c r="B5107" t="s">
        <v>38</v>
      </c>
      <c r="C5107" s="1">
        <v>46076.56527777778</v>
      </c>
      <c r="D5107" t="s">
        <v>5640</v>
      </c>
    </row>
    <row r="5108" spans="1:4" x14ac:dyDescent="0.25">
      <c r="A5108" t="s">
        <v>880</v>
      </c>
      <c r="B5108" t="s">
        <v>38</v>
      </c>
      <c r="C5108" s="1">
        <v>46077.60833333333</v>
      </c>
      <c r="D5108" t="s">
        <v>5640</v>
      </c>
    </row>
    <row r="5109" spans="1:4" x14ac:dyDescent="0.25">
      <c r="A5109" t="s">
        <v>879</v>
      </c>
      <c r="B5109" t="s">
        <v>38</v>
      </c>
      <c r="C5109" s="1">
        <v>46093.563194444447</v>
      </c>
      <c r="D5109" t="s">
        <v>5640</v>
      </c>
    </row>
    <row r="5110" spans="1:4" x14ac:dyDescent="0.25">
      <c r="A5110" t="s">
        <v>877</v>
      </c>
      <c r="B5110" t="s">
        <v>38</v>
      </c>
      <c r="C5110" s="1">
        <v>46081.586111111108</v>
      </c>
      <c r="D5110" t="s">
        <v>5640</v>
      </c>
    </row>
    <row r="5111" spans="1:4" x14ac:dyDescent="0.25">
      <c r="A5111" t="s">
        <v>1221</v>
      </c>
      <c r="B5111" t="s">
        <v>38</v>
      </c>
      <c r="C5111" s="1">
        <v>46107.731944444444</v>
      </c>
      <c r="D5111" t="s">
        <v>5640</v>
      </c>
    </row>
    <row r="5112" spans="1:4" x14ac:dyDescent="0.25">
      <c r="A5112" t="s">
        <v>874</v>
      </c>
      <c r="B5112" t="s">
        <v>38</v>
      </c>
      <c r="C5112" s="1">
        <v>46074.582638888889</v>
      </c>
      <c r="D5112" t="s">
        <v>5640</v>
      </c>
    </row>
    <row r="5113" spans="1:4" x14ac:dyDescent="0.25">
      <c r="A5113" t="s">
        <v>873</v>
      </c>
      <c r="B5113" t="s">
        <v>38</v>
      </c>
      <c r="C5113" s="1">
        <v>46074.586111111108</v>
      </c>
      <c r="D5113" t="s">
        <v>5640</v>
      </c>
    </row>
    <row r="5114" spans="1:4" x14ac:dyDescent="0.25">
      <c r="A5114" t="s">
        <v>889</v>
      </c>
      <c r="B5114" t="s">
        <v>38</v>
      </c>
      <c r="C5114" s="1">
        <v>46077.584722222222</v>
      </c>
      <c r="D5114" t="s">
        <v>5640</v>
      </c>
    </row>
    <row r="5115" spans="1:4" x14ac:dyDescent="0.25">
      <c r="A5115" t="s">
        <v>888</v>
      </c>
      <c r="B5115" t="s">
        <v>38</v>
      </c>
      <c r="C5115" s="1">
        <v>46080.630555555559</v>
      </c>
      <c r="D5115" t="s">
        <v>5640</v>
      </c>
    </row>
    <row r="5116" spans="1:4" x14ac:dyDescent="0.25">
      <c r="A5116" t="s">
        <v>887</v>
      </c>
      <c r="B5116" t="s">
        <v>38</v>
      </c>
      <c r="C5116" s="1">
        <v>46083.511111111111</v>
      </c>
      <c r="D5116" t="s">
        <v>5640</v>
      </c>
    </row>
    <row r="5117" spans="1:4" x14ac:dyDescent="0.25">
      <c r="A5117" t="s">
        <v>1222</v>
      </c>
      <c r="B5117" t="s">
        <v>5638</v>
      </c>
      <c r="C5117" s="1">
        <v>46108.703472222223</v>
      </c>
      <c r="D5117" t="s">
        <v>5640</v>
      </c>
    </row>
    <row r="5118" spans="1:4" x14ac:dyDescent="0.25">
      <c r="A5118" t="s">
        <v>909</v>
      </c>
      <c r="B5118" t="s">
        <v>38</v>
      </c>
      <c r="C5118" s="1">
        <v>46085.552083333336</v>
      </c>
      <c r="D5118" t="s">
        <v>5640</v>
      </c>
    </row>
    <row r="5119" spans="1:4" x14ac:dyDescent="0.25">
      <c r="A5119" t="s">
        <v>904</v>
      </c>
      <c r="B5119" t="s">
        <v>38</v>
      </c>
      <c r="C5119" s="1">
        <v>46077.745138888888</v>
      </c>
      <c r="D5119" t="s">
        <v>5640</v>
      </c>
    </row>
    <row r="5120" spans="1:4" x14ac:dyDescent="0.25">
      <c r="A5120" t="s">
        <v>903</v>
      </c>
      <c r="B5120" t="s">
        <v>39</v>
      </c>
      <c r="C5120" s="1">
        <v>46093.559027777781</v>
      </c>
      <c r="D5120" t="s">
        <v>5640</v>
      </c>
    </row>
    <row r="5121" spans="1:4" x14ac:dyDescent="0.25">
      <c r="A5121" t="s">
        <v>994</v>
      </c>
      <c r="B5121" t="s">
        <v>38</v>
      </c>
      <c r="C5121" s="1">
        <v>46093.559027777781</v>
      </c>
      <c r="D5121" t="s">
        <v>5640</v>
      </c>
    </row>
    <row r="5122" spans="1:4" x14ac:dyDescent="0.25">
      <c r="A5122" t="s">
        <v>902</v>
      </c>
      <c r="B5122" t="s">
        <v>38</v>
      </c>
      <c r="C5122" s="1">
        <v>46076.47152777778</v>
      </c>
      <c r="D5122" t="s">
        <v>5640</v>
      </c>
    </row>
    <row r="5123" spans="1:4" x14ac:dyDescent="0.25">
      <c r="A5123" t="s">
        <v>901</v>
      </c>
      <c r="B5123" t="s">
        <v>38</v>
      </c>
      <c r="C5123" s="1">
        <v>46085.592361111114</v>
      </c>
      <c r="D5123" t="s">
        <v>5640</v>
      </c>
    </row>
    <row r="5124" spans="1:4" x14ac:dyDescent="0.25">
      <c r="A5124" t="s">
        <v>898</v>
      </c>
      <c r="B5124" t="s">
        <v>38</v>
      </c>
      <c r="C5124" s="1">
        <v>46080.513888888891</v>
      </c>
      <c r="D5124" t="s">
        <v>5640</v>
      </c>
    </row>
    <row r="5125" spans="1:4" x14ac:dyDescent="0.25">
      <c r="A5125" t="s">
        <v>896</v>
      </c>
      <c r="B5125" t="s">
        <v>38</v>
      </c>
      <c r="C5125" s="1">
        <v>46076.543055555558</v>
      </c>
      <c r="D5125" t="s">
        <v>5640</v>
      </c>
    </row>
    <row r="5126" spans="1:4" x14ac:dyDescent="0.25">
      <c r="A5126" t="s">
        <v>893</v>
      </c>
      <c r="B5126" t="s">
        <v>38</v>
      </c>
      <c r="C5126" s="1">
        <v>46083.527083333334</v>
      </c>
      <c r="D5126" t="s">
        <v>5640</v>
      </c>
    </row>
    <row r="5127" spans="1:4" x14ac:dyDescent="0.25">
      <c r="A5127" t="s">
        <v>892</v>
      </c>
      <c r="B5127" t="s">
        <v>38</v>
      </c>
      <c r="C5127" s="1">
        <v>46083.623611111114</v>
      </c>
      <c r="D5127" t="s">
        <v>5640</v>
      </c>
    </row>
    <row r="5128" spans="1:4" x14ac:dyDescent="0.25">
      <c r="A5128" t="s">
        <v>891</v>
      </c>
      <c r="B5128" t="s">
        <v>38</v>
      </c>
      <c r="C5128" s="1">
        <v>46077.499305555553</v>
      </c>
      <c r="D5128" t="s">
        <v>5640</v>
      </c>
    </row>
    <row r="5129" spans="1:4" x14ac:dyDescent="0.25">
      <c r="A5129" t="s">
        <v>912</v>
      </c>
      <c r="B5129" t="s">
        <v>38</v>
      </c>
      <c r="C5129" s="1">
        <v>46088.504861111112</v>
      </c>
      <c r="D5129" t="s">
        <v>5640</v>
      </c>
    </row>
    <row r="5130" spans="1:4" x14ac:dyDescent="0.25">
      <c r="A5130" t="s">
        <v>911</v>
      </c>
      <c r="B5130" t="s">
        <v>38</v>
      </c>
      <c r="C5130" s="1">
        <v>46085.607638888891</v>
      </c>
      <c r="D5130" t="s">
        <v>5640</v>
      </c>
    </row>
    <row r="5131" spans="1:4" x14ac:dyDescent="0.25">
      <c r="A5131" t="s">
        <v>910</v>
      </c>
      <c r="B5131" t="s">
        <v>39</v>
      </c>
      <c r="C5131" s="1">
        <v>46093.747916666667</v>
      </c>
      <c r="D5131" t="s">
        <v>5640</v>
      </c>
    </row>
    <row r="5132" spans="1:4" x14ac:dyDescent="0.25">
      <c r="A5132" t="s">
        <v>927</v>
      </c>
      <c r="B5132" t="s">
        <v>38</v>
      </c>
      <c r="C5132" s="1">
        <v>46077.504166666666</v>
      </c>
      <c r="D5132" t="s">
        <v>5640</v>
      </c>
    </row>
    <row r="5133" spans="1:4" x14ac:dyDescent="0.25">
      <c r="A5133" t="s">
        <v>925</v>
      </c>
      <c r="B5133" t="s">
        <v>38</v>
      </c>
      <c r="C5133" s="1">
        <v>46086.442361111112</v>
      </c>
      <c r="D5133" t="s">
        <v>5640</v>
      </c>
    </row>
    <row r="5134" spans="1:4" x14ac:dyDescent="0.25">
      <c r="A5134" t="s">
        <v>923</v>
      </c>
      <c r="B5134" t="s">
        <v>38</v>
      </c>
      <c r="C5134" s="1">
        <v>46085.549305555556</v>
      </c>
      <c r="D5134" t="s">
        <v>5640</v>
      </c>
    </row>
    <row r="5135" spans="1:4" x14ac:dyDescent="0.25">
      <c r="A5135" t="s">
        <v>921</v>
      </c>
      <c r="B5135" t="s">
        <v>38</v>
      </c>
      <c r="C5135" s="1">
        <v>46078.54791666667</v>
      </c>
      <c r="D5135" t="s">
        <v>5640</v>
      </c>
    </row>
    <row r="5136" spans="1:4" x14ac:dyDescent="0.25">
      <c r="A5136" t="s">
        <v>920</v>
      </c>
      <c r="B5136" t="s">
        <v>38</v>
      </c>
      <c r="C5136" s="1">
        <v>46083.48541666667</v>
      </c>
      <c r="D5136" t="s">
        <v>5640</v>
      </c>
    </row>
    <row r="5137" spans="1:4" x14ac:dyDescent="0.25">
      <c r="A5137" t="s">
        <v>919</v>
      </c>
      <c r="B5137" t="s">
        <v>38</v>
      </c>
      <c r="C5137" s="1">
        <v>46079.595138888886</v>
      </c>
      <c r="D5137" t="s">
        <v>5640</v>
      </c>
    </row>
    <row r="5138" spans="1:4" x14ac:dyDescent="0.25">
      <c r="A5138" t="s">
        <v>917</v>
      </c>
      <c r="B5138" t="s">
        <v>38</v>
      </c>
      <c r="C5138" s="1">
        <v>46085.631944444445</v>
      </c>
      <c r="D5138" t="s">
        <v>5640</v>
      </c>
    </row>
    <row r="5139" spans="1:4" x14ac:dyDescent="0.25">
      <c r="A5139" t="s">
        <v>916</v>
      </c>
      <c r="B5139" t="s">
        <v>38</v>
      </c>
      <c r="C5139" s="1">
        <v>46081.61041666667</v>
      </c>
      <c r="D5139" t="s">
        <v>5640</v>
      </c>
    </row>
    <row r="5140" spans="1:4" x14ac:dyDescent="0.25">
      <c r="A5140" t="s">
        <v>915</v>
      </c>
      <c r="B5140" t="s">
        <v>38</v>
      </c>
      <c r="C5140" s="1">
        <v>46085.643750000003</v>
      </c>
      <c r="D5140" t="s">
        <v>5640</v>
      </c>
    </row>
    <row r="5141" spans="1:4" x14ac:dyDescent="0.25">
      <c r="A5141" t="s">
        <v>913</v>
      </c>
      <c r="B5141" t="s">
        <v>38</v>
      </c>
      <c r="C5141" s="1">
        <v>46086.427777777775</v>
      </c>
      <c r="D5141" t="s">
        <v>5640</v>
      </c>
    </row>
    <row r="5142" spans="1:4" x14ac:dyDescent="0.25">
      <c r="A5142" t="s">
        <v>930</v>
      </c>
      <c r="B5142" t="s">
        <v>38</v>
      </c>
      <c r="C5142" s="1">
        <v>46093.554166666669</v>
      </c>
      <c r="D5142" t="s">
        <v>5640</v>
      </c>
    </row>
    <row r="5143" spans="1:4" x14ac:dyDescent="0.25">
      <c r="A5143" t="s">
        <v>936</v>
      </c>
      <c r="B5143" t="s">
        <v>39</v>
      </c>
      <c r="C5143" s="1">
        <v>46093.552777777775</v>
      </c>
      <c r="D5143" t="s">
        <v>5640</v>
      </c>
    </row>
    <row r="5144" spans="1:4" x14ac:dyDescent="0.25">
      <c r="A5144" t="s">
        <v>935</v>
      </c>
      <c r="B5144" t="s">
        <v>38</v>
      </c>
      <c r="C5144" s="1">
        <v>46086.75</v>
      </c>
      <c r="D5144" t="s">
        <v>5640</v>
      </c>
    </row>
    <row r="5145" spans="1:4" x14ac:dyDescent="0.25">
      <c r="A5145" t="s">
        <v>941</v>
      </c>
      <c r="B5145" t="s">
        <v>38</v>
      </c>
      <c r="C5145" s="1">
        <v>46078.536111111112</v>
      </c>
      <c r="D5145" t="s">
        <v>5640</v>
      </c>
    </row>
    <row r="5146" spans="1:4" x14ac:dyDescent="0.25">
      <c r="A5146" t="s">
        <v>939</v>
      </c>
      <c r="B5146" t="s">
        <v>38</v>
      </c>
      <c r="C5146" s="1">
        <v>46085.536805555559</v>
      </c>
      <c r="D5146" t="s">
        <v>5640</v>
      </c>
    </row>
    <row r="5147" spans="1:4" x14ac:dyDescent="0.25">
      <c r="A5147" t="s">
        <v>993</v>
      </c>
      <c r="B5147" t="s">
        <v>38</v>
      </c>
      <c r="C5147" s="1">
        <v>46083.511805555558</v>
      </c>
      <c r="D5147" t="s">
        <v>5640</v>
      </c>
    </row>
    <row r="5148" spans="1:4" x14ac:dyDescent="0.25">
      <c r="A5148" t="s">
        <v>992</v>
      </c>
      <c r="B5148" t="s">
        <v>38</v>
      </c>
      <c r="C5148" s="1">
        <v>46079.618055555555</v>
      </c>
      <c r="D5148" t="s">
        <v>5640</v>
      </c>
    </row>
    <row r="5149" spans="1:4" x14ac:dyDescent="0.25">
      <c r="A5149" t="s">
        <v>989</v>
      </c>
      <c r="B5149" t="s">
        <v>38</v>
      </c>
      <c r="C5149" s="1">
        <v>46083.511805555558</v>
      </c>
      <c r="D5149" t="s">
        <v>5640</v>
      </c>
    </row>
    <row r="5150" spans="1:4" x14ac:dyDescent="0.25">
      <c r="A5150" t="s">
        <v>988</v>
      </c>
      <c r="B5150" t="s">
        <v>38</v>
      </c>
      <c r="C5150" s="1">
        <v>46090.739583333336</v>
      </c>
      <c r="D5150" t="s">
        <v>5640</v>
      </c>
    </row>
    <row r="5151" spans="1:4" x14ac:dyDescent="0.25">
      <c r="A5151" t="s">
        <v>984</v>
      </c>
      <c r="B5151" t="s">
        <v>38</v>
      </c>
      <c r="C5151" s="1">
        <v>46085.556944444441</v>
      </c>
      <c r="D5151" t="s">
        <v>5640</v>
      </c>
    </row>
    <row r="5152" spans="1:4" x14ac:dyDescent="0.25">
      <c r="A5152" t="s">
        <v>976</v>
      </c>
      <c r="B5152" t="s">
        <v>38</v>
      </c>
      <c r="C5152" s="1">
        <v>46111.43472222222</v>
      </c>
      <c r="D5152" t="s">
        <v>5640</v>
      </c>
    </row>
    <row r="5153" spans="1:4" x14ac:dyDescent="0.25">
      <c r="A5153" t="s">
        <v>975</v>
      </c>
      <c r="B5153" t="s">
        <v>38</v>
      </c>
      <c r="C5153" s="1">
        <v>46087.519444444442</v>
      </c>
      <c r="D5153" t="s">
        <v>5640</v>
      </c>
    </row>
    <row r="5154" spans="1:4" x14ac:dyDescent="0.25">
      <c r="A5154" t="s">
        <v>971</v>
      </c>
      <c r="B5154" t="s">
        <v>38</v>
      </c>
      <c r="C5154" s="1">
        <v>46083.561805555553</v>
      </c>
      <c r="D5154" t="s">
        <v>5640</v>
      </c>
    </row>
    <row r="5155" spans="1:4" x14ac:dyDescent="0.25">
      <c r="A5155" t="s">
        <v>970</v>
      </c>
      <c r="B5155" t="s">
        <v>38</v>
      </c>
      <c r="C5155" s="1">
        <v>46085.565972222219</v>
      </c>
      <c r="D5155" t="s">
        <v>5640</v>
      </c>
    </row>
    <row r="5156" spans="1:4" x14ac:dyDescent="0.25">
      <c r="A5156" t="s">
        <v>969</v>
      </c>
      <c r="B5156" t="s">
        <v>38</v>
      </c>
      <c r="C5156" s="1">
        <v>46085.583333333336</v>
      </c>
      <c r="D5156" t="s">
        <v>5640</v>
      </c>
    </row>
    <row r="5157" spans="1:4" x14ac:dyDescent="0.25">
      <c r="A5157" t="s">
        <v>997</v>
      </c>
      <c r="B5157" t="s">
        <v>38</v>
      </c>
      <c r="C5157" s="1">
        <v>46089.798611111109</v>
      </c>
      <c r="D5157" t="s">
        <v>5640</v>
      </c>
    </row>
    <row r="5158" spans="1:4" x14ac:dyDescent="0.25">
      <c r="A5158" t="s">
        <v>962</v>
      </c>
      <c r="B5158" t="s">
        <v>38</v>
      </c>
      <c r="C5158" s="1">
        <v>46085.592361111114</v>
      </c>
      <c r="D5158" t="s">
        <v>5640</v>
      </c>
    </row>
    <row r="5159" spans="1:4" x14ac:dyDescent="0.25">
      <c r="A5159" t="s">
        <v>959</v>
      </c>
      <c r="B5159" t="s">
        <v>38</v>
      </c>
      <c r="C5159" s="1">
        <v>46085.606944444444</v>
      </c>
      <c r="D5159" t="s">
        <v>5640</v>
      </c>
    </row>
    <row r="5160" spans="1:4" x14ac:dyDescent="0.25">
      <c r="A5160" t="s">
        <v>958</v>
      </c>
      <c r="B5160" t="s">
        <v>38</v>
      </c>
      <c r="C5160" s="1">
        <v>46085.61041666667</v>
      </c>
      <c r="D5160" t="s">
        <v>5640</v>
      </c>
    </row>
    <row r="5161" spans="1:4" x14ac:dyDescent="0.25">
      <c r="A5161" t="s">
        <v>957</v>
      </c>
      <c r="B5161" t="s">
        <v>38</v>
      </c>
      <c r="C5161" s="1">
        <v>46108.616666666669</v>
      </c>
      <c r="D5161" t="s">
        <v>5640</v>
      </c>
    </row>
    <row r="5162" spans="1:4" x14ac:dyDescent="0.25">
      <c r="A5162" t="s">
        <v>956</v>
      </c>
      <c r="B5162" t="s">
        <v>38</v>
      </c>
      <c r="C5162" s="1">
        <v>46087.53125</v>
      </c>
      <c r="D5162" t="s">
        <v>5640</v>
      </c>
    </row>
    <row r="5163" spans="1:4" x14ac:dyDescent="0.25">
      <c r="A5163" t="s">
        <v>955</v>
      </c>
      <c r="B5163" t="s">
        <v>38</v>
      </c>
      <c r="C5163" s="1">
        <v>46086.493750000001</v>
      </c>
      <c r="D5163" t="s">
        <v>5640</v>
      </c>
    </row>
    <row r="5164" spans="1:4" x14ac:dyDescent="0.25">
      <c r="A5164" t="s">
        <v>950</v>
      </c>
      <c r="B5164" t="s">
        <v>38</v>
      </c>
      <c r="C5164" s="1">
        <v>46086.494444444441</v>
      </c>
      <c r="D5164" t="s">
        <v>5640</v>
      </c>
    </row>
    <row r="5165" spans="1:4" x14ac:dyDescent="0.25">
      <c r="A5165" t="s">
        <v>949</v>
      </c>
      <c r="B5165" t="s">
        <v>38</v>
      </c>
      <c r="C5165" s="1">
        <v>46092.51458333333</v>
      </c>
      <c r="D5165" t="s">
        <v>5640</v>
      </c>
    </row>
    <row r="5166" spans="1:4" x14ac:dyDescent="0.25">
      <c r="A5166" t="s">
        <v>947</v>
      </c>
      <c r="B5166" t="s">
        <v>38</v>
      </c>
      <c r="C5166" s="1">
        <v>46087.536111111112</v>
      </c>
      <c r="D5166" t="s">
        <v>5640</v>
      </c>
    </row>
    <row r="5167" spans="1:4" x14ac:dyDescent="0.25">
      <c r="A5167" t="s">
        <v>946</v>
      </c>
      <c r="B5167" t="s">
        <v>38</v>
      </c>
      <c r="C5167" s="1">
        <v>46090.450694444444</v>
      </c>
      <c r="D5167" t="s">
        <v>5640</v>
      </c>
    </row>
    <row r="5168" spans="1:4" x14ac:dyDescent="0.25">
      <c r="A5168" t="s">
        <v>945</v>
      </c>
      <c r="B5168" t="s">
        <v>38</v>
      </c>
      <c r="C5168" s="1">
        <v>46091.628472222219</v>
      </c>
      <c r="D5168" t="s">
        <v>5640</v>
      </c>
    </row>
    <row r="5169" spans="1:4" x14ac:dyDescent="0.25">
      <c r="A5169" t="s">
        <v>943</v>
      </c>
      <c r="B5169" t="s">
        <v>38</v>
      </c>
      <c r="C5169" s="1">
        <v>46094.728472222225</v>
      </c>
      <c r="D5169" t="s">
        <v>5640</v>
      </c>
    </row>
    <row r="5170" spans="1:4" x14ac:dyDescent="0.25">
      <c r="A5170" t="s">
        <v>996</v>
      </c>
      <c r="B5170" t="s">
        <v>38</v>
      </c>
      <c r="C5170" s="1">
        <v>46095.525000000001</v>
      </c>
      <c r="D5170" t="s">
        <v>5640</v>
      </c>
    </row>
    <row r="5171" spans="1:4" x14ac:dyDescent="0.25">
      <c r="A5171" t="s">
        <v>995</v>
      </c>
      <c r="B5171" t="s">
        <v>38</v>
      </c>
      <c r="C5171" s="1">
        <v>46090.586805555555</v>
      </c>
      <c r="D5171" t="s">
        <v>5640</v>
      </c>
    </row>
    <row r="5172" spans="1:4" x14ac:dyDescent="0.25">
      <c r="A5172" t="s">
        <v>1003</v>
      </c>
      <c r="B5172" t="s">
        <v>38</v>
      </c>
      <c r="C5172" s="1">
        <v>46087.546527777777</v>
      </c>
      <c r="D5172" t="s">
        <v>5640</v>
      </c>
    </row>
    <row r="5173" spans="1:4" x14ac:dyDescent="0.25">
      <c r="A5173" t="s">
        <v>1002</v>
      </c>
      <c r="B5173" t="s">
        <v>38</v>
      </c>
      <c r="C5173" s="1">
        <v>46090.579861111109</v>
      </c>
      <c r="D5173" t="s">
        <v>5640</v>
      </c>
    </row>
    <row r="5174" spans="1:4" x14ac:dyDescent="0.25">
      <c r="A5174" t="s">
        <v>1000</v>
      </c>
      <c r="B5174" t="s">
        <v>38</v>
      </c>
      <c r="C5174" s="1">
        <v>46090.572916666664</v>
      </c>
      <c r="D5174" t="s">
        <v>5640</v>
      </c>
    </row>
    <row r="5175" spans="1:4" x14ac:dyDescent="0.25">
      <c r="A5175" t="s">
        <v>998</v>
      </c>
      <c r="B5175" t="s">
        <v>38</v>
      </c>
      <c r="C5175" s="1">
        <v>46093.54583333333</v>
      </c>
      <c r="D5175" t="s">
        <v>5640</v>
      </c>
    </row>
    <row r="5176" spans="1:4" x14ac:dyDescent="0.25">
      <c r="A5176" t="s">
        <v>1014</v>
      </c>
      <c r="B5176" t="s">
        <v>38</v>
      </c>
      <c r="C5176" s="1">
        <v>46093.747916666667</v>
      </c>
      <c r="D5176" t="s">
        <v>5640</v>
      </c>
    </row>
    <row r="5177" spans="1:4" x14ac:dyDescent="0.25">
      <c r="A5177" t="s">
        <v>1013</v>
      </c>
      <c r="B5177" t="s">
        <v>38</v>
      </c>
      <c r="C5177" s="1">
        <v>46089.775694444441</v>
      </c>
      <c r="D5177" t="s">
        <v>5640</v>
      </c>
    </row>
    <row r="5178" spans="1:4" x14ac:dyDescent="0.25">
      <c r="A5178" t="s">
        <v>1020</v>
      </c>
      <c r="B5178" t="s">
        <v>39</v>
      </c>
      <c r="C5178" s="1">
        <v>46085.549305555556</v>
      </c>
      <c r="D5178" t="s">
        <v>5640</v>
      </c>
    </row>
    <row r="5179" spans="1:4" x14ac:dyDescent="0.25">
      <c r="A5179" t="s">
        <v>1019</v>
      </c>
      <c r="B5179" t="s">
        <v>38</v>
      </c>
      <c r="C5179" s="1">
        <v>46086.54583333333</v>
      </c>
      <c r="D5179" t="s">
        <v>5640</v>
      </c>
    </row>
    <row r="5180" spans="1:4" x14ac:dyDescent="0.25">
      <c r="A5180" t="s">
        <v>1027</v>
      </c>
      <c r="B5180" t="s">
        <v>38</v>
      </c>
      <c r="C5180" s="1">
        <v>46095.612500000003</v>
      </c>
      <c r="D5180" t="s">
        <v>5640</v>
      </c>
    </row>
    <row r="5181" spans="1:4" x14ac:dyDescent="0.25">
      <c r="A5181" t="s">
        <v>1053</v>
      </c>
      <c r="B5181" t="s">
        <v>39</v>
      </c>
      <c r="C5181" s="1">
        <v>46105.561111111114</v>
      </c>
      <c r="D5181" t="s">
        <v>5640</v>
      </c>
    </row>
    <row r="5182" spans="1:4" x14ac:dyDescent="0.25">
      <c r="A5182" t="s">
        <v>1057</v>
      </c>
      <c r="B5182" t="s">
        <v>38</v>
      </c>
      <c r="C5182" s="1">
        <v>46092.473611111112</v>
      </c>
      <c r="D5182" t="s">
        <v>5640</v>
      </c>
    </row>
    <row r="5183" spans="1:4" x14ac:dyDescent="0.25">
      <c r="A5183" t="s">
        <v>1059</v>
      </c>
      <c r="B5183" t="s">
        <v>38</v>
      </c>
      <c r="C5183" s="1">
        <v>46092.563888888886</v>
      </c>
      <c r="D5183" t="s">
        <v>5640</v>
      </c>
    </row>
    <row r="5184" spans="1:4" x14ac:dyDescent="0.25">
      <c r="A5184" t="s">
        <v>1072</v>
      </c>
      <c r="B5184" t="s">
        <v>38</v>
      </c>
      <c r="C5184" s="1">
        <v>46097.51666666667</v>
      </c>
      <c r="D5184" t="s">
        <v>5640</v>
      </c>
    </row>
    <row r="5185" spans="1:4" x14ac:dyDescent="0.25">
      <c r="A5185" t="s">
        <v>1080</v>
      </c>
      <c r="B5185" t="s">
        <v>35</v>
      </c>
      <c r="C5185" s="1">
        <v>46106.695138888892</v>
      </c>
      <c r="D5185" t="s">
        <v>5640</v>
      </c>
    </row>
    <row r="5186" spans="1:4" x14ac:dyDescent="0.25">
      <c r="A5186" t="s">
        <v>1079</v>
      </c>
      <c r="B5186" t="s">
        <v>38</v>
      </c>
      <c r="C5186" s="1">
        <v>46100.566666666666</v>
      </c>
      <c r="D5186" t="s">
        <v>5640</v>
      </c>
    </row>
    <row r="5187" spans="1:4" x14ac:dyDescent="0.25">
      <c r="A5187" t="s">
        <v>1077</v>
      </c>
      <c r="B5187" t="s">
        <v>5638</v>
      </c>
      <c r="C5187" s="1">
        <v>46107.847916666666</v>
      </c>
      <c r="D5187" t="s">
        <v>5640</v>
      </c>
    </row>
    <row r="5188" spans="1:4" x14ac:dyDescent="0.25">
      <c r="A5188" t="s">
        <v>1075</v>
      </c>
      <c r="B5188" t="s">
        <v>38</v>
      </c>
      <c r="C5188" s="1">
        <v>46111.45416666667</v>
      </c>
      <c r="D5188" t="s">
        <v>5640</v>
      </c>
    </row>
    <row r="5189" spans="1:4" x14ac:dyDescent="0.25">
      <c r="A5189" t="s">
        <v>1074</v>
      </c>
      <c r="B5189" t="s">
        <v>5638</v>
      </c>
      <c r="C5189" s="1">
        <v>46106.793055555558</v>
      </c>
      <c r="D5189" t="s">
        <v>5640</v>
      </c>
    </row>
    <row r="5190" spans="1:4" x14ac:dyDescent="0.25">
      <c r="A5190" t="s">
        <v>1092</v>
      </c>
      <c r="B5190" t="s">
        <v>38</v>
      </c>
      <c r="C5190" s="1">
        <v>46100.574999999997</v>
      </c>
      <c r="D5190" t="s">
        <v>5640</v>
      </c>
    </row>
    <row r="5191" spans="1:4" x14ac:dyDescent="0.25">
      <c r="A5191" t="s">
        <v>1090</v>
      </c>
      <c r="B5191" t="s">
        <v>38</v>
      </c>
      <c r="C5191" s="1">
        <v>46107.529861111114</v>
      </c>
      <c r="D5191" t="s">
        <v>5640</v>
      </c>
    </row>
    <row r="5192" spans="1:4" x14ac:dyDescent="0.25">
      <c r="A5192" t="s">
        <v>1098</v>
      </c>
      <c r="B5192" t="s">
        <v>5638</v>
      </c>
      <c r="C5192" s="1">
        <v>46111.739583333336</v>
      </c>
      <c r="D5192" t="s">
        <v>5640</v>
      </c>
    </row>
    <row r="5193" spans="1:4" x14ac:dyDescent="0.25">
      <c r="A5193" t="s">
        <v>1097</v>
      </c>
      <c r="B5193" t="s">
        <v>5638</v>
      </c>
      <c r="C5193" s="1">
        <v>46108.018750000003</v>
      </c>
      <c r="D5193" t="s">
        <v>5640</v>
      </c>
    </row>
    <row r="5194" spans="1:4" x14ac:dyDescent="0.25">
      <c r="A5194" t="s">
        <v>1094</v>
      </c>
      <c r="B5194" t="s">
        <v>5638</v>
      </c>
      <c r="C5194" s="1">
        <v>46107.626388888886</v>
      </c>
      <c r="D5194" t="s">
        <v>5640</v>
      </c>
    </row>
    <row r="5195" spans="1:4" x14ac:dyDescent="0.25">
      <c r="A5195" t="s">
        <v>1127</v>
      </c>
      <c r="B5195" t="s">
        <v>5638</v>
      </c>
      <c r="C5195" s="1">
        <v>46106.797222222223</v>
      </c>
      <c r="D5195" t="s">
        <v>5640</v>
      </c>
    </row>
    <row r="5196" spans="1:4" x14ac:dyDescent="0.25">
      <c r="A5196" t="s">
        <v>1126</v>
      </c>
      <c r="B5196" t="s">
        <v>5638</v>
      </c>
      <c r="C5196" s="1">
        <v>46106.771527777775</v>
      </c>
      <c r="D5196" t="s">
        <v>5640</v>
      </c>
    </row>
    <row r="5197" spans="1:4" x14ac:dyDescent="0.25">
      <c r="A5197" t="s">
        <v>1124</v>
      </c>
      <c r="B5197" t="s">
        <v>5638</v>
      </c>
      <c r="C5197" s="1">
        <v>46109.859722222223</v>
      </c>
      <c r="D5197" t="s">
        <v>5640</v>
      </c>
    </row>
    <row r="5198" spans="1:4" x14ac:dyDescent="0.25">
      <c r="A5198" t="s">
        <v>1122</v>
      </c>
      <c r="B5198" t="s">
        <v>1129</v>
      </c>
      <c r="C5198" s="1">
        <v>46111.60833333333</v>
      </c>
      <c r="D5198" t="s">
        <v>5640</v>
      </c>
    </row>
    <row r="5199" spans="1:4" x14ac:dyDescent="0.25">
      <c r="A5199" t="s">
        <v>1121</v>
      </c>
      <c r="B5199" t="s">
        <v>38</v>
      </c>
      <c r="C5199" s="1">
        <v>46100.594444444447</v>
      </c>
      <c r="D5199" t="s">
        <v>5640</v>
      </c>
    </row>
    <row r="5200" spans="1:4" x14ac:dyDescent="0.25">
      <c r="A5200" t="s">
        <v>1120</v>
      </c>
      <c r="B5200" t="s">
        <v>38</v>
      </c>
      <c r="C5200" s="1">
        <v>46107.545138888891</v>
      </c>
      <c r="D5200" t="s">
        <v>5640</v>
      </c>
    </row>
    <row r="5201" spans="1:4" x14ac:dyDescent="0.25">
      <c r="A5201" t="s">
        <v>1119</v>
      </c>
      <c r="B5201" t="s">
        <v>38</v>
      </c>
      <c r="C5201" s="1">
        <v>46097.565972222219</v>
      </c>
      <c r="D5201" t="s">
        <v>5640</v>
      </c>
    </row>
    <row r="5202" spans="1:4" x14ac:dyDescent="0.25">
      <c r="A5202" t="s">
        <v>1117</v>
      </c>
      <c r="B5202" t="s">
        <v>38</v>
      </c>
      <c r="C5202" s="1">
        <v>46111.628472222219</v>
      </c>
      <c r="D5202" t="s">
        <v>5640</v>
      </c>
    </row>
    <row r="5203" spans="1:4" x14ac:dyDescent="0.25">
      <c r="A5203" t="s">
        <v>1116</v>
      </c>
      <c r="B5203" t="s">
        <v>38</v>
      </c>
      <c r="C5203" s="1">
        <v>46100.601388888892</v>
      </c>
      <c r="D5203" t="s">
        <v>5640</v>
      </c>
    </row>
    <row r="5204" spans="1:4" x14ac:dyDescent="0.25">
      <c r="A5204" t="s">
        <v>1115</v>
      </c>
      <c r="B5204" t="s">
        <v>38</v>
      </c>
      <c r="C5204" s="1">
        <v>46098.497916666667</v>
      </c>
      <c r="D5204" t="s">
        <v>5640</v>
      </c>
    </row>
    <row r="5205" spans="1:4" x14ac:dyDescent="0.25">
      <c r="A5205" t="s">
        <v>1112</v>
      </c>
      <c r="B5205" t="s">
        <v>5638</v>
      </c>
      <c r="C5205" s="1">
        <v>46107.581250000003</v>
      </c>
      <c r="D5205" t="s">
        <v>5640</v>
      </c>
    </row>
    <row r="5206" spans="1:4" x14ac:dyDescent="0.25">
      <c r="A5206" t="s">
        <v>1111</v>
      </c>
      <c r="B5206" t="s">
        <v>30</v>
      </c>
      <c r="C5206" s="1">
        <v>46111.729166666664</v>
      </c>
      <c r="D5206" t="s">
        <v>5640</v>
      </c>
    </row>
    <row r="5207" spans="1:4" x14ac:dyDescent="0.25">
      <c r="A5207" t="s">
        <v>1108</v>
      </c>
      <c r="B5207" t="s">
        <v>5638</v>
      </c>
      <c r="C5207" s="1">
        <v>46111.492361111108</v>
      </c>
      <c r="D5207" t="s">
        <v>5640</v>
      </c>
    </row>
    <row r="5208" spans="1:4" x14ac:dyDescent="0.25">
      <c r="A5208" t="s">
        <v>1105</v>
      </c>
      <c r="B5208" t="s">
        <v>5638</v>
      </c>
      <c r="C5208" s="1">
        <v>46107.819444444445</v>
      </c>
      <c r="D5208" t="s">
        <v>5640</v>
      </c>
    </row>
    <row r="5209" spans="1:4" x14ac:dyDescent="0.25">
      <c r="A5209" t="s">
        <v>1139</v>
      </c>
      <c r="B5209" t="s">
        <v>30</v>
      </c>
      <c r="C5209" s="1">
        <v>46111.727083333331</v>
      </c>
      <c r="D5209" t="s">
        <v>5640</v>
      </c>
    </row>
    <row r="5210" spans="1:4" x14ac:dyDescent="0.25">
      <c r="A5210" t="s">
        <v>1138</v>
      </c>
      <c r="B5210" t="s">
        <v>30</v>
      </c>
      <c r="C5210" s="1">
        <v>46111.725694444445</v>
      </c>
      <c r="D5210" t="s">
        <v>5640</v>
      </c>
    </row>
    <row r="5211" spans="1:4" x14ac:dyDescent="0.25">
      <c r="A5211" t="s">
        <v>1136</v>
      </c>
      <c r="B5211" t="s">
        <v>38</v>
      </c>
      <c r="C5211" s="1">
        <v>46107.561805555553</v>
      </c>
      <c r="D5211" t="s">
        <v>5640</v>
      </c>
    </row>
    <row r="5212" spans="1:4" x14ac:dyDescent="0.25">
      <c r="A5212" t="s">
        <v>1135</v>
      </c>
      <c r="B5212" t="s">
        <v>38</v>
      </c>
      <c r="C5212" s="1">
        <v>46100.61041666667</v>
      </c>
      <c r="D5212" t="s">
        <v>5640</v>
      </c>
    </row>
    <row r="5213" spans="1:4" x14ac:dyDescent="0.25">
      <c r="A5213" t="s">
        <v>1134</v>
      </c>
      <c r="B5213" t="s">
        <v>5638</v>
      </c>
      <c r="C5213" s="1">
        <v>46106.743750000001</v>
      </c>
      <c r="D5213" t="s">
        <v>5640</v>
      </c>
    </row>
    <row r="5214" spans="1:4" x14ac:dyDescent="0.25">
      <c r="A5214" t="s">
        <v>1133</v>
      </c>
      <c r="B5214" t="s">
        <v>5638</v>
      </c>
      <c r="C5214" s="1">
        <v>46106.452777777777</v>
      </c>
      <c r="D5214" t="s">
        <v>5640</v>
      </c>
    </row>
    <row r="5215" spans="1:4" x14ac:dyDescent="0.25">
      <c r="A5215" t="s">
        <v>1132</v>
      </c>
      <c r="B5215" t="s">
        <v>5638</v>
      </c>
      <c r="C5215" s="1">
        <v>46107.620138888888</v>
      </c>
      <c r="D5215" t="s">
        <v>5640</v>
      </c>
    </row>
    <row r="5216" spans="1:4" x14ac:dyDescent="0.25">
      <c r="A5216" t="s">
        <v>1131</v>
      </c>
      <c r="B5216" t="s">
        <v>5638</v>
      </c>
      <c r="C5216" s="1">
        <v>46106.390972222223</v>
      </c>
      <c r="D5216" t="s">
        <v>5640</v>
      </c>
    </row>
    <row r="5217" spans="1:4" x14ac:dyDescent="0.25">
      <c r="A5217" t="s">
        <v>1151</v>
      </c>
      <c r="B5217" t="s">
        <v>38</v>
      </c>
      <c r="C5217" s="1">
        <v>46106.613194444442</v>
      </c>
      <c r="D5217" t="s">
        <v>5640</v>
      </c>
    </row>
    <row r="5218" spans="1:4" x14ac:dyDescent="0.25">
      <c r="A5218" t="s">
        <v>1150</v>
      </c>
      <c r="B5218" t="s">
        <v>1129</v>
      </c>
      <c r="C5218" s="1">
        <v>46111.45208333333</v>
      </c>
      <c r="D5218" t="s">
        <v>5640</v>
      </c>
    </row>
    <row r="5219" spans="1:4" x14ac:dyDescent="0.25">
      <c r="A5219" t="s">
        <v>1149</v>
      </c>
      <c r="B5219" t="s">
        <v>5638</v>
      </c>
      <c r="C5219" s="1">
        <v>46109.85833333333</v>
      </c>
      <c r="D5219" t="s">
        <v>5640</v>
      </c>
    </row>
    <row r="5220" spans="1:4" x14ac:dyDescent="0.25">
      <c r="A5220" t="s">
        <v>1148</v>
      </c>
      <c r="B5220" t="s">
        <v>5638</v>
      </c>
      <c r="C5220" s="1">
        <v>46109.857638888891</v>
      </c>
      <c r="D5220" t="s">
        <v>5640</v>
      </c>
    </row>
    <row r="5221" spans="1:4" x14ac:dyDescent="0.25">
      <c r="A5221" t="s">
        <v>1147</v>
      </c>
      <c r="B5221" t="s">
        <v>38</v>
      </c>
      <c r="C5221" s="1">
        <v>46105.684027777781</v>
      </c>
      <c r="D5221" t="s">
        <v>5640</v>
      </c>
    </row>
    <row r="5222" spans="1:4" x14ac:dyDescent="0.25">
      <c r="A5222" t="s">
        <v>1166</v>
      </c>
      <c r="B5222" t="s">
        <v>5638</v>
      </c>
      <c r="C5222" s="1">
        <v>46111.586805555555</v>
      </c>
      <c r="D5222" t="s">
        <v>5640</v>
      </c>
    </row>
    <row r="5223" spans="1:4" x14ac:dyDescent="0.25">
      <c r="A5223" t="s">
        <v>1161</v>
      </c>
      <c r="B5223" t="s">
        <v>38</v>
      </c>
      <c r="C5223" s="1">
        <v>46101.481249999997</v>
      </c>
      <c r="D5223" t="s">
        <v>5640</v>
      </c>
    </row>
    <row r="5224" spans="1:4" x14ac:dyDescent="0.25">
      <c r="A5224" t="s">
        <v>1170</v>
      </c>
      <c r="B5224" t="s">
        <v>39</v>
      </c>
      <c r="C5224" s="1">
        <v>46104.509027777778</v>
      </c>
      <c r="D5224" t="s">
        <v>5640</v>
      </c>
    </row>
    <row r="5225" spans="1:4" x14ac:dyDescent="0.25">
      <c r="A5225" t="s">
        <v>1186</v>
      </c>
      <c r="B5225" t="s">
        <v>5638</v>
      </c>
      <c r="C5225" s="1">
        <v>46111.537499999999</v>
      </c>
      <c r="D5225" t="s">
        <v>5640</v>
      </c>
    </row>
    <row r="5226" spans="1:4" x14ac:dyDescent="0.25">
      <c r="A5226" t="s">
        <v>1168</v>
      </c>
      <c r="B5226" t="s">
        <v>5638</v>
      </c>
      <c r="C5226" s="1">
        <v>46109.720138888886</v>
      </c>
      <c r="D5226" t="s">
        <v>5640</v>
      </c>
    </row>
    <row r="5227" spans="1:4" x14ac:dyDescent="0.25">
      <c r="A5227" t="s">
        <v>1167</v>
      </c>
      <c r="B5227" t="s">
        <v>35</v>
      </c>
      <c r="C5227" s="1">
        <v>46107.718055555553</v>
      </c>
      <c r="D5227" t="s">
        <v>5640</v>
      </c>
    </row>
    <row r="5228" spans="1:4" x14ac:dyDescent="0.25">
      <c r="A5228" t="s">
        <v>1179</v>
      </c>
      <c r="B5228" t="s">
        <v>1129</v>
      </c>
      <c r="C5228" s="1">
        <v>46111.862500000003</v>
      </c>
      <c r="D5228" t="s">
        <v>5640</v>
      </c>
    </row>
    <row r="5229" spans="1:4" x14ac:dyDescent="0.25">
      <c r="A5229" t="s">
        <v>340</v>
      </c>
      <c r="B5229" t="s">
        <v>38</v>
      </c>
      <c r="C5229" s="1">
        <v>46039.517361111109</v>
      </c>
      <c r="D5229" t="s">
        <v>5640</v>
      </c>
    </row>
    <row r="5230" spans="1:4" x14ac:dyDescent="0.25">
      <c r="A5230" t="s">
        <v>348</v>
      </c>
      <c r="B5230" t="s">
        <v>38</v>
      </c>
      <c r="C5230" s="1">
        <v>46039.522222222222</v>
      </c>
      <c r="D5230" t="s">
        <v>5640</v>
      </c>
    </row>
    <row r="5231" spans="1:4" x14ac:dyDescent="0.25">
      <c r="A5231" t="s">
        <v>347</v>
      </c>
      <c r="B5231" t="s">
        <v>38</v>
      </c>
      <c r="C5231" s="1">
        <v>46039.520833333336</v>
      </c>
      <c r="D5231" t="s">
        <v>5640</v>
      </c>
    </row>
    <row r="5232" spans="1:4" x14ac:dyDescent="0.25">
      <c r="A5232" t="s">
        <v>346</v>
      </c>
      <c r="B5232" t="s">
        <v>38</v>
      </c>
      <c r="C5232" s="1">
        <v>46039.554166666669</v>
      </c>
      <c r="D5232" t="s">
        <v>5640</v>
      </c>
    </row>
    <row r="5233" spans="1:4" x14ac:dyDescent="0.25">
      <c r="A5233" t="s">
        <v>354</v>
      </c>
      <c r="B5233" t="s">
        <v>38</v>
      </c>
      <c r="C5233" s="1">
        <v>46039.556250000001</v>
      </c>
      <c r="D5233" t="s">
        <v>5640</v>
      </c>
    </row>
    <row r="5234" spans="1:4" x14ac:dyDescent="0.25">
      <c r="A5234" t="s">
        <v>369</v>
      </c>
      <c r="B5234" t="s">
        <v>39</v>
      </c>
      <c r="C5234" s="1">
        <v>46034.650694444441</v>
      </c>
      <c r="D5234" t="s">
        <v>5640</v>
      </c>
    </row>
    <row r="5235" spans="1:4" x14ac:dyDescent="0.25">
      <c r="A5235" t="s">
        <v>366</v>
      </c>
      <c r="B5235" t="s">
        <v>39</v>
      </c>
      <c r="C5235" s="1">
        <v>46028.869444444441</v>
      </c>
      <c r="D5235" t="s">
        <v>5640</v>
      </c>
    </row>
    <row r="5236" spans="1:4" x14ac:dyDescent="0.25">
      <c r="A5236" t="s">
        <v>1268</v>
      </c>
      <c r="B5236" t="s">
        <v>1239</v>
      </c>
      <c r="C5236" s="1">
        <v>46111.791666666664</v>
      </c>
      <c r="D5236" t="s">
        <v>5640</v>
      </c>
    </row>
    <row r="5237" spans="1:4" x14ac:dyDescent="0.25">
      <c r="A5237" t="s">
        <v>376</v>
      </c>
      <c r="B5237" t="s">
        <v>38</v>
      </c>
      <c r="C5237" s="1">
        <v>46029.59652777778</v>
      </c>
      <c r="D5237" t="s">
        <v>5640</v>
      </c>
    </row>
    <row r="5238" spans="1:4" x14ac:dyDescent="0.25">
      <c r="A5238" t="s">
        <v>385</v>
      </c>
      <c r="B5238" t="s">
        <v>38</v>
      </c>
      <c r="C5238" s="1">
        <v>46029.748611111114</v>
      </c>
      <c r="D5238" t="s">
        <v>5640</v>
      </c>
    </row>
    <row r="5239" spans="1:4" x14ac:dyDescent="0.25">
      <c r="A5239" t="s">
        <v>384</v>
      </c>
      <c r="B5239" t="s">
        <v>38</v>
      </c>
      <c r="C5239" s="1">
        <v>46043.50277777778</v>
      </c>
      <c r="D5239" t="s">
        <v>5640</v>
      </c>
    </row>
    <row r="5240" spans="1:4" x14ac:dyDescent="0.25">
      <c r="A5240" t="s">
        <v>383</v>
      </c>
      <c r="B5240" t="s">
        <v>38</v>
      </c>
      <c r="C5240" s="1">
        <v>46028.591666666667</v>
      </c>
      <c r="D5240" t="s">
        <v>5640</v>
      </c>
    </row>
    <row r="5241" spans="1:4" x14ac:dyDescent="0.25">
      <c r="A5241" t="s">
        <v>382</v>
      </c>
      <c r="B5241" t="s">
        <v>39</v>
      </c>
      <c r="C5241" s="1">
        <v>46050.5</v>
      </c>
      <c r="D5241" t="s">
        <v>5640</v>
      </c>
    </row>
    <row r="5242" spans="1:4" x14ac:dyDescent="0.25">
      <c r="A5242" t="s">
        <v>381</v>
      </c>
      <c r="B5242" t="s">
        <v>38</v>
      </c>
      <c r="C5242" s="1">
        <v>46029.447916666664</v>
      </c>
      <c r="D5242" t="s">
        <v>5640</v>
      </c>
    </row>
    <row r="5243" spans="1:4" x14ac:dyDescent="0.25">
      <c r="A5243" t="s">
        <v>380</v>
      </c>
      <c r="B5243" t="s">
        <v>38</v>
      </c>
      <c r="C5243" s="1">
        <v>46039.667361111111</v>
      </c>
      <c r="D5243" t="s">
        <v>5640</v>
      </c>
    </row>
    <row r="5244" spans="1:4" x14ac:dyDescent="0.25">
      <c r="A5244" t="s">
        <v>1271</v>
      </c>
      <c r="B5244" t="s">
        <v>1239</v>
      </c>
      <c r="C5244" s="1">
        <v>46111.777777777781</v>
      </c>
      <c r="D5244" t="s">
        <v>5640</v>
      </c>
    </row>
    <row r="5245" spans="1:4" x14ac:dyDescent="0.25">
      <c r="A5245" t="s">
        <v>379</v>
      </c>
      <c r="B5245" t="s">
        <v>39</v>
      </c>
      <c r="C5245" s="1">
        <v>46049.513194444444</v>
      </c>
      <c r="D5245" t="s">
        <v>5640</v>
      </c>
    </row>
    <row r="5246" spans="1:4" x14ac:dyDescent="0.25">
      <c r="A5246" t="s">
        <v>387</v>
      </c>
      <c r="B5246" t="s">
        <v>38</v>
      </c>
      <c r="C5246" s="1">
        <v>46043.501388888886</v>
      </c>
      <c r="D5246" t="s">
        <v>5640</v>
      </c>
    </row>
    <row r="5247" spans="1:4" x14ac:dyDescent="0.25">
      <c r="A5247" t="s">
        <v>386</v>
      </c>
      <c r="B5247" t="s">
        <v>38</v>
      </c>
      <c r="C5247" s="1">
        <v>46029.583333333336</v>
      </c>
      <c r="D5247" t="s">
        <v>5640</v>
      </c>
    </row>
    <row r="5248" spans="1:4" x14ac:dyDescent="0.25">
      <c r="A5248" t="s">
        <v>389</v>
      </c>
      <c r="B5248" t="s">
        <v>39</v>
      </c>
      <c r="C5248" s="1">
        <v>46042.806944444441</v>
      </c>
      <c r="D5248" t="s">
        <v>5640</v>
      </c>
    </row>
    <row r="5249" spans="1:4" x14ac:dyDescent="0.25">
      <c r="A5249" t="s">
        <v>394</v>
      </c>
      <c r="B5249" t="s">
        <v>38</v>
      </c>
      <c r="C5249" s="1">
        <v>46039.710416666669</v>
      </c>
      <c r="D5249" t="s">
        <v>5640</v>
      </c>
    </row>
    <row r="5250" spans="1:4" x14ac:dyDescent="0.25">
      <c r="A5250" t="s">
        <v>405</v>
      </c>
      <c r="B5250" t="s">
        <v>38</v>
      </c>
      <c r="C5250" s="1">
        <v>46039.693749999999</v>
      </c>
      <c r="D5250" t="s">
        <v>5640</v>
      </c>
    </row>
    <row r="5251" spans="1:4" x14ac:dyDescent="0.25">
      <c r="A5251" t="s">
        <v>404</v>
      </c>
      <c r="B5251" t="s">
        <v>38</v>
      </c>
      <c r="C5251" s="1">
        <v>46057.48541666667</v>
      </c>
      <c r="D5251" t="s">
        <v>5640</v>
      </c>
    </row>
    <row r="5252" spans="1:4" x14ac:dyDescent="0.25">
      <c r="A5252" t="s">
        <v>402</v>
      </c>
      <c r="B5252" t="s">
        <v>38</v>
      </c>
      <c r="C5252" s="1">
        <v>46059.505555555559</v>
      </c>
      <c r="D5252" t="s">
        <v>5640</v>
      </c>
    </row>
    <row r="5253" spans="1:4" x14ac:dyDescent="0.25">
      <c r="A5253" t="s">
        <v>397</v>
      </c>
      <c r="B5253" t="s">
        <v>38</v>
      </c>
      <c r="C5253" s="1">
        <v>46035.724305555559</v>
      </c>
      <c r="D5253" t="s">
        <v>5640</v>
      </c>
    </row>
    <row r="5254" spans="1:4" x14ac:dyDescent="0.25">
      <c r="A5254" t="s">
        <v>423</v>
      </c>
      <c r="B5254" t="s">
        <v>38</v>
      </c>
      <c r="C5254" s="1">
        <v>46031.48333333333</v>
      </c>
      <c r="D5254" t="s">
        <v>5640</v>
      </c>
    </row>
    <row r="5255" spans="1:4" x14ac:dyDescent="0.25">
      <c r="A5255" t="s">
        <v>421</v>
      </c>
      <c r="B5255" t="s">
        <v>38</v>
      </c>
      <c r="C5255" s="1">
        <v>46031.473611111112</v>
      </c>
      <c r="D5255" t="s">
        <v>5640</v>
      </c>
    </row>
    <row r="5256" spans="1:4" x14ac:dyDescent="0.25">
      <c r="A5256" t="s">
        <v>418</v>
      </c>
      <c r="B5256" t="s">
        <v>38</v>
      </c>
      <c r="C5256" s="1">
        <v>46039.697222222225</v>
      </c>
      <c r="D5256" t="s">
        <v>5640</v>
      </c>
    </row>
    <row r="5257" spans="1:4" x14ac:dyDescent="0.25">
      <c r="A5257" t="s">
        <v>434</v>
      </c>
      <c r="B5257" t="s">
        <v>38</v>
      </c>
      <c r="C5257" s="1">
        <v>46039.698611111111</v>
      </c>
      <c r="D5257" t="s">
        <v>5640</v>
      </c>
    </row>
    <row r="5258" spans="1:4" x14ac:dyDescent="0.25">
      <c r="A5258" t="s">
        <v>431</v>
      </c>
      <c r="B5258" t="s">
        <v>38</v>
      </c>
      <c r="C5258" s="1">
        <v>46039.698611111111</v>
      </c>
      <c r="D5258" t="s">
        <v>5640</v>
      </c>
    </row>
    <row r="5259" spans="1:4" x14ac:dyDescent="0.25">
      <c r="A5259" t="s">
        <v>446</v>
      </c>
      <c r="B5259" t="s">
        <v>38</v>
      </c>
      <c r="C5259" s="1">
        <v>46049.519444444442</v>
      </c>
      <c r="D5259" t="s">
        <v>5640</v>
      </c>
    </row>
    <row r="5260" spans="1:4" x14ac:dyDescent="0.25">
      <c r="A5260" t="s">
        <v>452</v>
      </c>
      <c r="B5260" t="s">
        <v>38</v>
      </c>
      <c r="C5260" s="1">
        <v>46053.570138888892</v>
      </c>
      <c r="D5260" t="s">
        <v>5640</v>
      </c>
    </row>
    <row r="5261" spans="1:4" x14ac:dyDescent="0.25">
      <c r="A5261" t="s">
        <v>454</v>
      </c>
      <c r="B5261" t="s">
        <v>38</v>
      </c>
      <c r="C5261" s="1">
        <v>46041.444444444445</v>
      </c>
      <c r="D5261" t="s">
        <v>5640</v>
      </c>
    </row>
    <row r="5262" spans="1:4" x14ac:dyDescent="0.25">
      <c r="A5262" t="s">
        <v>453</v>
      </c>
      <c r="B5262" t="s">
        <v>38</v>
      </c>
      <c r="C5262" s="1">
        <v>46039.489583333336</v>
      </c>
      <c r="D5262" t="s">
        <v>5640</v>
      </c>
    </row>
    <row r="5263" spans="1:4" x14ac:dyDescent="0.25">
      <c r="A5263" t="s">
        <v>464</v>
      </c>
      <c r="B5263" t="s">
        <v>38</v>
      </c>
      <c r="C5263" s="1">
        <v>46044.435416666667</v>
      </c>
      <c r="D5263" t="s">
        <v>5640</v>
      </c>
    </row>
    <row r="5264" spans="1:4" x14ac:dyDescent="0.25">
      <c r="A5264" t="s">
        <v>1278</v>
      </c>
      <c r="B5264" t="s">
        <v>1073</v>
      </c>
      <c r="C5264" s="1">
        <v>46111.686805555553</v>
      </c>
      <c r="D5264" t="s">
        <v>5640</v>
      </c>
    </row>
    <row r="5265" spans="1:4" x14ac:dyDescent="0.25">
      <c r="A5265" t="s">
        <v>468</v>
      </c>
      <c r="B5265" t="s">
        <v>38</v>
      </c>
      <c r="C5265" s="1">
        <v>46041.474999999999</v>
      </c>
      <c r="D5265" t="s">
        <v>5640</v>
      </c>
    </row>
    <row r="5266" spans="1:4" x14ac:dyDescent="0.25">
      <c r="A5266" t="s">
        <v>482</v>
      </c>
      <c r="B5266" t="s">
        <v>38</v>
      </c>
      <c r="C5266" s="1">
        <v>46039.708333333336</v>
      </c>
      <c r="D5266" t="s">
        <v>5640</v>
      </c>
    </row>
    <row r="5267" spans="1:4" x14ac:dyDescent="0.25">
      <c r="A5267" t="s">
        <v>481</v>
      </c>
      <c r="B5267" t="s">
        <v>38</v>
      </c>
      <c r="C5267" s="1">
        <v>46042.453472222223</v>
      </c>
      <c r="D5267" t="s">
        <v>5640</v>
      </c>
    </row>
    <row r="5268" spans="1:4" x14ac:dyDescent="0.25">
      <c r="A5268" t="s">
        <v>475</v>
      </c>
      <c r="B5268" t="s">
        <v>38</v>
      </c>
      <c r="C5268" s="1">
        <v>46039.709722222222</v>
      </c>
      <c r="D5268" t="s">
        <v>5640</v>
      </c>
    </row>
    <row r="5269" spans="1:4" x14ac:dyDescent="0.25">
      <c r="A5269" t="s">
        <v>527</v>
      </c>
      <c r="B5269" t="s">
        <v>38</v>
      </c>
      <c r="C5269" s="1">
        <v>46043.484722222223</v>
      </c>
      <c r="D5269" t="s">
        <v>5640</v>
      </c>
    </row>
    <row r="5270" spans="1:4" x14ac:dyDescent="0.25">
      <c r="A5270" t="s">
        <v>491</v>
      </c>
      <c r="B5270" t="s">
        <v>38</v>
      </c>
      <c r="C5270" s="1">
        <v>46043.469444444447</v>
      </c>
      <c r="D5270" t="s">
        <v>5640</v>
      </c>
    </row>
    <row r="5271" spans="1:4" x14ac:dyDescent="0.25">
      <c r="A5271" t="s">
        <v>489</v>
      </c>
      <c r="B5271" t="s">
        <v>38</v>
      </c>
      <c r="C5271" s="1">
        <v>46042.568055555559</v>
      </c>
      <c r="D5271" t="s">
        <v>5640</v>
      </c>
    </row>
    <row r="5272" spans="1:4" x14ac:dyDescent="0.25">
      <c r="A5272" t="s">
        <v>513</v>
      </c>
      <c r="B5272" t="s">
        <v>38</v>
      </c>
      <c r="C5272" s="1">
        <v>46042.446527777778</v>
      </c>
      <c r="D5272" t="s">
        <v>5640</v>
      </c>
    </row>
    <row r="5273" spans="1:4" x14ac:dyDescent="0.25">
      <c r="A5273" t="s">
        <v>517</v>
      </c>
      <c r="B5273" t="s">
        <v>38</v>
      </c>
      <c r="C5273" s="1">
        <v>46044.532638888886</v>
      </c>
      <c r="D5273" t="s">
        <v>5640</v>
      </c>
    </row>
    <row r="5274" spans="1:4" x14ac:dyDescent="0.25">
      <c r="A5274" t="s">
        <v>524</v>
      </c>
      <c r="B5274" t="s">
        <v>38</v>
      </c>
      <c r="C5274" s="1">
        <v>46044.459722222222</v>
      </c>
      <c r="D5274" t="s">
        <v>5640</v>
      </c>
    </row>
    <row r="5275" spans="1:4" x14ac:dyDescent="0.25">
      <c r="A5275" t="s">
        <v>529</v>
      </c>
      <c r="B5275" t="s">
        <v>38</v>
      </c>
      <c r="C5275" s="1">
        <v>46044.537499999999</v>
      </c>
      <c r="D5275" t="s">
        <v>5640</v>
      </c>
    </row>
    <row r="5276" spans="1:4" x14ac:dyDescent="0.25">
      <c r="A5276" t="s">
        <v>531</v>
      </c>
      <c r="B5276" t="s">
        <v>38</v>
      </c>
      <c r="C5276" s="1">
        <v>46056.461111111108</v>
      </c>
      <c r="D5276" t="s">
        <v>5640</v>
      </c>
    </row>
    <row r="5277" spans="1:4" x14ac:dyDescent="0.25">
      <c r="A5277" t="s">
        <v>539</v>
      </c>
      <c r="B5277" t="s">
        <v>38</v>
      </c>
      <c r="C5277" s="1">
        <v>46043.500694444447</v>
      </c>
      <c r="D5277" t="s">
        <v>5640</v>
      </c>
    </row>
    <row r="5278" spans="1:4" x14ac:dyDescent="0.25">
      <c r="A5278" t="s">
        <v>548</v>
      </c>
      <c r="B5278" t="s">
        <v>38</v>
      </c>
      <c r="C5278" s="1">
        <v>46044.482638888891</v>
      </c>
      <c r="D5278" t="s">
        <v>5640</v>
      </c>
    </row>
    <row r="5279" spans="1:4" x14ac:dyDescent="0.25">
      <c r="A5279" t="s">
        <v>545</v>
      </c>
      <c r="B5279" t="s">
        <v>38</v>
      </c>
      <c r="C5279" s="1">
        <v>46046.525000000001</v>
      </c>
      <c r="D5279" t="s">
        <v>5640</v>
      </c>
    </row>
    <row r="5280" spans="1:4" x14ac:dyDescent="0.25">
      <c r="A5280" t="s">
        <v>544</v>
      </c>
      <c r="B5280" t="s">
        <v>38</v>
      </c>
      <c r="C5280" s="1">
        <v>46046.469444444447</v>
      </c>
      <c r="D5280" t="s">
        <v>5640</v>
      </c>
    </row>
    <row r="5281" spans="1:4" x14ac:dyDescent="0.25">
      <c r="A5281" t="s">
        <v>588</v>
      </c>
      <c r="B5281" t="s">
        <v>38</v>
      </c>
      <c r="C5281" s="1">
        <v>46052.51666666667</v>
      </c>
      <c r="D5281" t="s">
        <v>5640</v>
      </c>
    </row>
    <row r="5282" spans="1:4" x14ac:dyDescent="0.25">
      <c r="A5282" t="s">
        <v>586</v>
      </c>
      <c r="B5282" t="s">
        <v>38</v>
      </c>
      <c r="C5282" s="1">
        <v>46055.759722222225</v>
      </c>
      <c r="D5282" t="s">
        <v>5640</v>
      </c>
    </row>
    <row r="5283" spans="1:4" x14ac:dyDescent="0.25">
      <c r="A5283" t="s">
        <v>578</v>
      </c>
      <c r="B5283" t="s">
        <v>38</v>
      </c>
      <c r="C5283" s="1">
        <v>46053.479166666664</v>
      </c>
      <c r="D5283" t="s">
        <v>5640</v>
      </c>
    </row>
    <row r="5284" spans="1:4" x14ac:dyDescent="0.25">
      <c r="A5284" t="s">
        <v>1257</v>
      </c>
      <c r="B5284" t="s">
        <v>1073</v>
      </c>
      <c r="C5284" s="1">
        <v>46111.474999999999</v>
      </c>
      <c r="D5284" t="s">
        <v>5640</v>
      </c>
    </row>
    <row r="5285" spans="1:4" x14ac:dyDescent="0.25">
      <c r="A5285" t="s">
        <v>565</v>
      </c>
      <c r="B5285" t="s">
        <v>39</v>
      </c>
      <c r="C5285" s="1">
        <v>46093.661805555559</v>
      </c>
      <c r="D5285" t="s">
        <v>5640</v>
      </c>
    </row>
    <row r="5286" spans="1:4" x14ac:dyDescent="0.25">
      <c r="A5286" t="s">
        <v>562</v>
      </c>
      <c r="B5286" t="s">
        <v>38</v>
      </c>
      <c r="C5286" s="1">
        <v>46078.599305555559</v>
      </c>
      <c r="D5286" t="s">
        <v>5640</v>
      </c>
    </row>
    <row r="5287" spans="1:4" x14ac:dyDescent="0.25">
      <c r="A5287" t="s">
        <v>560</v>
      </c>
      <c r="B5287" t="s">
        <v>38</v>
      </c>
      <c r="C5287" s="1">
        <v>46052.520138888889</v>
      </c>
      <c r="D5287" t="s">
        <v>5640</v>
      </c>
    </row>
    <row r="5288" spans="1:4" x14ac:dyDescent="0.25">
      <c r="A5288" t="s">
        <v>559</v>
      </c>
      <c r="B5288" t="s">
        <v>38</v>
      </c>
      <c r="C5288" s="1">
        <v>46057.648611111108</v>
      </c>
      <c r="D5288" t="s">
        <v>5640</v>
      </c>
    </row>
    <row r="5289" spans="1:4" x14ac:dyDescent="0.25">
      <c r="A5289" t="s">
        <v>605</v>
      </c>
      <c r="B5289" t="s">
        <v>38</v>
      </c>
      <c r="C5289" s="1">
        <v>46050.731249999997</v>
      </c>
      <c r="D5289" t="s">
        <v>5640</v>
      </c>
    </row>
    <row r="5290" spans="1:4" x14ac:dyDescent="0.25">
      <c r="A5290" t="s">
        <v>600</v>
      </c>
      <c r="B5290" t="s">
        <v>38</v>
      </c>
      <c r="C5290" s="1">
        <v>46052.526388888888</v>
      </c>
      <c r="D5290" t="s">
        <v>5640</v>
      </c>
    </row>
    <row r="5291" spans="1:4" x14ac:dyDescent="0.25">
      <c r="A5291" t="s">
        <v>599</v>
      </c>
      <c r="B5291" t="s">
        <v>38</v>
      </c>
      <c r="C5291" s="1">
        <v>46052.728472222225</v>
      </c>
      <c r="D5291" t="s">
        <v>5640</v>
      </c>
    </row>
    <row r="5292" spans="1:4" x14ac:dyDescent="0.25">
      <c r="A5292" t="s">
        <v>598</v>
      </c>
      <c r="B5292" t="s">
        <v>38</v>
      </c>
      <c r="C5292" s="1">
        <v>46063.431944444441</v>
      </c>
      <c r="D5292" t="s">
        <v>5640</v>
      </c>
    </row>
    <row r="5293" spans="1:4" x14ac:dyDescent="0.25">
      <c r="A5293" t="s">
        <v>635</v>
      </c>
      <c r="B5293" t="s">
        <v>38</v>
      </c>
      <c r="C5293" s="1">
        <v>46053.611111111109</v>
      </c>
      <c r="D5293" t="s">
        <v>5640</v>
      </c>
    </row>
    <row r="5294" spans="1:4" x14ac:dyDescent="0.25">
      <c r="A5294" t="s">
        <v>648</v>
      </c>
      <c r="B5294" t="s">
        <v>38</v>
      </c>
      <c r="C5294" s="1">
        <v>46053.45208333333</v>
      </c>
      <c r="D5294" t="s">
        <v>5640</v>
      </c>
    </row>
    <row r="5295" spans="1:4" x14ac:dyDescent="0.25">
      <c r="A5295" t="s">
        <v>643</v>
      </c>
      <c r="B5295" t="s">
        <v>38</v>
      </c>
      <c r="C5295" s="1">
        <v>46060.432638888888</v>
      </c>
      <c r="D5295" t="s">
        <v>5640</v>
      </c>
    </row>
    <row r="5296" spans="1:4" x14ac:dyDescent="0.25">
      <c r="A5296" t="s">
        <v>683</v>
      </c>
      <c r="B5296" t="s">
        <v>38</v>
      </c>
      <c r="C5296" s="1">
        <v>46090.640277777777</v>
      </c>
      <c r="D5296" t="s">
        <v>5640</v>
      </c>
    </row>
    <row r="5297" spans="1:4" x14ac:dyDescent="0.25">
      <c r="A5297" t="s">
        <v>681</v>
      </c>
      <c r="B5297" t="s">
        <v>38</v>
      </c>
      <c r="C5297" s="1">
        <v>46070.553472222222</v>
      </c>
      <c r="D5297" t="s">
        <v>5640</v>
      </c>
    </row>
    <row r="5298" spans="1:4" x14ac:dyDescent="0.25">
      <c r="A5298" t="s">
        <v>676</v>
      </c>
      <c r="B5298" t="s">
        <v>38</v>
      </c>
      <c r="C5298" s="1">
        <v>46069.549305555556</v>
      </c>
      <c r="D5298" t="s">
        <v>5640</v>
      </c>
    </row>
    <row r="5299" spans="1:4" x14ac:dyDescent="0.25">
      <c r="A5299" t="s">
        <v>671</v>
      </c>
      <c r="B5299" t="s">
        <v>39</v>
      </c>
      <c r="C5299" s="1">
        <v>46093.65</v>
      </c>
      <c r="D5299" t="s">
        <v>5640</v>
      </c>
    </row>
    <row r="5300" spans="1:4" x14ac:dyDescent="0.25">
      <c r="A5300" t="s">
        <v>668</v>
      </c>
      <c r="B5300" t="s">
        <v>38</v>
      </c>
      <c r="C5300" s="1">
        <v>46057.70416666667</v>
      </c>
      <c r="D5300" t="s">
        <v>5640</v>
      </c>
    </row>
    <row r="5301" spans="1:4" x14ac:dyDescent="0.25">
      <c r="A5301" t="s">
        <v>666</v>
      </c>
      <c r="B5301" t="s">
        <v>38</v>
      </c>
      <c r="C5301" s="1">
        <v>46057.713194444441</v>
      </c>
      <c r="D5301" t="s">
        <v>5640</v>
      </c>
    </row>
    <row r="5302" spans="1:4" x14ac:dyDescent="0.25">
      <c r="A5302" t="s">
        <v>724</v>
      </c>
      <c r="B5302" t="s">
        <v>38</v>
      </c>
      <c r="C5302" s="1">
        <v>46059.87222222222</v>
      </c>
      <c r="D5302" t="s">
        <v>5640</v>
      </c>
    </row>
    <row r="5303" spans="1:4" x14ac:dyDescent="0.25">
      <c r="A5303" t="s">
        <v>1259</v>
      </c>
      <c r="B5303" t="s">
        <v>1073</v>
      </c>
      <c r="C5303" s="1">
        <v>46111.642361111109</v>
      </c>
      <c r="D5303" t="s">
        <v>5640</v>
      </c>
    </row>
    <row r="5304" spans="1:4" x14ac:dyDescent="0.25">
      <c r="A5304" t="s">
        <v>725</v>
      </c>
      <c r="B5304" t="s">
        <v>38</v>
      </c>
      <c r="C5304" s="1">
        <v>46107.575694444444</v>
      </c>
      <c r="D5304" t="s">
        <v>5640</v>
      </c>
    </row>
    <row r="5305" spans="1:4" x14ac:dyDescent="0.25">
      <c r="A5305" t="s">
        <v>737</v>
      </c>
      <c r="B5305" t="s">
        <v>39</v>
      </c>
      <c r="C5305" s="1">
        <v>46093.642361111109</v>
      </c>
      <c r="D5305" t="s">
        <v>5640</v>
      </c>
    </row>
    <row r="5306" spans="1:4" x14ac:dyDescent="0.25">
      <c r="A5306" t="s">
        <v>730</v>
      </c>
      <c r="B5306" t="s">
        <v>38</v>
      </c>
      <c r="C5306" s="1">
        <v>46060.525000000001</v>
      </c>
      <c r="D5306" t="s">
        <v>5640</v>
      </c>
    </row>
    <row r="5307" spans="1:4" x14ac:dyDescent="0.25">
      <c r="A5307" t="s">
        <v>750</v>
      </c>
      <c r="B5307" t="s">
        <v>38</v>
      </c>
      <c r="C5307" s="1">
        <v>46060.430555555555</v>
      </c>
      <c r="D5307" t="s">
        <v>5640</v>
      </c>
    </row>
    <row r="5308" spans="1:4" x14ac:dyDescent="0.25">
      <c r="A5308" t="s">
        <v>749</v>
      </c>
      <c r="B5308" t="s">
        <v>38</v>
      </c>
      <c r="C5308" s="1">
        <v>46067.484027777777</v>
      </c>
      <c r="D5308" t="s">
        <v>5640</v>
      </c>
    </row>
    <row r="5309" spans="1:4" x14ac:dyDescent="0.25">
      <c r="A5309" t="s">
        <v>755</v>
      </c>
      <c r="B5309" t="s">
        <v>38</v>
      </c>
      <c r="C5309" s="1">
        <v>46066.472916666666</v>
      </c>
      <c r="D5309" t="s">
        <v>5640</v>
      </c>
    </row>
    <row r="5310" spans="1:4" x14ac:dyDescent="0.25">
      <c r="A5310" t="s">
        <v>763</v>
      </c>
      <c r="B5310" t="s">
        <v>38</v>
      </c>
      <c r="C5310" s="1">
        <v>46072.615277777775</v>
      </c>
      <c r="D5310" t="s">
        <v>5640</v>
      </c>
    </row>
    <row r="5311" spans="1:4" x14ac:dyDescent="0.25">
      <c r="A5311" t="s">
        <v>823</v>
      </c>
      <c r="B5311" t="s">
        <v>38</v>
      </c>
      <c r="C5311" s="1">
        <v>46065.738194444442</v>
      </c>
      <c r="D5311" t="s">
        <v>5640</v>
      </c>
    </row>
    <row r="5312" spans="1:4" x14ac:dyDescent="0.25">
      <c r="A5312" t="s">
        <v>814</v>
      </c>
      <c r="B5312" t="s">
        <v>38</v>
      </c>
      <c r="C5312" s="1">
        <v>46065.746527777781</v>
      </c>
      <c r="D5312" t="s">
        <v>5640</v>
      </c>
    </row>
    <row r="5313" spans="1:4" x14ac:dyDescent="0.25">
      <c r="A5313" t="s">
        <v>812</v>
      </c>
      <c r="B5313" t="s">
        <v>38</v>
      </c>
      <c r="C5313" s="1">
        <v>46074.433333333334</v>
      </c>
      <c r="D5313" t="s">
        <v>5640</v>
      </c>
    </row>
    <row r="5314" spans="1:4" x14ac:dyDescent="0.25">
      <c r="A5314" t="s">
        <v>810</v>
      </c>
      <c r="B5314" t="s">
        <v>38</v>
      </c>
      <c r="C5314" s="1">
        <v>46086.532638888886</v>
      </c>
      <c r="D5314" t="s">
        <v>5640</v>
      </c>
    </row>
    <row r="5315" spans="1:4" x14ac:dyDescent="0.25">
      <c r="A5315" t="s">
        <v>804</v>
      </c>
      <c r="B5315" t="s">
        <v>38</v>
      </c>
      <c r="C5315" s="1">
        <v>46066.582638888889</v>
      </c>
      <c r="D5315" t="s">
        <v>5640</v>
      </c>
    </row>
    <row r="5316" spans="1:4" x14ac:dyDescent="0.25">
      <c r="A5316" t="s">
        <v>795</v>
      </c>
      <c r="B5316" t="s">
        <v>38</v>
      </c>
      <c r="C5316" s="1">
        <v>46070.443055555559</v>
      </c>
      <c r="D5316" t="s">
        <v>5640</v>
      </c>
    </row>
    <row r="5317" spans="1:4" x14ac:dyDescent="0.25">
      <c r="A5317" t="s">
        <v>794</v>
      </c>
      <c r="B5317" t="s">
        <v>38</v>
      </c>
      <c r="C5317" s="1">
        <v>46073.729861111111</v>
      </c>
      <c r="D5317" t="s">
        <v>5640</v>
      </c>
    </row>
    <row r="5318" spans="1:4" x14ac:dyDescent="0.25">
      <c r="A5318" t="s">
        <v>1031</v>
      </c>
      <c r="B5318" t="s">
        <v>38</v>
      </c>
      <c r="C5318" s="1">
        <v>46087.72152777778</v>
      </c>
      <c r="D5318" t="s">
        <v>5640</v>
      </c>
    </row>
    <row r="5319" spans="1:4" x14ac:dyDescent="0.25">
      <c r="A5319" t="s">
        <v>1253</v>
      </c>
      <c r="B5319" t="s">
        <v>1073</v>
      </c>
      <c r="C5319" s="1">
        <v>46111.861805555556</v>
      </c>
      <c r="D5319" t="s">
        <v>5640</v>
      </c>
    </row>
    <row r="5320" spans="1:4" x14ac:dyDescent="0.25">
      <c r="A5320" t="s">
        <v>781</v>
      </c>
      <c r="B5320" t="s">
        <v>38</v>
      </c>
      <c r="C5320" s="1">
        <v>46070.706944444442</v>
      </c>
      <c r="D5320" t="s">
        <v>5640</v>
      </c>
    </row>
    <row r="5321" spans="1:4" x14ac:dyDescent="0.25">
      <c r="A5321" t="s">
        <v>846</v>
      </c>
      <c r="B5321" t="s">
        <v>38</v>
      </c>
      <c r="C5321" s="1">
        <v>46074.578472222223</v>
      </c>
      <c r="D5321" t="s">
        <v>5640</v>
      </c>
    </row>
    <row r="5322" spans="1:4" x14ac:dyDescent="0.25">
      <c r="A5322" t="s">
        <v>844</v>
      </c>
      <c r="B5322" t="s">
        <v>38</v>
      </c>
      <c r="C5322" s="1">
        <v>46070.477777777778</v>
      </c>
      <c r="D5322" t="s">
        <v>5640</v>
      </c>
    </row>
    <row r="5323" spans="1:4" x14ac:dyDescent="0.25">
      <c r="A5323" t="s">
        <v>841</v>
      </c>
      <c r="B5323" t="s">
        <v>38</v>
      </c>
      <c r="C5323" s="1">
        <v>46071.60833333333</v>
      </c>
      <c r="D5323" t="s">
        <v>5640</v>
      </c>
    </row>
    <row r="5324" spans="1:4" x14ac:dyDescent="0.25">
      <c r="A5324" t="s">
        <v>840</v>
      </c>
      <c r="B5324" t="s">
        <v>38</v>
      </c>
      <c r="C5324" s="1">
        <v>46077.683333333334</v>
      </c>
      <c r="D5324" t="s">
        <v>5640</v>
      </c>
    </row>
    <row r="5325" spans="1:4" x14ac:dyDescent="0.25">
      <c r="A5325" t="s">
        <v>839</v>
      </c>
      <c r="B5325" t="s">
        <v>38</v>
      </c>
      <c r="C5325" s="1">
        <v>46077.494444444441</v>
      </c>
      <c r="D5325" t="s">
        <v>5640</v>
      </c>
    </row>
    <row r="5326" spans="1:4" x14ac:dyDescent="0.25">
      <c r="A5326" t="s">
        <v>1246</v>
      </c>
      <c r="B5326" t="s">
        <v>1073</v>
      </c>
      <c r="C5326" s="1">
        <v>46109.492361111108</v>
      </c>
      <c r="D5326" t="s">
        <v>5640</v>
      </c>
    </row>
    <row r="5327" spans="1:4" x14ac:dyDescent="0.25">
      <c r="A5327" t="s">
        <v>829</v>
      </c>
      <c r="B5327" t="s">
        <v>38</v>
      </c>
      <c r="C5327" s="1">
        <v>46071.375</v>
      </c>
      <c r="D5327" t="s">
        <v>5640</v>
      </c>
    </row>
    <row r="5328" spans="1:4" x14ac:dyDescent="0.25">
      <c r="A5328" t="s">
        <v>828</v>
      </c>
      <c r="B5328" t="s">
        <v>38</v>
      </c>
      <c r="C5328" s="1">
        <v>46073.841666666667</v>
      </c>
      <c r="D5328" t="s">
        <v>5640</v>
      </c>
    </row>
    <row r="5329" spans="1:4" x14ac:dyDescent="0.25">
      <c r="A5329" t="s">
        <v>853</v>
      </c>
      <c r="B5329" t="s">
        <v>38</v>
      </c>
      <c r="C5329" s="1">
        <v>46073.55</v>
      </c>
      <c r="D5329" t="s">
        <v>5640</v>
      </c>
    </row>
    <row r="5330" spans="1:4" x14ac:dyDescent="0.25">
      <c r="A5330" t="s">
        <v>851</v>
      </c>
      <c r="B5330" t="s">
        <v>39</v>
      </c>
      <c r="C5330" s="1">
        <v>46093.565972222219</v>
      </c>
      <c r="D5330" t="s">
        <v>5640</v>
      </c>
    </row>
    <row r="5331" spans="1:4" x14ac:dyDescent="0.25">
      <c r="A5331" t="s">
        <v>850</v>
      </c>
      <c r="B5331" t="s">
        <v>38</v>
      </c>
      <c r="C5331" s="1">
        <v>46090.620138888888</v>
      </c>
      <c r="D5331" t="s">
        <v>5640</v>
      </c>
    </row>
    <row r="5332" spans="1:4" x14ac:dyDescent="0.25">
      <c r="A5332" t="s">
        <v>878</v>
      </c>
      <c r="B5332" t="s">
        <v>38</v>
      </c>
      <c r="C5332" s="1">
        <v>46073.529861111114</v>
      </c>
      <c r="D5332" t="s">
        <v>5640</v>
      </c>
    </row>
    <row r="5333" spans="1:4" x14ac:dyDescent="0.25">
      <c r="A5333" t="s">
        <v>890</v>
      </c>
      <c r="B5333" t="s">
        <v>39</v>
      </c>
      <c r="C5333" s="1">
        <v>46093.561111111114</v>
      </c>
      <c r="D5333" t="s">
        <v>5640</v>
      </c>
    </row>
    <row r="5334" spans="1:4" x14ac:dyDescent="0.25">
      <c r="A5334" t="s">
        <v>906</v>
      </c>
      <c r="B5334" t="s">
        <v>38</v>
      </c>
      <c r="C5334" s="1">
        <v>46079.48333333333</v>
      </c>
      <c r="D5334" t="s">
        <v>5640</v>
      </c>
    </row>
    <row r="5335" spans="1:4" x14ac:dyDescent="0.25">
      <c r="A5335" t="s">
        <v>905</v>
      </c>
      <c r="B5335" t="s">
        <v>38</v>
      </c>
      <c r="C5335" s="1">
        <v>46104.515277777777</v>
      </c>
      <c r="D5335" t="s">
        <v>5640</v>
      </c>
    </row>
    <row r="5336" spans="1:4" x14ac:dyDescent="0.25">
      <c r="A5336" t="s">
        <v>899</v>
      </c>
      <c r="B5336" t="s">
        <v>38</v>
      </c>
      <c r="C5336" s="1">
        <v>46077.790277777778</v>
      </c>
      <c r="D5336" t="s">
        <v>5640</v>
      </c>
    </row>
    <row r="5337" spans="1:4" x14ac:dyDescent="0.25">
      <c r="A5337" t="s">
        <v>924</v>
      </c>
      <c r="B5337" t="s">
        <v>38</v>
      </c>
      <c r="C5337" s="1">
        <v>46077.45208333333</v>
      </c>
      <c r="D5337" t="s">
        <v>5640</v>
      </c>
    </row>
    <row r="5338" spans="1:4" x14ac:dyDescent="0.25">
      <c r="A5338" t="s">
        <v>922</v>
      </c>
      <c r="B5338" t="s">
        <v>38</v>
      </c>
      <c r="C5338" s="1">
        <v>46078.390972222223</v>
      </c>
      <c r="D5338" t="s">
        <v>5640</v>
      </c>
    </row>
    <row r="5339" spans="1:4" x14ac:dyDescent="0.25">
      <c r="A5339" t="s">
        <v>914</v>
      </c>
      <c r="B5339" t="s">
        <v>38</v>
      </c>
      <c r="C5339" s="1">
        <v>46078.543055555558</v>
      </c>
      <c r="D5339" t="s">
        <v>5640</v>
      </c>
    </row>
    <row r="5340" spans="1:4" x14ac:dyDescent="0.25">
      <c r="A5340" t="s">
        <v>932</v>
      </c>
      <c r="B5340" t="s">
        <v>38</v>
      </c>
      <c r="C5340" s="1">
        <v>46077.683333333334</v>
      </c>
      <c r="D5340" t="s">
        <v>5640</v>
      </c>
    </row>
    <row r="5341" spans="1:4" x14ac:dyDescent="0.25">
      <c r="A5341" t="s">
        <v>931</v>
      </c>
      <c r="B5341" t="s">
        <v>38</v>
      </c>
      <c r="C5341" s="1">
        <v>46083.618750000001</v>
      </c>
      <c r="D5341" t="s">
        <v>5640</v>
      </c>
    </row>
    <row r="5342" spans="1:4" x14ac:dyDescent="0.25">
      <c r="A5342" t="s">
        <v>934</v>
      </c>
      <c r="B5342" t="s">
        <v>38</v>
      </c>
      <c r="C5342" s="1">
        <v>46080.78402777778</v>
      </c>
      <c r="D5342" t="s">
        <v>5640</v>
      </c>
    </row>
    <row r="5343" spans="1:4" x14ac:dyDescent="0.25">
      <c r="A5343" t="s">
        <v>940</v>
      </c>
      <c r="B5343" t="s">
        <v>38</v>
      </c>
      <c r="C5343" s="1">
        <v>46080.793055555558</v>
      </c>
      <c r="D5343" t="s">
        <v>5640</v>
      </c>
    </row>
    <row r="5344" spans="1:4" x14ac:dyDescent="0.25">
      <c r="A5344" t="s">
        <v>986</v>
      </c>
      <c r="B5344" t="s">
        <v>38</v>
      </c>
      <c r="C5344" s="1">
        <v>46080.565972222219</v>
      </c>
      <c r="D5344" t="s">
        <v>5640</v>
      </c>
    </row>
    <row r="5345" spans="1:4" x14ac:dyDescent="0.25">
      <c r="A5345" t="s">
        <v>1250</v>
      </c>
      <c r="B5345" t="s">
        <v>38</v>
      </c>
      <c r="C5345" s="1">
        <v>46109.4</v>
      </c>
      <c r="D5345" t="s">
        <v>5640</v>
      </c>
    </row>
    <row r="5346" spans="1:4" x14ac:dyDescent="0.25">
      <c r="A5346" t="s">
        <v>985</v>
      </c>
      <c r="B5346" t="s">
        <v>38</v>
      </c>
      <c r="C5346" s="1">
        <v>46080.578472222223</v>
      </c>
      <c r="D5346" t="s">
        <v>5640</v>
      </c>
    </row>
    <row r="5347" spans="1:4" x14ac:dyDescent="0.25">
      <c r="A5347" t="s">
        <v>983</v>
      </c>
      <c r="B5347" t="s">
        <v>38</v>
      </c>
      <c r="C5347" s="1">
        <v>46079.580555555556</v>
      </c>
      <c r="D5347" t="s">
        <v>5640</v>
      </c>
    </row>
    <row r="5348" spans="1:4" x14ac:dyDescent="0.25">
      <c r="A5348" t="s">
        <v>978</v>
      </c>
      <c r="B5348" t="s">
        <v>38</v>
      </c>
      <c r="C5348" s="1">
        <v>46084.588888888888</v>
      </c>
      <c r="D5348" t="s">
        <v>5640</v>
      </c>
    </row>
    <row r="5349" spans="1:4" x14ac:dyDescent="0.25">
      <c r="A5349" t="s">
        <v>974</v>
      </c>
      <c r="B5349" t="s">
        <v>38</v>
      </c>
      <c r="C5349" s="1">
        <v>46087.585416666669</v>
      </c>
      <c r="D5349" t="s">
        <v>5640</v>
      </c>
    </row>
    <row r="5350" spans="1:4" x14ac:dyDescent="0.25">
      <c r="A5350" t="s">
        <v>972</v>
      </c>
      <c r="B5350" t="s">
        <v>38</v>
      </c>
      <c r="C5350" s="1">
        <v>46083.544444444444</v>
      </c>
      <c r="D5350" t="s">
        <v>5640</v>
      </c>
    </row>
    <row r="5351" spans="1:4" x14ac:dyDescent="0.25">
      <c r="A5351" t="s">
        <v>968</v>
      </c>
      <c r="B5351" t="s">
        <v>38</v>
      </c>
      <c r="C5351" s="1">
        <v>46085.579861111109</v>
      </c>
      <c r="D5351" t="s">
        <v>5640</v>
      </c>
    </row>
    <row r="5352" spans="1:4" x14ac:dyDescent="0.25">
      <c r="A5352" t="s">
        <v>966</v>
      </c>
      <c r="B5352" t="s">
        <v>38</v>
      </c>
      <c r="C5352" s="1">
        <v>46085.436805555553</v>
      </c>
      <c r="D5352" t="s">
        <v>5640</v>
      </c>
    </row>
    <row r="5353" spans="1:4" x14ac:dyDescent="0.25">
      <c r="A5353" t="s">
        <v>948</v>
      </c>
      <c r="B5353" t="s">
        <v>38</v>
      </c>
      <c r="C5353" s="1">
        <v>46087.557638888888</v>
      </c>
      <c r="D5353" t="s">
        <v>5640</v>
      </c>
    </row>
    <row r="5354" spans="1:4" x14ac:dyDescent="0.25">
      <c r="A5354" t="s">
        <v>944</v>
      </c>
      <c r="B5354" t="s">
        <v>38</v>
      </c>
      <c r="C5354" s="1">
        <v>46093.448611111111</v>
      </c>
      <c r="D5354" t="s">
        <v>5640</v>
      </c>
    </row>
    <row r="5355" spans="1:4" x14ac:dyDescent="0.25">
      <c r="A5355" t="s">
        <v>1029</v>
      </c>
      <c r="B5355" t="s">
        <v>38</v>
      </c>
      <c r="C5355" s="1">
        <v>46111.635416666664</v>
      </c>
      <c r="D5355" t="s">
        <v>5640</v>
      </c>
    </row>
    <row r="5356" spans="1:4" x14ac:dyDescent="0.25">
      <c r="A5356" t="s">
        <v>1240</v>
      </c>
      <c r="B5356" t="s">
        <v>38</v>
      </c>
      <c r="C5356" s="1">
        <v>46112.336111111108</v>
      </c>
      <c r="D5356" t="s">
        <v>5640</v>
      </c>
    </row>
    <row r="5357" spans="1:4" x14ac:dyDescent="0.25">
      <c r="A5357" t="s">
        <v>1024</v>
      </c>
      <c r="B5357" t="s">
        <v>38</v>
      </c>
      <c r="C5357" s="1">
        <v>46091.642361111109</v>
      </c>
      <c r="D5357" t="s">
        <v>5640</v>
      </c>
    </row>
    <row r="5358" spans="1:4" x14ac:dyDescent="0.25">
      <c r="A5358" t="s">
        <v>1045</v>
      </c>
      <c r="B5358" t="s">
        <v>38</v>
      </c>
      <c r="C5358" s="1">
        <v>46092.632638888892</v>
      </c>
      <c r="D5358" t="s">
        <v>5640</v>
      </c>
    </row>
    <row r="5359" spans="1:4" x14ac:dyDescent="0.25">
      <c r="A5359" t="s">
        <v>1040</v>
      </c>
      <c r="B5359" t="s">
        <v>39</v>
      </c>
      <c r="C5359" s="1">
        <v>46109.390972222223</v>
      </c>
      <c r="D5359" t="s">
        <v>5640</v>
      </c>
    </row>
    <row r="5360" spans="1:4" x14ac:dyDescent="0.25">
      <c r="A5360" t="s">
        <v>1052</v>
      </c>
      <c r="B5360" t="s">
        <v>38</v>
      </c>
      <c r="C5360" s="1">
        <v>46091.87222222222</v>
      </c>
      <c r="D5360" t="s">
        <v>5640</v>
      </c>
    </row>
    <row r="5361" spans="1:4" x14ac:dyDescent="0.25">
      <c r="A5361" t="s">
        <v>1051</v>
      </c>
      <c r="B5361" t="s">
        <v>38</v>
      </c>
      <c r="C5361" s="1">
        <v>46092.646527777775</v>
      </c>
      <c r="D5361" t="s">
        <v>5640</v>
      </c>
    </row>
    <row r="5362" spans="1:4" x14ac:dyDescent="0.25">
      <c r="A5362" t="s">
        <v>1054</v>
      </c>
      <c r="B5362" t="s">
        <v>38</v>
      </c>
      <c r="C5362" s="1">
        <v>46090.621527777781</v>
      </c>
      <c r="D5362" t="s">
        <v>5640</v>
      </c>
    </row>
    <row r="5363" spans="1:4" x14ac:dyDescent="0.25">
      <c r="A5363" t="s">
        <v>1058</v>
      </c>
      <c r="B5363" t="s">
        <v>38</v>
      </c>
      <c r="C5363" s="1">
        <v>46095.652777777781</v>
      </c>
      <c r="D5363" t="s">
        <v>5640</v>
      </c>
    </row>
    <row r="5364" spans="1:4" x14ac:dyDescent="0.25">
      <c r="A5364" t="s">
        <v>1082</v>
      </c>
      <c r="B5364" t="s">
        <v>38</v>
      </c>
      <c r="C5364" s="1">
        <v>46093.428472222222</v>
      </c>
      <c r="D5364" t="s">
        <v>5640</v>
      </c>
    </row>
    <row r="5365" spans="1:4" x14ac:dyDescent="0.25">
      <c r="A5365" t="s">
        <v>1078</v>
      </c>
      <c r="B5365" t="s">
        <v>38</v>
      </c>
      <c r="C5365" s="1">
        <v>46094.484027777777</v>
      </c>
      <c r="D5365" t="s">
        <v>5640</v>
      </c>
    </row>
    <row r="5366" spans="1:4" x14ac:dyDescent="0.25">
      <c r="A5366" t="s">
        <v>1128</v>
      </c>
      <c r="B5366" t="s">
        <v>38</v>
      </c>
      <c r="C5366" s="1">
        <v>46101.523611111108</v>
      </c>
      <c r="D5366" t="s">
        <v>5640</v>
      </c>
    </row>
    <row r="5367" spans="1:4" x14ac:dyDescent="0.25">
      <c r="A5367" t="s">
        <v>1093</v>
      </c>
      <c r="B5367" t="s">
        <v>30</v>
      </c>
      <c r="C5367" s="1">
        <v>46098.77847222222</v>
      </c>
      <c r="D5367" t="s">
        <v>5640</v>
      </c>
    </row>
    <row r="5368" spans="1:4" x14ac:dyDescent="0.25">
      <c r="A5368" t="s">
        <v>1118</v>
      </c>
      <c r="B5368" t="s">
        <v>38</v>
      </c>
      <c r="C5368" s="1">
        <v>46101.738194444442</v>
      </c>
      <c r="D5368" t="s">
        <v>5640</v>
      </c>
    </row>
    <row r="5369" spans="1:4" x14ac:dyDescent="0.25">
      <c r="A5369" t="s">
        <v>1114</v>
      </c>
      <c r="B5369" t="s">
        <v>38</v>
      </c>
      <c r="C5369" s="1">
        <v>46105.49722222222</v>
      </c>
      <c r="D5369" t="s">
        <v>5640</v>
      </c>
    </row>
    <row r="5370" spans="1:4" x14ac:dyDescent="0.25">
      <c r="A5370" t="s">
        <v>1140</v>
      </c>
      <c r="B5370" t="s">
        <v>38</v>
      </c>
      <c r="C5370" s="1">
        <v>46099.504861111112</v>
      </c>
      <c r="D5370" t="s">
        <v>5640</v>
      </c>
    </row>
    <row r="5371" spans="1:4" x14ac:dyDescent="0.25">
      <c r="A5371" t="s">
        <v>1144</v>
      </c>
      <c r="B5371" t="s">
        <v>38</v>
      </c>
      <c r="C5371" s="1">
        <v>46100.445138888892</v>
      </c>
      <c r="D5371" t="s">
        <v>5640</v>
      </c>
    </row>
    <row r="5372" spans="1:4" x14ac:dyDescent="0.25">
      <c r="A5372" t="s">
        <v>1143</v>
      </c>
      <c r="B5372" t="s">
        <v>38</v>
      </c>
      <c r="C5372" s="1">
        <v>46101.584027777775</v>
      </c>
      <c r="D5372" t="s">
        <v>5640</v>
      </c>
    </row>
    <row r="5373" spans="1:4" x14ac:dyDescent="0.25">
      <c r="A5373" t="s">
        <v>1230</v>
      </c>
      <c r="B5373" t="s">
        <v>30</v>
      </c>
      <c r="C5373" s="1">
        <v>46111.540972222225</v>
      </c>
      <c r="D5373" t="s">
        <v>5640</v>
      </c>
    </row>
    <row r="5374" spans="1:4" x14ac:dyDescent="0.25">
      <c r="A5374" t="s">
        <v>1163</v>
      </c>
      <c r="B5374" t="s">
        <v>1073</v>
      </c>
      <c r="C5374" s="1">
        <v>46105.458333333336</v>
      </c>
      <c r="D5374" t="s">
        <v>5640</v>
      </c>
    </row>
    <row r="5375" spans="1:4" x14ac:dyDescent="0.25">
      <c r="A5375" t="s">
        <v>1173</v>
      </c>
      <c r="B5375" t="s">
        <v>38</v>
      </c>
      <c r="C5375" s="1">
        <v>46104.51458333333</v>
      </c>
      <c r="D5375" t="s">
        <v>5640</v>
      </c>
    </row>
    <row r="5376" spans="1:4" x14ac:dyDescent="0.25">
      <c r="A5376" t="s">
        <v>1178</v>
      </c>
      <c r="B5376" t="s">
        <v>38</v>
      </c>
      <c r="C5376" s="1">
        <v>46100.53125</v>
      </c>
      <c r="D5376" t="s">
        <v>5640</v>
      </c>
    </row>
    <row r="5377" spans="1:4" x14ac:dyDescent="0.25">
      <c r="A5377" t="s">
        <v>1177</v>
      </c>
      <c r="B5377" t="s">
        <v>38</v>
      </c>
      <c r="C5377" s="1">
        <v>46101.59097222222</v>
      </c>
      <c r="D5377" t="s">
        <v>5640</v>
      </c>
    </row>
    <row r="5378" spans="1:4" x14ac:dyDescent="0.25">
      <c r="A5378" t="s">
        <v>1175</v>
      </c>
      <c r="B5378" t="s">
        <v>38</v>
      </c>
      <c r="C5378" s="1">
        <v>46107.472222222219</v>
      </c>
      <c r="D5378" t="s">
        <v>5640</v>
      </c>
    </row>
    <row r="5379" spans="1:4" x14ac:dyDescent="0.25">
      <c r="A5379" t="s">
        <v>1185</v>
      </c>
      <c r="B5379" t="s">
        <v>38</v>
      </c>
      <c r="C5379" s="1">
        <v>46105.393055555556</v>
      </c>
      <c r="D5379" t="s">
        <v>5640</v>
      </c>
    </row>
    <row r="5380" spans="1:4" x14ac:dyDescent="0.25">
      <c r="A5380" t="s">
        <v>1182</v>
      </c>
      <c r="B5380" t="s">
        <v>38</v>
      </c>
      <c r="C5380" s="1">
        <v>46104.481249999997</v>
      </c>
      <c r="D5380" t="s">
        <v>5640</v>
      </c>
    </row>
    <row r="5381" spans="1:4" x14ac:dyDescent="0.25">
      <c r="A5381" t="s">
        <v>1181</v>
      </c>
      <c r="B5381" t="s">
        <v>39</v>
      </c>
      <c r="C5381" s="1">
        <v>46107.415277777778</v>
      </c>
      <c r="D5381" t="s">
        <v>5640</v>
      </c>
    </row>
    <row r="5382" spans="1:4" x14ac:dyDescent="0.25">
      <c r="A5382" t="s">
        <v>1207</v>
      </c>
      <c r="B5382" t="s">
        <v>38</v>
      </c>
      <c r="C5382" s="1">
        <v>46105.572916666664</v>
      </c>
      <c r="D5382" t="s">
        <v>5640</v>
      </c>
    </row>
    <row r="5383" spans="1:4" x14ac:dyDescent="0.25">
      <c r="A5383" t="s">
        <v>1205</v>
      </c>
      <c r="B5383" t="s">
        <v>38</v>
      </c>
      <c r="C5383" s="1">
        <v>46104.666666666664</v>
      </c>
      <c r="D5383" t="s">
        <v>5640</v>
      </c>
    </row>
    <row r="5384" spans="1:4" x14ac:dyDescent="0.25">
      <c r="A5384" t="s">
        <v>1198</v>
      </c>
      <c r="B5384" t="s">
        <v>38</v>
      </c>
      <c r="C5384" s="1">
        <v>46106.397916666669</v>
      </c>
      <c r="D5384" t="s">
        <v>5640</v>
      </c>
    </row>
    <row r="5385" spans="1:4" x14ac:dyDescent="0.25">
      <c r="A5385" t="s">
        <v>1208</v>
      </c>
      <c r="B5385" t="s">
        <v>38</v>
      </c>
      <c r="C5385" s="1">
        <v>46112.331250000003</v>
      </c>
      <c r="D5385" t="s">
        <v>5640</v>
      </c>
    </row>
    <row r="5386" spans="1:4" x14ac:dyDescent="0.25">
      <c r="A5386" t="s">
        <v>1216</v>
      </c>
      <c r="B5386" t="s">
        <v>38</v>
      </c>
      <c r="C5386" s="1">
        <v>46108.493055555555</v>
      </c>
      <c r="D5386" t="s">
        <v>5640</v>
      </c>
    </row>
    <row r="5387" spans="1:4" x14ac:dyDescent="0.25">
      <c r="A5387" t="s">
        <v>1211</v>
      </c>
      <c r="B5387" t="s">
        <v>38</v>
      </c>
      <c r="C5387" s="1">
        <v>46109.611805555556</v>
      </c>
      <c r="D5387" t="s">
        <v>5640</v>
      </c>
    </row>
    <row r="5388" spans="1:4" x14ac:dyDescent="0.25">
      <c r="A5388" t="s">
        <v>1225</v>
      </c>
      <c r="B5388" t="s">
        <v>39</v>
      </c>
      <c r="C5388" s="1">
        <v>46107.565972222219</v>
      </c>
      <c r="D5388" t="s">
        <v>5640</v>
      </c>
    </row>
    <row r="5389" spans="1:4" x14ac:dyDescent="0.25">
      <c r="A5389" t="s">
        <v>350</v>
      </c>
      <c r="B5389" t="s">
        <v>38</v>
      </c>
      <c r="C5389" s="1">
        <v>46039.519444444442</v>
      </c>
      <c r="D5389" t="s">
        <v>5640</v>
      </c>
    </row>
    <row r="5390" spans="1:4" x14ac:dyDescent="0.25">
      <c r="A5390" t="s">
        <v>392</v>
      </c>
      <c r="B5390" t="s">
        <v>38</v>
      </c>
      <c r="C5390" s="1">
        <v>46030.478472222225</v>
      </c>
      <c r="D5390" t="s">
        <v>5640</v>
      </c>
    </row>
    <row r="5391" spans="1:4" x14ac:dyDescent="0.25">
      <c r="A5391" t="s">
        <v>409</v>
      </c>
      <c r="B5391" t="s">
        <v>38</v>
      </c>
      <c r="C5391" s="1">
        <v>46056.478472222225</v>
      </c>
      <c r="D5391" t="s">
        <v>5640</v>
      </c>
    </row>
    <row r="5392" spans="1:4" x14ac:dyDescent="0.25">
      <c r="A5392" t="s">
        <v>479</v>
      </c>
      <c r="B5392" t="s">
        <v>38</v>
      </c>
      <c r="C5392" s="1">
        <v>46057.533333333333</v>
      </c>
      <c r="D5392" t="s">
        <v>5640</v>
      </c>
    </row>
    <row r="5393" spans="1:4" x14ac:dyDescent="0.25">
      <c r="A5393" t="s">
        <v>595</v>
      </c>
      <c r="B5393" t="s">
        <v>38</v>
      </c>
      <c r="C5393" s="1">
        <v>46076.677083333336</v>
      </c>
      <c r="D5393" t="s">
        <v>5640</v>
      </c>
    </row>
    <row r="5394" spans="1:4" x14ac:dyDescent="0.25">
      <c r="A5394" t="s">
        <v>622</v>
      </c>
      <c r="B5394" t="s">
        <v>38</v>
      </c>
      <c r="C5394" s="1">
        <v>46052.707638888889</v>
      </c>
      <c r="D5394" t="s">
        <v>5640</v>
      </c>
    </row>
    <row r="5395" spans="1:4" x14ac:dyDescent="0.25">
      <c r="A5395" t="s">
        <v>654</v>
      </c>
      <c r="B5395" t="s">
        <v>38</v>
      </c>
      <c r="C5395" s="1">
        <v>46071.581944444442</v>
      </c>
      <c r="D5395" t="s">
        <v>5640</v>
      </c>
    </row>
    <row r="5396" spans="1:4" x14ac:dyDescent="0.25">
      <c r="A5396" t="s">
        <v>641</v>
      </c>
      <c r="B5396" t="s">
        <v>38</v>
      </c>
      <c r="C5396" s="1">
        <v>46063.558333333334</v>
      </c>
      <c r="D5396" t="s">
        <v>5640</v>
      </c>
    </row>
    <row r="5397" spans="1:4" x14ac:dyDescent="0.25">
      <c r="A5397" t="s">
        <v>687</v>
      </c>
      <c r="B5397" t="s">
        <v>38</v>
      </c>
      <c r="C5397" s="1">
        <v>46066.728472222225</v>
      </c>
      <c r="D5397" t="s">
        <v>5640</v>
      </c>
    </row>
    <row r="5398" spans="1:4" x14ac:dyDescent="0.25">
      <c r="A5398" t="s">
        <v>894</v>
      </c>
      <c r="B5398" t="s">
        <v>38</v>
      </c>
      <c r="C5398" s="1">
        <v>46093.558333333334</v>
      </c>
      <c r="D5398" t="s">
        <v>5640</v>
      </c>
    </row>
    <row r="5399" spans="1:4" x14ac:dyDescent="0.25">
      <c r="A5399" t="s">
        <v>1130</v>
      </c>
      <c r="B5399" t="s">
        <v>38</v>
      </c>
      <c r="C5399" s="1">
        <v>46099.452777777777</v>
      </c>
      <c r="D5399" t="s">
        <v>5640</v>
      </c>
    </row>
    <row r="5400" spans="1:4" x14ac:dyDescent="0.25">
      <c r="A5400" t="s">
        <v>1162</v>
      </c>
      <c r="B5400" t="s">
        <v>5638</v>
      </c>
      <c r="C5400" s="1">
        <v>46106.554166666669</v>
      </c>
      <c r="D5400" t="s">
        <v>5640</v>
      </c>
    </row>
    <row r="5401" spans="1:4" x14ac:dyDescent="0.25">
      <c r="A5401" t="s">
        <v>410</v>
      </c>
      <c r="B5401" t="s">
        <v>38</v>
      </c>
      <c r="C5401" s="1">
        <v>46056.677777777775</v>
      </c>
      <c r="D5401" t="s">
        <v>5640</v>
      </c>
    </row>
    <row r="5402" spans="1:4" x14ac:dyDescent="0.25">
      <c r="A5402" t="s">
        <v>793</v>
      </c>
      <c r="B5402" t="s">
        <v>38</v>
      </c>
      <c r="C5402" s="1">
        <v>46090.627083333333</v>
      </c>
      <c r="D5402" t="s">
        <v>5640</v>
      </c>
    </row>
    <row r="5403" spans="1:4" x14ac:dyDescent="0.25">
      <c r="A5403" t="s">
        <v>365</v>
      </c>
      <c r="B5403" t="s">
        <v>38</v>
      </c>
      <c r="C5403" s="1">
        <v>46039.554861111108</v>
      </c>
      <c r="D5403" t="s">
        <v>5640</v>
      </c>
    </row>
    <row r="5404" spans="1:4" x14ac:dyDescent="0.25">
      <c r="A5404" t="s">
        <v>370</v>
      </c>
      <c r="B5404" t="s">
        <v>38</v>
      </c>
      <c r="C5404" s="1">
        <v>46039.556250000001</v>
      </c>
      <c r="D5404" t="s">
        <v>5640</v>
      </c>
    </row>
    <row r="5405" spans="1:4" x14ac:dyDescent="0.25">
      <c r="A5405" t="s">
        <v>393</v>
      </c>
      <c r="B5405" t="s">
        <v>38</v>
      </c>
      <c r="C5405" s="1">
        <v>46039.693055555559</v>
      </c>
      <c r="D5405" t="s">
        <v>5640</v>
      </c>
    </row>
    <row r="5406" spans="1:4" x14ac:dyDescent="0.25">
      <c r="A5406" t="s">
        <v>396</v>
      </c>
      <c r="B5406" t="s">
        <v>38</v>
      </c>
      <c r="C5406" s="1">
        <v>46039.695138888892</v>
      </c>
      <c r="D5406" t="s">
        <v>5640</v>
      </c>
    </row>
    <row r="5407" spans="1:4" x14ac:dyDescent="0.25">
      <c r="A5407" t="s">
        <v>415</v>
      </c>
      <c r="B5407" t="s">
        <v>38</v>
      </c>
      <c r="C5407" s="1">
        <v>46039.697222222225</v>
      </c>
      <c r="D5407" t="s">
        <v>5640</v>
      </c>
    </row>
    <row r="5408" spans="1:4" x14ac:dyDescent="0.25">
      <c r="A5408" t="s">
        <v>428</v>
      </c>
      <c r="B5408" t="s">
        <v>38</v>
      </c>
      <c r="C5408" s="1">
        <v>46039.697916666664</v>
      </c>
      <c r="D5408" t="s">
        <v>5640</v>
      </c>
    </row>
    <row r="5409" spans="1:4" x14ac:dyDescent="0.25">
      <c r="A5409" t="s">
        <v>440</v>
      </c>
      <c r="B5409" t="s">
        <v>38</v>
      </c>
      <c r="C5409" s="1">
        <v>46035.467361111114</v>
      </c>
      <c r="D5409" t="s">
        <v>5640</v>
      </c>
    </row>
    <row r="5410" spans="1:4" x14ac:dyDescent="0.25">
      <c r="A5410" t="s">
        <v>438</v>
      </c>
      <c r="B5410" t="s">
        <v>38</v>
      </c>
      <c r="C5410" s="1">
        <v>46055.759722222225</v>
      </c>
      <c r="D5410" t="s">
        <v>5640</v>
      </c>
    </row>
    <row r="5411" spans="1:4" x14ac:dyDescent="0.25">
      <c r="A5411" t="s">
        <v>455</v>
      </c>
      <c r="B5411" t="s">
        <v>38</v>
      </c>
      <c r="C5411" s="1">
        <v>46041.71875</v>
      </c>
      <c r="D5411" t="s">
        <v>5640</v>
      </c>
    </row>
    <row r="5412" spans="1:4" x14ac:dyDescent="0.25">
      <c r="A5412" t="s">
        <v>462</v>
      </c>
      <c r="B5412" t="s">
        <v>38</v>
      </c>
      <c r="C5412" s="1">
        <v>46042.438888888886</v>
      </c>
      <c r="D5412" t="s">
        <v>5640</v>
      </c>
    </row>
    <row r="5413" spans="1:4" x14ac:dyDescent="0.25">
      <c r="A5413" t="s">
        <v>459</v>
      </c>
      <c r="B5413" t="s">
        <v>38</v>
      </c>
      <c r="C5413" s="1">
        <v>46042.438888888886</v>
      </c>
      <c r="D5413" t="s">
        <v>5640</v>
      </c>
    </row>
    <row r="5414" spans="1:4" x14ac:dyDescent="0.25">
      <c r="A5414" t="s">
        <v>467</v>
      </c>
      <c r="B5414" t="s">
        <v>38</v>
      </c>
      <c r="C5414" s="1">
        <v>46041.709722222222</v>
      </c>
      <c r="D5414" t="s">
        <v>5640</v>
      </c>
    </row>
    <row r="5415" spans="1:4" x14ac:dyDescent="0.25">
      <c r="A5415" t="s">
        <v>465</v>
      </c>
      <c r="B5415" t="s">
        <v>39</v>
      </c>
      <c r="C5415" s="1">
        <v>46050.626388888886</v>
      </c>
      <c r="D5415" t="s">
        <v>5640</v>
      </c>
    </row>
    <row r="5416" spans="1:4" x14ac:dyDescent="0.25">
      <c r="A5416" t="s">
        <v>473</v>
      </c>
      <c r="B5416" t="s">
        <v>38</v>
      </c>
      <c r="C5416" s="1">
        <v>46041.478472222225</v>
      </c>
      <c r="D5416" t="s">
        <v>5640</v>
      </c>
    </row>
    <row r="5417" spans="1:4" x14ac:dyDescent="0.25">
      <c r="A5417" t="s">
        <v>528</v>
      </c>
      <c r="B5417" t="s">
        <v>38</v>
      </c>
      <c r="C5417" s="1">
        <v>46043.440972222219</v>
      </c>
      <c r="D5417" t="s">
        <v>5640</v>
      </c>
    </row>
    <row r="5418" spans="1:4" x14ac:dyDescent="0.25">
      <c r="A5418" t="s">
        <v>540</v>
      </c>
      <c r="B5418" t="s">
        <v>38</v>
      </c>
      <c r="C5418" s="1">
        <v>46044.465277777781</v>
      </c>
      <c r="D5418" t="s">
        <v>5640</v>
      </c>
    </row>
    <row r="5419" spans="1:4" x14ac:dyDescent="0.25">
      <c r="A5419" t="s">
        <v>551</v>
      </c>
      <c r="B5419" t="s">
        <v>38</v>
      </c>
      <c r="C5419" s="1">
        <v>46052.541666666664</v>
      </c>
      <c r="D5419" t="s">
        <v>5640</v>
      </c>
    </row>
    <row r="5420" spans="1:4" x14ac:dyDescent="0.25">
      <c r="A5420" t="s">
        <v>584</v>
      </c>
      <c r="B5420" t="s">
        <v>38</v>
      </c>
      <c r="C5420" s="1">
        <v>46049.509027777778</v>
      </c>
      <c r="D5420" t="s">
        <v>5640</v>
      </c>
    </row>
    <row r="5421" spans="1:4" x14ac:dyDescent="0.25">
      <c r="A5421" t="s">
        <v>581</v>
      </c>
      <c r="B5421" t="s">
        <v>38</v>
      </c>
      <c r="C5421" s="1">
        <v>46067.57708333333</v>
      </c>
      <c r="D5421" t="s">
        <v>5640</v>
      </c>
    </row>
    <row r="5422" spans="1:4" x14ac:dyDescent="0.25">
      <c r="A5422" t="s">
        <v>1256</v>
      </c>
      <c r="B5422" t="s">
        <v>1073</v>
      </c>
      <c r="C5422" s="1">
        <v>46111.5</v>
      </c>
      <c r="D5422" t="s">
        <v>5640</v>
      </c>
    </row>
    <row r="5423" spans="1:4" x14ac:dyDescent="0.25">
      <c r="A5423" t="s">
        <v>577</v>
      </c>
      <c r="B5423" t="s">
        <v>38</v>
      </c>
      <c r="C5423" s="1">
        <v>46055.759722222225</v>
      </c>
      <c r="D5423" t="s">
        <v>5640</v>
      </c>
    </row>
    <row r="5424" spans="1:4" x14ac:dyDescent="0.25">
      <c r="A5424" t="s">
        <v>615</v>
      </c>
      <c r="B5424" t="s">
        <v>38</v>
      </c>
      <c r="C5424" s="1">
        <v>46051.446527777778</v>
      </c>
      <c r="D5424" t="s">
        <v>5640</v>
      </c>
    </row>
    <row r="5425" spans="1:4" x14ac:dyDescent="0.25">
      <c r="A5425" t="s">
        <v>614</v>
      </c>
      <c r="B5425" t="s">
        <v>38</v>
      </c>
      <c r="C5425" s="1">
        <v>46051.470833333333</v>
      </c>
      <c r="D5425" t="s">
        <v>5640</v>
      </c>
    </row>
    <row r="5426" spans="1:4" x14ac:dyDescent="0.25">
      <c r="A5426" t="s">
        <v>604</v>
      </c>
      <c r="B5426" t="s">
        <v>38</v>
      </c>
      <c r="C5426" s="1">
        <v>46052.511111111111</v>
      </c>
      <c r="D5426" t="s">
        <v>5640</v>
      </c>
    </row>
    <row r="5427" spans="1:4" x14ac:dyDescent="0.25">
      <c r="A5427" t="s">
        <v>628</v>
      </c>
      <c r="B5427" t="s">
        <v>38</v>
      </c>
      <c r="C5427" s="1">
        <v>46055.440972222219</v>
      </c>
      <c r="D5427" t="s">
        <v>5640</v>
      </c>
    </row>
    <row r="5428" spans="1:4" x14ac:dyDescent="0.25">
      <c r="A5428" t="s">
        <v>625</v>
      </c>
      <c r="B5428" t="s">
        <v>38</v>
      </c>
      <c r="C5428" s="1">
        <v>46053.620833333334</v>
      </c>
      <c r="D5428" t="s">
        <v>5640</v>
      </c>
    </row>
    <row r="5429" spans="1:4" x14ac:dyDescent="0.25">
      <c r="A5429" t="s">
        <v>623</v>
      </c>
      <c r="B5429" t="s">
        <v>38</v>
      </c>
      <c r="C5429" s="1">
        <v>46053.626388888886</v>
      </c>
      <c r="D5429" t="s">
        <v>5640</v>
      </c>
    </row>
    <row r="5430" spans="1:4" x14ac:dyDescent="0.25">
      <c r="A5430" t="s">
        <v>696</v>
      </c>
      <c r="B5430" t="s">
        <v>38</v>
      </c>
      <c r="C5430" s="1">
        <v>46058.534722222219</v>
      </c>
      <c r="D5430" t="s">
        <v>5640</v>
      </c>
    </row>
    <row r="5431" spans="1:4" x14ac:dyDescent="0.25">
      <c r="A5431" t="s">
        <v>723</v>
      </c>
      <c r="B5431" t="s">
        <v>38</v>
      </c>
      <c r="C5431" s="1">
        <v>46060.571527777778</v>
      </c>
      <c r="D5431" t="s">
        <v>5640</v>
      </c>
    </row>
    <row r="5432" spans="1:4" x14ac:dyDescent="0.25">
      <c r="A5432" t="s">
        <v>718</v>
      </c>
      <c r="B5432" t="s">
        <v>38</v>
      </c>
      <c r="C5432" s="1">
        <v>46069.418055555558</v>
      </c>
      <c r="D5432" t="s">
        <v>5640</v>
      </c>
    </row>
    <row r="5433" spans="1:4" x14ac:dyDescent="0.25">
      <c r="A5433" t="s">
        <v>711</v>
      </c>
      <c r="B5433" t="s">
        <v>38</v>
      </c>
      <c r="C5433" s="1">
        <v>46059.574999999997</v>
      </c>
      <c r="D5433" t="s">
        <v>5640</v>
      </c>
    </row>
    <row r="5434" spans="1:4" x14ac:dyDescent="0.25">
      <c r="A5434" t="s">
        <v>735</v>
      </c>
      <c r="B5434" t="s">
        <v>38</v>
      </c>
      <c r="C5434" s="1">
        <v>46060.614583333336</v>
      </c>
      <c r="D5434" t="s">
        <v>5640</v>
      </c>
    </row>
    <row r="5435" spans="1:4" x14ac:dyDescent="0.25">
      <c r="A5435" t="s">
        <v>726</v>
      </c>
      <c r="B5435" t="s">
        <v>38</v>
      </c>
      <c r="C5435" s="1">
        <v>46071.582638888889</v>
      </c>
      <c r="D5435" t="s">
        <v>5640</v>
      </c>
    </row>
    <row r="5436" spans="1:4" x14ac:dyDescent="0.25">
      <c r="A5436" t="s">
        <v>740</v>
      </c>
      <c r="B5436" t="s">
        <v>38</v>
      </c>
      <c r="C5436" s="1">
        <v>46062.567361111112</v>
      </c>
      <c r="D5436" t="s">
        <v>5640</v>
      </c>
    </row>
    <row r="5437" spans="1:4" x14ac:dyDescent="0.25">
      <c r="A5437" t="s">
        <v>754</v>
      </c>
      <c r="B5437" t="s">
        <v>38</v>
      </c>
      <c r="C5437" s="1">
        <v>46093.62777777778</v>
      </c>
      <c r="D5437" t="s">
        <v>5640</v>
      </c>
    </row>
    <row r="5438" spans="1:4" x14ac:dyDescent="0.25">
      <c r="A5438" t="s">
        <v>772</v>
      </c>
      <c r="B5438" t="s">
        <v>38</v>
      </c>
      <c r="C5438" s="1">
        <v>46065.519444444442</v>
      </c>
      <c r="D5438" t="s">
        <v>5640</v>
      </c>
    </row>
    <row r="5439" spans="1:4" x14ac:dyDescent="0.25">
      <c r="A5439" t="s">
        <v>779</v>
      </c>
      <c r="B5439" t="s">
        <v>38</v>
      </c>
      <c r="C5439" s="1">
        <v>46065.711805555555</v>
      </c>
      <c r="D5439" t="s">
        <v>5640</v>
      </c>
    </row>
    <row r="5440" spans="1:4" x14ac:dyDescent="0.25">
      <c r="A5440" t="s">
        <v>1245</v>
      </c>
      <c r="B5440" t="s">
        <v>1129</v>
      </c>
      <c r="C5440" s="1">
        <v>46112.420138888891</v>
      </c>
      <c r="D5440" t="s">
        <v>5640</v>
      </c>
    </row>
    <row r="5441" spans="1:4" x14ac:dyDescent="0.25">
      <c r="A5441" t="s">
        <v>798</v>
      </c>
      <c r="B5441" t="s">
        <v>38</v>
      </c>
      <c r="C5441" s="1">
        <v>46067.508333333331</v>
      </c>
      <c r="D5441" t="s">
        <v>5640</v>
      </c>
    </row>
    <row r="5442" spans="1:4" x14ac:dyDescent="0.25">
      <c r="A5442" t="s">
        <v>835</v>
      </c>
      <c r="B5442" t="s">
        <v>38</v>
      </c>
      <c r="C5442" s="1">
        <v>46070.446527777778</v>
      </c>
      <c r="D5442" t="s">
        <v>5640</v>
      </c>
    </row>
    <row r="5443" spans="1:4" x14ac:dyDescent="0.25">
      <c r="A5443" t="s">
        <v>865</v>
      </c>
      <c r="B5443" t="s">
        <v>39</v>
      </c>
      <c r="C5443" s="1">
        <v>46093.598611111112</v>
      </c>
      <c r="D5443" t="s">
        <v>5640</v>
      </c>
    </row>
    <row r="5444" spans="1:4" x14ac:dyDescent="0.25">
      <c r="A5444" t="s">
        <v>933</v>
      </c>
      <c r="B5444" t="s">
        <v>38</v>
      </c>
      <c r="C5444" s="1">
        <v>46083.538194444445</v>
      </c>
      <c r="D5444" t="s">
        <v>5640</v>
      </c>
    </row>
    <row r="5445" spans="1:4" x14ac:dyDescent="0.25">
      <c r="A5445" t="s">
        <v>942</v>
      </c>
      <c r="B5445" t="s">
        <v>38</v>
      </c>
      <c r="C5445" s="1">
        <v>46080.785416666666</v>
      </c>
      <c r="D5445" t="s">
        <v>5640</v>
      </c>
    </row>
    <row r="5446" spans="1:4" x14ac:dyDescent="0.25">
      <c r="A5446" t="s">
        <v>991</v>
      </c>
      <c r="B5446" t="s">
        <v>38</v>
      </c>
      <c r="C5446" s="1">
        <v>46079.65625</v>
      </c>
      <c r="D5446" t="s">
        <v>5640</v>
      </c>
    </row>
    <row r="5447" spans="1:4" x14ac:dyDescent="0.25">
      <c r="A5447" t="s">
        <v>987</v>
      </c>
      <c r="B5447" t="s">
        <v>38</v>
      </c>
      <c r="C5447" s="1">
        <v>46079.668055555558</v>
      </c>
      <c r="D5447" t="s">
        <v>5640</v>
      </c>
    </row>
    <row r="5448" spans="1:4" x14ac:dyDescent="0.25">
      <c r="A5448" t="s">
        <v>1251</v>
      </c>
      <c r="B5448" t="s">
        <v>35</v>
      </c>
      <c r="C5448" s="1">
        <v>46108.719444444447</v>
      </c>
      <c r="D5448" t="s">
        <v>5640</v>
      </c>
    </row>
    <row r="5449" spans="1:4" x14ac:dyDescent="0.25">
      <c r="A5449" t="s">
        <v>981</v>
      </c>
      <c r="B5449" t="s">
        <v>38</v>
      </c>
      <c r="C5449" s="1">
        <v>46080.474305555559</v>
      </c>
      <c r="D5449" t="s">
        <v>5640</v>
      </c>
    </row>
    <row r="5450" spans="1:4" x14ac:dyDescent="0.25">
      <c r="A5450" t="s">
        <v>964</v>
      </c>
      <c r="B5450" t="s">
        <v>38</v>
      </c>
      <c r="C5450" s="1">
        <v>46085.488888888889</v>
      </c>
      <c r="D5450" t="s">
        <v>5640</v>
      </c>
    </row>
    <row r="5451" spans="1:4" x14ac:dyDescent="0.25">
      <c r="A5451" t="s">
        <v>954</v>
      </c>
      <c r="B5451" t="s">
        <v>38</v>
      </c>
      <c r="C5451" s="1">
        <v>46083.452777777777</v>
      </c>
      <c r="D5451" t="s">
        <v>5640</v>
      </c>
    </row>
    <row r="5452" spans="1:4" x14ac:dyDescent="0.25">
      <c r="A5452" t="s">
        <v>953</v>
      </c>
      <c r="B5452" t="s">
        <v>38</v>
      </c>
      <c r="C5452" s="1">
        <v>46083.525694444441</v>
      </c>
      <c r="D5452" t="s">
        <v>5640</v>
      </c>
    </row>
    <row r="5453" spans="1:4" x14ac:dyDescent="0.25">
      <c r="A5453" t="s">
        <v>1009</v>
      </c>
      <c r="B5453" t="s">
        <v>38</v>
      </c>
      <c r="C5453" s="1">
        <v>46091.570138888892</v>
      </c>
      <c r="D5453" t="s">
        <v>5640</v>
      </c>
    </row>
    <row r="5454" spans="1:4" x14ac:dyDescent="0.25">
      <c r="A5454" t="s">
        <v>1015</v>
      </c>
      <c r="B5454" t="s">
        <v>38</v>
      </c>
      <c r="C5454" s="1">
        <v>46088.557638888888</v>
      </c>
      <c r="D5454" t="s">
        <v>5640</v>
      </c>
    </row>
    <row r="5455" spans="1:4" x14ac:dyDescent="0.25">
      <c r="A5455" t="s">
        <v>1025</v>
      </c>
      <c r="B5455" t="s">
        <v>38</v>
      </c>
      <c r="C5455" s="1">
        <v>46091.665277777778</v>
      </c>
      <c r="D5455" t="s">
        <v>5640</v>
      </c>
    </row>
    <row r="5456" spans="1:4" x14ac:dyDescent="0.25">
      <c r="A5456" t="s">
        <v>1049</v>
      </c>
      <c r="B5456" t="s">
        <v>38</v>
      </c>
      <c r="C5456" s="1">
        <v>46092.57708333333</v>
      </c>
      <c r="D5456" t="s">
        <v>5640</v>
      </c>
    </row>
    <row r="5457" spans="1:4" x14ac:dyDescent="0.25">
      <c r="A5457" t="s">
        <v>1047</v>
      </c>
      <c r="B5457" t="s">
        <v>38</v>
      </c>
      <c r="C5457" s="1">
        <v>46091.487500000003</v>
      </c>
      <c r="D5457" t="s">
        <v>5640</v>
      </c>
    </row>
    <row r="5458" spans="1:4" x14ac:dyDescent="0.25">
      <c r="A5458" t="s">
        <v>1042</v>
      </c>
      <c r="B5458" t="s">
        <v>38</v>
      </c>
      <c r="C5458" s="1">
        <v>46088.429861111108</v>
      </c>
      <c r="D5458" t="s">
        <v>5640</v>
      </c>
    </row>
    <row r="5459" spans="1:4" x14ac:dyDescent="0.25">
      <c r="A5459" t="s">
        <v>1038</v>
      </c>
      <c r="B5459" t="s">
        <v>38</v>
      </c>
      <c r="C5459" s="1">
        <v>46090.61041666667</v>
      </c>
      <c r="D5459" t="s">
        <v>5640</v>
      </c>
    </row>
    <row r="5460" spans="1:4" x14ac:dyDescent="0.25">
      <c r="A5460" t="s">
        <v>1034</v>
      </c>
      <c r="B5460" t="s">
        <v>38</v>
      </c>
      <c r="C5460" s="1">
        <v>46090.503472222219</v>
      </c>
      <c r="D5460" t="s">
        <v>5640</v>
      </c>
    </row>
    <row r="5461" spans="1:4" x14ac:dyDescent="0.25">
      <c r="A5461" t="s">
        <v>1033</v>
      </c>
      <c r="B5461" t="s">
        <v>38</v>
      </c>
      <c r="C5461" s="1">
        <v>46090.467361111114</v>
      </c>
      <c r="D5461" t="s">
        <v>5640</v>
      </c>
    </row>
    <row r="5462" spans="1:4" x14ac:dyDescent="0.25">
      <c r="A5462" t="s">
        <v>1065</v>
      </c>
      <c r="B5462" t="s">
        <v>38</v>
      </c>
      <c r="C5462" s="1">
        <v>46092.693749999999</v>
      </c>
      <c r="D5462" t="s">
        <v>5640</v>
      </c>
    </row>
    <row r="5463" spans="1:4" x14ac:dyDescent="0.25">
      <c r="A5463" t="s">
        <v>1083</v>
      </c>
      <c r="B5463" t="s">
        <v>38</v>
      </c>
      <c r="C5463" s="1">
        <v>46093.436805555553</v>
      </c>
      <c r="D5463" t="s">
        <v>5640</v>
      </c>
    </row>
    <row r="5464" spans="1:4" x14ac:dyDescent="0.25">
      <c r="A5464" t="s">
        <v>1091</v>
      </c>
      <c r="B5464" t="s">
        <v>38</v>
      </c>
      <c r="C5464" s="1">
        <v>46092.768055555556</v>
      </c>
      <c r="D5464" t="s">
        <v>5640</v>
      </c>
    </row>
    <row r="5465" spans="1:4" x14ac:dyDescent="0.25">
      <c r="A5465" t="s">
        <v>1099</v>
      </c>
      <c r="B5465" t="s">
        <v>38</v>
      </c>
      <c r="C5465" s="1">
        <v>46105.752083333333</v>
      </c>
      <c r="D5465" t="s">
        <v>5640</v>
      </c>
    </row>
    <row r="5466" spans="1:4" x14ac:dyDescent="0.25">
      <c r="A5466" t="s">
        <v>1125</v>
      </c>
      <c r="B5466" t="s">
        <v>38</v>
      </c>
      <c r="C5466" s="1">
        <v>46101.738888888889</v>
      </c>
      <c r="D5466" t="s">
        <v>5640</v>
      </c>
    </row>
    <row r="5467" spans="1:4" x14ac:dyDescent="0.25">
      <c r="A5467" t="s">
        <v>1123</v>
      </c>
      <c r="B5467" t="s">
        <v>38</v>
      </c>
      <c r="C5467" s="1">
        <v>46107.474305555559</v>
      </c>
      <c r="D5467" t="s">
        <v>5640</v>
      </c>
    </row>
    <row r="5468" spans="1:4" x14ac:dyDescent="0.25">
      <c r="A5468" t="s">
        <v>1110</v>
      </c>
      <c r="B5468" t="s">
        <v>38</v>
      </c>
      <c r="C5468" s="1">
        <v>46095.609722222223</v>
      </c>
      <c r="D5468" t="s">
        <v>5640</v>
      </c>
    </row>
    <row r="5469" spans="1:4" x14ac:dyDescent="0.25">
      <c r="A5469" t="s">
        <v>1103</v>
      </c>
      <c r="B5469" t="s">
        <v>38</v>
      </c>
      <c r="C5469" s="1">
        <v>46095.604861111111</v>
      </c>
      <c r="D5469" t="s">
        <v>5640</v>
      </c>
    </row>
    <row r="5470" spans="1:4" x14ac:dyDescent="0.25">
      <c r="A5470" t="s">
        <v>1137</v>
      </c>
      <c r="B5470" t="s">
        <v>38</v>
      </c>
      <c r="C5470" s="1">
        <v>46099.532638888886</v>
      </c>
      <c r="D5470" t="s">
        <v>5640</v>
      </c>
    </row>
    <row r="5471" spans="1:4" x14ac:dyDescent="0.25">
      <c r="A5471" t="s">
        <v>1141</v>
      </c>
      <c r="B5471" t="s">
        <v>38</v>
      </c>
      <c r="C5471" s="1">
        <v>46097.620138888888</v>
      </c>
      <c r="D5471" t="s">
        <v>5640</v>
      </c>
    </row>
    <row r="5472" spans="1:4" x14ac:dyDescent="0.25">
      <c r="A5472" t="s">
        <v>1229</v>
      </c>
      <c r="B5472" t="s">
        <v>1129</v>
      </c>
      <c r="C5472" s="1">
        <v>46109.431944444441</v>
      </c>
      <c r="D5472" t="s">
        <v>5640</v>
      </c>
    </row>
    <row r="5473" spans="1:4" x14ac:dyDescent="0.25">
      <c r="A5473" t="s">
        <v>1157</v>
      </c>
      <c r="B5473" t="s">
        <v>38</v>
      </c>
      <c r="C5473" s="1">
        <v>46102.444444444445</v>
      </c>
      <c r="D5473" t="s">
        <v>5640</v>
      </c>
    </row>
    <row r="5474" spans="1:4" x14ac:dyDescent="0.25">
      <c r="A5474" t="s">
        <v>1171</v>
      </c>
      <c r="B5474" t="s">
        <v>38</v>
      </c>
      <c r="C5474" s="1">
        <v>46107.774305555555</v>
      </c>
      <c r="D5474" t="s">
        <v>5640</v>
      </c>
    </row>
    <row r="5475" spans="1:4" x14ac:dyDescent="0.25">
      <c r="A5475" t="s">
        <v>1184</v>
      </c>
      <c r="B5475" t="s">
        <v>38</v>
      </c>
      <c r="C5475" s="1">
        <v>46102.441666666666</v>
      </c>
      <c r="D5475" t="s">
        <v>5640</v>
      </c>
    </row>
    <row r="5476" spans="1:4" x14ac:dyDescent="0.25">
      <c r="A5476" t="s">
        <v>1196</v>
      </c>
      <c r="B5476" t="s">
        <v>38</v>
      </c>
      <c r="C5476" s="1">
        <v>46105.542361111111</v>
      </c>
      <c r="D5476" t="s">
        <v>5640</v>
      </c>
    </row>
    <row r="5477" spans="1:4" x14ac:dyDescent="0.25">
      <c r="A5477" t="s">
        <v>1193</v>
      </c>
      <c r="B5477" t="s">
        <v>38</v>
      </c>
      <c r="C5477" s="1">
        <v>46104.609722222223</v>
      </c>
      <c r="D5477" t="s">
        <v>5640</v>
      </c>
    </row>
    <row r="5478" spans="1:4" x14ac:dyDescent="0.25">
      <c r="A5478" t="s">
        <v>1188</v>
      </c>
      <c r="B5478" t="s">
        <v>38</v>
      </c>
      <c r="C5478" s="1">
        <v>46106.561111111114</v>
      </c>
      <c r="D5478" t="s">
        <v>5640</v>
      </c>
    </row>
    <row r="5479" spans="1:4" x14ac:dyDescent="0.25">
      <c r="A5479" t="s">
        <v>1187</v>
      </c>
      <c r="B5479" t="s">
        <v>38</v>
      </c>
      <c r="C5479" s="1">
        <v>46104.599305555559</v>
      </c>
      <c r="D5479" t="s">
        <v>5640</v>
      </c>
    </row>
    <row r="5480" spans="1:4" x14ac:dyDescent="0.25">
      <c r="A5480" t="s">
        <v>1206</v>
      </c>
      <c r="B5480" t="s">
        <v>38</v>
      </c>
      <c r="C5480" s="1">
        <v>46106.454861111109</v>
      </c>
      <c r="D5480" t="s">
        <v>5640</v>
      </c>
    </row>
    <row r="5481" spans="1:4" x14ac:dyDescent="0.25">
      <c r="A5481" t="s">
        <v>1223</v>
      </c>
      <c r="B5481" t="s">
        <v>38</v>
      </c>
      <c r="C5481" s="1">
        <v>46107.713888888888</v>
      </c>
      <c r="D5481" t="s">
        <v>5640</v>
      </c>
    </row>
    <row r="5482" spans="1:4" x14ac:dyDescent="0.25">
      <c r="A5482" t="s">
        <v>1199</v>
      </c>
      <c r="B5482" t="s">
        <v>38</v>
      </c>
      <c r="C5482" s="1">
        <v>46112.427777777775</v>
      </c>
      <c r="D5482" t="s">
        <v>5640</v>
      </c>
    </row>
    <row r="5483" spans="1:4" x14ac:dyDescent="0.25">
      <c r="A5483" t="s">
        <v>1281</v>
      </c>
      <c r="B5483" t="s">
        <v>38</v>
      </c>
      <c r="C5483" s="1">
        <v>46111.6875</v>
      </c>
      <c r="D5483" t="s">
        <v>5640</v>
      </c>
    </row>
    <row r="5484" spans="1:4" x14ac:dyDescent="0.25">
      <c r="A5484" t="s">
        <v>1226</v>
      </c>
      <c r="B5484" t="s">
        <v>38</v>
      </c>
      <c r="C5484" s="1">
        <v>46108.518750000003</v>
      </c>
      <c r="D5484" t="s">
        <v>5640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62E6-5CF0-401C-BB0E-9D26633C13BC}">
  <dimension ref="B2:P74"/>
  <sheetViews>
    <sheetView showGridLines="0" zoomScaleNormal="100" workbookViewId="0">
      <selection activeCell="F14" sqref="F14"/>
    </sheetView>
  </sheetViews>
  <sheetFormatPr defaultRowHeight="15" x14ac:dyDescent="0.25"/>
  <cols>
    <col min="1" max="1" width="3.85546875" customWidth="1"/>
    <col min="2" max="2" width="21" customWidth="1"/>
    <col min="3" max="7" width="18.140625" customWidth="1"/>
    <col min="8" max="8" width="23.7109375" bestFit="1" customWidth="1"/>
    <col min="9" max="14" width="18.140625" customWidth="1"/>
  </cols>
  <sheetData>
    <row r="2" spans="2:16" ht="39.950000000000003" customHeight="1" x14ac:dyDescent="0.4">
      <c r="B2" s="62" t="s">
        <v>8193</v>
      </c>
      <c r="C2" s="62"/>
      <c r="D2" s="62"/>
      <c r="E2" s="62"/>
      <c r="F2" s="62"/>
      <c r="G2" s="62"/>
      <c r="H2" s="62"/>
      <c r="I2" s="62"/>
      <c r="J2" s="62"/>
      <c r="K2" s="62"/>
      <c r="L2" s="62"/>
      <c r="M2" s="62"/>
      <c r="N2" s="62"/>
      <c r="O2" s="62"/>
      <c r="P2" s="62"/>
    </row>
    <row r="3" spans="2:16" x14ac:dyDescent="0.25">
      <c r="B3" s="63" t="s">
        <v>8194</v>
      </c>
      <c r="C3" s="63"/>
      <c r="D3" s="63"/>
      <c r="E3" s="63"/>
      <c r="F3" s="63"/>
      <c r="G3" s="63"/>
      <c r="H3" s="63"/>
      <c r="I3" s="63"/>
      <c r="J3" s="63"/>
      <c r="K3" s="63"/>
      <c r="L3" s="63"/>
      <c r="M3" s="63"/>
      <c r="N3" s="63"/>
      <c r="O3" s="63"/>
      <c r="P3" s="63"/>
    </row>
    <row r="5" spans="2:16" ht="18.75" x14ac:dyDescent="0.3">
      <c r="B5" s="66" t="s">
        <v>8367</v>
      </c>
      <c r="C5" s="66"/>
      <c r="D5" s="66"/>
      <c r="E5" s="66"/>
      <c r="F5" s="66"/>
      <c r="G5" s="66"/>
    </row>
    <row r="6" spans="2:16" x14ac:dyDescent="0.25">
      <c r="B6" s="2" t="s">
        <v>2374</v>
      </c>
      <c r="C6" s="2" t="s">
        <v>8250</v>
      </c>
      <c r="D6" s="2" t="s">
        <v>8251</v>
      </c>
      <c r="E6" s="2" t="s">
        <v>8196</v>
      </c>
      <c r="F6" s="2" t="s">
        <v>2377</v>
      </c>
      <c r="G6" s="2" t="s">
        <v>2385</v>
      </c>
    </row>
    <row r="7" spans="2:16" ht="21" x14ac:dyDescent="0.35">
      <c r="B7" s="3">
        <f>COUNTA('Your Jira Issues'!A:A)-1</f>
        <v>1001</v>
      </c>
      <c r="C7" s="33">
        <f>SUMIF('Your Jira Issues'!J:J,"Ad-hoc",'Your Jira Issues'!I:I)</f>
        <v>47183</v>
      </c>
      <c r="D7" s="33">
        <f>SUMIF('Your Jira Issues'!J:J,"E2E",'Your Jira Issues'!O:O)</f>
        <v>41676</v>
      </c>
      <c r="E7" s="3">
        <f>ROUND(AVERAGE('Your Jira Issues'!S:S),2)</f>
        <v>4.46</v>
      </c>
      <c r="F7" s="3">
        <f>COUNTIF('Your Jira Issues'!J:J,"E2E")</f>
        <v>726</v>
      </c>
      <c r="G7" s="3">
        <f>COUNTIF('Your Jira Issues'!J:J,"Ad-hoc")</f>
        <v>275</v>
      </c>
    </row>
    <row r="10" spans="2:16" ht="18.75" x14ac:dyDescent="0.3">
      <c r="B10" s="64" t="s">
        <v>8197</v>
      </c>
      <c r="C10" s="64"/>
      <c r="D10" s="64"/>
      <c r="E10" s="64"/>
      <c r="F10" s="64"/>
      <c r="G10" s="64"/>
      <c r="H10" s="64"/>
      <c r="I10" s="64"/>
      <c r="J10" s="64"/>
      <c r="K10" s="64"/>
      <c r="L10" s="64"/>
      <c r="M10" s="64"/>
      <c r="N10" s="64"/>
    </row>
    <row r="11" spans="2:16" x14ac:dyDescent="0.25">
      <c r="B11" s="4" t="s">
        <v>8198</v>
      </c>
      <c r="C11" s="4" t="s">
        <v>8199</v>
      </c>
      <c r="D11" s="4" t="s">
        <v>8200</v>
      </c>
      <c r="E11" s="4" t="s">
        <v>8201</v>
      </c>
      <c r="F11" s="4" t="s">
        <v>2386</v>
      </c>
      <c r="G11" s="4" t="s">
        <v>2384</v>
      </c>
      <c r="H11" s="4" t="s">
        <v>8202</v>
      </c>
      <c r="I11" s="4" t="s">
        <v>2377</v>
      </c>
      <c r="J11" s="4" t="s">
        <v>2385</v>
      </c>
      <c r="K11" s="4" t="s">
        <v>8203</v>
      </c>
      <c r="L11" s="4" t="s">
        <v>8204</v>
      </c>
      <c r="M11" s="4" t="s">
        <v>8205</v>
      </c>
      <c r="N11" s="4" t="s">
        <v>8206</v>
      </c>
    </row>
    <row r="12" spans="2:16" x14ac:dyDescent="0.25">
      <c r="B12" s="11">
        <v>18</v>
      </c>
      <c r="C12" s="12">
        <f>DATE(2026,1,1)+(18-1)*7-WEEKDAY(DATE(2026,1,1),2)+1</f>
        <v>46139</v>
      </c>
      <c r="D12" s="12">
        <f t="shared" ref="D12:D16" si="0">C12+6</f>
        <v>46145</v>
      </c>
      <c r="E12" s="20">
        <f>COUNTIFS('Your Jira Issues'!G:G,"&gt;="&amp;C12,'Your Jira Issues'!G:G,"&lt;="&amp;D12)</f>
        <v>16</v>
      </c>
      <c r="F12" s="20">
        <f>SUMIFS('Your Jira Issues'!I:I,'Your Jira Issues'!J:J,"Ad-hoc",'Your Jira Issues'!G:G,"&gt;="&amp;C12,'Your Jira Issues'!G:G,"&lt;="&amp;D12)</f>
        <v>54</v>
      </c>
      <c r="G12" s="20">
        <f>SUMIFS('Your Jira Issues'!O:O,'Your Jira Issues'!J:J,"E2E",'Your Jira Issues'!G:G,"&gt;="&amp;C12,'Your Jira Issues'!G:G,"&lt;="&amp;D12)</f>
        <v>732</v>
      </c>
      <c r="H12" s="13">
        <f>IFERROR(ROUND(AVERAGEIFS('Your Jira Issues'!S:S,'Your Jira Issues'!G:G,"&gt;="&amp;C12,'Your Jira Issues'!G:G,"&lt;="&amp;D12),2),"-")</f>
        <v>8.7899999999999991</v>
      </c>
      <c r="I12" s="13">
        <f>COUNTIFS('Your Jira Issues'!G:G,"&gt;="&amp;C12,'Your Jira Issues'!G:G,"&lt;="&amp;D12,'Your Jira Issues'!K:K,"E2E")</f>
        <v>8</v>
      </c>
      <c r="J12" s="13">
        <f>COUNTIFS('Your Jira Issues'!G:G,"&gt;="&amp;C12,'Your Jira Issues'!G:G,"&lt;="&amp;D12,'Your Jira Issues'!J:J,"Ad-hoc")</f>
        <v>6</v>
      </c>
      <c r="K12" s="13">
        <f>COUNTIFS('Your Jira Issues'!G:G,"&gt;="&amp;C12,'Your Jira Issues'!G:G,"&lt;="&amp;D12,'Your Jira Issues'!C:C,"*CLOSED*")</f>
        <v>16</v>
      </c>
      <c r="L12" s="13">
        <f t="shared" ref="L12:L16" si="1">E12-K12</f>
        <v>0</v>
      </c>
      <c r="M12" s="13" t="str">
        <f>IFERROR(TEXT((E12-#REF!)/#REF!,"0.0%"),"-")</f>
        <v>-</v>
      </c>
      <c r="N12" s="14" t="e">
        <f>#REF!+E12</f>
        <v>#REF!</v>
      </c>
    </row>
    <row r="13" spans="2:16" x14ac:dyDescent="0.25">
      <c r="B13" s="9">
        <v>19</v>
      </c>
      <c r="C13" s="7">
        <f>DATE(2026,1,1)+(19-1)*7-WEEKDAY(DATE(2026,1,1),2)+1</f>
        <v>46146</v>
      </c>
      <c r="D13" s="7">
        <f t="shared" si="0"/>
        <v>46152</v>
      </c>
      <c r="E13" s="19">
        <f>COUNTIFS('Your Jira Issues'!G:G,"&gt;="&amp;C13,'Your Jira Issues'!G:G,"&lt;="&amp;D13)</f>
        <v>86</v>
      </c>
      <c r="F13" s="19">
        <f>SUMIFS('Your Jira Issues'!I:I,'Your Jira Issues'!J:J,"Ad-hoc",'Your Jira Issues'!G:G,"&gt;="&amp;C13,'Your Jira Issues'!G:G,"&lt;="&amp;D13)</f>
        <v>2667</v>
      </c>
      <c r="G13" s="19">
        <f>SUMIFS('Your Jira Issues'!O:O,'Your Jira Issues'!J:J,"E2E",'Your Jira Issues'!G:G,"&gt;="&amp;C13,'Your Jira Issues'!G:G,"&lt;="&amp;D13)</f>
        <v>4659</v>
      </c>
      <c r="H13" s="8">
        <f>IFERROR(ROUND(AVERAGEIFS('Your Jira Issues'!S:S,'Your Jira Issues'!G:G,"&gt;="&amp;C13,'Your Jira Issues'!G:G,"&lt;="&amp;D13),2),"-")</f>
        <v>9.0299999999999994</v>
      </c>
      <c r="I13" s="8">
        <f>COUNTIFS('Your Jira Issues'!G:G,"&gt;="&amp;C13,'Your Jira Issues'!G:G,"&lt;="&amp;D13,'Your Jira Issues'!K:K,"E2E")</f>
        <v>54</v>
      </c>
      <c r="J13" s="8">
        <f>COUNTIFS('Your Jira Issues'!G:G,"&gt;="&amp;C13,'Your Jira Issues'!G:G,"&lt;="&amp;D13,'Your Jira Issues'!J:J,"Ad-hoc")</f>
        <v>26</v>
      </c>
      <c r="K13" s="8">
        <f>COUNTIFS('Your Jira Issues'!G:G,"&gt;="&amp;C13,'Your Jira Issues'!G:G,"&lt;="&amp;D13,'Your Jira Issues'!C:C,"*CLOSED*")</f>
        <v>86</v>
      </c>
      <c r="L13" s="8">
        <f t="shared" si="1"/>
        <v>0</v>
      </c>
      <c r="M13" s="8" t="str">
        <f t="shared" ref="M13:M16" si="2">IFERROR(TEXT((E13-E12)/E12,"0.0%"),"-")</f>
        <v>437.5%</v>
      </c>
      <c r="N13" s="49" t="e">
        <f>N12+E13</f>
        <v>#REF!</v>
      </c>
    </row>
    <row r="14" spans="2:16" x14ac:dyDescent="0.25">
      <c r="B14" s="11">
        <v>20</v>
      </c>
      <c r="C14" s="12">
        <f>DATE(2026,1,1)+(20-1)*7-WEEKDAY(DATE(2026,1,1),2)+1</f>
        <v>46153</v>
      </c>
      <c r="D14" s="12">
        <f t="shared" si="0"/>
        <v>46159</v>
      </c>
      <c r="E14" s="20">
        <f>COUNTIFS('Your Jira Issues'!G:G,"&gt;="&amp;C14,'Your Jira Issues'!G:G,"&lt;="&amp;D14)</f>
        <v>71</v>
      </c>
      <c r="F14" s="20">
        <f>SUMIFS('Your Jira Issues'!I:I,'Your Jira Issues'!J:J,"Ad-hoc",'Your Jira Issues'!G:G,"&gt;="&amp;C14,'Your Jira Issues'!G:G,"&lt;="&amp;D14)</f>
        <v>2665</v>
      </c>
      <c r="G14" s="20">
        <f>SUMIFS('Your Jira Issues'!O:O,'Your Jira Issues'!J:J,"E2E",'Your Jira Issues'!G:G,"&gt;="&amp;C14,'Your Jira Issues'!G:G,"&lt;="&amp;D14)</f>
        <v>3090</v>
      </c>
      <c r="H14" s="13">
        <f>IFERROR(ROUND(AVERAGEIFS('Your Jira Issues'!S:S,'Your Jira Issues'!G:G,"&gt;="&amp;C14,'Your Jira Issues'!G:G,"&lt;="&amp;D14),2),"-")</f>
        <v>6.41</v>
      </c>
      <c r="I14" s="13">
        <f>COUNTIFS('Your Jira Issues'!G:G,"&gt;="&amp;C14,'Your Jira Issues'!G:G,"&lt;="&amp;D14,'Your Jira Issues'!K:K,"E2E")</f>
        <v>45</v>
      </c>
      <c r="J14" s="13">
        <f>COUNTIFS('Your Jira Issues'!G:G,"&gt;="&amp;C14,'Your Jira Issues'!G:G,"&lt;="&amp;D14,'Your Jira Issues'!J:J,"Ad-hoc")</f>
        <v>23</v>
      </c>
      <c r="K14" s="13">
        <f>COUNTIFS('Your Jira Issues'!G:G,"&gt;="&amp;C14,'Your Jira Issues'!G:G,"&lt;="&amp;D14,'Your Jira Issues'!C:C,"*CLOSED*")</f>
        <v>71</v>
      </c>
      <c r="L14" s="13">
        <f t="shared" si="1"/>
        <v>0</v>
      </c>
      <c r="M14" s="13" t="str">
        <f t="shared" si="2"/>
        <v>-17.4%</v>
      </c>
      <c r="N14" s="14" t="e">
        <f t="shared" ref="N14:N16" si="3">N13+E14</f>
        <v>#REF!</v>
      </c>
    </row>
    <row r="15" spans="2:16" x14ac:dyDescent="0.25">
      <c r="B15" s="9">
        <v>21</v>
      </c>
      <c r="C15" s="7">
        <f>DATE(2026,1,1)+(21-1)*7-WEEKDAY(DATE(2026,1,1),2)+1</f>
        <v>46160</v>
      </c>
      <c r="D15" s="7">
        <f t="shared" si="0"/>
        <v>46166</v>
      </c>
      <c r="E15" s="19">
        <f>COUNTIFS('Your Jira Issues'!G:G,"&gt;="&amp;C15,'Your Jira Issues'!G:G,"&lt;="&amp;D15)</f>
        <v>58</v>
      </c>
      <c r="F15" s="19">
        <f>SUMIFS('Your Jira Issues'!I:I,'Your Jira Issues'!J:J,"Ad-hoc",'Your Jira Issues'!G:G,"&gt;="&amp;C15,'Your Jira Issues'!G:G,"&lt;="&amp;D15)</f>
        <v>4906</v>
      </c>
      <c r="G15" s="19">
        <f>SUMIFS('Your Jira Issues'!O:O,'Your Jira Issues'!J:J,"E2E",'Your Jira Issues'!G:G,"&gt;="&amp;C15,'Your Jira Issues'!G:G,"&lt;="&amp;D15)</f>
        <v>1659</v>
      </c>
      <c r="H15" s="8">
        <f>IFERROR(ROUND(AVERAGEIFS('Your Jira Issues'!S:S,'Your Jira Issues'!G:G,"&gt;="&amp;C15,'Your Jira Issues'!G:G,"&lt;="&amp;D15),2),"-")</f>
        <v>3.91</v>
      </c>
      <c r="I15" s="8">
        <f>COUNTIFS('Your Jira Issues'!G:G,"&gt;="&amp;C15,'Your Jira Issues'!G:G,"&lt;="&amp;D15,'Your Jira Issues'!K:K,"E2E")</f>
        <v>26</v>
      </c>
      <c r="J15" s="8">
        <f>COUNTIFS('Your Jira Issues'!G:G,"&gt;="&amp;C15,'Your Jira Issues'!G:G,"&lt;="&amp;D15,'Your Jira Issues'!J:J,"Ad-hoc")</f>
        <v>30</v>
      </c>
      <c r="K15" s="8">
        <f>COUNTIFS('Your Jira Issues'!G:G,"&gt;="&amp;C15,'Your Jira Issues'!G:G,"&lt;="&amp;D15,'Your Jira Issues'!C:C,"*CLOSED*")</f>
        <v>58</v>
      </c>
      <c r="L15" s="8">
        <f t="shared" si="1"/>
        <v>0</v>
      </c>
      <c r="M15" s="8" t="str">
        <f t="shared" si="2"/>
        <v>-18.3%</v>
      </c>
      <c r="N15" s="10" t="e">
        <f t="shared" si="3"/>
        <v>#REF!</v>
      </c>
    </row>
    <row r="16" spans="2:16" x14ac:dyDescent="0.25">
      <c r="B16" s="15">
        <v>22</v>
      </c>
      <c r="C16" s="16">
        <f>DATE(2026,1,1)+(22-1)*7-WEEKDAY(DATE(2026,1,1),2)+1</f>
        <v>46167</v>
      </c>
      <c r="D16" s="16">
        <f t="shared" si="0"/>
        <v>46173</v>
      </c>
      <c r="E16" s="21">
        <f>COUNTIFS('Your Jira Issues'!G:G,"&gt;="&amp;C16,'Your Jira Issues'!G:G,"&lt;="&amp;D16)</f>
        <v>35</v>
      </c>
      <c r="F16" s="21">
        <f>SUMIFS('Your Jira Issues'!I:I,'Your Jira Issues'!J:J,"Ad-hoc",'Your Jira Issues'!G:G,"&gt;="&amp;C16,'Your Jira Issues'!G:G,"&lt;="&amp;D16)</f>
        <v>94</v>
      </c>
      <c r="G16" s="21">
        <f>SUMIFS('Your Jira Issues'!O:O,'Your Jira Issues'!J:J,"E2E",'Your Jira Issues'!G:G,"&gt;="&amp;C16,'Your Jira Issues'!G:G,"&lt;="&amp;D16)</f>
        <v>1427</v>
      </c>
      <c r="H16" s="17">
        <f>IFERROR(ROUND(AVERAGEIFS('Your Jira Issues'!S:S,'Your Jira Issues'!G:G,"&gt;="&amp;C16,'Your Jira Issues'!G:G,"&lt;="&amp;D16),2),"-")</f>
        <v>3.63</v>
      </c>
      <c r="I16" s="17">
        <f>COUNTIFS('Your Jira Issues'!G:G,"&gt;="&amp;C16,'Your Jira Issues'!G:G,"&lt;="&amp;D16,'Your Jira Issues'!K:K,"E2E")</f>
        <v>23</v>
      </c>
      <c r="J16" s="17">
        <f>COUNTIFS('Your Jira Issues'!G:G,"&gt;="&amp;C16,'Your Jira Issues'!G:G,"&lt;="&amp;D16,'Your Jira Issues'!J:J,"Ad-hoc")</f>
        <v>7</v>
      </c>
      <c r="K16" s="17">
        <f>COUNTIFS('Your Jira Issues'!G:G,"&gt;="&amp;C16,'Your Jira Issues'!G:G,"&lt;="&amp;D16,'Your Jira Issues'!C:C,"*CLOSED*")</f>
        <v>35</v>
      </c>
      <c r="L16" s="17">
        <f t="shared" si="1"/>
        <v>0</v>
      </c>
      <c r="M16" s="17" t="str">
        <f t="shared" si="2"/>
        <v>-39.7%</v>
      </c>
      <c r="N16" s="18" t="e">
        <f t="shared" si="3"/>
        <v>#REF!</v>
      </c>
    </row>
    <row r="17" spans="2:14" x14ac:dyDescent="0.25">
      <c r="B17" s="65" t="s">
        <v>2382</v>
      </c>
      <c r="C17" s="65"/>
      <c r="D17" s="65"/>
      <c r="E17" s="32">
        <f>SUM(E12:E16)</f>
        <v>266</v>
      </c>
      <c r="F17" s="32">
        <f>SUM(F12:F16)</f>
        <v>10386</v>
      </c>
      <c r="G17" s="32">
        <f>SUM(G12:G16)</f>
        <v>11567</v>
      </c>
      <c r="H17" s="4">
        <f>ROUND(AVERAGE(H12:H16),2)</f>
        <v>6.35</v>
      </c>
      <c r="I17" s="4">
        <f>SUM(I12:I16)</f>
        <v>156</v>
      </c>
      <c r="J17" s="4">
        <f>SUM(J12:J16)</f>
        <v>92</v>
      </c>
      <c r="K17" s="4">
        <f>SUM(K12:K16)</f>
        <v>266</v>
      </c>
      <c r="L17" s="4">
        <f>SUM(L12:L16)</f>
        <v>0</v>
      </c>
      <c r="M17" s="4" t="s">
        <v>1476</v>
      </c>
      <c r="N17" s="4" t="e">
        <f>N16</f>
        <v>#REF!</v>
      </c>
    </row>
    <row r="20" spans="2:14" ht="18.75" x14ac:dyDescent="0.3">
      <c r="B20" s="60" t="s">
        <v>8207</v>
      </c>
      <c r="C20" s="60"/>
      <c r="D20" s="60"/>
      <c r="E20" s="60"/>
      <c r="F20" s="60"/>
      <c r="H20" s="61" t="s">
        <v>8213</v>
      </c>
      <c r="I20" s="61"/>
      <c r="J20" s="61"/>
      <c r="K20" s="61"/>
      <c r="L20" s="61"/>
    </row>
    <row r="21" spans="2:14" x14ac:dyDescent="0.25">
      <c r="B21" s="22" t="s">
        <v>9</v>
      </c>
      <c r="C21" s="22" t="s">
        <v>8208</v>
      </c>
      <c r="D21" s="22" t="s">
        <v>8209</v>
      </c>
      <c r="E21" s="22" t="s">
        <v>8202</v>
      </c>
      <c r="F21" s="22" t="s">
        <v>8210</v>
      </c>
      <c r="H21" s="23" t="s">
        <v>8214</v>
      </c>
      <c r="I21" s="23" t="s">
        <v>8208</v>
      </c>
      <c r="J21" s="23" t="s">
        <v>8209</v>
      </c>
      <c r="K21" s="23" t="s">
        <v>8202</v>
      </c>
      <c r="L21" s="23" t="s">
        <v>8253</v>
      </c>
    </row>
    <row r="22" spans="2:14" x14ac:dyDescent="0.25">
      <c r="B22" s="5" t="s">
        <v>22</v>
      </c>
      <c r="C22" s="5">
        <f>COUNTIF('Your Jira Issues'!D:D,"Highest")</f>
        <v>5</v>
      </c>
      <c r="D22" s="5" t="str">
        <f>IFERROR(TEXT(C22/SUM(C22:C26),"0.0%"),"-")</f>
        <v>0.5%</v>
      </c>
      <c r="E22" s="5">
        <f>IFERROR(ROUND(AVERAGEIF('Your Jira Issues'!D:D,"Highest",'Your Jira Issues'!S:S),2),"-")</f>
        <v>5.91</v>
      </c>
      <c r="F22" s="5" t="str">
        <f>IFERROR(TEXT(COUNTIFS('Your Jira Issues'!D:D,"Highest",'Your Jira Issues'!C:C,"*CLOSED*")/C22,"0.0%"),"-")</f>
        <v>100.0%</v>
      </c>
      <c r="H22" s="5" t="s">
        <v>38</v>
      </c>
      <c r="I22" s="5">
        <f>COUNTIF('Your Jira Issues'!C:C,"CLOSED")</f>
        <v>858</v>
      </c>
      <c r="J22" s="5" t="str">
        <f t="shared" ref="J22:J27" si="4">IFERROR(TEXT(I22/$B$7,"0.0%"),"-")</f>
        <v>85.7%</v>
      </c>
      <c r="K22" s="5">
        <f>IFERROR(ROUND(AVERAGEIF('Your Jira Issues'!C:C,"CLOSED",'Your Jira Issues'!S:S),2),"-")</f>
        <v>4.51</v>
      </c>
      <c r="L22" s="5">
        <f>IFERROR(ROUND(AVERAGEIF('Your Jira Issues'!C:C,"CLOSED",'Your Jira Issues'!I:I),0),"-")</f>
        <v>195</v>
      </c>
    </row>
    <row r="23" spans="2:14" x14ac:dyDescent="0.25">
      <c r="B23" s="6" t="s">
        <v>34</v>
      </c>
      <c r="C23" s="6">
        <f>COUNTIF('Your Jira Issues'!D:D,"High")</f>
        <v>2</v>
      </c>
      <c r="D23" s="6" t="str">
        <f>IFERROR(TEXT(C23/SUM(C22:C26),"0.0%"),"-")</f>
        <v>0.2%</v>
      </c>
      <c r="E23" s="6">
        <f>IFERROR(ROUND(AVERAGEIF('Your Jira Issues'!D:D,"High",'Your Jira Issues'!S:S),2),"-")</f>
        <v>0.86</v>
      </c>
      <c r="F23" s="6" t="str">
        <f>IFERROR(TEXT(COUNTIFS('Your Jira Issues'!D:D,"High",'Your Jira Issues'!C:C,"*CLOSED*")/C23,"0.0%"),"-")</f>
        <v>100.0%</v>
      </c>
      <c r="H23" s="6" t="s">
        <v>8215</v>
      </c>
      <c r="I23" s="6">
        <f>COUNTIF('Your Jira Issues'!C:C,"*Inactive*")</f>
        <v>90</v>
      </c>
      <c r="J23" s="6" t="str">
        <f t="shared" si="4"/>
        <v>9.0%</v>
      </c>
      <c r="K23" s="6">
        <f>IFERROR(ROUND(AVERAGEIF('Your Jira Issues'!C:C,"*Inactive*",'Your Jira Issues'!S:S),2),"-")</f>
        <v>5.61</v>
      </c>
      <c r="L23" s="6">
        <f>IFERROR(ROUND(AVERAGEIF('Your Jira Issues'!C:C,"*Inactive*",'Your Jira Issues'!I:I),0),"-")</f>
        <v>173</v>
      </c>
    </row>
    <row r="24" spans="2:14" x14ac:dyDescent="0.25">
      <c r="B24" s="6" t="s">
        <v>17</v>
      </c>
      <c r="C24" s="6">
        <f>COUNTIF('Your Jira Issues'!D:D,"Medium")</f>
        <v>994</v>
      </c>
      <c r="D24" s="6" t="str">
        <f>IFERROR(TEXT(C24/SUM(C22:C26),"0.0%"),"-")</f>
        <v>99.3%</v>
      </c>
      <c r="E24" s="6">
        <f>IFERROR(ROUND(AVERAGEIF('Your Jira Issues'!D:D,"Medium",'Your Jira Issues'!S:S),2),"-")</f>
        <v>4.46</v>
      </c>
      <c r="F24" s="6" t="str">
        <f>IFERROR(TEXT(COUNTIFS('Your Jira Issues'!D:D,"Medium",'Your Jira Issues'!C:C,"*CLOSED*")/C24,"0.0%"),"-")</f>
        <v>94.7%</v>
      </c>
      <c r="H24" s="6" t="s">
        <v>8216</v>
      </c>
      <c r="I24" s="6">
        <f>COUNTIF('Your Jira Issues'!C:C,"*Progress*")</f>
        <v>0</v>
      </c>
      <c r="J24" s="6" t="str">
        <f t="shared" si="4"/>
        <v>0.0%</v>
      </c>
      <c r="K24" s="6" t="str">
        <f>IFERROR(ROUND(AVERAGEIF('Your Jira Issues'!C:C,"*Progress*",'Your Jira Issues'!S:S),2),"-")</f>
        <v>-</v>
      </c>
      <c r="L24" s="6" t="str">
        <f>IFERROR(ROUND(AVERAGEIF('Your Jira Issues'!C:C,"*Progress*",'Your Jira Issues'!I:I),0),"-")</f>
        <v>-</v>
      </c>
    </row>
    <row r="25" spans="2:14" x14ac:dyDescent="0.25">
      <c r="B25" s="6" t="s">
        <v>8211</v>
      </c>
      <c r="C25" s="6">
        <f>COUNTIF('Your Jira Issues'!D:D,"Low")</f>
        <v>0</v>
      </c>
      <c r="D25" s="6" t="str">
        <f>IFERROR(TEXT(C25/SUM(C22:C26),"0.0%"),"-")</f>
        <v>0.0%</v>
      </c>
      <c r="E25" s="6" t="str">
        <f>IFERROR(ROUND(AVERAGEIF('Your Jira Issues'!D:D,"Low",'Your Jira Issues'!S:S),2),"-")</f>
        <v>-</v>
      </c>
      <c r="F25" s="6" t="str">
        <f>IFERROR(TEXT(COUNTIFS('Your Jira Issues'!D:D,"Low",'Your Jira Issues'!C:C,"*CLOSED*")/C25,"0.0%"),"-")</f>
        <v>-</v>
      </c>
      <c r="H25" s="6" t="s">
        <v>1239</v>
      </c>
      <c r="I25" s="6">
        <f>COUNTIF('Your Jira Issues'!C:C,"*Raised*")</f>
        <v>12</v>
      </c>
      <c r="J25" s="6" t="str">
        <f t="shared" si="4"/>
        <v>1.2%</v>
      </c>
      <c r="K25" s="6">
        <f>IFERROR(ROUND(AVERAGEIF('Your Jira Issues'!C:C,"*Raised*",'Your Jira Issues'!S:S),2),"-")</f>
        <v>0.09</v>
      </c>
      <c r="L25" s="6">
        <f>IFERROR(ROUND(AVERAGEIF('Your Jira Issues'!C:C,"*Raised*",'Your Jira Issues'!I:I),0),"-")</f>
        <v>144</v>
      </c>
    </row>
    <row r="26" spans="2:14" x14ac:dyDescent="0.25">
      <c r="B26" s="6" t="s">
        <v>8212</v>
      </c>
      <c r="C26" s="6">
        <f>COUNTIF('Your Jira Issues'!D:D,"Lowest")</f>
        <v>0</v>
      </c>
      <c r="D26" s="6" t="str">
        <f>IFERROR(TEXT(C26/SUM(C22:C26),"0.0%"),"-")</f>
        <v>0.0%</v>
      </c>
      <c r="E26" s="6" t="str">
        <f>IFERROR(ROUND(AVERAGEIF('Your Jira Issues'!D:D,"Lowest",'Your Jira Issues'!S:S),2),"-")</f>
        <v>-</v>
      </c>
      <c r="F26" s="6" t="str">
        <f>IFERROR(TEXT(COUNTIFS('Your Jira Issues'!D:D,"Lowest",'Your Jira Issues'!C:C,"*CLOSED*")/C26,"0.0%"),"-")</f>
        <v>-</v>
      </c>
      <c r="H26" s="6" t="s">
        <v>8217</v>
      </c>
      <c r="I26" s="6">
        <f>COUNTIF('Your Jira Issues'!C:C,"*Upload*")</f>
        <v>8</v>
      </c>
      <c r="J26" s="6" t="str">
        <f t="shared" si="4"/>
        <v>0.8%</v>
      </c>
      <c r="K26" s="6">
        <f>IFERROR(ROUND(AVERAGEIF('Your Jira Issues'!C:C,"*Upload*",'Your Jira Issues'!S:S),2),"-")</f>
        <v>2.98</v>
      </c>
      <c r="L26" s="6">
        <f>IFERROR(ROUND(AVERAGEIF('Your Jira Issues'!C:C,"*Upload*",'Your Jira Issues'!I:I),0),"-")</f>
        <v>160</v>
      </c>
    </row>
    <row r="27" spans="2:14" x14ac:dyDescent="0.25">
      <c r="H27" t="s">
        <v>35</v>
      </c>
      <c r="I27" s="6">
        <f>COUNTIF('Your Jira Issues'!C:C,"*Brand to Resolve Queries*")</f>
        <v>11</v>
      </c>
      <c r="J27" s="6" t="str">
        <f t="shared" si="4"/>
        <v>1.1%</v>
      </c>
      <c r="K27" s="6" t="str">
        <f>IFERROR(ROUND(AVERAGEIF('Your Jira Issues'!C:C,"*H27*",'Your Jira Issues'!S:S),2),"-")</f>
        <v>-</v>
      </c>
      <c r="L27" s="6" t="str">
        <f>IFERROR(ROUND(AVERAGEIF('Your Jira Issues'!C:C,"*H27*",'Your Jira Issues'!I:I),0),"-")</f>
        <v>-</v>
      </c>
    </row>
    <row r="29" spans="2:14" ht="18.75" x14ac:dyDescent="0.3">
      <c r="B29" s="67" t="s">
        <v>8218</v>
      </c>
      <c r="C29" s="67"/>
      <c r="D29" s="67"/>
      <c r="E29" s="67"/>
      <c r="F29" s="67"/>
      <c r="H29" s="68" t="s">
        <v>8220</v>
      </c>
      <c r="I29" s="68"/>
      <c r="J29" s="68"/>
      <c r="K29" s="68"/>
      <c r="L29" s="68"/>
    </row>
    <row r="30" spans="2:14" x14ac:dyDescent="0.25">
      <c r="B30" s="24" t="s">
        <v>15</v>
      </c>
      <c r="C30" s="24" t="s">
        <v>8219</v>
      </c>
      <c r="D30" s="24" t="s">
        <v>8252</v>
      </c>
      <c r="E30" s="24" t="s">
        <v>8202</v>
      </c>
      <c r="F30" s="24" t="s">
        <v>8195</v>
      </c>
      <c r="H30" s="27" t="s">
        <v>8221</v>
      </c>
      <c r="I30" s="27" t="s">
        <v>8219</v>
      </c>
      <c r="J30" s="27" t="s">
        <v>2386</v>
      </c>
      <c r="K30" s="27" t="s">
        <v>2384</v>
      </c>
      <c r="L30" s="27" t="s">
        <v>8202</v>
      </c>
    </row>
    <row r="31" spans="2:14" x14ac:dyDescent="0.25">
      <c r="B31" s="5" t="s">
        <v>1156</v>
      </c>
      <c r="C31" s="5">
        <f>COUNTIF('Your Jira Issues'!K:K,"E2E")</f>
        <v>642</v>
      </c>
      <c r="D31" s="25">
        <f>SUMIF('Your Jira Issues'!K:K,"E2E",'Your Jira Issues'!O:O)</f>
        <v>37356</v>
      </c>
      <c r="E31" s="5">
        <f>ROUND(AVERAGEIF('Your Jira Issues'!K:K,"E2E",'Your Jira Issues'!S:S),2)</f>
        <v>4.0999999999999996</v>
      </c>
      <c r="F31" s="25">
        <f>SUMIF('Your Jira Issues'!K:K,"E2E",'Your Jira Issues'!O:O)</f>
        <v>37356</v>
      </c>
      <c r="H31" s="5" t="s">
        <v>25</v>
      </c>
      <c r="I31" s="5">
        <f>COUNTIF('Your Jira Issues'!L:L,"Apparel")</f>
        <v>136</v>
      </c>
      <c r="J31" s="25">
        <f>SUMIF('Your Jira Issues'!L:L,"Apparel",'Your Jira Issues'!I:I)</f>
        <v>37374</v>
      </c>
      <c r="K31" s="25">
        <f>SUMIF('Your Jira Issues'!L:L,"Apparel",'Your Jira Issues'!O:O)</f>
        <v>9197</v>
      </c>
      <c r="L31" s="5">
        <f>IFERROR(ROUND(AVERAGEIF('Your Jira Issues'!L:L,"Apparel",'Your Jira Issues'!S:S),2),"-")</f>
        <v>5.12</v>
      </c>
    </row>
    <row r="32" spans="2:14" x14ac:dyDescent="0.25">
      <c r="B32" s="6" t="s">
        <v>2373</v>
      </c>
      <c r="C32" s="6">
        <f>COUNTIF('Your Jira Issues'!J:J,"Ad-hoc")</f>
        <v>275</v>
      </c>
      <c r="D32" s="26">
        <f>SUMIF('Your Jira Issues'!J:J,"Ad-hoc",'Your Jira Issues'!I:I)</f>
        <v>47183</v>
      </c>
      <c r="E32" s="6">
        <f>ROUND(AVERAGEIF('Your Jira Issues'!J:J,"Ad-hoc",'Your Jira Issues'!S:S),2)</f>
        <v>5.36</v>
      </c>
      <c r="F32" s="26">
        <f>SUMIF('Your Jira Issues'!J:J,"Ad-hoc",'Your Jira Issues'!O:O)</f>
        <v>35409</v>
      </c>
      <c r="H32" s="6" t="s">
        <v>20</v>
      </c>
      <c r="I32" s="6">
        <f>COUNTIF('Your Jira Issues'!L:L,"Footwear")</f>
        <v>252</v>
      </c>
      <c r="J32" s="26">
        <f>SUMIF('Your Jira Issues'!L:L,"Footwear",'Your Jira Issues'!I:I)</f>
        <v>115719</v>
      </c>
      <c r="K32" s="26">
        <f>SUMIF('Your Jira Issues'!L:L,"Footwear",'Your Jira Issues'!O:O)</f>
        <v>36163</v>
      </c>
      <c r="L32" s="6">
        <f>IFERROR(ROUND(AVERAGEIF('Your Jira Issues'!L:L,"Footwear",'Your Jira Issues'!S:S),2),"-")</f>
        <v>4.38</v>
      </c>
    </row>
    <row r="33" spans="2:14" x14ac:dyDescent="0.25">
      <c r="H33" s="6" t="s">
        <v>29</v>
      </c>
      <c r="I33" s="6">
        <f>COUNTIF('Your Jira Issues'!L:L,"Accessories")</f>
        <v>2</v>
      </c>
      <c r="J33" s="26">
        <f>SUMIF('Your Jira Issues'!L:L,"Accessories",'Your Jira Issues'!I:I)</f>
        <v>8</v>
      </c>
      <c r="K33" s="26">
        <f>SUMIF('Your Jira Issues'!L:L,"Accessories",'Your Jira Issues'!O:O)</f>
        <v>3</v>
      </c>
      <c r="L33" s="6">
        <f>IFERROR(ROUND(AVERAGEIF('Your Jira Issues'!L:L,"Accessories",'Your Jira Issues'!S:S),2),"-")</f>
        <v>11.55</v>
      </c>
    </row>
    <row r="34" spans="2:14" x14ac:dyDescent="0.25">
      <c r="H34" s="6" t="s">
        <v>33</v>
      </c>
      <c r="I34" s="6">
        <f>COUNTIF('Your Jira Issues'!L:L,"Beauty &amp; Grooming")</f>
        <v>394</v>
      </c>
      <c r="J34" s="26">
        <f>SUMIF('Your Jira Issues'!L:L,"Beauty &amp; Grooming",'Your Jira Issues'!I:I)</f>
        <v>7269</v>
      </c>
      <c r="K34" s="26">
        <f>SUMIF('Your Jira Issues'!L:L,"Beauty &amp; Grooming",'Your Jira Issues'!O:O)</f>
        <v>7181</v>
      </c>
      <c r="L34" s="6">
        <f>IFERROR(ROUND(AVERAGEIF('Your Jira Issues'!L:L,"Beauty &amp; Grooming",'Your Jira Issues'!S:S),2),"-")</f>
        <v>4.5599999999999996</v>
      </c>
    </row>
    <row r="35" spans="2:14" x14ac:dyDescent="0.25">
      <c r="H35" s="6" t="s">
        <v>31</v>
      </c>
      <c r="I35" s="6">
        <f>COUNTIF('Your Jira Issues'!L:L,"Multi Category")</f>
        <v>25</v>
      </c>
      <c r="J35" s="26">
        <f>SUMIF('Your Jira Issues'!L:L,"Multi Category",'Your Jira Issues'!I:I)</f>
        <v>11426</v>
      </c>
      <c r="K35" s="26">
        <f>SUMIF('Your Jira Issues'!L:L,"Multi Category",'Your Jira Issues'!O:O)</f>
        <v>3444</v>
      </c>
      <c r="L35" s="6">
        <f>IFERROR(ROUND(AVERAGEIF('Your Jira Issues'!L:L,"Multi Category",'Your Jira Issues'!S:S),2),"-")</f>
        <v>4.55</v>
      </c>
    </row>
    <row r="36" spans="2:14" x14ac:dyDescent="0.25">
      <c r="H36" s="6" t="s">
        <v>44</v>
      </c>
      <c r="I36" s="6">
        <f>COUNTIF('Your Jira Issues'!L:L,"Health &amp; Wellness")</f>
        <v>19</v>
      </c>
      <c r="J36" s="26">
        <f>SUMIF('Your Jira Issues'!L:L,"Health &amp; Wellness",'Your Jira Issues'!I:I)</f>
        <v>1880</v>
      </c>
      <c r="K36" s="26">
        <f>SUMIF('Your Jira Issues'!L:L,"Health &amp; Wellness",'Your Jira Issues'!O:O)</f>
        <v>1880</v>
      </c>
      <c r="L36" s="6">
        <f>IFERROR(ROUND(AVERAGEIF('Your Jira Issues'!L:L,"Health &amp; Wellness",'Your Jira Issues'!S:S),2),"-")</f>
        <v>4.07</v>
      </c>
    </row>
    <row r="39" spans="2:14" ht="18.75" x14ac:dyDescent="0.3">
      <c r="I39" s="69" t="s">
        <v>8222</v>
      </c>
      <c r="J39" s="69"/>
      <c r="K39" s="69"/>
      <c r="L39" s="69"/>
      <c r="M39" s="69"/>
    </row>
    <row r="40" spans="2:14" x14ac:dyDescent="0.25">
      <c r="I40" s="28" t="s">
        <v>8223</v>
      </c>
      <c r="J40" s="28" t="s">
        <v>8219</v>
      </c>
      <c r="K40" s="28" t="s">
        <v>2386</v>
      </c>
      <c r="L40" s="28" t="s">
        <v>2384</v>
      </c>
      <c r="M40" s="28" t="s">
        <v>8202</v>
      </c>
    </row>
    <row r="41" spans="2:14" x14ac:dyDescent="0.25">
      <c r="I41" s="5" t="s">
        <v>1517</v>
      </c>
      <c r="J41" s="5">
        <f>COUNTIF('Your Jira Issues'!Q:Q,"Mall")</f>
        <v>658</v>
      </c>
      <c r="K41" s="25">
        <f>SUMIF('Your Jira Issues'!Q:Q,"Mall",'Your Jira Issues'!I:I)</f>
        <v>135210</v>
      </c>
      <c r="L41" s="25">
        <f>SUMIF('Your Jira Issues'!Q:Q,"Mall",'Your Jira Issues'!O:O)</f>
        <v>52545</v>
      </c>
      <c r="M41" s="5">
        <f>IFERROR(ROUND(AVERAGEIF('Your Jira Issues'!Q:Q,"Mall",'Your Jira Issues'!S:S),2),"-")</f>
        <v>4.53</v>
      </c>
    </row>
    <row r="42" spans="2:14" x14ac:dyDescent="0.25">
      <c r="I42" s="6" t="s">
        <v>1514</v>
      </c>
      <c r="J42" s="6">
        <f>COUNTIF('Your Jira Issues'!Q:Q,"Luxury")</f>
        <v>143</v>
      </c>
      <c r="K42" s="26">
        <f>SUMIF('Your Jira Issues'!Q:Q,"Luxury",'Your Jira Issues'!I:I)</f>
        <v>23847</v>
      </c>
      <c r="L42" s="26">
        <f>SUMIF('Your Jira Issues'!Q:Q,"Luxury",'Your Jira Issues'!O:O)</f>
        <v>7552</v>
      </c>
      <c r="M42" s="6">
        <f>IFERROR(ROUND(AVERAGEIF('Your Jira Issues'!Q:Q,"Luxury",'Your Jira Issues'!S:S),2),"-")</f>
        <v>4.34</v>
      </c>
    </row>
    <row r="43" spans="2:14" x14ac:dyDescent="0.25">
      <c r="I43" s="6" t="s">
        <v>1546</v>
      </c>
      <c r="J43" s="6">
        <f>COUNTIF('Your Jira Issues'!Q:Q,"Mall;Luxury")</f>
        <v>200</v>
      </c>
      <c r="K43" s="26">
        <f>SUMIF('Your Jira Issues'!Q:Q,"Mall;Luxury",'Your Jira Issues'!I:I)</f>
        <v>35872</v>
      </c>
      <c r="L43" s="26">
        <f>SUMIF('Your Jira Issues'!Q:Q,"Mall;Luxury",'Your Jira Issues'!O:O)</f>
        <v>16988</v>
      </c>
      <c r="M43" s="6">
        <f>IFERROR(ROUND(AVERAGEIF('Your Jira Issues'!Q:Q,"Mall;Luxury",'Your Jira Issues'!S:S),2),"-")</f>
        <v>4.33</v>
      </c>
    </row>
    <row r="47" spans="2:14" ht="18.75" x14ac:dyDescent="0.3">
      <c r="B47" s="70" t="s">
        <v>8224</v>
      </c>
      <c r="C47" s="70"/>
      <c r="D47" s="70"/>
      <c r="E47" s="70"/>
      <c r="F47" s="70"/>
      <c r="G47" s="70"/>
      <c r="I47" s="71" t="s">
        <v>8236</v>
      </c>
      <c r="J47" s="71"/>
      <c r="K47" s="71"/>
      <c r="L47" s="71"/>
      <c r="M47" s="71"/>
      <c r="N47" s="71"/>
    </row>
    <row r="48" spans="2:14" x14ac:dyDescent="0.25">
      <c r="B48" s="29" t="s">
        <v>8225</v>
      </c>
      <c r="C48" s="29" t="s">
        <v>8226</v>
      </c>
      <c r="D48" s="29"/>
      <c r="E48" s="29" t="s">
        <v>8227</v>
      </c>
      <c r="F48" s="29" t="s">
        <v>8228</v>
      </c>
      <c r="G48" s="29" t="s">
        <v>8209</v>
      </c>
      <c r="I48" s="30" t="s">
        <v>8237</v>
      </c>
      <c r="J48" s="30" t="s">
        <v>8219</v>
      </c>
      <c r="K48" s="30" t="s">
        <v>2386</v>
      </c>
      <c r="L48" s="30" t="s">
        <v>2384</v>
      </c>
      <c r="M48" s="30" t="s">
        <v>8202</v>
      </c>
      <c r="N48" s="30" t="s">
        <v>8210</v>
      </c>
    </row>
    <row r="49" spans="2:14" x14ac:dyDescent="0.25">
      <c r="B49" s="5" t="s">
        <v>2376</v>
      </c>
      <c r="C49" s="5">
        <f>ROUND(AVERAGE('Your Jira Issues'!S:S),2)</f>
        <v>4.46</v>
      </c>
      <c r="D49" s="5"/>
      <c r="E49" s="5" t="s">
        <v>8232</v>
      </c>
      <c r="F49" s="5">
        <f>COUNTIFS('Your Jira Issues'!S:S,"&gt;=0",'Your Jira Issues'!S:S,"&lt;=5")</f>
        <v>679</v>
      </c>
      <c r="G49" s="5" t="str">
        <f>IFERROR(TEXT(F49/$B$7,"0.0%"),"-")</f>
        <v>67.8%</v>
      </c>
      <c r="I49" s="5" t="s">
        <v>1341</v>
      </c>
      <c r="J49" s="5">
        <f>COUNTIF('Your Jira Issues'!P:P,"*Puma*")</f>
        <v>16</v>
      </c>
      <c r="K49" s="25">
        <f>SUMIF('Your Jira Issues'!P:P,"*Puma*",'Your Jira Issues'!I:I)</f>
        <v>7032</v>
      </c>
      <c r="L49" s="25">
        <f>SUMIF('Your Jira Issues'!P:P,"*Puma*",'Your Jira Issues'!O:O)</f>
        <v>1854</v>
      </c>
      <c r="M49" s="5">
        <f>IFERROR(ROUND(AVERAGEIF('Your Jira Issues'!P:P,"*Puma*",'Your Jira Issues'!S:S),2),"-")</f>
        <v>6.94</v>
      </c>
      <c r="N49" s="5" t="str">
        <f>IFERROR(TEXT(COUNTIFS('Your Jira Issues'!P:P,"*Puma*",'Your Jira Issues'!C:C,"*CLOSED*")/J49,"0.0%"),"-")</f>
        <v>87.5%</v>
      </c>
    </row>
    <row r="50" spans="2:14" x14ac:dyDescent="0.25">
      <c r="B50" s="6" t="s">
        <v>8229</v>
      </c>
      <c r="C50" s="6">
        <f>MIN('Your Jira Issues'!S:S)</f>
        <v>0</v>
      </c>
      <c r="D50" s="6"/>
      <c r="E50" s="6" t="s">
        <v>8233</v>
      </c>
      <c r="F50" s="6">
        <f>COUNTIFS('Your Jira Issues'!S:S,"&gt;5",'Your Jira Issues'!S:S,"&lt;=15")</f>
        <v>297</v>
      </c>
      <c r="G50" s="6" t="str">
        <f>IFERROR(TEXT(F50/$B$7,"0.0%"),"-")</f>
        <v>29.7%</v>
      </c>
      <c r="I50" s="6" t="s">
        <v>1412</v>
      </c>
      <c r="J50" s="6">
        <f>COUNTIF('Your Jira Issues'!P:P,"*Adidas*")</f>
        <v>28</v>
      </c>
      <c r="K50" s="26">
        <f>SUMIF('Your Jira Issues'!P:P,"*Adidas*",'Your Jira Issues'!I:I)</f>
        <v>13710</v>
      </c>
      <c r="L50" s="26">
        <f>SUMIF('Your Jira Issues'!P:P,"*Adidas*",'Your Jira Issues'!O:O)</f>
        <v>8951</v>
      </c>
      <c r="M50" s="6">
        <f>IFERROR(ROUND(AVERAGEIF('Your Jira Issues'!P:P,"*Adidas*",'Your Jira Issues'!S:S),2),"-")</f>
        <v>4.4800000000000004</v>
      </c>
      <c r="N50" s="6" t="str">
        <f>IFERROR(TEXT(COUNTIFS('Your Jira Issues'!P:P,"*Adidas*",'Your Jira Issues'!C:C,"*CLOSED*")/J50,"0.0%"),"-")</f>
        <v>100.0%</v>
      </c>
    </row>
    <row r="51" spans="2:14" x14ac:dyDescent="0.25">
      <c r="B51" s="6" t="s">
        <v>8230</v>
      </c>
      <c r="C51" s="6">
        <f>MAX('Your Jira Issues'!S:S)</f>
        <v>21.88</v>
      </c>
      <c r="D51" s="6"/>
      <c r="E51" s="6" t="s">
        <v>8234</v>
      </c>
      <c r="F51" s="6">
        <f>COUNTIFS('Your Jira Issues'!S:S,"&gt;15",'Your Jira Issues'!S:S,"&lt;=30")</f>
        <v>25</v>
      </c>
      <c r="G51" s="6" t="str">
        <f>IFERROR(TEXT(F51/$B$7,"0.0%"),"-")</f>
        <v>2.5%</v>
      </c>
      <c r="I51" s="6" t="s">
        <v>1339</v>
      </c>
      <c r="J51" s="6">
        <f>COUNTIF('Your Jira Issues'!P:P,"*Lifestyle*")</f>
        <v>4</v>
      </c>
      <c r="K51" s="26">
        <f>SUMIF('Your Jira Issues'!P:P,"*Lifestyle*",'Your Jira Issues'!I:I)</f>
        <v>2413</v>
      </c>
      <c r="L51" s="26">
        <f>SUMIF('Your Jira Issues'!P:P,"*Lifestyle*",'Your Jira Issues'!O:O)</f>
        <v>519</v>
      </c>
      <c r="M51" s="6">
        <f>IFERROR(ROUND(AVERAGEIF('Your Jira Issues'!P:P,"*Lifestyle*",'Your Jira Issues'!S:S),2),"-")</f>
        <v>2.57</v>
      </c>
      <c r="N51" s="6" t="str">
        <f>IFERROR(TEXT(COUNTIFS('Your Jira Issues'!P:P,"*Lifestyle*",'Your Jira Issues'!C:C,"*CLOSED*")/J51,"0.0%"),"-")</f>
        <v>100.0%</v>
      </c>
    </row>
    <row r="52" spans="2:14" x14ac:dyDescent="0.25">
      <c r="B52" s="6" t="s">
        <v>8231</v>
      </c>
      <c r="C52" s="6">
        <f>MEDIAN('Your Jira Issues'!S:S)</f>
        <v>3.61</v>
      </c>
      <c r="D52" s="6"/>
      <c r="E52" s="6" t="s">
        <v>8235</v>
      </c>
      <c r="F52" s="6">
        <f>COUNTIFS('Your Jira Issues'!S:S,"&gt;30")</f>
        <v>0</v>
      </c>
      <c r="G52" s="6" t="str">
        <f>IFERROR(TEXT(F52/$B$7,"0.0%"),"-")</f>
        <v>0.0%</v>
      </c>
      <c r="I52" s="6" t="s">
        <v>8239</v>
      </c>
      <c r="J52" s="6">
        <f>COUNTIF('Your Jira Issues'!P:P,"*Benetton*")</f>
        <v>4</v>
      </c>
      <c r="K52" s="26">
        <f>SUMIF('Your Jira Issues'!P:P,"*Benetton*",'Your Jira Issues'!I:I)</f>
        <v>1027</v>
      </c>
      <c r="L52" s="26">
        <f>SUMIF('Your Jira Issues'!P:P,"*Benetton*",'Your Jira Issues'!O:O)</f>
        <v>128</v>
      </c>
      <c r="M52" s="6">
        <f>IFERROR(ROUND(AVERAGEIF('Your Jira Issues'!P:P,"*Benetton*",'Your Jira Issues'!S:S),2),"-")</f>
        <v>3.66</v>
      </c>
      <c r="N52" s="6" t="str">
        <f>IFERROR(TEXT(COUNTIFS('Your Jira Issues'!P:P,"*Benetton*",'Your Jira Issues'!C:C,"*CLOSED*")/J52,"0.0%"),"-")</f>
        <v>75.0%</v>
      </c>
    </row>
    <row r="53" spans="2:14" x14ac:dyDescent="0.25">
      <c r="I53" s="6" t="s">
        <v>8238</v>
      </c>
      <c r="J53" s="6">
        <f>COUNTIF('Your Jira Issues'!P:P,"*Tommy*")</f>
        <v>2</v>
      </c>
      <c r="K53" s="26">
        <f>SUMIF('Your Jira Issues'!P:P,"*Tommy*",'Your Jira Issues'!I:I)</f>
        <v>177</v>
      </c>
      <c r="L53" s="26">
        <f>SUMIF('Your Jira Issues'!P:P,"*Tommy*",'Your Jira Issues'!O:O)</f>
        <v>155</v>
      </c>
      <c r="M53" s="6">
        <f>IFERROR(ROUND(AVERAGEIF('Your Jira Issues'!P:P,"*Tommy*",'Your Jira Issues'!S:S),2),"-")</f>
        <v>6.51</v>
      </c>
      <c r="N53" s="6" t="str">
        <f>IFERROR(TEXT(COUNTIFS('Your Jira Issues'!P:P,"*Tommy*",'Your Jira Issues'!C:C,"*CLOSED*")/J53,"0.0%"),"-")</f>
        <v>50.0%</v>
      </c>
    </row>
    <row r="56" spans="2:14" ht="18.75" x14ac:dyDescent="0.3">
      <c r="B56" s="73" t="s">
        <v>8240</v>
      </c>
      <c r="C56" s="73"/>
      <c r="D56" s="73"/>
      <c r="E56" s="73"/>
      <c r="F56" s="73"/>
      <c r="G56" s="73"/>
      <c r="H56" s="73"/>
      <c r="I56" s="73"/>
      <c r="J56" s="73"/>
      <c r="K56" s="73"/>
      <c r="L56" s="73"/>
      <c r="M56" s="73"/>
      <c r="N56" s="73"/>
    </row>
    <row r="57" spans="2:14" x14ac:dyDescent="0.25">
      <c r="B57" s="31" t="s">
        <v>8245</v>
      </c>
      <c r="C57" s="74">
        <f>INDEX(B12:B16,MATCH(MAX(E12:E16),E12:E16,0))</f>
        <v>19</v>
      </c>
      <c r="D57" s="74"/>
      <c r="E57" s="74"/>
      <c r="F57" s="74"/>
      <c r="G57" s="74"/>
      <c r="H57" s="31" t="s">
        <v>8241</v>
      </c>
      <c r="I57" s="74" t="str">
        <f>"Apparel with "&amp;COUNTIF('Your Jira Issues'!L:L,"Apparel")&amp;" tickets"</f>
        <v>Apparel with 136 tickets</v>
      </c>
      <c r="J57" s="74"/>
      <c r="K57" s="74"/>
      <c r="L57" s="74"/>
      <c r="M57" s="74"/>
      <c r="N57" s="74"/>
    </row>
    <row r="58" spans="2:14" x14ac:dyDescent="0.25">
      <c r="B58" s="31" t="s">
        <v>8246</v>
      </c>
      <c r="C58" s="74" t="s">
        <v>8247</v>
      </c>
      <c r="D58" s="74"/>
      <c r="E58" s="74"/>
      <c r="F58" s="74"/>
      <c r="G58" s="74"/>
      <c r="H58" s="31" t="s">
        <v>8242</v>
      </c>
      <c r="I58" s="74" t="str">
        <f>"netscribes with "&amp;COUNTIF('Your Jira Issues'!E:E,"netscribes")&amp;" tickets assigned"</f>
        <v>netscribes with 191 tickets assigned</v>
      </c>
      <c r="J58" s="74"/>
      <c r="K58" s="74"/>
      <c r="L58" s="74"/>
      <c r="M58" s="74"/>
      <c r="N58" s="74"/>
    </row>
    <row r="59" spans="2:14" x14ac:dyDescent="0.25">
      <c r="B59" s="31" t="s">
        <v>8248</v>
      </c>
      <c r="C59" s="74" t="str">
        <f>TEXT(COUNTIF('Your Jira Issues'!C:C,"*CLOSED*")/(COUNTA('Your Jira Issues'!C:C)-1),"0.0%")</f>
        <v>94.7%</v>
      </c>
      <c r="D59" s="74"/>
      <c r="E59" s="74"/>
      <c r="F59" s="74"/>
      <c r="G59" s="74"/>
      <c r="H59" s="31" t="s">
        <v>8243</v>
      </c>
      <c r="I59" s="74" t="str">
        <f>"Ad-Hoc SKUs: "&amp;TEXT(C7,"#,##0")&amp;" | E2E Options: "&amp;TEXT(D7,"#,##0")</f>
        <v>Ad-Hoc SKUs: 47,183 | E2E Options: 41,676</v>
      </c>
      <c r="J59" s="74"/>
      <c r="K59" s="74"/>
      <c r="L59" s="74"/>
      <c r="M59" s="74"/>
      <c r="N59" s="74"/>
    </row>
    <row r="60" spans="2:14" x14ac:dyDescent="0.25">
      <c r="B60" s="31" t="s">
        <v>8254</v>
      </c>
      <c r="C60" s="74" t="str">
        <f>"SKUs: "&amp;TEXT(C7,"#,##0")&amp;" | Options: "&amp;TEXT(D7,"#,##0")</f>
        <v>SKUs: 47,183 | Options: 41,676</v>
      </c>
      <c r="D60" s="74"/>
      <c r="E60" s="74"/>
      <c r="F60" s="74"/>
      <c r="G60" s="74"/>
      <c r="H60" s="31" t="s">
        <v>8244</v>
      </c>
      <c r="I60" s="74" t="str">
        <f>COUNTIF('Your Jira Issues'!K:K,"E2E")&amp;" E2E | "&amp;COUNTIF('Your Jira Issues'!K:K,"Ad-hoc")&amp;" Ad-Hoc tickets"</f>
        <v>642 E2E | 0 Ad-Hoc tickets</v>
      </c>
      <c r="J60" s="74"/>
      <c r="K60" s="74"/>
      <c r="L60" s="74"/>
      <c r="M60" s="74"/>
      <c r="N60" s="74"/>
    </row>
    <row r="62" spans="2:14" x14ac:dyDescent="0.25">
      <c r="B62" s="72" t="s">
        <v>8249</v>
      </c>
      <c r="C62" s="72"/>
      <c r="D62" s="72"/>
      <c r="E62" s="72"/>
      <c r="F62" s="72"/>
      <c r="G62" s="72"/>
      <c r="H62" s="72"/>
      <c r="I62" s="72"/>
      <c r="J62" s="72"/>
      <c r="K62" s="72"/>
      <c r="L62" s="72"/>
      <c r="M62" s="72"/>
      <c r="N62" s="72"/>
    </row>
    <row r="65" spans="2:6" x14ac:dyDescent="0.25">
      <c r="B65" s="42" t="s">
        <v>8417</v>
      </c>
      <c r="C65" s="42" t="s">
        <v>8426</v>
      </c>
      <c r="D65" s="42" t="s">
        <v>8423</v>
      </c>
      <c r="E65" s="42" t="s">
        <v>8424</v>
      </c>
      <c r="F65" s="42" t="s">
        <v>8425</v>
      </c>
    </row>
    <row r="66" spans="2:6" x14ac:dyDescent="0.25">
      <c r="B66" s="42" t="s">
        <v>8418</v>
      </c>
      <c r="C66" s="42"/>
      <c r="D66" s="42"/>
      <c r="E66" s="42"/>
      <c r="F66" s="42"/>
    </row>
    <row r="67" spans="2:6" x14ac:dyDescent="0.25">
      <c r="B67" s="42" t="s">
        <v>8419</v>
      </c>
      <c r="C67" s="42"/>
      <c r="D67" s="42"/>
      <c r="E67" s="42"/>
      <c r="F67" s="42"/>
    </row>
    <row r="68" spans="2:6" x14ac:dyDescent="0.25">
      <c r="B68" s="42" t="s">
        <v>8420</v>
      </c>
      <c r="C68" s="42"/>
      <c r="D68" s="42"/>
      <c r="E68" s="42"/>
      <c r="F68" s="42"/>
    </row>
    <row r="69" spans="2:6" x14ac:dyDescent="0.25">
      <c r="B69" s="42" t="s">
        <v>8421</v>
      </c>
      <c r="C69" s="42"/>
      <c r="D69" s="42"/>
      <c r="E69" s="42"/>
      <c r="F69" s="42"/>
    </row>
    <row r="70" spans="2:6" x14ac:dyDescent="0.25">
      <c r="B70" s="42" t="s">
        <v>8422</v>
      </c>
      <c r="C70" s="42"/>
      <c r="D70" s="42"/>
      <c r="E70" s="42"/>
      <c r="F70" s="42"/>
    </row>
    <row r="72" spans="2:6" x14ac:dyDescent="0.25">
      <c r="B72" s="42" t="s">
        <v>8427</v>
      </c>
      <c r="C72" s="42" t="s">
        <v>8428</v>
      </c>
      <c r="D72" s="42"/>
      <c r="E72" s="42"/>
    </row>
    <row r="73" spans="2:6" x14ac:dyDescent="0.25">
      <c r="B73" s="42" t="s">
        <v>8429</v>
      </c>
      <c r="C73" s="42" t="s">
        <v>8430</v>
      </c>
      <c r="D73" s="42"/>
      <c r="E73" s="42"/>
    </row>
    <row r="74" spans="2:6" x14ac:dyDescent="0.25">
      <c r="B74" s="42" t="s">
        <v>8431</v>
      </c>
      <c r="C74" s="42"/>
      <c r="D74" s="42"/>
      <c r="E74" s="42"/>
    </row>
  </sheetData>
  <mergeCells count="22">
    <mergeCell ref="B62:N62"/>
    <mergeCell ref="B56:N56"/>
    <mergeCell ref="C57:G57"/>
    <mergeCell ref="C58:G58"/>
    <mergeCell ref="C59:G59"/>
    <mergeCell ref="C60:G60"/>
    <mergeCell ref="I57:N57"/>
    <mergeCell ref="I58:N58"/>
    <mergeCell ref="I59:N59"/>
    <mergeCell ref="I60:N60"/>
    <mergeCell ref="B29:F29"/>
    <mergeCell ref="H29:L29"/>
    <mergeCell ref="I39:M39"/>
    <mergeCell ref="B47:G47"/>
    <mergeCell ref="I47:N47"/>
    <mergeCell ref="B20:F20"/>
    <mergeCell ref="H20:L20"/>
    <mergeCell ref="B2:P2"/>
    <mergeCell ref="B3:P3"/>
    <mergeCell ref="B10:N10"/>
    <mergeCell ref="B17:D17"/>
    <mergeCell ref="B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21AF-004D-475A-BE86-F94CA4F3FA8E}">
  <dimension ref="B2:L59"/>
  <sheetViews>
    <sheetView workbookViewId="0">
      <pane ySplit="3" topLeftCell="A4" activePane="bottomLeft" state="frozen"/>
      <selection pane="bottomLeft" activeCell="A8" sqref="A8:XFD8"/>
    </sheetView>
  </sheetViews>
  <sheetFormatPr defaultRowHeight="15" x14ac:dyDescent="0.25"/>
  <cols>
    <col min="1" max="1" width="4" customWidth="1"/>
    <col min="2" max="2" width="17.140625" customWidth="1"/>
    <col min="3" max="3" width="34.28515625" customWidth="1"/>
    <col min="4" max="4" width="19" customWidth="1"/>
    <col min="5" max="6" width="17.140625" customWidth="1"/>
    <col min="7" max="7" width="2.85546875" customWidth="1"/>
    <col min="8" max="8" width="19" customWidth="1"/>
    <col min="9" max="10" width="11.42578125" customWidth="1"/>
    <col min="11" max="11" width="17.140625" customWidth="1"/>
    <col min="12" max="12" width="11.42578125" customWidth="1"/>
  </cols>
  <sheetData>
    <row r="2" spans="2:12" ht="35.1" customHeight="1" x14ac:dyDescent="0.35">
      <c r="B2" s="75" t="s">
        <v>8368</v>
      </c>
      <c r="C2" s="76"/>
      <c r="D2" s="76"/>
      <c r="E2" s="76"/>
      <c r="F2" s="76"/>
      <c r="G2" s="76"/>
      <c r="H2" s="76"/>
      <c r="I2" s="76"/>
      <c r="J2" s="76"/>
      <c r="K2" s="76"/>
      <c r="L2" s="76"/>
    </row>
    <row r="3" spans="2:12" ht="24.95" customHeight="1" x14ac:dyDescent="0.25">
      <c r="B3" s="77" t="s">
        <v>8378</v>
      </c>
      <c r="C3" s="76"/>
      <c r="D3" s="76"/>
      <c r="E3" s="76"/>
      <c r="F3" s="76"/>
      <c r="G3" s="76"/>
      <c r="H3" s="76"/>
      <c r="I3" s="76"/>
      <c r="J3" s="76"/>
      <c r="K3" s="76"/>
      <c r="L3" s="76"/>
    </row>
    <row r="5" spans="2:12" x14ac:dyDescent="0.25">
      <c r="B5" s="78" t="s">
        <v>8369</v>
      </c>
      <c r="C5" s="76"/>
      <c r="D5" s="76"/>
      <c r="E5" s="76"/>
      <c r="F5" s="76"/>
      <c r="H5" s="78" t="s">
        <v>8371</v>
      </c>
      <c r="I5" s="76"/>
      <c r="J5" s="76"/>
      <c r="K5" s="76"/>
      <c r="L5" s="76"/>
    </row>
    <row r="6" spans="2:12" x14ac:dyDescent="0.25">
      <c r="B6" s="34" t="s">
        <v>8406</v>
      </c>
      <c r="C6" s="34" t="s">
        <v>8370</v>
      </c>
      <c r="D6" s="34" t="s">
        <v>8195</v>
      </c>
      <c r="E6" s="34" t="s">
        <v>8196</v>
      </c>
      <c r="F6" s="34" t="s">
        <v>8379</v>
      </c>
      <c r="H6" s="34" t="s">
        <v>2377</v>
      </c>
      <c r="I6" s="34" t="s">
        <v>8380</v>
      </c>
      <c r="J6" s="34" t="s">
        <v>1239</v>
      </c>
      <c r="K6" s="34" t="s">
        <v>8381</v>
      </c>
      <c r="L6" s="34" t="s">
        <v>8382</v>
      </c>
    </row>
    <row r="7" spans="2:12" ht="18.75" x14ac:dyDescent="0.3">
      <c r="B7" s="38">
        <v>5</v>
      </c>
      <c r="C7" s="38">
        <v>519</v>
      </c>
      <c r="D7" s="38">
        <v>205</v>
      </c>
      <c r="E7" s="38">
        <v>0.68</v>
      </c>
      <c r="F7" s="39">
        <v>1</v>
      </c>
      <c r="H7" s="38">
        <v>5</v>
      </c>
      <c r="I7" s="38">
        <v>0</v>
      </c>
      <c r="J7" s="38">
        <v>2</v>
      </c>
      <c r="K7" s="38">
        <v>3</v>
      </c>
      <c r="L7" s="38">
        <v>5</v>
      </c>
    </row>
    <row r="10" spans="2:12" x14ac:dyDescent="0.25">
      <c r="B10" s="79" t="s">
        <v>8372</v>
      </c>
      <c r="C10" s="76"/>
      <c r="D10" s="76"/>
      <c r="E10" s="76"/>
      <c r="H10" s="79" t="s">
        <v>8220</v>
      </c>
      <c r="I10" s="76"/>
      <c r="J10" s="76"/>
      <c r="K10" s="76"/>
      <c r="L10" s="76"/>
    </row>
    <row r="11" spans="2:12" x14ac:dyDescent="0.25">
      <c r="B11" s="35" t="s">
        <v>8</v>
      </c>
      <c r="C11" s="35" t="s">
        <v>8208</v>
      </c>
      <c r="D11" s="35" t="s">
        <v>8209</v>
      </c>
      <c r="E11" s="35" t="s">
        <v>8202</v>
      </c>
      <c r="H11" s="35" t="s">
        <v>8221</v>
      </c>
      <c r="I11" s="35" t="s">
        <v>8219</v>
      </c>
      <c r="J11" s="35" t="s">
        <v>8373</v>
      </c>
      <c r="K11" s="35" t="s">
        <v>8374</v>
      </c>
      <c r="L11" s="35" t="s">
        <v>8202</v>
      </c>
    </row>
    <row r="12" spans="2:12" x14ac:dyDescent="0.25">
      <c r="B12" t="s">
        <v>1239</v>
      </c>
      <c r="C12">
        <v>3</v>
      </c>
      <c r="D12" s="37">
        <v>0.4</v>
      </c>
      <c r="E12">
        <v>0.76</v>
      </c>
      <c r="H12" t="s">
        <v>20</v>
      </c>
      <c r="I12">
        <v>3</v>
      </c>
      <c r="J12">
        <v>458</v>
      </c>
      <c r="K12">
        <v>144</v>
      </c>
      <c r="L12">
        <v>1.01</v>
      </c>
    </row>
    <row r="13" spans="2:12" x14ac:dyDescent="0.25">
      <c r="B13" t="s">
        <v>35</v>
      </c>
      <c r="C13">
        <v>2</v>
      </c>
      <c r="D13" s="37">
        <v>0.6</v>
      </c>
      <c r="E13">
        <v>0.63</v>
      </c>
      <c r="H13" t="s">
        <v>33</v>
      </c>
      <c r="I13">
        <v>1</v>
      </c>
      <c r="J13">
        <v>21</v>
      </c>
      <c r="K13">
        <v>21</v>
      </c>
      <c r="L13">
        <v>0.13</v>
      </c>
    </row>
    <row r="14" spans="2:12" x14ac:dyDescent="0.25">
      <c r="B14" t="s">
        <v>8407</v>
      </c>
      <c r="H14" t="s">
        <v>36</v>
      </c>
      <c r="I14">
        <v>1</v>
      </c>
      <c r="J14">
        <v>40</v>
      </c>
      <c r="K14">
        <v>40</v>
      </c>
      <c r="L14">
        <v>0.23</v>
      </c>
    </row>
    <row r="16" spans="2:12" x14ac:dyDescent="0.25">
      <c r="B16" s="83" t="s">
        <v>8222</v>
      </c>
      <c r="C16" s="76"/>
      <c r="D16" s="76"/>
      <c r="E16" s="76"/>
      <c r="H16" s="83" t="s">
        <v>8218</v>
      </c>
      <c r="I16" s="76"/>
      <c r="J16" s="76"/>
      <c r="K16" s="76"/>
      <c r="L16" s="76"/>
    </row>
    <row r="17" spans="2:12" x14ac:dyDescent="0.25">
      <c r="B17" s="40" t="s">
        <v>8223</v>
      </c>
      <c r="C17" s="40" t="s">
        <v>8219</v>
      </c>
      <c r="D17" s="40" t="s">
        <v>8373</v>
      </c>
      <c r="E17" s="40" t="s">
        <v>8374</v>
      </c>
      <c r="H17" s="40" t="s">
        <v>15</v>
      </c>
      <c r="I17" s="40" t="s">
        <v>8219</v>
      </c>
      <c r="J17" s="40" t="s">
        <v>8373</v>
      </c>
      <c r="K17" s="40" t="s">
        <v>8374</v>
      </c>
      <c r="L17" s="40" t="s">
        <v>8202</v>
      </c>
    </row>
    <row r="18" spans="2:12" x14ac:dyDescent="0.25">
      <c r="B18" t="s">
        <v>1517</v>
      </c>
      <c r="C18">
        <v>3</v>
      </c>
      <c r="D18">
        <v>263</v>
      </c>
      <c r="E18">
        <v>129</v>
      </c>
      <c r="H18" t="s">
        <v>1156</v>
      </c>
      <c r="I18">
        <v>4</v>
      </c>
      <c r="J18">
        <v>397</v>
      </c>
      <c r="K18">
        <v>117</v>
      </c>
      <c r="L18">
        <v>0.47</v>
      </c>
    </row>
    <row r="19" spans="2:12" x14ac:dyDescent="0.25">
      <c r="B19" t="s">
        <v>1514</v>
      </c>
      <c r="C19">
        <v>2</v>
      </c>
      <c r="D19">
        <v>256</v>
      </c>
      <c r="E19">
        <v>76</v>
      </c>
      <c r="H19" t="s">
        <v>8364</v>
      </c>
      <c r="I19">
        <v>1</v>
      </c>
      <c r="J19">
        <v>122</v>
      </c>
      <c r="K19">
        <v>88</v>
      </c>
      <c r="L19">
        <v>1.52</v>
      </c>
    </row>
    <row r="22" spans="2:12" x14ac:dyDescent="0.25">
      <c r="H22" s="84" t="s">
        <v>8383</v>
      </c>
      <c r="I22" s="76"/>
      <c r="J22" s="76"/>
      <c r="K22" s="76"/>
      <c r="L22" s="76"/>
    </row>
    <row r="23" spans="2:12" x14ac:dyDescent="0.25">
      <c r="H23" s="36" t="s">
        <v>8237</v>
      </c>
      <c r="I23" s="36" t="s">
        <v>8219</v>
      </c>
      <c r="J23" s="36" t="s">
        <v>8373</v>
      </c>
      <c r="K23" s="36" t="s">
        <v>8374</v>
      </c>
      <c r="L23" s="36" t="s">
        <v>8202</v>
      </c>
    </row>
    <row r="24" spans="2:12" x14ac:dyDescent="0.25">
      <c r="H24" t="s">
        <v>1442</v>
      </c>
      <c r="I24">
        <v>1</v>
      </c>
      <c r="J24">
        <v>216</v>
      </c>
      <c r="K24">
        <v>36</v>
      </c>
      <c r="L24">
        <v>0</v>
      </c>
    </row>
    <row r="25" spans="2:12" x14ac:dyDescent="0.25">
      <c r="H25" t="s">
        <v>8384</v>
      </c>
      <c r="I25">
        <v>1</v>
      </c>
      <c r="J25">
        <v>122</v>
      </c>
      <c r="K25">
        <v>88</v>
      </c>
      <c r="L25">
        <v>1.52</v>
      </c>
    </row>
    <row r="26" spans="2:12" x14ac:dyDescent="0.25">
      <c r="H26" t="s">
        <v>1474</v>
      </c>
      <c r="I26">
        <v>1</v>
      </c>
      <c r="J26">
        <v>120</v>
      </c>
      <c r="K26">
        <v>20</v>
      </c>
      <c r="L26">
        <v>1.52</v>
      </c>
    </row>
    <row r="27" spans="2:12" x14ac:dyDescent="0.25">
      <c r="H27" t="s">
        <v>8365</v>
      </c>
      <c r="I27">
        <v>1</v>
      </c>
      <c r="J27">
        <v>21</v>
      </c>
      <c r="K27">
        <v>21</v>
      </c>
      <c r="L27">
        <v>0.13</v>
      </c>
    </row>
    <row r="28" spans="2:12" x14ac:dyDescent="0.25">
      <c r="H28" t="s">
        <v>8385</v>
      </c>
      <c r="I28">
        <v>1</v>
      </c>
      <c r="J28">
        <v>40</v>
      </c>
      <c r="K28">
        <v>40</v>
      </c>
      <c r="L28">
        <v>0.23</v>
      </c>
    </row>
    <row r="31" spans="2:12" x14ac:dyDescent="0.25">
      <c r="B31" s="80" t="s">
        <v>8386</v>
      </c>
      <c r="C31" s="76"/>
      <c r="D31" s="76"/>
      <c r="E31" s="76"/>
      <c r="F31" s="76"/>
      <c r="G31" s="76"/>
      <c r="H31" s="76"/>
      <c r="I31" s="76"/>
      <c r="J31" s="76"/>
      <c r="K31" s="76"/>
      <c r="L31" s="76"/>
    </row>
    <row r="33" spans="2:12" x14ac:dyDescent="0.25">
      <c r="B33" s="81" t="s">
        <v>8387</v>
      </c>
      <c r="C33" s="76"/>
      <c r="D33" s="76"/>
      <c r="E33" s="76"/>
      <c r="F33" s="76"/>
      <c r="G33" s="76"/>
      <c r="H33" s="76"/>
      <c r="I33" s="76"/>
      <c r="J33" s="76"/>
      <c r="K33" s="76"/>
      <c r="L33" s="76"/>
    </row>
    <row r="34" spans="2:12" x14ac:dyDescent="0.25">
      <c r="B34" s="76" t="s">
        <v>8388</v>
      </c>
      <c r="C34" s="76"/>
      <c r="D34" s="76"/>
      <c r="E34" s="76"/>
      <c r="F34" s="76"/>
      <c r="G34" s="76"/>
      <c r="H34" s="76"/>
      <c r="I34" s="76"/>
      <c r="J34" s="76"/>
      <c r="K34" s="76"/>
      <c r="L34" s="76"/>
    </row>
    <row r="35" spans="2:12" x14ac:dyDescent="0.25">
      <c r="B35" s="76" t="s">
        <v>8389</v>
      </c>
      <c r="C35" s="76"/>
      <c r="D35" s="76"/>
      <c r="E35" s="76"/>
      <c r="F35" s="76"/>
      <c r="G35" s="76"/>
      <c r="H35" s="76"/>
      <c r="I35" s="76"/>
      <c r="J35" s="76"/>
      <c r="K35" s="76"/>
      <c r="L35" s="76"/>
    </row>
    <row r="36" spans="2:12" x14ac:dyDescent="0.25">
      <c r="B36" s="76" t="s">
        <v>8390</v>
      </c>
      <c r="C36" s="76"/>
      <c r="D36" s="76"/>
      <c r="E36" s="76"/>
      <c r="F36" s="76"/>
      <c r="G36" s="76"/>
      <c r="H36" s="76"/>
      <c r="I36" s="76"/>
      <c r="J36" s="76"/>
      <c r="K36" s="76"/>
      <c r="L36" s="76"/>
    </row>
    <row r="38" spans="2:12" x14ac:dyDescent="0.25">
      <c r="B38" s="81" t="s">
        <v>8391</v>
      </c>
      <c r="C38" s="76"/>
      <c r="D38" s="76"/>
      <c r="E38" s="76"/>
      <c r="F38" s="76"/>
      <c r="G38" s="76"/>
      <c r="H38" s="76"/>
      <c r="I38" s="76"/>
      <c r="J38" s="76"/>
      <c r="K38" s="76"/>
      <c r="L38" s="76"/>
    </row>
    <row r="39" spans="2:12" x14ac:dyDescent="0.25">
      <c r="B39" s="76" t="s">
        <v>8392</v>
      </c>
      <c r="C39" s="76"/>
      <c r="D39" s="76"/>
      <c r="E39" s="76"/>
      <c r="F39" s="76"/>
      <c r="G39" s="76"/>
      <c r="H39" s="76"/>
      <c r="I39" s="76"/>
      <c r="J39" s="76"/>
      <c r="K39" s="76"/>
      <c r="L39" s="76"/>
    </row>
    <row r="40" spans="2:12" x14ac:dyDescent="0.25">
      <c r="B40" s="76" t="s">
        <v>8393</v>
      </c>
      <c r="C40" s="76"/>
      <c r="D40" s="76"/>
      <c r="E40" s="76"/>
      <c r="F40" s="76"/>
      <c r="G40" s="76"/>
      <c r="H40" s="76"/>
      <c r="I40" s="76"/>
      <c r="J40" s="76"/>
      <c r="K40" s="76"/>
      <c r="L40" s="76"/>
    </row>
    <row r="42" spans="2:12" x14ac:dyDescent="0.25">
      <c r="B42" s="81" t="s">
        <v>8394</v>
      </c>
      <c r="C42" s="76"/>
      <c r="D42" s="76"/>
      <c r="E42" s="76"/>
      <c r="F42" s="76"/>
      <c r="G42" s="76"/>
      <c r="H42" s="76"/>
      <c r="I42" s="76"/>
      <c r="J42" s="76"/>
      <c r="K42" s="76"/>
      <c r="L42" s="76"/>
    </row>
    <row r="43" spans="2:12" x14ac:dyDescent="0.25">
      <c r="B43" s="76" t="s">
        <v>8395</v>
      </c>
      <c r="C43" s="76"/>
      <c r="D43" s="76"/>
      <c r="E43" s="76"/>
      <c r="F43" s="76"/>
      <c r="G43" s="76"/>
      <c r="H43" s="76"/>
      <c r="I43" s="76"/>
      <c r="J43" s="76"/>
      <c r="K43" s="76"/>
      <c r="L43" s="76"/>
    </row>
    <row r="45" spans="2:12" x14ac:dyDescent="0.25">
      <c r="B45" s="82" t="s">
        <v>8377</v>
      </c>
      <c r="C45" s="76"/>
      <c r="D45" s="76"/>
      <c r="E45" s="76"/>
      <c r="F45" s="76"/>
      <c r="G45" s="76"/>
      <c r="H45" s="76"/>
      <c r="I45" s="76"/>
      <c r="J45" s="76"/>
      <c r="K45" s="76"/>
      <c r="L45" s="76"/>
    </row>
    <row r="46" spans="2:12" x14ac:dyDescent="0.25">
      <c r="B46" s="76" t="s">
        <v>8396</v>
      </c>
      <c r="C46" s="76"/>
      <c r="D46" s="76"/>
      <c r="E46" s="76"/>
      <c r="F46" s="76"/>
      <c r="G46" s="76"/>
      <c r="H46" s="76"/>
      <c r="I46" s="76"/>
      <c r="J46" s="76"/>
      <c r="K46" s="76"/>
      <c r="L46" s="76"/>
    </row>
    <row r="47" spans="2:12" x14ac:dyDescent="0.25">
      <c r="B47" s="76" t="s">
        <v>8397</v>
      </c>
      <c r="C47" s="76"/>
      <c r="D47" s="76"/>
      <c r="E47" s="76"/>
      <c r="F47" s="76"/>
      <c r="G47" s="76"/>
      <c r="H47" s="76"/>
      <c r="I47" s="76"/>
      <c r="J47" s="76"/>
      <c r="K47" s="76"/>
      <c r="L47" s="76"/>
    </row>
    <row r="50" spans="2:12" x14ac:dyDescent="0.25">
      <c r="B50" s="80" t="s">
        <v>8398</v>
      </c>
      <c r="C50" s="76"/>
      <c r="D50" s="76"/>
      <c r="E50" s="76"/>
      <c r="F50" s="76"/>
      <c r="G50" s="76"/>
      <c r="H50" s="76"/>
      <c r="I50" s="76"/>
      <c r="J50" s="76"/>
      <c r="K50" s="76"/>
      <c r="L50" s="76"/>
    </row>
    <row r="51" spans="2:12" x14ac:dyDescent="0.25">
      <c r="B51" s="41" t="s">
        <v>8375</v>
      </c>
      <c r="C51" s="41" t="s">
        <v>7</v>
      </c>
      <c r="D51" s="41" t="s">
        <v>8</v>
      </c>
      <c r="E51" s="41" t="s">
        <v>10</v>
      </c>
      <c r="F51" s="41" t="s">
        <v>8221</v>
      </c>
      <c r="G51" s="41" t="s">
        <v>8223</v>
      </c>
      <c r="H51" s="41" t="s">
        <v>8373</v>
      </c>
      <c r="I51" s="41" t="s">
        <v>8374</v>
      </c>
      <c r="J51" s="41" t="s">
        <v>8237</v>
      </c>
      <c r="K51" s="41" t="s">
        <v>8376</v>
      </c>
      <c r="L51" s="41"/>
    </row>
    <row r="52" spans="2:12" x14ac:dyDescent="0.25">
      <c r="B52" t="s">
        <v>8354</v>
      </c>
      <c r="C52" t="s">
        <v>8399</v>
      </c>
      <c r="D52" t="s">
        <v>1239</v>
      </c>
      <c r="E52" t="s">
        <v>18</v>
      </c>
      <c r="F52" t="s">
        <v>20</v>
      </c>
      <c r="G52" t="s">
        <v>1514</v>
      </c>
      <c r="H52">
        <v>216</v>
      </c>
      <c r="I52">
        <v>36</v>
      </c>
      <c r="J52" t="s">
        <v>1442</v>
      </c>
      <c r="K52">
        <v>0</v>
      </c>
    </row>
    <row r="53" spans="2:12" x14ac:dyDescent="0.25">
      <c r="B53" t="s">
        <v>8355</v>
      </c>
      <c r="C53" t="s">
        <v>8400</v>
      </c>
      <c r="D53" t="s">
        <v>1239</v>
      </c>
      <c r="E53" t="s">
        <v>19</v>
      </c>
      <c r="F53" t="s">
        <v>20</v>
      </c>
      <c r="G53" t="s">
        <v>1517</v>
      </c>
      <c r="H53">
        <v>122</v>
      </c>
      <c r="I53">
        <v>88</v>
      </c>
      <c r="J53" t="s">
        <v>8401</v>
      </c>
      <c r="K53">
        <v>1.52</v>
      </c>
    </row>
    <row r="54" spans="2:12" x14ac:dyDescent="0.25">
      <c r="B54" t="s">
        <v>8356</v>
      </c>
      <c r="C54" t="s">
        <v>8402</v>
      </c>
      <c r="D54" t="s">
        <v>2387</v>
      </c>
      <c r="E54" t="s">
        <v>18</v>
      </c>
      <c r="F54" t="s">
        <v>20</v>
      </c>
      <c r="G54" t="s">
        <v>1517</v>
      </c>
      <c r="H54">
        <v>120</v>
      </c>
      <c r="I54">
        <v>20</v>
      </c>
      <c r="J54" t="s">
        <v>1474</v>
      </c>
      <c r="K54">
        <v>1.52</v>
      </c>
    </row>
    <row r="55" spans="2:12" x14ac:dyDescent="0.25">
      <c r="B55" t="s">
        <v>8357</v>
      </c>
      <c r="C55" t="s">
        <v>8403</v>
      </c>
      <c r="D55" t="s">
        <v>2387</v>
      </c>
      <c r="E55" t="s">
        <v>19</v>
      </c>
      <c r="F55" t="s">
        <v>33</v>
      </c>
      <c r="G55" t="s">
        <v>1517</v>
      </c>
      <c r="H55">
        <v>21</v>
      </c>
      <c r="I55">
        <v>21</v>
      </c>
      <c r="J55" t="s">
        <v>8365</v>
      </c>
      <c r="K55">
        <v>0.13</v>
      </c>
    </row>
    <row r="56" spans="2:12" x14ac:dyDescent="0.25">
      <c r="B56" t="s">
        <v>8358</v>
      </c>
      <c r="C56" t="s">
        <v>8404</v>
      </c>
      <c r="D56" t="s">
        <v>2387</v>
      </c>
      <c r="E56" t="s">
        <v>19</v>
      </c>
      <c r="F56" t="s">
        <v>36</v>
      </c>
      <c r="G56" t="s">
        <v>1514</v>
      </c>
      <c r="H56">
        <v>40</v>
      </c>
      <c r="I56">
        <v>40</v>
      </c>
      <c r="J56" t="s">
        <v>8385</v>
      </c>
      <c r="K56">
        <v>0.23</v>
      </c>
    </row>
    <row r="59" spans="2:12" x14ac:dyDescent="0.25">
      <c r="B59" s="77" t="s">
        <v>8405</v>
      </c>
      <c r="C59" s="76"/>
      <c r="D59" s="76"/>
      <c r="E59" s="76"/>
      <c r="F59" s="76"/>
      <c r="G59" s="76"/>
      <c r="H59" s="76"/>
      <c r="I59" s="76"/>
      <c r="J59" s="76"/>
      <c r="K59" s="76"/>
      <c r="L59" s="76"/>
    </row>
  </sheetData>
  <mergeCells count="24">
    <mergeCell ref="B16:E16"/>
    <mergeCell ref="H16:L16"/>
    <mergeCell ref="H22:L22"/>
    <mergeCell ref="B31:L31"/>
    <mergeCell ref="B33:L33"/>
    <mergeCell ref="B47:L47"/>
    <mergeCell ref="B50:L50"/>
    <mergeCell ref="B59:L59"/>
    <mergeCell ref="B43:L43"/>
    <mergeCell ref="B34:L34"/>
    <mergeCell ref="B35:L35"/>
    <mergeCell ref="B36:L36"/>
    <mergeCell ref="B46:L46"/>
    <mergeCell ref="B38:L38"/>
    <mergeCell ref="B39:L39"/>
    <mergeCell ref="B40:L40"/>
    <mergeCell ref="B42:L42"/>
    <mergeCell ref="B45:L45"/>
    <mergeCell ref="B2:L2"/>
    <mergeCell ref="B3:L3"/>
    <mergeCell ref="B5:F5"/>
    <mergeCell ref="H5:L5"/>
    <mergeCell ref="B10:E10"/>
    <mergeCell ref="H10:L10"/>
  </mergeCells>
  <pageMargins left="0.7" right="0.7" top="0.75" bottom="0.75" header="0.3" footer="0.3"/>
  <pageSetup paperSize="9" scale="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Your Jira Issues</vt:lpstr>
      <vt:lpstr>Esclations</vt:lpstr>
      <vt:lpstr>Data Dump</vt:lpstr>
      <vt:lpstr>Sheet1</vt:lpstr>
      <vt:lpstr>WoW Dashboard</vt:lpstr>
      <vt:lpstr>EOD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Bidyut Ghosh</cp:lastModifiedBy>
  <cp:revision/>
  <dcterms:created xsi:type="dcterms:W3CDTF">2019-07-26T12:47:49Z</dcterms:created>
  <dcterms:modified xsi:type="dcterms:W3CDTF">2026-08-17T04:42:09Z</dcterms:modified>
  <cp:category/>
  <cp:contentStatus/>
</cp:coreProperties>
</file>